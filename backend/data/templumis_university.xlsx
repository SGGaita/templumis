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ents" sheetId="1" state="visible" r:id="rId3"/>
    <sheet name="Courses" sheetId="2" state="visible" r:id="rId4"/>
    <sheet name="Enrolments" sheetId="3" state="visible" r:id="rId5"/>
    <sheet name="Grades" sheetId="4" state="visible" r:id="rId6"/>
    <sheet name="Attendance" sheetId="5" state="visible" r:id="rId7"/>
    <sheet name="Fee Records" sheetId="6" state="visible" r:id="rId8"/>
    <sheet name="Payments" sheetId="7" state="visible" r:id="rId9"/>
    <sheet name="Scholarships" sheetId="8" state="visible" r:id="rId10"/>
    <sheet name="Scholarship Apps" sheetId="9" state="visible" r:id="rId11"/>
    <sheet name="Dashboard" sheetId="10" state="visible" r:id="rId12"/>
    <sheet name="Journey Tracker" sheetId="11" state="visible" r:id="rId13"/>
    <sheet name="Rankings Dashboard"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<sst xmlns="http://schemas.openxmlformats.org/spreadsheetml/2006/main" count="4093" uniqueCount="1142">
  <si>
    <t xml:space="preserve">student_id</t>
  </si>
  <si>
    <t xml:space="preserve">full_name</t>
  </si>
  <si>
    <t xml:space="preserve">gender</t>
  </si>
  <si>
    <t xml:space="preserve">date_of_birth</t>
  </si>
  <si>
    <t xml:space="preserve">email</t>
  </si>
  <si>
    <t xml:space="preserve">phone</t>
  </si>
  <si>
    <t xml:space="preserve">program</t>
  </si>
  <si>
    <t xml:space="preserve">major</t>
  </si>
  <si>
    <t xml:space="preserve">department</t>
  </si>
  <si>
    <t xml:space="preserve">year_of_study</t>
  </si>
  <si>
    <t xml:space="preserve">gpa</t>
  </si>
  <si>
    <t xml:space="preserve">credit_hours_earned</t>
  </si>
  <si>
    <t xml:space="preserve">status</t>
  </si>
  <si>
    <t xml:space="preserve">nationality</t>
  </si>
  <si>
    <t xml:space="preserve">enrollment_date</t>
  </si>
  <si>
    <t xml:space="preserve">expected_graduation</t>
  </si>
  <si>
    <t xml:space="preserve">Student Type</t>
  </si>
  <si>
    <t xml:space="preserve">Programme Level</t>
  </si>
  <si>
    <t xml:space="preserve">Journey Stage</t>
  </si>
  <si>
    <t xml:space="preserve">Current Semester</t>
  </si>
  <si>
    <t xml:space="preserve">Fees Status</t>
  </si>
  <si>
    <t xml:space="preserve">Fees Balance (KES)</t>
  </si>
  <si>
    <t xml:space="preserve">Academic Standing</t>
  </si>
  <si>
    <t xml:space="preserve">Last Standing Review</t>
  </si>
  <si>
    <t xml:space="preserve">Dissertation Title</t>
  </si>
  <si>
    <t xml:space="preserve">Dissertation Status</t>
  </si>
  <si>
    <t xml:space="preserve">Graduation Clearance</t>
  </si>
  <si>
    <t xml:space="preserve">Actual Graduation Date</t>
  </si>
  <si>
    <t xml:space="preserve">TU-2021-0001</t>
  </si>
  <si>
    <t xml:space="preserve">Amelia Odhiambo</t>
  </si>
  <si>
    <t xml:space="preserve">Female</t>
  </si>
  <si>
    <t xml:space="preserve">2001-03-12</t>
  </si>
  <si>
    <t xml:space="preserve">a.odhiambo@templumis.ac</t>
  </si>
  <si>
    <t xml:space="preserve">+254712345001</t>
  </si>
  <si>
    <t xml:space="preserve">BSc</t>
  </si>
  <si>
    <t xml:space="preserve">Computer Science</t>
  </si>
  <si>
    <t xml:space="preserve">School of Computing</t>
  </si>
  <si>
    <t xml:space="preserve">Year 3</t>
  </si>
  <si>
    <t xml:space="preserve">Active</t>
  </si>
  <si>
    <t xml:space="preserve">Kenyan</t>
  </si>
  <si>
    <t xml:space="preserve">2021-09-05</t>
  </si>
  <si>
    <t xml:space="preserve">2025-06-30</t>
  </si>
  <si>
    <t xml:space="preserve">Undergraduate</t>
  </si>
  <si>
    <t xml:space="preserve">3. Progressing — Year 3</t>
  </si>
  <si>
    <t xml:space="preserve">Sem 6</t>
  </si>
  <si>
    <t xml:space="preserve">Paid</t>
  </si>
  <si>
    <t xml:space="preserve">Good Standing</t>
  </si>
  <si>
    <t xml:space="preserve">2024-01-15</t>
  </si>
  <si>
    <t xml:space="preserve">N/A</t>
  </si>
  <si>
    <t xml:space="preserve">Not Yet</t>
  </si>
  <si>
    <t xml:space="preserve">TU-2022-0002</t>
  </si>
  <si>
    <t xml:space="preserve">Brian Mwangi</t>
  </si>
  <si>
    <t xml:space="preserve">Male</t>
  </si>
  <si>
    <t xml:space="preserve">2002-07-22</t>
  </si>
  <si>
    <t xml:space="preserve">b.mwangi@templumis.ac</t>
  </si>
  <si>
    <t xml:space="preserve">+254712345002</t>
  </si>
  <si>
    <t xml:space="preserve">BA</t>
  </si>
  <si>
    <t xml:space="preserve">Economics</t>
  </si>
  <si>
    <t xml:space="preserve">School of Business</t>
  </si>
  <si>
    <t xml:space="preserve">Year 2</t>
  </si>
  <si>
    <t xml:space="preserve">2022-09-05</t>
  </si>
  <si>
    <t xml:space="preserve">2026-06-30</t>
  </si>
  <si>
    <t xml:space="preserve">2. Progressing — Year 2</t>
  </si>
  <si>
    <t xml:space="preserve">Sem 4</t>
  </si>
  <si>
    <t xml:space="preserve">TU-2020-0003</t>
  </si>
  <si>
    <t xml:space="preserve">Claire Nakato</t>
  </si>
  <si>
    <t xml:space="preserve">2000-11-05</t>
  </si>
  <si>
    <t xml:space="preserve">c.nakato@templumis.ac</t>
  </si>
  <si>
    <t xml:space="preserve">+256712345003</t>
  </si>
  <si>
    <t xml:space="preserve">Civil Engineering</t>
  </si>
  <si>
    <t xml:space="preserve">School of Engineering</t>
  </si>
  <si>
    <t xml:space="preserve">Year 4</t>
  </si>
  <si>
    <t xml:space="preserve">Ugandan</t>
  </si>
  <si>
    <t xml:space="preserve">2020-09-07</t>
  </si>
  <si>
    <t xml:space="preserve">2024-06-30</t>
  </si>
  <si>
    <t xml:space="preserve">4. Final Year — Pre-Clearance</t>
  </si>
  <si>
    <t xml:space="preserve">Sem 8</t>
  </si>
  <si>
    <t xml:space="preserve">In Progress</t>
  </si>
  <si>
    <t xml:space="preserve">TU-2019-0004</t>
  </si>
  <si>
    <t xml:space="preserve">David Mensah</t>
  </si>
  <si>
    <t xml:space="preserve">1999-04-18</t>
  </si>
  <si>
    <t xml:space="preserve">d.mensah@templumis.ac</t>
  </si>
  <si>
    <t xml:space="preserve">+233712345004</t>
  </si>
  <si>
    <t xml:space="preserve">Nursing</t>
  </si>
  <si>
    <t xml:space="preserve">School of Health Sciences</t>
  </si>
  <si>
    <t xml:space="preserve">Graduated</t>
  </si>
  <si>
    <t xml:space="preserve">Ghanaian</t>
  </si>
  <si>
    <t xml:space="preserve">2019-09-02</t>
  </si>
  <si>
    <t xml:space="preserve">6. Graduated ✓</t>
  </si>
  <si>
    <t xml:space="preserve">Completed</t>
  </si>
  <si>
    <t xml:space="preserve">Cleared</t>
  </si>
  <si>
    <t xml:space="preserve">Approved</t>
  </si>
  <si>
    <t xml:space="preserve">2023-11-10</t>
  </si>
  <si>
    <t xml:space="preserve">TU-2023-0005</t>
  </si>
  <si>
    <t xml:space="preserve">Esther Wanjiku</t>
  </si>
  <si>
    <t xml:space="preserve">2003-09-30</t>
  </si>
  <si>
    <t xml:space="preserve">e.wanjiku@templumis.ac</t>
  </si>
  <si>
    <t xml:space="preserve">+254712345005</t>
  </si>
  <si>
    <t xml:space="preserve">Mathematics</t>
  </si>
  <si>
    <t xml:space="preserve">School of Science</t>
  </si>
  <si>
    <t xml:space="preserve">Year 1</t>
  </si>
  <si>
    <t xml:space="preserve">Probation</t>
  </si>
  <si>
    <t xml:space="preserve">2023-09-04</t>
  </si>
  <si>
    <t xml:space="preserve">2027-06-30</t>
  </si>
  <si>
    <t xml:space="preserve">⚠ Academic Review — Probation</t>
  </si>
  <si>
    <t xml:space="preserve">Sem 2</t>
  </si>
  <si>
    <t xml:space="preserve">Partial</t>
  </si>
  <si>
    <t xml:space="preserve">2023-12-01</t>
  </si>
  <si>
    <t xml:space="preserve">Blocked</t>
  </si>
  <si>
    <t xml:space="preserve">TU-2021-0006</t>
  </si>
  <si>
    <t xml:space="preserve">Felix Otieno</t>
  </si>
  <si>
    <t xml:space="preserve">2001-01-14</t>
  </si>
  <si>
    <t xml:space="preserve">f.otieno@templumis.ac</t>
  </si>
  <si>
    <t xml:space="preserve">+254712345006</t>
  </si>
  <si>
    <t xml:space="preserve">BEd</t>
  </si>
  <si>
    <t xml:space="preserve">Education</t>
  </si>
  <si>
    <t xml:space="preserve">School of Education</t>
  </si>
  <si>
    <t xml:space="preserve">TU-2022-0007</t>
  </si>
  <si>
    <t xml:space="preserve">Grace Auma</t>
  </si>
  <si>
    <t xml:space="preserve">2002-06-08</t>
  </si>
  <si>
    <t xml:space="preserve">g.auma@templumis.ac</t>
  </si>
  <si>
    <t xml:space="preserve">+254712345007</t>
  </si>
  <si>
    <t xml:space="preserve">Biochemistry</t>
  </si>
  <si>
    <t xml:space="preserve">2022-09-06</t>
  </si>
  <si>
    <t xml:space="preserve">TU-2020-0008</t>
  </si>
  <si>
    <t xml:space="preserve">Hassan Abdi</t>
  </si>
  <si>
    <t xml:space="preserve">2000-12-20</t>
  </si>
  <si>
    <t xml:space="preserve">h.abdi@templumis.ac</t>
  </si>
  <si>
    <t xml:space="preserve">+252712345008</t>
  </si>
  <si>
    <t xml:space="preserve">LLB</t>
  </si>
  <si>
    <t xml:space="preserve">Law</t>
  </si>
  <si>
    <t xml:space="preserve">School of Law</t>
  </si>
  <si>
    <t xml:space="preserve">Somali</t>
  </si>
  <si>
    <t xml:space="preserve">TU-2021-0009</t>
  </si>
  <si>
    <t xml:space="preserve">Ivy Njeri</t>
  </si>
  <si>
    <t xml:space="preserve">2001-08-03</t>
  </si>
  <si>
    <t xml:space="preserve">i.njeri@templumis.ac</t>
  </si>
  <si>
    <t xml:space="preserve">+254712345009</t>
  </si>
  <si>
    <t xml:space="preserve">BComm</t>
  </si>
  <si>
    <t xml:space="preserve">Accounting</t>
  </si>
  <si>
    <t xml:space="preserve">On Leave</t>
  </si>
  <si>
    <t xml:space="preserve">⏸ Deferred — On Leave</t>
  </si>
  <si>
    <t xml:space="preserve">Deferred</t>
  </si>
  <si>
    <t xml:space="preserve">TU-2023-0010</t>
  </si>
  <si>
    <t xml:space="preserve">James Kibaki</t>
  </si>
  <si>
    <t xml:space="preserve">2003-02-25</t>
  </si>
  <si>
    <t xml:space="preserve">j.kibaki@templumis.ac</t>
  </si>
  <si>
    <t xml:space="preserve">+254712345010</t>
  </si>
  <si>
    <t xml:space="preserve">Information Technology</t>
  </si>
  <si>
    <t xml:space="preserve">1. Enrolled &amp; Orientated</t>
  </si>
  <si>
    <t xml:space="preserve">TU-2022-0011</t>
  </si>
  <si>
    <t xml:space="preserve">Kezia Moraa</t>
  </si>
  <si>
    <t xml:space="preserve">2002-10-11</t>
  </si>
  <si>
    <t xml:space="preserve">k.moraa@templumis.ac</t>
  </si>
  <si>
    <t xml:space="preserve">+254712345011</t>
  </si>
  <si>
    <t xml:space="preserve">Environmental Science</t>
  </si>
  <si>
    <t xml:space="preserve">TU-2019-0012</t>
  </si>
  <si>
    <t xml:space="preserve">Liam Okonkwo</t>
  </si>
  <si>
    <t xml:space="preserve">1999-05-17</t>
  </si>
  <si>
    <t xml:space="preserve">l.okonkwo@templumis.ac</t>
  </si>
  <si>
    <t xml:space="preserve">+234712345012</t>
  </si>
  <si>
    <t xml:space="preserve">Electrical Engineering</t>
  </si>
  <si>
    <t xml:space="preserve">Nigerian</t>
  </si>
  <si>
    <t xml:space="preserve">TU-2021-0013</t>
  </si>
  <si>
    <t xml:space="preserve">Mary Adhiambo</t>
  </si>
  <si>
    <t xml:space="preserve">2001-07-29</t>
  </si>
  <si>
    <t xml:space="preserve">m.adhiambo@templumis.ac</t>
  </si>
  <si>
    <t xml:space="preserve">+254712345013</t>
  </si>
  <si>
    <t xml:space="preserve">Sociology</t>
  </si>
  <si>
    <t xml:space="preserve">School of Social Sciences</t>
  </si>
  <si>
    <t xml:space="preserve">TU-2020-0014</t>
  </si>
  <si>
    <t xml:space="preserve">Noel Kiprotich</t>
  </si>
  <si>
    <t xml:space="preserve">2000-03-06</t>
  </si>
  <si>
    <t xml:space="preserve">n.kiprotich@templumis.ac</t>
  </si>
  <si>
    <t xml:space="preserve">+254712345014</t>
  </si>
  <si>
    <t xml:space="preserve">BPharm</t>
  </si>
  <si>
    <t xml:space="preserve">Pharmacy</t>
  </si>
  <si>
    <t xml:space="preserve">Suspended</t>
  </si>
  <si>
    <t xml:space="preserve">⚠ Academic Hold — Suspended</t>
  </si>
  <si>
    <t xml:space="preserve">Overdue</t>
  </si>
  <si>
    <t xml:space="preserve">TU-2023-0015</t>
  </si>
  <si>
    <t xml:space="preserve">Olivia Achieng</t>
  </si>
  <si>
    <t xml:space="preserve">2003-11-15</t>
  </si>
  <si>
    <t xml:space="preserve">o.achieng@templumis.ac</t>
  </si>
  <si>
    <t xml:space="preserve">+254712345015</t>
  </si>
  <si>
    <t xml:space="preserve">Communication</t>
  </si>
  <si>
    <t xml:space="preserve">School of Arts</t>
  </si>
  <si>
    <t xml:space="preserve">TU-2022-0016</t>
  </si>
  <si>
    <t xml:space="preserve">Patrick Owino</t>
  </si>
  <si>
    <t xml:space="preserve">2002-04-02</t>
  </si>
  <si>
    <t xml:space="preserve">p.owino@templumis.ac</t>
  </si>
  <si>
    <t xml:space="preserve">+254712345016</t>
  </si>
  <si>
    <t xml:space="preserve">Statistics</t>
  </si>
  <si>
    <t xml:space="preserve">TU-2021-0017</t>
  </si>
  <si>
    <t xml:space="preserve">Queenie Mugo</t>
  </si>
  <si>
    <t xml:space="preserve">2001-09-19</t>
  </si>
  <si>
    <t xml:space="preserve">q.mugo@templumis.ac</t>
  </si>
  <si>
    <t xml:space="preserve">+254712345017</t>
  </si>
  <si>
    <t xml:space="preserve">TU-2020-0018</t>
  </si>
  <si>
    <t xml:space="preserve">Robert Dlamini</t>
  </si>
  <si>
    <t xml:space="preserve">2000-06-23</t>
  </si>
  <si>
    <t xml:space="preserve">r.dlamini@templumis.ac</t>
  </si>
  <si>
    <t xml:space="preserve">+268712345018</t>
  </si>
  <si>
    <t xml:space="preserve">Science Education</t>
  </si>
  <si>
    <t xml:space="preserve">Swazi</t>
  </si>
  <si>
    <t xml:space="preserve">TU-2023-0019</t>
  </si>
  <si>
    <t xml:space="preserve">Sandra Chebet</t>
  </si>
  <si>
    <t xml:space="preserve">2003-01-08</t>
  </si>
  <si>
    <t xml:space="preserve">s.chebet@templumis.ac</t>
  </si>
  <si>
    <t xml:space="preserve">+254712345019</t>
  </si>
  <si>
    <t xml:space="preserve">Nutrition</t>
  </si>
  <si>
    <t xml:space="preserve">TU-2022-0020</t>
  </si>
  <si>
    <t xml:space="preserve">Tunde Adeyemi</t>
  </si>
  <si>
    <t xml:space="preserve">2002-08-14</t>
  </si>
  <si>
    <t xml:space="preserve">t.adeyemi@templumis.ac</t>
  </si>
  <si>
    <t xml:space="preserve">+234712345020</t>
  </si>
  <si>
    <t xml:space="preserve">TU-2021-0021</t>
  </si>
  <si>
    <t xml:space="preserve">Uchenna Eze</t>
  </si>
  <si>
    <t xml:space="preserve">2001-12-01</t>
  </si>
  <si>
    <t xml:space="preserve">u.eze@templumis.ac</t>
  </si>
  <si>
    <t xml:space="preserve">+234712345021</t>
  </si>
  <si>
    <t xml:space="preserve">Political Science</t>
  </si>
  <si>
    <t xml:space="preserve">TU-2019-0022</t>
  </si>
  <si>
    <t xml:space="preserve">Vivian Kamau</t>
  </si>
  <si>
    <t xml:space="preserve">1999-07-27</t>
  </si>
  <si>
    <t xml:space="preserve">v.kamau@templumis.ac</t>
  </si>
  <si>
    <t xml:space="preserve">+254712345022</t>
  </si>
  <si>
    <t xml:space="preserve">TU-2023-0023</t>
  </si>
  <si>
    <t xml:space="preserve">William Barasa</t>
  </si>
  <si>
    <t xml:space="preserve">2003-05-10</t>
  </si>
  <si>
    <t xml:space="preserve">w.barasa@templumis.ac</t>
  </si>
  <si>
    <t xml:space="preserve">+254712345023</t>
  </si>
  <si>
    <t xml:space="preserve">Finance</t>
  </si>
  <si>
    <t xml:space="preserve">TU-2022-0024</t>
  </si>
  <si>
    <t xml:space="preserve">Xena Mutua</t>
  </si>
  <si>
    <t xml:space="preserve">2002-02-18</t>
  </si>
  <si>
    <t xml:space="preserve">x.mutua@templumis.ac</t>
  </si>
  <si>
    <t xml:space="preserve">+254712345024</t>
  </si>
  <si>
    <t xml:space="preserve">TU-2023-0025</t>
  </si>
  <si>
    <t xml:space="preserve">Stephen Gaita Gaikia</t>
  </si>
  <si>
    <t xml:space="preserve">2003-06-17</t>
  </si>
  <si>
    <t xml:space="preserve">s.gaikia@templumis.ac</t>
  </si>
  <si>
    <t xml:space="preserve">+254712345025</t>
  </si>
  <si>
    <t xml:space="preserve">TU-PG-2022-0026</t>
  </si>
  <si>
    <t xml:space="preserve">Amara Diallo</t>
  </si>
  <si>
    <t xml:space="preserve">1996-03-15</t>
  </si>
  <si>
    <t xml:space="preserve">a.diallo@templumis.ac</t>
  </si>
  <si>
    <t xml:space="preserve">+221712345026</t>
  </si>
  <si>
    <t xml:space="preserve">MSc</t>
  </si>
  <si>
    <t xml:space="preserve">Data Science</t>
  </si>
  <si>
    <t xml:space="preserve">Senegalese</t>
  </si>
  <si>
    <t xml:space="preserve">Postgraduate</t>
  </si>
  <si>
    <t xml:space="preserve">MSc (Coursework)</t>
  </si>
  <si>
    <t xml:space="preserve">3. PG Final Semester — Pre-Graduation</t>
  </si>
  <si>
    <t xml:space="preserve">TU-PG-2023-0027</t>
  </si>
  <si>
    <t xml:space="preserve">Benjamin Kamto</t>
  </si>
  <si>
    <t xml:space="preserve">1994-07-22</t>
  </si>
  <si>
    <t xml:space="preserve">b.kamto@templumis.ac</t>
  </si>
  <si>
    <t xml:space="preserve">+237712345027</t>
  </si>
  <si>
    <t xml:space="preserve">MBA</t>
  </si>
  <si>
    <t xml:space="preserve">Business Administration</t>
  </si>
  <si>
    <t xml:space="preserve">Cameroonian</t>
  </si>
  <si>
    <t xml:space="preserve">MBA (Coursework)</t>
  </si>
  <si>
    <t xml:space="preserve">1. PG Enrolled — Coursework Phase</t>
  </si>
  <si>
    <t xml:space="preserve">TU-PG-2022-0028</t>
  </si>
  <si>
    <t xml:space="preserve">Celestine Awino</t>
  </si>
  <si>
    <t xml:space="preserve">1995-11-05</t>
  </si>
  <si>
    <t xml:space="preserve">c.awino@templumis.ac</t>
  </si>
  <si>
    <t xml:space="preserve">+254712345028</t>
  </si>
  <si>
    <t xml:space="preserve">MA</t>
  </si>
  <si>
    <t xml:space="preserve">MA (Coursework)</t>
  </si>
  <si>
    <t xml:space="preserve">4. Graduated ✓</t>
  </si>
  <si>
    <t xml:space="preserve">2023-11-01</t>
  </si>
  <si>
    <t xml:space="preserve">TU-PG-2023-0029</t>
  </si>
  <si>
    <t xml:space="preserve">Derrick Ssempa</t>
  </si>
  <si>
    <t xml:space="preserve">1997-04-18</t>
  </si>
  <si>
    <t xml:space="preserve">d.ssempa@templumis.ac</t>
  </si>
  <si>
    <t xml:space="preserve">+256712345029</t>
  </si>
  <si>
    <t xml:space="preserve">TU-PG-2022-0030</t>
  </si>
  <si>
    <t xml:space="preserve">Faith Onyango</t>
  </si>
  <si>
    <t xml:space="preserve">1996-09-30</t>
  </si>
  <si>
    <t xml:space="preserve">f.onyango@templumis.ac</t>
  </si>
  <si>
    <t xml:space="preserve">+254712345030</t>
  </si>
  <si>
    <t xml:space="preserve">TU-PG-2023-0031</t>
  </si>
  <si>
    <t xml:space="preserve">George Nkosi</t>
  </si>
  <si>
    <t xml:space="preserve">1993-02-14</t>
  </si>
  <si>
    <t xml:space="preserve">g.nkosi@templumis.ac</t>
  </si>
  <si>
    <t xml:space="preserve">+27712345031</t>
  </si>
  <si>
    <t xml:space="preserve">Strategic Management</t>
  </si>
  <si>
    <t xml:space="preserve">South African</t>
  </si>
  <si>
    <t xml:space="preserve">TU-PG-2021-0032</t>
  </si>
  <si>
    <t xml:space="preserve">Helen Mutuku</t>
  </si>
  <si>
    <t xml:space="preserve">1995-07-03</t>
  </si>
  <si>
    <t xml:space="preserve">h.mutuku@templumis.ac</t>
  </si>
  <si>
    <t xml:space="preserve">+254712345032</t>
  </si>
  <si>
    <t xml:space="preserve">MSc by Research</t>
  </si>
  <si>
    <t xml:space="preserve">2021-09-06</t>
  </si>
  <si>
    <t xml:space="preserve">4. Thesis Writing Phase</t>
  </si>
  <si>
    <t xml:space="preserve">Research Year 3</t>
  </si>
  <si>
    <t xml:space="preserve">Novel Enzyme Inhibitors in Malaria Parasite Metabolism</t>
  </si>
  <si>
    <t xml:space="preserve">Writing</t>
  </si>
  <si>
    <t xml:space="preserve">TU-PG-2022-0033</t>
  </si>
  <si>
    <t xml:space="preserve">Ibrahim Hassan</t>
  </si>
  <si>
    <t xml:space="preserve">1996-12-20</t>
  </si>
  <si>
    <t xml:space="preserve">i.hassan@templumis.ac</t>
  </si>
  <si>
    <t xml:space="preserve">+251712345033</t>
  </si>
  <si>
    <t xml:space="preserve">Ethiopian</t>
  </si>
  <si>
    <t xml:space="preserve">3. Data Collection &amp; Analysis Phase</t>
  </si>
  <si>
    <t xml:space="preserve">Research Year 2</t>
  </si>
  <si>
    <t xml:space="preserve">AI-Based Crop Disease Detection Using UAV Imagery</t>
  </si>
  <si>
    <t xml:space="preserve">Data Collection</t>
  </si>
  <si>
    <t xml:space="preserve">TU-PG-2021-0034</t>
  </si>
  <si>
    <t xml:space="preserve">Janet Akinyi</t>
  </si>
  <si>
    <t xml:space="preserve">1994-08-11</t>
  </si>
  <si>
    <t xml:space="preserve">j.akinyi@templumis.ac</t>
  </si>
  <si>
    <t xml:space="preserve">+254712345034</t>
  </si>
  <si>
    <t xml:space="preserve">MA by Research</t>
  </si>
  <si>
    <t xml:space="preserve">Digital Pedagogy &amp; Learning Outcomes in Kenyan Secondary Schools</t>
  </si>
  <si>
    <t xml:space="preserve">TU-PG-2022-0035</t>
  </si>
  <si>
    <t xml:space="preserve">Kenneth Osei</t>
  </si>
  <si>
    <t xml:space="preserve">1995-05-17</t>
  </si>
  <si>
    <t xml:space="preserve">k.osei@templumis.ac</t>
  </si>
  <si>
    <t xml:space="preserve">+233712345035</t>
  </si>
  <si>
    <t xml:space="preserve">Mechanical Engineering</t>
  </si>
  <si>
    <t xml:space="preserve">⏸ Deferred — On Leave (Research)</t>
  </si>
  <si>
    <t xml:space="preserve">Low-Cost Solar Desalination for Rural East Africa</t>
  </si>
  <si>
    <t xml:space="preserve">Proposal Approved</t>
  </si>
  <si>
    <t xml:space="preserve">TU-PG-2020-0036</t>
  </si>
  <si>
    <t xml:space="preserve">Lydia Cheptoo</t>
  </si>
  <si>
    <t xml:space="preserve">1993-06-23</t>
  </si>
  <si>
    <t xml:space="preserve">l.cheptoo@templumis.ac</t>
  </si>
  <si>
    <t xml:space="preserve">+254712345036</t>
  </si>
  <si>
    <t xml:space="preserve">Public Health</t>
  </si>
  <si>
    <t xml:space="preserve">6. Graduated ✓ (Research)</t>
  </si>
  <si>
    <t xml:space="preserve">Community-Based Interventions for Maternal Health in Western Kenya</t>
  </si>
  <si>
    <t xml:space="preserve">Defended &amp; Approved</t>
  </si>
  <si>
    <t xml:space="preserve">TU-PG-2023-0037</t>
  </si>
  <si>
    <t xml:space="preserve">Moses Waweru</t>
  </si>
  <si>
    <t xml:space="preserve">1997-01-08</t>
  </si>
  <si>
    <t xml:space="preserve">m.waweru@templumis.ac</t>
  </si>
  <si>
    <t xml:space="preserve">+254712345037</t>
  </si>
  <si>
    <t xml:space="preserve">2. Research Proposal Phase</t>
  </si>
  <si>
    <t xml:space="preserve">Research Year 1</t>
  </si>
  <si>
    <t xml:space="preserve">Machine Learning for Swahili NLP Applications</t>
  </si>
  <si>
    <t xml:space="preserve">Proposal Submitted</t>
  </si>
  <si>
    <t xml:space="preserve">course_code</t>
  </si>
  <si>
    <t xml:space="preserve">title</t>
  </si>
  <si>
    <t xml:space="preserve">instructor</t>
  </si>
  <si>
    <t xml:space="preserve">credits</t>
  </si>
  <si>
    <t xml:space="preserve">enrolled_count</t>
  </si>
  <si>
    <t xml:space="preserve">type</t>
  </si>
  <si>
    <t xml:space="preserve">schedule</t>
  </si>
  <si>
    <t xml:space="preserve">room</t>
  </si>
  <si>
    <t xml:space="preserve">CS301</t>
  </si>
  <si>
    <t xml:space="preserve">Data Structures &amp; Algorithms</t>
  </si>
  <si>
    <t xml:space="preserve">Dr. Kamande Njoroge</t>
  </si>
  <si>
    <t xml:space="preserve">Core</t>
  </si>
  <si>
    <t xml:space="preserve">Mon/Wed 8–10am</t>
  </si>
  <si>
    <t xml:space="preserve">LH-201</t>
  </si>
  <si>
    <t xml:space="preserve">CS201</t>
  </si>
  <si>
    <t xml:space="preserve">Object-Oriented Programming</t>
  </si>
  <si>
    <t xml:space="preserve">Tue/Thu 10–12pm</t>
  </si>
  <si>
    <t xml:space="preserve">LH-202</t>
  </si>
  <si>
    <t xml:space="preserve">ECO201</t>
  </si>
  <si>
    <t xml:space="preserve">Microeconomics</t>
  </si>
  <si>
    <t xml:space="preserve">Prof. Wambua Simiyu</t>
  </si>
  <si>
    <t xml:space="preserve">Mon/Wed 2–4pm</t>
  </si>
  <si>
    <t xml:space="preserve">BH-101</t>
  </si>
  <si>
    <t xml:space="preserve">ACC301</t>
  </si>
  <si>
    <t xml:space="preserve">Intermediate Accounting</t>
  </si>
  <si>
    <t xml:space="preserve">Ms. Ruth Kariuki</t>
  </si>
  <si>
    <t xml:space="preserve">Tue/Thu 8–10am</t>
  </si>
  <si>
    <t xml:space="preserve">BH-102</t>
  </si>
  <si>
    <t xml:space="preserve">CE401</t>
  </si>
  <si>
    <t xml:space="preserve">Structural Engineering</t>
  </si>
  <si>
    <t xml:space="preserve">Dr. Oloo Otiende</t>
  </si>
  <si>
    <t xml:space="preserve">Mon 8–12pm</t>
  </si>
  <si>
    <t xml:space="preserve">EH-301</t>
  </si>
  <si>
    <t xml:space="preserve">EE401</t>
  </si>
  <si>
    <t xml:space="preserve">Power Systems</t>
  </si>
  <si>
    <t xml:space="preserve">Prof. James Mwema</t>
  </si>
  <si>
    <t xml:space="preserve">Wed 8–12pm</t>
  </si>
  <si>
    <t xml:space="preserve">EH-302</t>
  </si>
  <si>
    <t xml:space="preserve">LAW301</t>
  </si>
  <si>
    <t xml:space="preserve">Contract Law</t>
  </si>
  <si>
    <t xml:space="preserve">Prof. Adhiambo Orengo</t>
  </si>
  <si>
    <t xml:space="preserve">Tue/Thu 2–4pm</t>
  </si>
  <si>
    <t xml:space="preserve">LW-101</t>
  </si>
  <si>
    <t xml:space="preserve">BCH201</t>
  </si>
  <si>
    <t xml:space="preserve">Biochemistry I</t>
  </si>
  <si>
    <t xml:space="preserve">Dr. Mwangi Kiarie</t>
  </si>
  <si>
    <t xml:space="preserve">Mon/Wed 10–12pm</t>
  </si>
  <si>
    <t xml:space="preserve">SC-201</t>
  </si>
  <si>
    <t xml:space="preserve">NUR301</t>
  </si>
  <si>
    <t xml:space="preserve">Clinical Nursing Practice</t>
  </si>
  <si>
    <t xml:space="preserve">Dr. Atieno Ouma</t>
  </si>
  <si>
    <t xml:space="preserve">Fri 8am–2pm</t>
  </si>
  <si>
    <t xml:space="preserve">HS-401</t>
  </si>
  <si>
    <t xml:space="preserve">EDU201</t>
  </si>
  <si>
    <t xml:space="preserve">Curriculum Development</t>
  </si>
  <si>
    <t xml:space="preserve">Mr. Barasa Wekesa</t>
  </si>
  <si>
    <t xml:space="preserve">Tue/Thu 12–2pm</t>
  </si>
  <si>
    <t xml:space="preserve">ED-101</t>
  </si>
  <si>
    <t xml:space="preserve">SOC201</t>
  </si>
  <si>
    <t xml:space="preserve">Sociological Theory</t>
  </si>
  <si>
    <t xml:space="preserve">Dr. Zawadi Amani</t>
  </si>
  <si>
    <t xml:space="preserve">Mon/Wed 12–2pm</t>
  </si>
  <si>
    <t xml:space="preserve">SS-101</t>
  </si>
  <si>
    <t xml:space="preserve">COM101</t>
  </si>
  <si>
    <t xml:space="preserve">Introduction to Mass Media</t>
  </si>
  <si>
    <t xml:space="preserve">Ms. Abigael Ndungu</t>
  </si>
  <si>
    <t xml:space="preserve">Mon/Wed 4–6pm</t>
  </si>
  <si>
    <t xml:space="preserve">AR-101</t>
  </si>
  <si>
    <t xml:space="preserve">MATH201</t>
  </si>
  <si>
    <t xml:space="preserve">Calculus II</t>
  </si>
  <si>
    <t xml:space="preserve">Prof. Kipkemoi Ruto</t>
  </si>
  <si>
    <t xml:space="preserve">Mon–Thu 7–8am</t>
  </si>
  <si>
    <t xml:space="preserve">SC-101</t>
  </si>
  <si>
    <t xml:space="preserve">STAT201</t>
  </si>
  <si>
    <t xml:space="preserve">Probability &amp; Statistics</t>
  </si>
  <si>
    <t xml:space="preserve">Tue/Thu 4–6pm</t>
  </si>
  <si>
    <t xml:space="preserve">SC-102</t>
  </si>
  <si>
    <t xml:space="preserve">IT201</t>
  </si>
  <si>
    <t xml:space="preserve">Database Management Systems</t>
  </si>
  <si>
    <t xml:space="preserve">Ms. Cynthia Aluoch</t>
  </si>
  <si>
    <t xml:space="preserve">Wed/Fri 10–12pm</t>
  </si>
  <si>
    <t xml:space="preserve">LH-203</t>
  </si>
  <si>
    <t xml:space="preserve">ENV201</t>
  </si>
  <si>
    <t xml:space="preserve">Environmental Ecology</t>
  </si>
  <si>
    <t xml:space="preserve">Dr. Sasha Mutinda</t>
  </si>
  <si>
    <t xml:space="preserve">Elective</t>
  </si>
  <si>
    <t xml:space="preserve">Fri 10am–1pm</t>
  </si>
  <si>
    <t xml:space="preserve">SC-301</t>
  </si>
  <si>
    <t xml:space="preserve">FIN201</t>
  </si>
  <si>
    <t xml:space="preserve">Principles of Finance</t>
  </si>
  <si>
    <t xml:space="preserve">Mr. Odhiambo Yusuf</t>
  </si>
  <si>
    <t xml:space="preserve">BH-103</t>
  </si>
  <si>
    <t xml:space="preserve">PHAR301</t>
  </si>
  <si>
    <t xml:space="preserve">Pharmacology I</t>
  </si>
  <si>
    <t xml:space="preserve">HS-201</t>
  </si>
  <si>
    <t xml:space="preserve">CS101</t>
  </si>
  <si>
    <t xml:space="preserve">Introduction to Programming</t>
  </si>
  <si>
    <t xml:space="preserve">LH-101</t>
  </si>
  <si>
    <t xml:space="preserve">GEN101</t>
  </si>
  <si>
    <t xml:space="preserve">Communication Skills</t>
  </si>
  <si>
    <t xml:space="preserve">Fri 2–4pm</t>
  </si>
  <si>
    <t xml:space="preserve">AR-201</t>
  </si>
  <si>
    <t xml:space="preserve">enrolment_id</t>
  </si>
  <si>
    <t xml:space="preserve">student_name</t>
  </si>
  <si>
    <t xml:space="preserve">course_title</t>
  </si>
  <si>
    <t xml:space="preserve">enrol_date</t>
  </si>
  <si>
    <t xml:space="preserve">midterm_score</t>
  </si>
  <si>
    <t xml:space="preserve">current_grade</t>
  </si>
  <si>
    <t xml:space="preserve">ENR-0001</t>
  </si>
  <si>
    <t xml:space="preserve">2023-09-05</t>
  </si>
  <si>
    <t xml:space="preserve">Enrolled</t>
  </si>
  <si>
    <t xml:space="preserve">ENR-0002</t>
  </si>
  <si>
    <t xml:space="preserve">ENR-0003</t>
  </si>
  <si>
    <t xml:space="preserve">ENR-0004</t>
  </si>
  <si>
    <t xml:space="preserve">ENR-0005</t>
  </si>
  <si>
    <t xml:space="preserve">ENR-0006</t>
  </si>
  <si>
    <t xml:space="preserve">ENR-0007</t>
  </si>
  <si>
    <t xml:space="preserve">ENR-0008</t>
  </si>
  <si>
    <t xml:space="preserve">ENR-0009</t>
  </si>
  <si>
    <t xml:space="preserve">2023-09-07</t>
  </si>
  <si>
    <t xml:space="preserve">ENR-0010</t>
  </si>
  <si>
    <t xml:space="preserve">ENR-0011</t>
  </si>
  <si>
    <t xml:space="preserve">ENR-0012</t>
  </si>
  <si>
    <t xml:space="preserve">ENR-0013</t>
  </si>
  <si>
    <t xml:space="preserve">2023-09-02</t>
  </si>
  <si>
    <t xml:space="preserve">ENR-0014</t>
  </si>
  <si>
    <t xml:space="preserve">ENR-0015</t>
  </si>
  <si>
    <t xml:space="preserve">ENR-0016</t>
  </si>
  <si>
    <t xml:space="preserve">ENR-0017</t>
  </si>
  <si>
    <t xml:space="preserve">ENR-0018</t>
  </si>
  <si>
    <t xml:space="preserve">ENR-0019</t>
  </si>
  <si>
    <t xml:space="preserve">ENR-0020</t>
  </si>
  <si>
    <t xml:space="preserve">ENR-0021</t>
  </si>
  <si>
    <t xml:space="preserve">ENR-0022</t>
  </si>
  <si>
    <t xml:space="preserve">2023-09-06</t>
  </si>
  <si>
    <t xml:space="preserve">ENR-0023</t>
  </si>
  <si>
    <t xml:space="preserve">ENR-0024</t>
  </si>
  <si>
    <t xml:space="preserve">ENR-0025</t>
  </si>
  <si>
    <t xml:space="preserve">ENR-0026</t>
  </si>
  <si>
    <t xml:space="preserve">ENR-0027</t>
  </si>
  <si>
    <t xml:space="preserve">ENR-0028</t>
  </si>
  <si>
    <t xml:space="preserve">ENR-0029</t>
  </si>
  <si>
    <t xml:space="preserve">ENR-0030</t>
  </si>
  <si>
    <t xml:space="preserve">ENR-0031</t>
  </si>
  <si>
    <t xml:space="preserve">ENR-0032</t>
  </si>
  <si>
    <t xml:space="preserve">ENR-0033</t>
  </si>
  <si>
    <t xml:space="preserve">ENR-0034</t>
  </si>
  <si>
    <t xml:space="preserve">ENR-0035</t>
  </si>
  <si>
    <t xml:space="preserve">ENR-0036</t>
  </si>
  <si>
    <t xml:space="preserve">ENR-0037</t>
  </si>
  <si>
    <t xml:space="preserve">ENR-0038</t>
  </si>
  <si>
    <t xml:space="preserve">ENR-0039</t>
  </si>
  <si>
    <t xml:space="preserve">ENR-0040</t>
  </si>
  <si>
    <t xml:space="preserve">ENR-0041</t>
  </si>
  <si>
    <t xml:space="preserve">ENR-0042</t>
  </si>
  <si>
    <t xml:space="preserve">ENR-0043</t>
  </si>
  <si>
    <t xml:space="preserve">ENR-0044</t>
  </si>
  <si>
    <t xml:space="preserve">Dropped</t>
  </si>
  <si>
    <t xml:space="preserve">ENR-0045</t>
  </si>
  <si>
    <t xml:space="preserve">ENR-0046</t>
  </si>
  <si>
    <t xml:space="preserve">ENR-0047</t>
  </si>
  <si>
    <t xml:space="preserve">ENR-0048</t>
  </si>
  <si>
    <t xml:space="preserve">ENR-0049</t>
  </si>
  <si>
    <t xml:space="preserve">ENR-0050</t>
  </si>
  <si>
    <t xml:space="preserve">ENR-0051</t>
  </si>
  <si>
    <t xml:space="preserve">ENR-0052</t>
  </si>
  <si>
    <t xml:space="preserve">ENR-0053</t>
  </si>
  <si>
    <t xml:space="preserve">ENR-0054</t>
  </si>
  <si>
    <t xml:space="preserve">ENR-0055</t>
  </si>
  <si>
    <t xml:space="preserve">ENR-0056</t>
  </si>
  <si>
    <t xml:space="preserve">ENR-0057</t>
  </si>
  <si>
    <t xml:space="preserve">ENR-0058</t>
  </si>
  <si>
    <t xml:space="preserve">ENR-0059</t>
  </si>
  <si>
    <t xml:space="preserve">ENR-0060</t>
  </si>
  <si>
    <t xml:space="preserve">ENR-0061</t>
  </si>
  <si>
    <t xml:space="preserve">ENR-0062</t>
  </si>
  <si>
    <t xml:space="preserve">ENR-0063</t>
  </si>
  <si>
    <t xml:space="preserve">ENR-0064</t>
  </si>
  <si>
    <t xml:space="preserve">ENR-0065</t>
  </si>
  <si>
    <t xml:space="preserve">ENR-0066</t>
  </si>
  <si>
    <t xml:space="preserve">ENR-0067</t>
  </si>
  <si>
    <t xml:space="preserve">ENR-0068</t>
  </si>
  <si>
    <t xml:space="preserve">ENR-0069</t>
  </si>
  <si>
    <t xml:space="preserve">ENR-0070</t>
  </si>
  <si>
    <t xml:space="preserve">ENR-0071</t>
  </si>
  <si>
    <t xml:space="preserve">ENR-0072</t>
  </si>
  <si>
    <t xml:space="preserve">ENR-0073</t>
  </si>
  <si>
    <t xml:space="preserve">ENR-0074</t>
  </si>
  <si>
    <t xml:space="preserve">ENR-0075</t>
  </si>
  <si>
    <t xml:space="preserve">ENR-0076</t>
  </si>
  <si>
    <t xml:space="preserve">ENR-0077</t>
  </si>
  <si>
    <t xml:space="preserve">ENR-0078</t>
  </si>
  <si>
    <t xml:space="preserve">ENR-0079</t>
  </si>
  <si>
    <t xml:space="preserve">ENR-0080</t>
  </si>
  <si>
    <t xml:space="preserve">ENR-0081</t>
  </si>
  <si>
    <t xml:space="preserve">grade_id</t>
  </si>
  <si>
    <t xml:space="preserve">assignment_1</t>
  </si>
  <si>
    <t xml:space="preserve">assignment_2</t>
  </si>
  <si>
    <t xml:space="preserve">midterm</t>
  </si>
  <si>
    <t xml:space="preserve">final</t>
  </si>
  <si>
    <t xml:space="preserve">total</t>
  </si>
  <si>
    <t xml:space="preserve">letter_grade</t>
  </si>
  <si>
    <t xml:space="preserve">GRD-0001</t>
  </si>
  <si>
    <t xml:space="preserve">B</t>
  </si>
  <si>
    <t xml:space="preserve">GRD-0002</t>
  </si>
  <si>
    <t xml:space="preserve">GRD-0003</t>
  </si>
  <si>
    <t xml:space="preserve">GRD-0004</t>
  </si>
  <si>
    <t xml:space="preserve">A</t>
  </si>
  <si>
    <t xml:space="preserve">GRD-0005</t>
  </si>
  <si>
    <t xml:space="preserve">GRD-0006</t>
  </si>
  <si>
    <t xml:space="preserve">GRD-0007</t>
  </si>
  <si>
    <t xml:space="preserve">D</t>
  </si>
  <si>
    <t xml:space="preserve">GRD-0008</t>
  </si>
  <si>
    <t xml:space="preserve">GRD-0009</t>
  </si>
  <si>
    <t xml:space="preserve">F</t>
  </si>
  <si>
    <t xml:space="preserve">GRD-0010</t>
  </si>
  <si>
    <t xml:space="preserve">GRD-0011</t>
  </si>
  <si>
    <t xml:space="preserve">GRD-0012</t>
  </si>
  <si>
    <t xml:space="preserve">GRD-0013</t>
  </si>
  <si>
    <t xml:space="preserve">GRD-0014</t>
  </si>
  <si>
    <t xml:space="preserve">GRD-0015</t>
  </si>
  <si>
    <t xml:space="preserve">GRD-0016</t>
  </si>
  <si>
    <t xml:space="preserve">attendance_id</t>
  </si>
  <si>
    <t xml:space="preserve">total_sessions</t>
  </si>
  <si>
    <t xml:space="preserve">present</t>
  </si>
  <si>
    <t xml:space="preserve">absent</t>
  </si>
  <si>
    <t xml:space="preserve">late</t>
  </si>
  <si>
    <t xml:space="preserve">attendance_pct</t>
  </si>
  <si>
    <t xml:space="preserve">risk_level</t>
  </si>
  <si>
    <t xml:space="preserve">ATT-0001</t>
  </si>
  <si>
    <t xml:space="preserve">Good</t>
  </si>
  <si>
    <t xml:space="preserve">ATT-0002</t>
  </si>
  <si>
    <t xml:space="preserve">ATT-0003</t>
  </si>
  <si>
    <t xml:space="preserve">At Risk</t>
  </si>
  <si>
    <t xml:space="preserve">ATT-0004</t>
  </si>
  <si>
    <t xml:space="preserve">ATT-0005</t>
  </si>
  <si>
    <t xml:space="preserve">ATT-0006</t>
  </si>
  <si>
    <t xml:space="preserve">ATT-0007</t>
  </si>
  <si>
    <t xml:space="preserve">Warning</t>
  </si>
  <si>
    <t xml:space="preserve">ATT-0008</t>
  </si>
  <si>
    <t xml:space="preserve">ATT-0009</t>
  </si>
  <si>
    <t xml:space="preserve">ATT-0010</t>
  </si>
  <si>
    <t xml:space="preserve">ATT-0011</t>
  </si>
  <si>
    <t xml:space="preserve">ATT-0012</t>
  </si>
  <si>
    <t xml:space="preserve">ATT-0013</t>
  </si>
  <si>
    <t xml:space="preserve">ATT-0014</t>
  </si>
  <si>
    <t xml:space="preserve">ATT-0015</t>
  </si>
  <si>
    <t xml:space="preserve">ATT-0016</t>
  </si>
  <si>
    <t xml:space="preserve">Templumis University — Student Fee Records</t>
  </si>
  <si>
    <t xml:space="preserve">Academic Year 2023/24 · Semester 1  |  All amounts in KES</t>
  </si>
  <si>
    <t xml:space="preserve">Fee Record ID</t>
  </si>
  <si>
    <t xml:space="preserve">Student ID</t>
  </si>
  <si>
    <t xml:space="preserve">Student Name</t>
  </si>
  <si>
    <t xml:space="preserve">Programme</t>
  </si>
  <si>
    <t xml:space="preserve">Department</t>
  </si>
  <si>
    <t xml:space="preserve">Sem Fee (KES)</t>
  </si>
  <si>
    <t xml:space="preserve">Reg Fee (KES)</t>
  </si>
  <si>
    <t xml:space="preserve">Total Billed (KES)</t>
  </si>
  <si>
    <t xml:space="preserve">Amount Paid (KES)</t>
  </si>
  <si>
    <t xml:space="preserve">Balance (KES)</t>
  </si>
  <si>
    <t xml:space="preserve">Fee Status</t>
  </si>
  <si>
    <t xml:space="preserve">FR-0001</t>
  </si>
  <si>
    <t xml:space="preserve">FR-0002</t>
  </si>
  <si>
    <t xml:space="preserve">FR-0003</t>
  </si>
  <si>
    <t xml:space="preserve">FR-0004</t>
  </si>
  <si>
    <t xml:space="preserve">FR-0005</t>
  </si>
  <si>
    <t xml:space="preserve">FR-0006</t>
  </si>
  <si>
    <t xml:space="preserve">FR-0007</t>
  </si>
  <si>
    <t xml:space="preserve">FR-0008</t>
  </si>
  <si>
    <t xml:space="preserve">FR-0009</t>
  </si>
  <si>
    <t xml:space="preserve">FR-0010</t>
  </si>
  <si>
    <t xml:space="preserve">FR-0011</t>
  </si>
  <si>
    <t xml:space="preserve">FR-0012</t>
  </si>
  <si>
    <t xml:space="preserve">FR-0013</t>
  </si>
  <si>
    <t xml:space="preserve">FR-0014</t>
  </si>
  <si>
    <t xml:space="preserve">FR-0015</t>
  </si>
  <si>
    <t xml:space="preserve">FR-0016</t>
  </si>
  <si>
    <t xml:space="preserve">FR-0017</t>
  </si>
  <si>
    <t xml:space="preserve">FR-0018</t>
  </si>
  <si>
    <t xml:space="preserve">FR-0019</t>
  </si>
  <si>
    <t xml:space="preserve">FR-0020</t>
  </si>
  <si>
    <t xml:space="preserve">FR-0021</t>
  </si>
  <si>
    <t xml:space="preserve">FR-0022</t>
  </si>
  <si>
    <t xml:space="preserve">FR-0023</t>
  </si>
  <si>
    <t xml:space="preserve">FR-0024</t>
  </si>
  <si>
    <t xml:space="preserve">FR-0025</t>
  </si>
  <si>
    <t xml:space="preserve">FR-0026</t>
  </si>
  <si>
    <t xml:space="preserve">FR-0027</t>
  </si>
  <si>
    <t xml:space="preserve">FR-0028</t>
  </si>
  <si>
    <t xml:space="preserve">FR-0029</t>
  </si>
  <si>
    <t xml:space="preserve">FR-0030</t>
  </si>
  <si>
    <t xml:space="preserve">FR-0031</t>
  </si>
  <si>
    <t xml:space="preserve">FR-0032</t>
  </si>
  <si>
    <t xml:space="preserve">FR-0033</t>
  </si>
  <si>
    <t xml:space="preserve">FR-0034</t>
  </si>
  <si>
    <t xml:space="preserve">FR-0035</t>
  </si>
  <si>
    <t xml:space="preserve">FR-0036</t>
  </si>
  <si>
    <t xml:space="preserve">FR-0037</t>
  </si>
  <si>
    <t xml:space="preserve">TOTALS</t>
  </si>
  <si>
    <t xml:space="preserve">Templumis University — Payment Transactions</t>
  </si>
  <si>
    <t xml:space="preserve">Payment ID</t>
  </si>
  <si>
    <t xml:space="preserve">Payment Date</t>
  </si>
  <si>
    <t xml:space="preserve">Payment Method</t>
  </si>
  <si>
    <t xml:space="preserve">Reference No.</t>
  </si>
  <si>
    <t xml:space="preserve">Amount (KES)</t>
  </si>
  <si>
    <t xml:space="preserve">Payment Type</t>
  </si>
  <si>
    <t xml:space="preserve">Processed By</t>
  </si>
  <si>
    <t xml:space="preserve">Receipt No.</t>
  </si>
  <si>
    <t xml:space="preserve">Status</t>
  </si>
  <si>
    <t xml:space="preserve">PAY-0001</t>
  </si>
  <si>
    <t xml:space="preserve">2023-09-08</t>
  </si>
  <si>
    <t xml:space="preserve">M-Pesa</t>
  </si>
  <si>
    <t xml:space="preserve">REF529696</t>
  </si>
  <si>
    <t xml:space="preserve">Tuition &amp; Registration</t>
  </si>
  <si>
    <t xml:space="preserve">Bursar</t>
  </si>
  <si>
    <t xml:space="preserve">RCT-0001</t>
  </si>
  <si>
    <t xml:space="preserve">Confirmed</t>
  </si>
  <si>
    <t xml:space="preserve">PAY-0002</t>
  </si>
  <si>
    <t xml:space="preserve">2023-09-11</t>
  </si>
  <si>
    <t xml:space="preserve">REF184441</t>
  </si>
  <si>
    <t xml:space="preserve">Finance Office</t>
  </si>
  <si>
    <t xml:space="preserve">RCT-0002</t>
  </si>
  <si>
    <t xml:space="preserve">PAY-0003</t>
  </si>
  <si>
    <t xml:space="preserve">Bank Transfer</t>
  </si>
  <si>
    <t xml:space="preserve">REF600208</t>
  </si>
  <si>
    <t xml:space="preserve">RCT-0003</t>
  </si>
  <si>
    <t xml:space="preserve">PAY-0004</t>
  </si>
  <si>
    <t xml:space="preserve">2023-09-13</t>
  </si>
  <si>
    <t xml:space="preserve">REF749605</t>
  </si>
  <si>
    <t xml:space="preserve">RCT-0004</t>
  </si>
  <si>
    <t xml:space="preserve">PAY-0005</t>
  </si>
  <si>
    <t xml:space="preserve">REF404242</t>
  </si>
  <si>
    <t xml:space="preserve">Partial Tuition</t>
  </si>
  <si>
    <t xml:space="preserve">RCT-0005</t>
  </si>
  <si>
    <t xml:space="preserve">PAY-0006</t>
  </si>
  <si>
    <t xml:space="preserve">REF432622</t>
  </si>
  <si>
    <t xml:space="preserve">RCT-0006</t>
  </si>
  <si>
    <t xml:space="preserve">PAY-0007</t>
  </si>
  <si>
    <t xml:space="preserve">REF503029</t>
  </si>
  <si>
    <t xml:space="preserve">RCT-0007</t>
  </si>
  <si>
    <t xml:space="preserve">PAY-0008</t>
  </si>
  <si>
    <t xml:space="preserve">2023-09-14</t>
  </si>
  <si>
    <t xml:space="preserve">REF650659</t>
  </si>
  <si>
    <t xml:space="preserve">RCT-0008</t>
  </si>
  <si>
    <t xml:space="preserve">PAY-0009</t>
  </si>
  <si>
    <t xml:space="preserve">—</t>
  </si>
  <si>
    <t xml:space="preserve">Deferred — Leave of Absence</t>
  </si>
  <si>
    <t xml:space="preserve">Registrar</t>
  </si>
  <si>
    <t xml:space="preserve">RCT-0009</t>
  </si>
  <si>
    <t xml:space="preserve">PAY-0010</t>
  </si>
  <si>
    <t xml:space="preserve">REF890008</t>
  </si>
  <si>
    <t xml:space="preserve">RCT-0010</t>
  </si>
  <si>
    <t xml:space="preserve">PAY-0011</t>
  </si>
  <si>
    <t xml:space="preserve">2023-09-10</t>
  </si>
  <si>
    <t xml:space="preserve">REF723142</t>
  </si>
  <si>
    <t xml:space="preserve">RCT-0011</t>
  </si>
  <si>
    <t xml:space="preserve">PAY-0012</t>
  </si>
  <si>
    <t xml:space="preserve">REF746509</t>
  </si>
  <si>
    <t xml:space="preserve">RCT-0012</t>
  </si>
  <si>
    <t xml:space="preserve">PAY-0013</t>
  </si>
  <si>
    <t xml:space="preserve">REF834564</t>
  </si>
  <si>
    <t xml:space="preserve">RCT-0013</t>
  </si>
  <si>
    <t xml:space="preserve">PAY-0014</t>
  </si>
  <si>
    <t xml:space="preserve">2023-09-21</t>
  </si>
  <si>
    <t xml:space="preserve">REF313688</t>
  </si>
  <si>
    <t xml:space="preserve">RCT-0014</t>
  </si>
  <si>
    <t xml:space="preserve">PAY-0015</t>
  </si>
  <si>
    <t xml:space="preserve">REF357865</t>
  </si>
  <si>
    <t xml:space="preserve">RCT-0015</t>
  </si>
  <si>
    <t xml:space="preserve">PAY-0016</t>
  </si>
  <si>
    <t xml:space="preserve">2023-09-09</t>
  </si>
  <si>
    <t xml:space="preserve">REF121357</t>
  </si>
  <si>
    <t xml:space="preserve">RCT-0016</t>
  </si>
  <si>
    <t xml:space="preserve">PAY-0017</t>
  </si>
  <si>
    <t xml:space="preserve">2023-09-03</t>
  </si>
  <si>
    <t xml:space="preserve">REF635445</t>
  </si>
  <si>
    <t xml:space="preserve">RCT-0017</t>
  </si>
  <si>
    <t xml:space="preserve">PAY-0018</t>
  </si>
  <si>
    <t xml:space="preserve">REF222058</t>
  </si>
  <si>
    <t xml:space="preserve">RCT-0018</t>
  </si>
  <si>
    <t xml:space="preserve">PAY-0019</t>
  </si>
  <si>
    <t xml:space="preserve">REF193437</t>
  </si>
  <si>
    <t xml:space="preserve">RCT-0019</t>
  </si>
  <si>
    <t xml:space="preserve">PAY-0020</t>
  </si>
  <si>
    <t xml:space="preserve">REF354366</t>
  </si>
  <si>
    <t xml:space="preserve">RCT-0020</t>
  </si>
  <si>
    <t xml:space="preserve">PAY-0021</t>
  </si>
  <si>
    <t xml:space="preserve">2023-09-01</t>
  </si>
  <si>
    <t xml:space="preserve">RCT-0021</t>
  </si>
  <si>
    <t xml:space="preserve">PAY-0022</t>
  </si>
  <si>
    <t xml:space="preserve">REF977426</t>
  </si>
  <si>
    <t xml:space="preserve">RCT-0022</t>
  </si>
  <si>
    <t xml:space="preserve">PAY-0023</t>
  </si>
  <si>
    <t xml:space="preserve">REF581637</t>
  </si>
  <si>
    <t xml:space="preserve">RCT-0023</t>
  </si>
  <si>
    <t xml:space="preserve">PAY-0024</t>
  </si>
  <si>
    <t xml:space="preserve">REF340643</t>
  </si>
  <si>
    <t xml:space="preserve">RCT-0024</t>
  </si>
  <si>
    <t xml:space="preserve">PAY-0025</t>
  </si>
  <si>
    <t xml:space="preserve">REF670556</t>
  </si>
  <si>
    <t xml:space="preserve">RCT-0025</t>
  </si>
  <si>
    <t xml:space="preserve">PAY-0026</t>
  </si>
  <si>
    <t xml:space="preserve">REF864661</t>
  </si>
  <si>
    <t xml:space="preserve">RCT-0026</t>
  </si>
  <si>
    <t xml:space="preserve">PAY-0027</t>
  </si>
  <si>
    <t xml:space="preserve">2023-09-12</t>
  </si>
  <si>
    <t xml:space="preserve">REF268175</t>
  </si>
  <si>
    <t xml:space="preserve">RCT-0027</t>
  </si>
  <si>
    <t xml:space="preserve">PAY-0028</t>
  </si>
  <si>
    <t xml:space="preserve">REF438948</t>
  </si>
  <si>
    <t xml:space="preserve">RCT-0028</t>
  </si>
  <si>
    <t xml:space="preserve">PAY-0029</t>
  </si>
  <si>
    <t xml:space="preserve">REF831747</t>
  </si>
  <si>
    <t xml:space="preserve">RCT-0029</t>
  </si>
  <si>
    <t xml:space="preserve">PAY-0030</t>
  </si>
  <si>
    <t xml:space="preserve">REF306824</t>
  </si>
  <si>
    <t xml:space="preserve">RCT-0030</t>
  </si>
  <si>
    <t xml:space="preserve">PAY-0031</t>
  </si>
  <si>
    <t xml:space="preserve">REF216452</t>
  </si>
  <si>
    <t xml:space="preserve">RCT-0031</t>
  </si>
  <si>
    <t xml:space="preserve">PAY-0032</t>
  </si>
  <si>
    <t xml:space="preserve">REF292726</t>
  </si>
  <si>
    <t xml:space="preserve">RCT-0032</t>
  </si>
  <si>
    <t xml:space="preserve">PAY-0033</t>
  </si>
  <si>
    <t xml:space="preserve">REF461197</t>
  </si>
  <si>
    <t xml:space="preserve">RCT-0033</t>
  </si>
  <si>
    <t xml:space="preserve">PAY-0034</t>
  </si>
  <si>
    <t xml:space="preserve">REF525912</t>
  </si>
  <si>
    <t xml:space="preserve">RCT-0034</t>
  </si>
  <si>
    <t xml:space="preserve">PAY-0035</t>
  </si>
  <si>
    <t xml:space="preserve">RCT-0035</t>
  </si>
  <si>
    <t xml:space="preserve">PAY-0036</t>
  </si>
  <si>
    <t xml:space="preserve">REF944370</t>
  </si>
  <si>
    <t xml:space="preserve">RCT-0036</t>
  </si>
  <si>
    <t xml:space="preserve">PAY-0037</t>
  </si>
  <si>
    <t xml:space="preserve">REF361964</t>
  </si>
  <si>
    <t xml:space="preserve">RCT-0037</t>
  </si>
  <si>
    <t xml:space="preserve">TOTAL PAYMENTS RECEIVED</t>
  </si>
  <si>
    <t xml:space="preserve">Templumis University — Scholarship Programmes</t>
  </si>
  <si>
    <t xml:space="preserve">Active &amp; Available Scholarships · Academic Year 2023/24</t>
  </si>
  <si>
    <t xml:space="preserve">Scholarship ID</t>
  </si>
  <si>
    <t xml:space="preserve">Scholarship Name</t>
  </si>
  <si>
    <t xml:space="preserve">Type</t>
  </si>
  <si>
    <t xml:space="preserve">Criteria</t>
  </si>
  <si>
    <t xml:space="preserve">Value (KES)</t>
  </si>
  <si>
    <t xml:space="preserve">Coverage</t>
  </si>
  <si>
    <t xml:space="preserve">Slots Available</t>
  </si>
  <si>
    <t xml:space="preserve">Slots Filled</t>
  </si>
  <si>
    <t xml:space="preserve">SCH-001</t>
  </si>
  <si>
    <t xml:space="preserve">Vice Chancellor's Merit Award</t>
  </si>
  <si>
    <t xml:space="preserve">Merit</t>
  </si>
  <si>
    <t xml:space="preserve">Top 5% GPA; minimum GPA 3.80</t>
  </si>
  <si>
    <t xml:space="preserve">Full Tuition</t>
  </si>
  <si>
    <t xml:space="preserve">SCH-002</t>
  </si>
  <si>
    <t xml:space="preserve">Dean's Excellence Bursary</t>
  </si>
  <si>
    <t xml:space="preserve">GPA 3.50–3.79; Good Standing</t>
  </si>
  <si>
    <t xml:space="preserve">50% Tuition</t>
  </si>
  <si>
    <t xml:space="preserve">SCH-003</t>
  </si>
  <si>
    <t xml:space="preserve">STEM Advancement Fund</t>
  </si>
  <si>
    <t xml:space="preserve">Merit + Need</t>
  </si>
  <si>
    <t xml:space="preserve">BSc/MSc programmes; GPA ≥ 3.20</t>
  </si>
  <si>
    <t xml:space="preserve">40% Tuition</t>
  </si>
  <si>
    <t xml:space="preserve">SCH-004</t>
  </si>
  <si>
    <t xml:space="preserve">Pan-African Diversity Grant</t>
  </si>
  <si>
    <t xml:space="preserve">Diversity</t>
  </si>
  <si>
    <t xml:space="preserve">Non-Kenyan international students</t>
  </si>
  <si>
    <t xml:space="preserve">SCH-005</t>
  </si>
  <si>
    <t xml:space="preserve">Women in Science Scholarship</t>
  </si>
  <si>
    <t xml:space="preserve">Equity</t>
  </si>
  <si>
    <t xml:space="preserve">Female students in Science/Engineering</t>
  </si>
  <si>
    <t xml:space="preserve">SCH-006</t>
  </si>
  <si>
    <t xml:space="preserve">Bursary for Needy Students</t>
  </si>
  <si>
    <t xml:space="preserve">Need-Based</t>
  </si>
  <si>
    <t xml:space="preserve">Demonstrated financial hardship; GPA ≥ 2.50</t>
  </si>
  <si>
    <t xml:space="preserve">SCH-007</t>
  </si>
  <si>
    <t xml:space="preserve">Postgraduate Research Fellowship</t>
  </si>
  <si>
    <t xml:space="preserve">Research</t>
  </si>
  <si>
    <t xml:space="preserve">MSc/MA by Research students; supervisor endorsement</t>
  </si>
  <si>
    <t xml:space="preserve">Full Tuition + Stipend</t>
  </si>
  <si>
    <t xml:space="preserve">SCH-008</t>
  </si>
  <si>
    <t xml:space="preserve">Community Leaders Award</t>
  </si>
  <si>
    <t xml:space="preserve">Leadership</t>
  </si>
  <si>
    <t xml:space="preserve">Community engagement evidence; essay required</t>
  </si>
  <si>
    <t xml:space="preserve">Flat Grant</t>
  </si>
  <si>
    <t xml:space="preserve">SCH-009</t>
  </si>
  <si>
    <t xml:space="preserve">Health Sciences Sponsorship</t>
  </si>
  <si>
    <t xml:space="preserve">Sectoral</t>
  </si>
  <si>
    <t xml:space="preserve">BSc Nursing / BPharm / BSc Nutrition students</t>
  </si>
  <si>
    <t xml:space="preserve">SCH-010</t>
  </si>
  <si>
    <t xml:space="preserve">Law &amp; Justice Fund</t>
  </si>
  <si>
    <t xml:space="preserve">LLB students; moot court participation</t>
  </si>
  <si>
    <t xml:space="preserve">Templumis University — Scholarship Applications</t>
  </si>
  <si>
    <t xml:space="preserve">Academic Year 2023/24 · Semester 1  |  All submitted applications</t>
  </si>
  <si>
    <t xml:space="preserve">Application ID</t>
  </si>
  <si>
    <t xml:space="preserve">GPA</t>
  </si>
  <si>
    <t xml:space="preserve">Applied Date</t>
  </si>
  <si>
    <t xml:space="preserve">Award Amount (KES)</t>
  </si>
  <si>
    <t xml:space="preserve">Reviewed By</t>
  </si>
  <si>
    <t xml:space="preserve">Decision Date</t>
  </si>
  <si>
    <t xml:space="preserve">Notes</t>
  </si>
  <si>
    <t xml:space="preserve">APP-0001</t>
  </si>
  <si>
    <t xml:space="preserve">2023-08-04</t>
  </si>
  <si>
    <t xml:space="preserve">Awarded</t>
  </si>
  <si>
    <t xml:space="preserve">Dr. M. Kamande</t>
  </si>
  <si>
    <t xml:space="preserve">2023-09-18</t>
  </si>
  <si>
    <t xml:space="preserve">Highest GPA in cohort; full award granted</t>
  </si>
  <si>
    <t xml:space="preserve">APP-0002</t>
  </si>
  <si>
    <t xml:space="preserve">2023-08-30</t>
  </si>
  <si>
    <t xml:space="preserve">Fin. Office</t>
  </si>
  <si>
    <t xml:space="preserve">2023-09-29</t>
  </si>
  <si>
    <t xml:space="preserve">GPA meets criteria; good standing confirmed</t>
  </si>
  <si>
    <t xml:space="preserve">APP-0003</t>
  </si>
  <si>
    <t xml:space="preserve">2023-08-11</t>
  </si>
  <si>
    <t xml:space="preserve">Scholarship Cttee</t>
  </si>
  <si>
    <t xml:space="preserve">2023-09-26</t>
  </si>
  <si>
    <t xml:space="preserve">GPA within range; Good Standing</t>
  </si>
  <si>
    <t xml:space="preserve">APP-0004</t>
  </si>
  <si>
    <t xml:space="preserve">2023-10-09</t>
  </si>
  <si>
    <t xml:space="preserve">Graduated; historical award 2022/23</t>
  </si>
  <si>
    <t xml:space="preserve">APP-0005</t>
  </si>
  <si>
    <t xml:space="preserve">Under Review</t>
  </si>
  <si>
    <t xml:space="preserve">Pending</t>
  </si>
  <si>
    <t xml:space="preserve">GPA qualifies; panel review pending</t>
  </si>
  <si>
    <t xml:space="preserve">APP-0006</t>
  </si>
  <si>
    <t xml:space="preserve">2023-08-05</t>
  </si>
  <si>
    <t xml:space="preserve">2023-10-13</t>
  </si>
  <si>
    <t xml:space="preserve">Supervisor-endorsed; novel malaria research</t>
  </si>
  <si>
    <t xml:space="preserve">APP-0007</t>
  </si>
  <si>
    <t xml:space="preserve">Graduated; awarded 2022/23</t>
  </si>
  <si>
    <t xml:space="preserve">APP-0008</t>
  </si>
  <si>
    <t xml:space="preserve">AI/UAV crop research — supervisor endorsed</t>
  </si>
  <si>
    <t xml:space="preserve">APP-0009</t>
  </si>
  <si>
    <t xml:space="preserve">2023-09-20</t>
  </si>
  <si>
    <t xml:space="preserve">Senegalese national; international criteria met</t>
  </si>
  <si>
    <t xml:space="preserve">APP-0010</t>
  </si>
  <si>
    <t xml:space="preserve">2023-10-16</t>
  </si>
  <si>
    <t xml:space="preserve">Cameroonian national; criteria met</t>
  </si>
  <si>
    <t xml:space="preserve">APP-0011</t>
  </si>
  <si>
    <t xml:space="preserve">2023-08-07</t>
  </si>
  <si>
    <t xml:space="preserve">2023-09-19</t>
  </si>
  <si>
    <t xml:space="preserve">South African national; criteria met</t>
  </si>
  <si>
    <t xml:space="preserve">APP-0012</t>
  </si>
  <si>
    <t xml:space="preserve">Rejected</t>
  </si>
  <si>
    <t xml:space="preserve">GPA 2.81 on probation; eligibility suspended</t>
  </si>
  <si>
    <t xml:space="preserve">APP-0013</t>
  </si>
  <si>
    <t xml:space="preserve">2023-08-06</t>
  </si>
  <si>
    <t xml:space="preserve">Financial hardship evidenced; GPA borderline at 2.45</t>
  </si>
  <si>
    <t xml:space="preserve">APP-0014</t>
  </si>
  <si>
    <t xml:space="preserve">2023-08-21</t>
  </si>
  <si>
    <t xml:space="preserve">Prof. W. Simiyu</t>
  </si>
  <si>
    <t xml:space="preserve">2023-10-08</t>
  </si>
  <si>
    <t xml:space="preserve">GPA 2.20 below minimum threshold of 2.50</t>
  </si>
  <si>
    <t xml:space="preserve">APP-0015</t>
  </si>
  <si>
    <t xml:space="preserve">2023-08-15</t>
  </si>
  <si>
    <t xml:space="preserve">APP-0016</t>
  </si>
  <si>
    <t xml:space="preserve">2023-08-13</t>
  </si>
  <si>
    <t xml:space="preserve">2023-09-17</t>
  </si>
  <si>
    <t xml:space="preserve">BSc Nutrition; criteria met</t>
  </si>
  <si>
    <t xml:space="preserve">APP-0017</t>
  </si>
  <si>
    <t xml:space="preserve">2023-08-12</t>
  </si>
  <si>
    <t xml:space="preserve">2023-10-15</t>
  </si>
  <si>
    <t xml:space="preserve">LLB Year 4; moot court participation confirmed</t>
  </si>
  <si>
    <t xml:space="preserve">APP-0018</t>
  </si>
  <si>
    <t xml:space="preserve">2023-08-26</t>
  </si>
  <si>
    <t xml:space="preserve">LLB Year 2; moot court participation pending</t>
  </si>
  <si>
    <t xml:space="preserve">APP-0019</t>
  </si>
  <si>
    <t xml:space="preserve">2023-09-22</t>
  </si>
  <si>
    <t xml:space="preserve">Female BSc Science; dual award with Dean's Bursary</t>
  </si>
  <si>
    <t xml:space="preserve">APP-0020</t>
  </si>
  <si>
    <t xml:space="preserve">2023-10-03</t>
  </si>
  <si>
    <t xml:space="preserve">Graduated; historical award</t>
  </si>
  <si>
    <t xml:space="preserve">APP-0021</t>
  </si>
  <si>
    <t xml:space="preserve">Female BSc Engineering; under panel consideration</t>
  </si>
  <si>
    <t xml:space="preserve">APP-0022</t>
  </si>
  <si>
    <t xml:space="preserve">BSc Computing; GPA 3.65 qualifies</t>
  </si>
  <si>
    <t xml:space="preserve">APP-0023</t>
  </si>
  <si>
    <t xml:space="preserve">2023-08-27</t>
  </si>
  <si>
    <t xml:space="preserve">BSc Computing; GPA 3.42 qualifies</t>
  </si>
  <si>
    <t xml:space="preserve">APP-0024</t>
  </si>
  <si>
    <t xml:space="preserve">BSc IT Year 1; GPA 3.40 borderline</t>
  </si>
  <si>
    <t xml:space="preserve">APP-0025</t>
  </si>
  <si>
    <t xml:space="preserve">2023-09-15</t>
  </si>
  <si>
    <t xml:space="preserve">Dr. A. Ouma</t>
  </si>
  <si>
    <t xml:space="preserve">2023-10-07</t>
  </si>
  <si>
    <t xml:space="preserve">Community outreach documented; essay strong</t>
  </si>
  <si>
    <t xml:space="preserve">APP-0026</t>
  </si>
  <si>
    <t xml:space="preserve">2023-08-25</t>
  </si>
  <si>
    <t xml:space="preserve">BEd student; community teaching programme</t>
  </si>
  <si>
    <t xml:space="preserve">TOTAL AWARDS GRANTED</t>
  </si>
  <si>
    <t xml:space="preserve">Awarded: 17  |  Under Review: 7  |  Rejected: 2</t>
  </si>
  <si>
    <t xml:space="preserve">Templumis University — LMS &amp; SIS Dashboard</t>
  </si>
  <si>
    <t xml:space="preserve">Academic Year 2023/24 · Semester 1</t>
  </si>
  <si>
    <t xml:space="preserve">Students</t>
  </si>
  <si>
    <t xml:space="preserve">Courses &amp; Enrolments</t>
  </si>
  <si>
    <t xml:space="preserve">Total Students</t>
  </si>
  <si>
    <t xml:space="preserve">Total Courses</t>
  </si>
  <si>
    <t xml:space="preserve">Active Courses</t>
  </si>
  <si>
    <t xml:space="preserve">On Probation</t>
  </si>
  <si>
    <t xml:space="preserve">Total Enrolments</t>
  </si>
  <si>
    <t xml:space="preserve">Currently Enrolled</t>
  </si>
  <si>
    <t xml:space="preserve">Average GPA</t>
  </si>
  <si>
    <t xml:space="preserve">Avg Current Grade</t>
  </si>
  <si>
    <t xml:space="preserve">Total Credit Hours</t>
  </si>
  <si>
    <t xml:space="preserve">Grade A Count</t>
  </si>
  <si>
    <t xml:space="preserve">── Postgraduate Summary ──</t>
  </si>
  <si>
    <t xml:space="preserve">Student Lookup</t>
  </si>
  <si>
    <t xml:space="preserve">PG Students</t>
  </si>
  <si>
    <t xml:space="preserve">Enter Student ID →</t>
  </si>
  <si>
    <t xml:space="preserve">MSc Coursework</t>
  </si>
  <si>
    <t xml:space="preserve">Name</t>
  </si>
  <si>
    <t xml:space="preserve">Program</t>
  </si>
  <si>
    <t xml:space="preserve">Avg Attendance %</t>
  </si>
  <si>
    <t xml:space="preserve">A. STUDENT PROFILE</t>
  </si>
  <si>
    <t xml:space="preserve">B. ACADEMIC PROGRESSION</t>
  </si>
  <si>
    <t xml:space="preserve">C. ACADEMIC STANDING</t>
  </si>
  <si>
    <t xml:space="preserve">D. FINANCIAL CLEARANCE</t>
  </si>
  <si>
    <t xml:space="preserve">E. RESEARCH / THESIS</t>
  </si>
  <si>
    <t xml:space="preserve">F. GRADUATION</t>
  </si>
  <si>
    <t xml:space="preserve">Full Name</t>
  </si>
  <si>
    <t xml:space="preserve">Enrolment Date</t>
  </si>
  <si>
    <t xml:space="preserve">Current Year/Sem</t>
  </si>
  <si>
    <t xml:space="preserve">Sem 1 Status</t>
  </si>
  <si>
    <t xml:space="preserve">Sem 2 Status</t>
  </si>
  <si>
    <t xml:space="preserve">Year 2 Progression</t>
  </si>
  <si>
    <t xml:space="preserve">Year 3+ Progression</t>
  </si>
  <si>
    <t xml:space="preserve">Last Review Date</t>
  </si>
  <si>
    <t xml:space="preserve">Fees — Sem 1</t>
  </si>
  <si>
    <t xml:space="preserve">Fees — Sem 2</t>
  </si>
  <si>
    <t xml:space="preserve">Proposal Status</t>
  </si>
  <si>
    <t xml:space="preserve">Data/Coursework Phase</t>
  </si>
  <si>
    <t xml:space="preserve">Thesis Submission</t>
  </si>
  <si>
    <t xml:space="preserve">Thesis Defence</t>
  </si>
  <si>
    <t xml:space="preserve">Clearance Date</t>
  </si>
  <si>
    <t xml:space="preserve">Graduation Date</t>
  </si>
  <si>
    <t xml:space="preserve">Complete</t>
  </si>
  <si>
    <t xml:space="preserve">Sem Year 3</t>
  </si>
  <si>
    <t xml:space="preserve">Sem Year 2</t>
  </si>
  <si>
    <t xml:space="preserve">Sem Year 4</t>
  </si>
  <si>
    <t xml:space="preserve">Sem Year 1</t>
  </si>
  <si>
    <t xml:space="preserve">Submitted</t>
  </si>
  <si>
    <t xml:space="preserve">Passed</t>
  </si>
  <si>
    <t xml:space="preserve">TemplumIS University — Global Ranking Indicators Dashboard</t>
  </si>
  <si>
    <t xml:space="preserve">Academic Year 2023/24 · Semester 1  |  Data sourced from LMS/SIS institutional records</t>
  </si>
  <si>
    <t xml:space="preserve">INSTITUTIONAL SUMMARY</t>
  </si>
  <si>
    <t xml:space="preserve">37</t>
  </si>
  <si>
    <t xml:space="preserve">Avg GPA</t>
  </si>
  <si>
    <t xml:space="preserve">3.32 / 4.0</t>
  </si>
  <si>
    <t xml:space="preserve">International Students</t>
  </si>
  <si>
    <t xml:space="preserve">35.1%</t>
  </si>
  <si>
    <t xml:space="preserve">Female Ratio</t>
  </si>
  <si>
    <t xml:space="preserve">48.6%</t>
  </si>
  <si>
    <t xml:space="preserve">UG Students</t>
  </si>
  <si>
    <t xml:space="preserve">25</t>
  </si>
  <si>
    <t xml:space="preserve">Active Students</t>
  </si>
  <si>
    <t xml:space="preserve">Research Students</t>
  </si>
  <si>
    <t xml:space="preserve">6</t>
  </si>
  <si>
    <t xml:space="preserve">Nationalities</t>
  </si>
  <si>
    <t xml:space="preserve">10</t>
  </si>
  <si>
    <t xml:space="preserve">12</t>
  </si>
  <si>
    <t xml:space="preserve">Graduates</t>
  </si>
  <si>
    <t xml:space="preserve">5</t>
  </si>
  <si>
    <t xml:space="preserve">Student:Faculty Ratio</t>
  </si>
  <si>
    <t xml:space="preserve">2.5 : 1</t>
  </si>
  <si>
    <t xml:space="preserve">Schools / Faculties</t>
  </si>
  <si>
    <t xml:space="preserve">9</t>
  </si>
  <si>
    <t xml:space="preserve">Faculty (Instructors)</t>
  </si>
  <si>
    <t xml:space="preserve">15</t>
  </si>
  <si>
    <t xml:space="preserve">19</t>
  </si>
  <si>
    <t xml:space="preserve">Avg Attendance</t>
  </si>
  <si>
    <t xml:space="preserve">83%</t>
  </si>
  <si>
    <t xml:space="preserve">Avg Grade</t>
  </si>
  <si>
    <t xml:space="preserve">77.6%</t>
  </si>
  <si>
    <t xml:space="preserve">WEBOMETRICS Ranking of World Universities</t>
  </si>
  <si>
    <t xml:space="preserve">Focus: Web presence, openness &amp; academic output</t>
  </si>
  <si>
    <t xml:space="preserve">Indicator</t>
  </si>
  <si>
    <t xml:space="preserve">Weight</t>
  </si>
  <si>
    <t xml:space="preserve">Score Estimate</t>
  </si>
  <si>
    <t xml:space="preserve">Notes / TemplumIS Evidence</t>
  </si>
  <si>
    <t xml:space="preserve">Visibility / Impact (Web links)</t>
  </si>
  <si>
    <t xml:space="preserve">50%</t>
  </si>
  <si>
    <t xml:space="preserve">~20%</t>
  </si>
  <si>
    <t xml:space="preserve">Institutional website not indexed in dataset; no inlink data available</t>
  </si>
  <si>
    <t xml:space="preserve">⚠</t>
  </si>
  <si>
    <t xml:space="preserve">Openness / Transparency (OA repos)</t>
  </si>
  <si>
    <t xml:space="preserve">10%</t>
  </si>
  <si>
    <t xml:space="preserve">~25%</t>
  </si>
  <si>
    <t xml:space="preserve">6 research dissertations in progress; no open access repository evidenced</t>
  </si>
  <si>
    <t xml:space="preserve">Excellence (Google Scholar output)</t>
  </si>
  <si>
    <t xml:space="preserve">~15%</t>
  </si>
  <si>
    <t xml:space="preserve">Research topics active (malaria, AI, NLP) but publications not yet confirmed</t>
  </si>
  <si>
    <t xml:space="preserve">✗</t>
  </si>
  <si>
    <t xml:space="preserve">Presence (indexed web pages)</t>
  </si>
  <si>
    <t xml:space="preserve">5%</t>
  </si>
  <si>
    <t xml:space="preserve">~30%</t>
  </si>
  <si>
    <t xml:space="preserve">Domain @templumis.ac confirmed; web footprint/page count unknown</t>
  </si>
  <si>
    <t xml:space="preserve">OVERALL DATA READINESS</t>
  </si>
  <si>
    <t xml:space="preserve">~22%</t>
  </si>
  <si>
    <t xml:space="preserve">Weighted estimate based on available institutional data</t>
  </si>
  <si>
    <t xml:space="preserve">THE World University Rankings</t>
  </si>
  <si>
    <t xml:space="preserve">Focus: Teaching, research, citations &amp; international outlook</t>
  </si>
  <si>
    <t xml:space="preserve">Teaching — Learning Environment</t>
  </si>
  <si>
    <t xml:space="preserve">29.5%</t>
  </si>
  <si>
    <t xml:space="preserve">~62%</t>
  </si>
  <si>
    <t xml:space="preserve">SFR 2.5:1 (excellent); avg GPA 3.32; 9 schools; 20 active courses; reputation survey data N/A</t>
  </si>
  <si>
    <t xml:space="preserve">✓</t>
  </si>
  <si>
    <t xml:space="preserve">Research — Environment &amp; Productivity</t>
  </si>
  <si>
    <t xml:space="preserve">29%</t>
  </si>
  <si>
    <t xml:space="preserve">~18%</t>
  </si>
  <si>
    <t xml:space="preserve">6 research students; dissertations in health, CS, engineering; research income data unavailable</t>
  </si>
  <si>
    <t xml:space="preserve">Citations — Research Influence (Scopus)</t>
  </si>
  <si>
    <t xml:space="preserve">30%</t>
  </si>
  <si>
    <t xml:space="preserve">~5%</t>
  </si>
  <si>
    <t xml:space="preserve">No citation records in institutional data; requires Scopus indexing</t>
  </si>
  <si>
    <t xml:space="preserve">International Outlook</t>
  </si>
  <si>
    <t xml:space="preserve">7.5%</t>
  </si>
  <si>
    <t xml:space="preserve">~58%</t>
  </si>
  <si>
    <t xml:space="preserve">35.1% international students; 10 nationalities; strong Pan-African diversity</t>
  </si>
  <si>
    <t xml:space="preserve">Industry Income per Academic</t>
  </si>
  <si>
    <t xml:space="preserve">4%</t>
  </si>
  <si>
    <t xml:space="preserve">No industry partnership or income data recorded in dataset</t>
  </si>
  <si>
    <t xml:space="preserve">~26%</t>
  </si>
  <si>
    <t xml:space="preserve">THE Sub-Saharan Africa Rankings (SSA)</t>
  </si>
  <si>
    <t xml:space="preserve">Focus: Regionally adapted THE criteria for African universities</t>
  </si>
  <si>
    <t xml:space="preserve">Teaching &amp; Learning</t>
  </si>
  <si>
    <t xml:space="preserve">25%</t>
  </si>
  <si>
    <t xml:space="preserve">~70%</t>
  </si>
  <si>
    <t xml:space="preserve">SFR 2.5:1; 20 courses; 5 graduates; avg grade 77.6%; strong student support systems</t>
  </si>
  <si>
    <t xml:space="preserve">~35%</t>
  </si>
  <si>
    <t xml:space="preserve">6 active research students (16.2%); applied African topics; no citation data</t>
  </si>
  <si>
    <t xml:space="preserve">Knowledge Transfer to Society</t>
  </si>
  <si>
    <t xml:space="preserve">20%</t>
  </si>
  <si>
    <t xml:space="preserve">~40%</t>
  </si>
  <si>
    <t xml:space="preserve">Dissertations on maternal health, Swahili NLP, solar desalination — locally relevant</t>
  </si>
  <si>
    <t xml:space="preserve">15%</t>
  </si>
  <si>
    <t xml:space="preserve">~65%</t>
  </si>
  <si>
    <t xml:space="preserve">10 nationalities; 35.1% international; Pan-African student mix across 10 countries</t>
  </si>
  <si>
    <t xml:space="preserve">Access &amp; Inclusion</t>
  </si>
  <si>
    <t xml:space="preserve">~68%</t>
  </si>
  <si>
    <t xml:space="preserve">48.6% female; academic support processes (probation, standing review) evidenced</t>
  </si>
  <si>
    <t xml:space="preserve">~50%</t>
  </si>
  <si>
    <t xml:space="preserve">Shanghai ARWU (Academic Ranking of World Universities)</t>
  </si>
  <si>
    <t xml:space="preserve">Focus: Research output, Nobel laureates &amp; high-impact publications</t>
  </si>
  <si>
    <t xml:space="preserve">Alumni — Nobel / Fields Medal winners</t>
  </si>
  <si>
    <t xml:space="preserve">~0%</t>
  </si>
  <si>
    <t xml:space="preserve">5 graduates confirmed; no Nobel/Fields alumni data applicable at this stage</t>
  </si>
  <si>
    <t xml:space="preserve">Staff — Nobel / Fields Medal winners</t>
  </si>
  <si>
    <t xml:space="preserve">No data on faculty international awards of this calibre</t>
  </si>
  <si>
    <t xml:space="preserve">Highly Cited Researchers (Clarivate HiCi)</t>
  </si>
  <si>
    <t xml:space="preserve">No citation records; Clarivate HiCi designation not evidenced</t>
  </si>
  <si>
    <t xml:space="preserve">Papers in Nature &amp; Science</t>
  </si>
  <si>
    <t xml:space="preserve">Research in dissertation phase; no Nature/Science publications confirmed</t>
  </si>
  <si>
    <t xml:space="preserve">Papers in SCI / SSCI (Web of Science)</t>
  </si>
  <si>
    <t xml:space="preserve">6 research dissertations underway; journal publishing pipeline not recorded</t>
  </si>
  <si>
    <t xml:space="preserve">Per capita academic performance (PCP)</t>
  </si>
  <si>
    <t xml:space="preserve">~8%</t>
  </si>
  <si>
    <t xml:space="preserve">15 faculty; small institution could score relatively if output begins</t>
  </si>
  <si>
    <t xml:space="preserve">QS World University Rankings</t>
  </si>
  <si>
    <t xml:space="preserve">Focus: Reputation, faculty ratio, citations &amp; international diversity</t>
  </si>
  <si>
    <t xml:space="preserve">Academic Reputation (survey)</t>
  </si>
  <si>
    <t xml:space="preserve">~10%</t>
  </si>
  <si>
    <t xml:space="preserve">No global survey presence; institution not yet globally known</t>
  </si>
  <si>
    <t xml:space="preserve">Employer Reputation (survey)</t>
  </si>
  <si>
    <t xml:space="preserve">5 graduates; no employment tracking or employer survey data available</t>
  </si>
  <si>
    <t xml:space="preserve">Faculty/Student Ratio</t>
  </si>
  <si>
    <t xml:space="preserve">~88%</t>
  </si>
  <si>
    <t xml:space="preserve">2.5:1 ratio — exceptional; well within global top-tier benchmarks (&lt;10:1)</t>
  </si>
  <si>
    <t xml:space="preserve">Citations per Faculty (Scopus)</t>
  </si>
  <si>
    <t xml:space="preserve">No Scopus citation records in dataset; requires active publication base</t>
  </si>
  <si>
    <t xml:space="preserve">International Faculty Ratio</t>
  </si>
  <si>
    <t xml:space="preserve">All 15 instructors appear local; international faculty not distinguishable from data</t>
  </si>
  <si>
    <t xml:space="preserve">International Student Ratio</t>
  </si>
  <si>
    <t xml:space="preserve">~72%</t>
  </si>
  <si>
    <t xml:space="preserve">35.1% international students — strong; 13 students from 9 non-Kenyan countries</t>
  </si>
  <si>
    <t xml:space="preserve">Sustainability (ESG metrics)</t>
  </si>
  <si>
    <t xml:space="preserve">Community-focused research topics noted; formal sustainability reporting not evidenced</t>
  </si>
  <si>
    <t xml:space="preserve">Employment Outcomes</t>
  </si>
  <si>
    <t xml:space="preserve">5 confirmed graduates; no employment rate or alumni outcomes tracking data</t>
  </si>
  <si>
    <t xml:space="preserve">~32%</t>
  </si>
  <si>
    <t xml:space="preserve">CWTS Leiden Ranking</t>
  </si>
  <si>
    <t xml:space="preserve">Focus: Bibliometric research performance (Web of Science)</t>
  </si>
  <si>
    <t xml:space="preserve">P — Scientific output (WoS papers)</t>
  </si>
  <si>
    <t xml:space="preserve">6 research theses in progress; malaria, AI/UAV, NLP topics; none confirmed indexed</t>
  </si>
  <si>
    <t xml:space="preserve">PP(top 10%) — Citation impact</t>
  </si>
  <si>
    <t xml:space="preserve">~3%</t>
  </si>
  <si>
    <t xml:space="preserve">No Web of Science citation records available; requires published indexed output</t>
  </si>
  <si>
    <t xml:space="preserve">MCS — Mean citation score (normalised)</t>
  </si>
  <si>
    <t xml:space="preserve">Citation tracking requires published and indexed output in WoS</t>
  </si>
  <si>
    <t xml:space="preserve">PP(collab) — International co-authorship</t>
  </si>
  <si>
    <t xml:space="preserve">Multi-national student body; potential for collaboration; no co-authorship data recorded</t>
  </si>
  <si>
    <t xml:space="preserve">PP(gender) — Female authorship</t>
  </si>
  <si>
    <t xml:space="preserve">Supplementary</t>
  </si>
  <si>
    <t xml:space="preserve">~45%</t>
  </si>
  <si>
    <t xml:space="preserve">48.6% female students; 3 of 6 research students are female — strong potential</t>
  </si>
  <si>
    <t xml:space="preserve">PP(OA) — Open Access publications</t>
  </si>
  <si>
    <t xml:space="preserve">No open access repository or infrastructure evidenced in institutional data</t>
  </si>
  <si>
    <t xml:space="preserve">METHODOLOGY NOTE</t>
  </si>
  <si>
    <t xml:space="preserve">Score estimates are proxies derived from institutional LMS/SIS data available in the TemplumIS dataset. Indicators requiring external data (Scopus, Web of Science, employer surveys, academic reputation surveys, Clarivate HiCi lists) cannot be fully evaluated from internal records alone. Status symbols: ✓ = Performing well, ⚠ = Limited/partial data, ✗ = No data or not applicable. Scores represent current data readiness relative to each ranking's criteria, not projected global ranking positions.</t>
  </si>
</sst>
</file>

<file path=xl/styles.xml><?xml version="1.0" encoding="utf-8"?>
<styleSheet xmlns="http://schemas.openxmlformats.org/spreadsheetml/2006/main">
  <numFmts count="3">
    <numFmt numFmtId="164" formatCode="General"/>
    <numFmt numFmtId="165" formatCode="0\%"/>
    <numFmt numFmtId="166" formatCode="#,##0"/>
  </numFmts>
  <fonts count="4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color rgb="FF212121"/>
      <name val="Arial"/>
      <family val="0"/>
      <charset val="1"/>
    </font>
    <font>
      <b val="true"/>
      <sz val="11"/>
      <color rgb="FFFFFFFF"/>
      <name val="Arial"/>
      <family val="0"/>
      <charset val="1"/>
    </font>
    <font>
      <sz val="10"/>
      <name val="Arial"/>
      <family val="0"/>
      <charset val="1"/>
    </font>
    <font>
      <b val="true"/>
      <sz val="13"/>
      <color rgb="FF1B3A6B"/>
      <name val="Arial"/>
      <family val="0"/>
      <charset val="1"/>
    </font>
    <font>
      <i val="true"/>
      <sz val="10"/>
      <color rgb="FF666666"/>
      <name val="Arial"/>
      <family val="0"/>
      <charset val="1"/>
    </font>
    <font>
      <sz val="10"/>
      <color rgb="FF000000"/>
      <name val="Arial"/>
      <family val="0"/>
      <charset val="1"/>
    </font>
    <font>
      <b val="true"/>
      <sz val="10"/>
      <color rgb="FF2E7D32"/>
      <name val="Arial"/>
      <family val="0"/>
      <charset val="1"/>
    </font>
    <font>
      <b val="true"/>
      <sz val="10"/>
      <color rgb="FFE65100"/>
      <name val="Arial"/>
      <family val="0"/>
      <charset val="1"/>
    </font>
    <font>
      <b val="true"/>
      <sz val="10"/>
      <color rgb="FF4A148C"/>
      <name val="Arial"/>
      <family val="0"/>
      <charset val="1"/>
    </font>
    <font>
      <b val="true"/>
      <sz val="10"/>
      <color rgb="FFC62828"/>
      <name val="Arial"/>
      <family val="0"/>
      <charset val="1"/>
    </font>
    <font>
      <b val="true"/>
      <sz val="10"/>
      <color rgb="FF000000"/>
      <name val="Arial"/>
      <family val="0"/>
      <charset val="1"/>
    </font>
    <font>
      <b val="true"/>
      <sz val="15"/>
      <color rgb="FFFFFFFF"/>
      <name val="Arial"/>
      <family val="0"/>
      <charset val="1"/>
    </font>
    <font>
      <sz val="11"/>
      <color rgb="FF5A6A8A"/>
      <name val="Arial"/>
      <family val="0"/>
      <charset val="1"/>
    </font>
    <font>
      <b val="true"/>
      <sz val="11"/>
      <color rgb="FF1F3864"/>
      <name val="Arial"/>
      <family val="0"/>
      <charset val="1"/>
    </font>
    <font>
      <b val="true"/>
      <sz val="12"/>
      <color rgb="FF1F3864"/>
      <name val="Arial"/>
      <family val="0"/>
      <charset val="1"/>
    </font>
    <font>
      <b val="true"/>
      <sz val="10"/>
      <color rgb="FF212121"/>
      <name val="Arial"/>
      <family val="0"/>
      <charset val="1"/>
    </font>
    <font>
      <b val="true"/>
      <sz val="9"/>
      <color rgb="FF212121"/>
      <name val="Arial"/>
      <family val="0"/>
      <charset val="1"/>
    </font>
    <font>
      <sz val="10"/>
      <color rgb="FF5A6A8A"/>
      <name val="Arial"/>
      <family val="0"/>
      <charset val="1"/>
    </font>
    <font>
      <b val="true"/>
      <sz val="11"/>
      <name val="Arial"/>
      <family val="0"/>
      <charset val="1"/>
    </font>
    <font>
      <b val="true"/>
      <sz val="9"/>
      <color rgb="FFFFFFFF"/>
      <name val="Arial"/>
      <family val="0"/>
      <charset val="1"/>
    </font>
    <font>
      <b val="true"/>
      <sz val="14"/>
      <color rgb="FF1B3A6B"/>
      <name val="Arial"/>
      <family val="0"/>
      <charset val="1"/>
    </font>
    <font>
      <sz val="10"/>
      <color rgb="FF555555"/>
      <name val="Arial"/>
      <family val="0"/>
      <charset val="1"/>
    </font>
    <font>
      <b val="true"/>
      <sz val="11"/>
      <color rgb="FF1B3A6B"/>
      <name val="Arial"/>
      <family val="0"/>
      <charset val="1"/>
    </font>
    <font>
      <b val="true"/>
      <sz val="12"/>
      <color rgb="FFFFFFFF"/>
      <name val="Arial"/>
      <family val="0"/>
      <charset val="1"/>
    </font>
    <font>
      <i val="true"/>
      <sz val="10"/>
      <color rgb="FF1565C0"/>
      <name val="Arial"/>
      <family val="0"/>
      <charset val="1"/>
    </font>
    <font>
      <b val="true"/>
      <sz val="12"/>
      <color rgb="FFE65100"/>
      <name val="Arial"/>
      <family val="0"/>
      <charset val="1"/>
    </font>
    <font>
      <b val="true"/>
      <sz val="12"/>
      <color rgb="FFC62828"/>
      <name val="Arial"/>
      <family val="0"/>
      <charset val="1"/>
    </font>
    <font>
      <b val="true"/>
      <sz val="10"/>
      <color rgb="FF1565C0"/>
      <name val="Arial"/>
      <family val="0"/>
      <charset val="1"/>
    </font>
    <font>
      <b val="true"/>
      <sz val="11"/>
      <color rgb="FF1565C0"/>
      <name val="Arial"/>
      <family val="0"/>
      <charset val="1"/>
    </font>
    <font>
      <i val="true"/>
      <sz val="10"/>
      <color rgb="FF2E7D32"/>
      <name val="Arial"/>
      <family val="0"/>
      <charset val="1"/>
    </font>
    <font>
      <b val="true"/>
      <sz val="12"/>
      <color rgb="FF2E7D32"/>
      <name val="Arial"/>
      <family val="0"/>
      <charset val="1"/>
    </font>
    <font>
      <b val="true"/>
      <sz val="11"/>
      <color rgb="FF2E7D32"/>
      <name val="Arial"/>
      <family val="0"/>
      <charset val="1"/>
    </font>
    <font>
      <i val="true"/>
      <sz val="10"/>
      <color rgb="FF006064"/>
      <name val="Arial"/>
      <family val="0"/>
      <charset val="1"/>
    </font>
    <font>
      <b val="true"/>
      <sz val="10"/>
      <color rgb="FF006064"/>
      <name val="Arial"/>
      <family val="0"/>
      <charset val="1"/>
    </font>
    <font>
      <b val="true"/>
      <sz val="11"/>
      <color rgb="FF006064"/>
      <name val="Arial"/>
      <family val="0"/>
      <charset val="1"/>
    </font>
    <font>
      <i val="true"/>
      <sz val="10"/>
      <color rgb="FFE65100"/>
      <name val="Arial"/>
      <family val="0"/>
      <charset val="1"/>
    </font>
    <font>
      <b val="true"/>
      <sz val="11"/>
      <color rgb="FFE65100"/>
      <name val="Arial"/>
      <family val="0"/>
      <charset val="1"/>
    </font>
    <font>
      <i val="true"/>
      <sz val="10"/>
      <color rgb="FF4A148C"/>
      <name val="Arial"/>
      <family val="0"/>
      <charset val="1"/>
    </font>
    <font>
      <b val="true"/>
      <sz val="11"/>
      <color rgb="FF4A148C"/>
      <name val="Arial"/>
      <family val="0"/>
      <charset val="1"/>
    </font>
    <font>
      <i val="true"/>
      <sz val="10"/>
      <color rgb="FF880E4F"/>
      <name val="Arial"/>
      <family val="0"/>
      <charset val="1"/>
    </font>
    <font>
      <b val="true"/>
      <sz val="10"/>
      <color rgb="FF880E4F"/>
      <name val="Arial"/>
      <family val="0"/>
      <charset val="1"/>
    </font>
    <font>
      <b val="true"/>
      <sz val="11"/>
      <color rgb="FF880E4F"/>
      <name val="Arial"/>
      <family val="0"/>
      <charset val="1"/>
    </font>
    <font>
      <i val="true"/>
      <sz val="10"/>
      <color rgb="FF444444"/>
      <name val="Arial"/>
      <family val="0"/>
      <charset val="1"/>
    </font>
  </fonts>
  <fills count="37">
    <fill>
      <patternFill patternType="none"/>
    </fill>
    <fill>
      <patternFill patternType="gray125"/>
    </fill>
    <fill>
      <patternFill patternType="solid">
        <fgColor rgb="FF1F4E79"/>
        <bgColor rgb="FF1B3A6B"/>
      </patternFill>
    </fill>
    <fill>
      <patternFill patternType="solid">
        <fgColor rgb="FF4A148C"/>
        <bgColor rgb="FF800080"/>
      </patternFill>
    </fill>
    <fill>
      <patternFill patternType="solid">
        <fgColor rgb="FFDEEAF1"/>
        <bgColor rgb="FFE8EAF6"/>
      </patternFill>
    </fill>
    <fill>
      <patternFill patternType="solid">
        <fgColor rgb="FFC6EFCE"/>
        <bgColor rgb="FFDEEAF1"/>
      </patternFill>
    </fill>
    <fill>
      <patternFill patternType="solid">
        <fgColor rgb="FFFFF2CC"/>
        <bgColor rgb="FFFFF9C4"/>
      </patternFill>
    </fill>
    <fill>
      <patternFill patternType="solid">
        <fgColor rgb="FFF5F5F5"/>
        <bgColor rgb="FFF7F9FC"/>
      </patternFill>
    </fill>
    <fill>
      <patternFill patternType="solid">
        <fgColor rgb="FFFFCDD2"/>
        <bgColor rgb="FFFCE4EC"/>
      </patternFill>
    </fill>
    <fill>
      <patternFill patternType="solid">
        <fgColor rgb="FFEDE7F6"/>
        <bgColor rgb="FFE8EAF6"/>
      </patternFill>
    </fill>
    <fill>
      <patternFill patternType="solid">
        <fgColor rgb="FFF3E5F5"/>
        <bgColor rgb="FFEDE7F6"/>
      </patternFill>
    </fill>
    <fill>
      <patternFill patternType="solid">
        <fgColor rgb="FF1F3864"/>
        <bgColor rgb="FF1B3A6B"/>
      </patternFill>
    </fill>
    <fill>
      <patternFill patternType="solid">
        <fgColor rgb="FFEBF0FA"/>
        <bgColor rgb="FFEEF4FB"/>
      </patternFill>
    </fill>
    <fill>
      <patternFill patternType="solid">
        <fgColor rgb="FFFFFFFF"/>
        <bgColor rgb="FFF7F9FC"/>
      </patternFill>
    </fill>
    <fill>
      <patternFill patternType="solid">
        <fgColor rgb="FF1B3A6B"/>
        <bgColor rgb="FF1F3864"/>
      </patternFill>
    </fill>
    <fill>
      <patternFill patternType="solid">
        <fgColor rgb="FFE8F5E9"/>
        <bgColor rgb="FFE0F2F1"/>
      </patternFill>
    </fill>
    <fill>
      <patternFill patternType="solid">
        <fgColor rgb="FFF7F9FC"/>
        <bgColor rgb="FFF5F5F5"/>
      </patternFill>
    </fill>
    <fill>
      <patternFill patternType="solid">
        <fgColor rgb="FFFFF8E1"/>
        <bgColor rgb="FFFFF3E0"/>
      </patternFill>
    </fill>
    <fill>
      <patternFill patternType="solid">
        <fgColor rgb="FFFFEBEE"/>
        <bgColor rgb="FFFCE4EC"/>
      </patternFill>
    </fill>
    <fill>
      <patternFill patternType="solid">
        <fgColor rgb="FFE8EAF6"/>
        <bgColor rgb="FFEDE7F6"/>
      </patternFill>
    </fill>
    <fill>
      <patternFill patternType="solid">
        <fgColor rgb="FF2E5EA8"/>
        <bgColor rgb="FF1565C0"/>
      </patternFill>
    </fill>
    <fill>
      <patternFill patternType="solid">
        <fgColor rgb="FFFFFDE7"/>
        <bgColor rgb="FFFFF8E1"/>
      </patternFill>
    </fill>
    <fill>
      <patternFill patternType="solid">
        <fgColor rgb="FFE3F2FD"/>
        <bgColor rgb="FFE0F7FA"/>
      </patternFill>
    </fill>
    <fill>
      <patternFill patternType="solid">
        <fgColor rgb="FFFFF3E0"/>
        <bgColor rgb="FFFFF8E1"/>
      </patternFill>
    </fill>
    <fill>
      <patternFill patternType="solid">
        <fgColor rgb="FFFCE4EC"/>
        <bgColor rgb="FFFFEBEE"/>
      </patternFill>
    </fill>
    <fill>
      <patternFill patternType="solid">
        <fgColor rgb="FFE0F2F1"/>
        <bgColor rgb="FFE3F2FD"/>
      </patternFill>
    </fill>
    <fill>
      <patternFill patternType="solid">
        <fgColor rgb="FF37474F"/>
        <bgColor rgb="FF374151"/>
      </patternFill>
    </fill>
    <fill>
      <patternFill patternType="solid">
        <fgColor rgb="FFFFF9C4"/>
        <bgColor rgb="FFFFF2CC"/>
      </patternFill>
    </fill>
    <fill>
      <patternFill patternType="solid">
        <fgColor rgb="FFEEEEEE"/>
        <bgColor rgb="FFEBF0FA"/>
      </patternFill>
    </fill>
    <fill>
      <patternFill patternType="solid">
        <fgColor rgb="FFEEF4FB"/>
        <bgColor rgb="FFEBF0FA"/>
      </patternFill>
    </fill>
    <fill>
      <patternFill patternType="solid">
        <fgColor rgb="FF1565C0"/>
        <bgColor rgb="FF2E5EA8"/>
      </patternFill>
    </fill>
    <fill>
      <patternFill patternType="solid">
        <fgColor rgb="FF374151"/>
        <bgColor rgb="FF37474F"/>
      </patternFill>
    </fill>
    <fill>
      <patternFill patternType="solid">
        <fgColor rgb="FF2E7D32"/>
        <bgColor rgb="FF008000"/>
      </patternFill>
    </fill>
    <fill>
      <patternFill patternType="solid">
        <fgColor rgb="FF006064"/>
        <bgColor rgb="FF1F4E79"/>
      </patternFill>
    </fill>
    <fill>
      <patternFill patternType="solid">
        <fgColor rgb="FFE0F7FA"/>
        <bgColor rgb="FFE3F2FD"/>
      </patternFill>
    </fill>
    <fill>
      <patternFill patternType="solid">
        <fgColor rgb="FFE65100"/>
        <bgColor rgb="FFC62828"/>
      </patternFill>
    </fill>
    <fill>
      <patternFill patternType="solid">
        <fgColor rgb="FF880E4F"/>
        <bgColor rgb="FF800080"/>
      </patternFill>
    </fill>
  </fills>
  <borders count="4">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thin">
        <color rgb="FFC9D4EA"/>
      </left>
      <right style="thin">
        <color rgb="FFC9D4EA"/>
      </right>
      <top style="thin">
        <color rgb="FFC9D4EA"/>
      </top>
      <bottom style="thin">
        <color rgb="FFC9D4EA"/>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left" vertical="center"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5" fillId="8" borderId="1" xfId="0" applyFont="true" applyBorder="true" applyAlignment="true" applyProtection="false">
      <alignment horizontal="left"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4" fontId="6" fillId="11" borderId="2" xfId="0" applyFont="true" applyBorder="true" applyAlignment="true" applyProtection="false">
      <alignment horizontal="center" vertical="center" textRotation="0" wrapText="true" indent="0" shrinkToFit="false"/>
      <protection locked="true" hidden="false"/>
    </xf>
    <xf numFmtId="164" fontId="7" fillId="12" borderId="2" xfId="0" applyFont="true" applyBorder="true" applyAlignment="true" applyProtection="false">
      <alignment horizontal="general" vertical="center" textRotation="0" wrapText="false" indent="0" shrinkToFit="false"/>
      <protection locked="true" hidden="false"/>
    </xf>
    <xf numFmtId="164" fontId="7" fillId="13" borderId="2" xfId="0" applyFont="true" applyBorder="true" applyAlignment="true" applyProtection="false">
      <alignment horizontal="general" vertical="center" textRotation="0" wrapText="false" indent="0" shrinkToFit="false"/>
      <protection locked="true" hidden="false"/>
    </xf>
    <xf numFmtId="165" fontId="7" fillId="12" borderId="2" xfId="0" applyFont="true" applyBorder="true" applyAlignment="true" applyProtection="false">
      <alignment horizontal="general" vertical="center" textRotation="0" wrapText="false" indent="0" shrinkToFit="false"/>
      <protection locked="true" hidden="false"/>
    </xf>
    <xf numFmtId="165" fontId="7" fillId="13" borderId="2"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4" fillId="14" borderId="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left" vertical="center" textRotation="0" wrapText="false" indent="0" shrinkToFit="false"/>
      <protection locked="true" hidden="false"/>
    </xf>
    <xf numFmtId="166" fontId="10" fillId="0" borderId="3" xfId="0" applyFont="true" applyBorder="true" applyAlignment="true" applyProtection="false">
      <alignment horizontal="center" vertical="center" textRotation="0" wrapText="false" indent="0" shrinkToFit="false"/>
      <protection locked="true" hidden="false"/>
    </xf>
    <xf numFmtId="164" fontId="11" fillId="15" borderId="3" xfId="0" applyFont="true" applyBorder="true" applyAlignment="true" applyProtection="false">
      <alignment horizontal="center" vertical="center" textRotation="0" wrapText="false" indent="0" shrinkToFit="false"/>
      <protection locked="true" hidden="false"/>
    </xf>
    <xf numFmtId="164" fontId="10" fillId="16" borderId="3" xfId="0" applyFont="true" applyBorder="true" applyAlignment="true" applyProtection="false">
      <alignment horizontal="center" vertical="center" textRotation="0" wrapText="false" indent="0" shrinkToFit="false"/>
      <protection locked="true" hidden="false"/>
    </xf>
    <xf numFmtId="164" fontId="10" fillId="16" borderId="3" xfId="0" applyFont="true" applyBorder="true" applyAlignment="true" applyProtection="false">
      <alignment horizontal="left" vertical="center" textRotation="0" wrapText="false" indent="0" shrinkToFit="false"/>
      <protection locked="true" hidden="false"/>
    </xf>
    <xf numFmtId="166" fontId="10" fillId="16" borderId="3" xfId="0" applyFont="true" applyBorder="true" applyAlignment="true" applyProtection="false">
      <alignment horizontal="center" vertical="center" textRotation="0" wrapText="false" indent="0" shrinkToFit="false"/>
      <protection locked="true" hidden="false"/>
    </xf>
    <xf numFmtId="164" fontId="12" fillId="17" borderId="3" xfId="0" applyFont="true" applyBorder="true" applyAlignment="true" applyProtection="false">
      <alignment horizontal="center" vertical="center" textRotation="0" wrapText="false" indent="0" shrinkToFit="false"/>
      <protection locked="true" hidden="false"/>
    </xf>
    <xf numFmtId="164" fontId="13" fillId="10" borderId="3" xfId="0" applyFont="true" applyBorder="true" applyAlignment="true" applyProtection="false">
      <alignment horizontal="center" vertical="center" textRotation="0" wrapText="false" indent="0" shrinkToFit="false"/>
      <protection locked="true" hidden="false"/>
    </xf>
    <xf numFmtId="164" fontId="14" fillId="18" borderId="3" xfId="0" applyFont="true" applyBorder="true" applyAlignment="true" applyProtection="false">
      <alignment horizontal="center" vertical="center" textRotation="0" wrapText="false" indent="0" shrinkToFit="false"/>
      <protection locked="true" hidden="false"/>
    </xf>
    <xf numFmtId="164" fontId="15" fillId="19" borderId="3" xfId="0" applyFont="true" applyBorder="true" applyAlignment="false" applyProtection="false">
      <alignment horizontal="general" vertical="bottom" textRotation="0" wrapText="false" indent="0" shrinkToFit="false"/>
      <protection locked="true" hidden="false"/>
    </xf>
    <xf numFmtId="164" fontId="0" fillId="19" borderId="3" xfId="0" applyFont="false" applyBorder="true" applyAlignment="false" applyProtection="false">
      <alignment horizontal="general" vertical="bottom" textRotation="0" wrapText="false" indent="0" shrinkToFit="false"/>
      <protection locked="true" hidden="false"/>
    </xf>
    <xf numFmtId="166" fontId="15" fillId="19" borderId="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left" vertical="center" textRotation="0" wrapText="true" indent="0" shrinkToFit="false"/>
      <protection locked="true" hidden="false"/>
    </xf>
    <xf numFmtId="164" fontId="10" fillId="16" borderId="3" xfId="0" applyFont="true" applyBorder="true" applyAlignment="true" applyProtection="false">
      <alignment horizontal="left" vertical="center" textRotation="0" wrapText="true" indent="0" shrinkToFit="false"/>
      <protection locked="true" hidden="false"/>
    </xf>
    <xf numFmtId="164" fontId="15" fillId="19" borderId="3" xfId="0" applyFont="true" applyBorder="true" applyAlignment="true" applyProtection="false">
      <alignment horizontal="center" vertical="center" textRotation="0" wrapText="false" indent="0" shrinkToFit="false"/>
      <protection locked="true" hidden="false"/>
    </xf>
    <xf numFmtId="164" fontId="16" fillId="11"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4" fontId="6" fillId="20" borderId="0" xfId="0" applyFont="true" applyBorder="true" applyAlignment="true" applyProtection="false">
      <alignment horizontal="center" vertical="center" textRotation="0" wrapText="false" indent="0" shrinkToFit="false"/>
      <protection locked="true" hidden="false"/>
    </xf>
    <xf numFmtId="164" fontId="18" fillId="12" borderId="2" xfId="0" applyFont="true" applyBorder="true" applyAlignment="true" applyProtection="false">
      <alignment horizontal="left" vertical="center" textRotation="0" wrapText="false" indent="0" shrinkToFit="false"/>
      <protection locked="true" hidden="false"/>
    </xf>
    <xf numFmtId="164" fontId="19" fillId="13" borderId="2" xfId="0" applyFont="true" applyBorder="true" applyAlignment="true" applyProtection="false">
      <alignment horizontal="center" vertical="center" textRotation="0" wrapText="false" indent="0" shrinkToFit="false"/>
      <protection locked="true" hidden="false"/>
    </xf>
    <xf numFmtId="164" fontId="20" fillId="20" borderId="0" xfId="0" applyFont="true" applyBorder="true" applyAlignment="true" applyProtection="false">
      <alignment horizontal="center" vertical="center" textRotation="0" wrapText="false" indent="0" shrinkToFit="false"/>
      <protection locked="true" hidden="false"/>
    </xf>
    <xf numFmtId="164" fontId="5" fillId="12" borderId="2" xfId="0" applyFont="true" applyBorder="true" applyAlignment="true" applyProtection="false">
      <alignment horizontal="left" vertical="center" textRotation="0" wrapText="false" indent="0" shrinkToFit="false"/>
      <protection locked="true" hidden="false"/>
    </xf>
    <xf numFmtId="164" fontId="21" fillId="13" borderId="2" xfId="0" applyFont="true" applyBorder="true" applyAlignment="true" applyProtection="false">
      <alignment horizontal="center" vertical="center" textRotation="0" wrapText="false" indent="0" shrinkToFit="false"/>
      <protection locked="true" hidden="false"/>
    </xf>
    <xf numFmtId="164" fontId="22" fillId="12" borderId="2" xfId="0" applyFont="true" applyBorder="true" applyAlignment="true" applyProtection="false">
      <alignment horizontal="left" vertical="center" textRotation="0" wrapText="false" indent="0" shrinkToFit="false"/>
      <protection locked="true" hidden="false"/>
    </xf>
    <xf numFmtId="164" fontId="23" fillId="21" borderId="2" xfId="0" applyFont="true" applyBorder="true" applyAlignment="true" applyProtection="false">
      <alignment horizontal="general" vertical="bottom" textRotation="0" wrapText="false" indent="0" shrinkToFit="false"/>
      <protection locked="true" hidden="false"/>
    </xf>
    <xf numFmtId="164" fontId="20" fillId="22" borderId="1" xfId="0" applyFont="true" applyBorder="true" applyAlignment="true" applyProtection="false">
      <alignment horizontal="center" vertical="center" textRotation="0" wrapText="true" indent="0" shrinkToFit="false"/>
      <protection locked="true" hidden="false"/>
    </xf>
    <xf numFmtId="164" fontId="20" fillId="15" borderId="1" xfId="0" applyFont="true" applyBorder="true" applyAlignment="true" applyProtection="false">
      <alignment horizontal="center" vertical="center" textRotation="0" wrapText="true" indent="0" shrinkToFit="false"/>
      <protection locked="true" hidden="false"/>
    </xf>
    <xf numFmtId="164" fontId="20" fillId="23" borderId="1" xfId="0" applyFont="true" applyBorder="true" applyAlignment="true" applyProtection="false">
      <alignment horizontal="center" vertical="center" textRotation="0" wrapText="true" indent="0" shrinkToFit="false"/>
      <protection locked="true" hidden="false"/>
    </xf>
    <xf numFmtId="164" fontId="20" fillId="24"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64" fontId="20" fillId="25" borderId="1" xfId="0" applyFont="true" applyBorder="true" applyAlignment="true" applyProtection="false">
      <alignment horizontal="center" vertical="center" textRotation="0" wrapText="true" indent="0" shrinkToFit="false"/>
      <protection locked="true" hidden="false"/>
    </xf>
    <xf numFmtId="164" fontId="24" fillId="2" borderId="1" xfId="0" applyFont="true" applyBorder="true" applyAlignment="true" applyProtection="false">
      <alignment horizontal="center" vertical="center" textRotation="0" wrapText="true" indent="0" shrinkToFit="false"/>
      <protection locked="true" hidden="false"/>
    </xf>
    <xf numFmtId="164" fontId="24" fillId="26" borderId="1" xfId="0" applyFont="true" applyBorder="true" applyAlignment="true" applyProtection="false">
      <alignment horizontal="center" vertical="center" textRotation="0" wrapText="true" indent="0" shrinkToFit="false"/>
      <protection locked="true" hidden="false"/>
    </xf>
    <xf numFmtId="164" fontId="5" fillId="27" borderId="1" xfId="0" applyFont="true" applyBorder="true" applyAlignment="true" applyProtection="false">
      <alignment horizontal="center" vertical="center" textRotation="0" wrapText="true" indent="0" shrinkToFit="false"/>
      <protection locked="true" hidden="false"/>
    </xf>
    <xf numFmtId="164" fontId="5" fillId="28" borderId="1" xfId="0" applyFont="true" applyBorder="true" applyAlignment="true" applyProtection="false">
      <alignment horizontal="center" vertical="center" textRotation="0" wrapText="true" indent="0" shrinkToFit="false"/>
      <protection locked="true" hidden="false"/>
    </xf>
    <xf numFmtId="164" fontId="5" fillId="28" borderId="1" xfId="0" applyFont="true" applyBorder="true" applyAlignment="true" applyProtection="false">
      <alignment horizontal="left" vertical="center" textRotation="0" wrapText="true" indent="0" shrinkToFit="false"/>
      <protection locked="true" hidden="false"/>
    </xf>
    <xf numFmtId="164" fontId="5" fillId="27" borderId="1" xfId="0" applyFont="true" applyBorder="true" applyAlignment="true" applyProtection="false">
      <alignment horizontal="left" vertical="center" textRotation="0" wrapText="true" indent="0" shrinkToFit="false"/>
      <protection locked="true" hidden="false"/>
    </xf>
    <xf numFmtId="164" fontId="25"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6" fillId="14" borderId="0" xfId="0" applyFont="true" applyBorder="true" applyAlignment="true" applyProtection="false">
      <alignment horizontal="center" vertical="center" textRotation="0" wrapText="true" indent="0" shrinkToFit="false"/>
      <protection locked="true" hidden="false"/>
    </xf>
    <xf numFmtId="164" fontId="26" fillId="7" borderId="3" xfId="0" applyFont="true" applyBorder="true" applyAlignment="true" applyProtection="false">
      <alignment horizontal="center" vertical="center" textRotation="0" wrapText="true" indent="0" shrinkToFit="false"/>
      <protection locked="true" hidden="false"/>
    </xf>
    <xf numFmtId="164" fontId="27" fillId="29" borderId="3" xfId="0" applyFont="true" applyBorder="true" applyAlignment="true" applyProtection="false">
      <alignment horizontal="center" vertical="center" textRotation="0" wrapText="true" indent="0" shrinkToFit="false"/>
      <protection locked="true" hidden="false"/>
    </xf>
    <xf numFmtId="164" fontId="28" fillId="30" borderId="0" xfId="0" applyFont="true" applyBorder="true" applyAlignment="true" applyProtection="false">
      <alignment horizontal="left" vertical="center" textRotation="0" wrapText="true" indent="0" shrinkToFit="false"/>
      <protection locked="true" hidden="false"/>
    </xf>
    <xf numFmtId="164" fontId="29" fillId="22" borderId="0" xfId="0" applyFont="true" applyBorder="true" applyAlignment="true" applyProtection="false">
      <alignment horizontal="left" vertical="center" textRotation="0" wrapText="true" indent="0" shrinkToFit="false"/>
      <protection locked="true" hidden="false"/>
    </xf>
    <xf numFmtId="164" fontId="4" fillId="31" borderId="3"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left"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30" fillId="0" borderId="3" xfId="0" applyFont="true" applyBorder="true" applyAlignment="true" applyProtection="false">
      <alignment horizontal="center" vertical="center" textRotation="0" wrapText="true" indent="0" shrinkToFit="false"/>
      <protection locked="true" hidden="false"/>
    </xf>
    <xf numFmtId="164" fontId="31" fillId="0" borderId="3" xfId="0" applyFont="true" applyBorder="true" applyAlignment="true" applyProtection="false">
      <alignment horizontal="center" vertical="center" textRotation="0" wrapText="true" indent="0" shrinkToFit="false"/>
      <protection locked="true" hidden="false"/>
    </xf>
    <xf numFmtId="164" fontId="32" fillId="22" borderId="3" xfId="0" applyFont="true" applyBorder="true" applyAlignment="true" applyProtection="false">
      <alignment horizontal="left"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33" fillId="22" borderId="3" xfId="0" applyFont="true" applyBorder="true" applyAlignment="true" applyProtection="false">
      <alignment horizontal="center" vertical="center" textRotation="0" wrapText="tru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28" fillId="32" borderId="0" xfId="0" applyFont="true" applyBorder="true" applyAlignment="true" applyProtection="false">
      <alignment horizontal="left" vertical="center" textRotation="0" wrapText="true" indent="0" shrinkToFit="false"/>
      <protection locked="true" hidden="false"/>
    </xf>
    <xf numFmtId="164" fontId="34" fillId="15" borderId="0" xfId="0" applyFont="true" applyBorder="true" applyAlignment="true" applyProtection="false">
      <alignment horizontal="left" vertical="center" textRotation="0" wrapText="true" indent="0" shrinkToFit="false"/>
      <protection locked="true" hidden="false"/>
    </xf>
    <xf numFmtId="164" fontId="35" fillId="0" borderId="3" xfId="0" applyFont="true" applyBorder="true" applyAlignment="true" applyProtection="false">
      <alignment horizontal="center" vertical="center" textRotation="0" wrapText="true" indent="0" shrinkToFit="false"/>
      <protection locked="true" hidden="false"/>
    </xf>
    <xf numFmtId="164" fontId="11" fillId="15" borderId="3" xfId="0" applyFont="true" applyBorder="true" applyAlignment="true" applyProtection="false">
      <alignment horizontal="left" vertical="center" textRotation="0" wrapText="true" indent="0" shrinkToFit="false"/>
      <protection locked="true" hidden="false"/>
    </xf>
    <xf numFmtId="164" fontId="36" fillId="15" borderId="3" xfId="0" applyFont="true" applyBorder="true" applyAlignment="true" applyProtection="false">
      <alignment horizontal="center" vertical="center" textRotation="0" wrapText="true" indent="0" shrinkToFit="false"/>
      <protection locked="true" hidden="false"/>
    </xf>
    <xf numFmtId="164" fontId="28" fillId="33" borderId="0" xfId="0" applyFont="true" applyBorder="true" applyAlignment="true" applyProtection="false">
      <alignment horizontal="left" vertical="center" textRotation="0" wrapText="true" indent="0" shrinkToFit="false"/>
      <protection locked="true" hidden="false"/>
    </xf>
    <xf numFmtId="164" fontId="37" fillId="34" borderId="0" xfId="0" applyFont="true" applyBorder="true" applyAlignment="true" applyProtection="false">
      <alignment horizontal="left" vertical="center" textRotation="0" wrapText="true" indent="0" shrinkToFit="false"/>
      <protection locked="true" hidden="false"/>
    </xf>
    <xf numFmtId="164" fontId="38" fillId="34" borderId="3" xfId="0" applyFont="true" applyBorder="true" applyAlignment="true" applyProtection="false">
      <alignment horizontal="left" vertical="center" textRotation="0" wrapText="true" indent="0" shrinkToFit="false"/>
      <protection locked="true" hidden="false"/>
    </xf>
    <xf numFmtId="164" fontId="39" fillId="34" borderId="3" xfId="0" applyFont="true" applyBorder="true" applyAlignment="true" applyProtection="false">
      <alignment horizontal="center" vertical="center" textRotation="0" wrapText="true" indent="0" shrinkToFit="false"/>
      <protection locked="true" hidden="false"/>
    </xf>
    <xf numFmtId="164" fontId="28" fillId="35" borderId="0" xfId="0" applyFont="true" applyBorder="true" applyAlignment="true" applyProtection="false">
      <alignment horizontal="left" vertical="center" textRotation="0" wrapText="true" indent="0" shrinkToFit="false"/>
      <protection locked="true" hidden="false"/>
    </xf>
    <xf numFmtId="164" fontId="40" fillId="23" borderId="0" xfId="0" applyFont="true" applyBorder="true" applyAlignment="true" applyProtection="false">
      <alignment horizontal="left" vertical="center" textRotation="0" wrapText="true" indent="0" shrinkToFit="false"/>
      <protection locked="true" hidden="false"/>
    </xf>
    <xf numFmtId="164" fontId="12" fillId="23" borderId="3" xfId="0" applyFont="true" applyBorder="true" applyAlignment="true" applyProtection="false">
      <alignment horizontal="left" vertical="center" textRotation="0" wrapText="true" indent="0" shrinkToFit="false"/>
      <protection locked="true" hidden="false"/>
    </xf>
    <xf numFmtId="164" fontId="41" fillId="23" borderId="3" xfId="0" applyFont="true" applyBorder="true" applyAlignment="true" applyProtection="false">
      <alignment horizontal="center" vertical="center" textRotation="0" wrapText="true" indent="0" shrinkToFit="false"/>
      <protection locked="true" hidden="false"/>
    </xf>
    <xf numFmtId="164" fontId="28" fillId="3" borderId="0" xfId="0" applyFont="true" applyBorder="true" applyAlignment="true" applyProtection="false">
      <alignment horizontal="left" vertical="center" textRotation="0" wrapText="true" indent="0" shrinkToFit="false"/>
      <protection locked="true" hidden="false"/>
    </xf>
    <xf numFmtId="164" fontId="42" fillId="10" borderId="0" xfId="0" applyFont="true" applyBorder="true" applyAlignment="true" applyProtection="false">
      <alignment horizontal="left" vertical="center" textRotation="0" wrapText="true" indent="0" shrinkToFit="false"/>
      <protection locked="true" hidden="false"/>
    </xf>
    <xf numFmtId="164" fontId="13" fillId="10" borderId="3" xfId="0" applyFont="true" applyBorder="true" applyAlignment="true" applyProtection="false">
      <alignment horizontal="left" vertical="center" textRotation="0" wrapText="true" indent="0" shrinkToFit="false"/>
      <protection locked="true" hidden="false"/>
    </xf>
    <xf numFmtId="164" fontId="43" fillId="10" borderId="3" xfId="0" applyFont="true" applyBorder="true" applyAlignment="true" applyProtection="false">
      <alignment horizontal="center" vertical="center" textRotation="0" wrapText="true" indent="0" shrinkToFit="false"/>
      <protection locked="true" hidden="false"/>
    </xf>
    <xf numFmtId="164" fontId="28" fillId="36" borderId="0" xfId="0" applyFont="true" applyBorder="true" applyAlignment="true" applyProtection="false">
      <alignment horizontal="left" vertical="center" textRotation="0" wrapText="true" indent="0" shrinkToFit="false"/>
      <protection locked="true" hidden="false"/>
    </xf>
    <xf numFmtId="164" fontId="44" fillId="24" borderId="0" xfId="0" applyFont="true" applyBorder="true" applyAlignment="true" applyProtection="false">
      <alignment horizontal="left" vertical="center" textRotation="0" wrapText="true" indent="0" shrinkToFit="false"/>
      <protection locked="true" hidden="false"/>
    </xf>
    <xf numFmtId="164" fontId="45" fillId="24" borderId="3" xfId="0" applyFont="true" applyBorder="true" applyAlignment="true" applyProtection="false">
      <alignment horizontal="left" vertical="center" textRotation="0" wrapText="true" indent="0" shrinkToFit="false"/>
      <protection locked="true" hidden="false"/>
    </xf>
    <xf numFmtId="164" fontId="46" fillId="24" borderId="3" xfId="0" applyFont="true" applyBorder="true" applyAlignment="true" applyProtection="false">
      <alignment horizontal="center" vertical="center" textRotation="0" wrapText="true" indent="0" shrinkToFit="false"/>
      <protection locked="true" hidden="false"/>
    </xf>
    <xf numFmtId="164" fontId="47" fillId="21"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FFFDE7"/>
      <rgbColor rgb="FF0000FF"/>
      <rgbColor rgb="FFFFF8E1"/>
      <rgbColor rgb="FFFF00FF"/>
      <rgbColor rgb="FFEBF0FA"/>
      <rgbColor rgb="FF800000"/>
      <rgbColor rgb="FF008000"/>
      <rgbColor rgb="FF000080"/>
      <rgbColor rgb="FFF5F5F5"/>
      <rgbColor rgb="FF880E4F"/>
      <rgbColor rgb="FF006064"/>
      <rgbColor rgb="FFBDBDBD"/>
      <rgbColor rgb="FF666666"/>
      <rgbColor rgb="FFDEEAF1"/>
      <rgbColor rgb="FF555555"/>
      <rgbColor rgb="FFFFF9C4"/>
      <rgbColor rgb="FFE0F7FA"/>
      <rgbColor rgb="FF4A148C"/>
      <rgbColor rgb="FFE8EAF6"/>
      <rgbColor rgb="FF1565C0"/>
      <rgbColor rgb="FFC9D4EA"/>
      <rgbColor rgb="FF000080"/>
      <rgbColor rgb="FFFF00FF"/>
      <rgbColor rgb="FFFFF3E0"/>
      <rgbColor rgb="FFEEF4FB"/>
      <rgbColor rgb="FF800080"/>
      <rgbColor rgb="FF800000"/>
      <rgbColor rgb="FF1F4E79"/>
      <rgbColor rgb="FF0000FF"/>
      <rgbColor rgb="FFF7F9FC"/>
      <rgbColor rgb="FFE0F2F1"/>
      <rgbColor rgb="FFC6EFCE"/>
      <rgbColor rgb="FFFFF2CC"/>
      <rgbColor rgb="FFCCCCCC"/>
      <rgbColor rgb="FFFCE4EC"/>
      <rgbColor rgb="FFF3E5F5"/>
      <rgbColor rgb="FFFFCDD2"/>
      <rgbColor rgb="FF2E5EA8"/>
      <rgbColor rgb="FFE3F2FD"/>
      <rgbColor rgb="FFE8F5E9"/>
      <rgbColor rgb="FFFFEBEE"/>
      <rgbColor rgb="FFEEEEEE"/>
      <rgbColor rgb="FFE65100"/>
      <rgbColor rgb="FF5A6A8A"/>
      <rgbColor rgb="FFEDE7F6"/>
      <rgbColor rgb="FF1B3A6B"/>
      <rgbColor rgb="FF2E7D32"/>
      <rgbColor rgb="FF37474F"/>
      <rgbColor rgb="FF212121"/>
      <rgbColor rgb="FFC62828"/>
      <rgbColor rgb="FF444444"/>
      <rgbColor rgb="FF1F3864"/>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2"/>
    <col collapsed="false" customWidth="true" hidden="false" outlineLevel="0" max="3" min="3" style="1" width="9"/>
    <col collapsed="false" customWidth="true" hidden="false" outlineLevel="0" max="4" min="4" style="1" width="13"/>
    <col collapsed="false" customWidth="true" hidden="false" outlineLevel="0" max="5" min="5" style="1" width="28"/>
    <col collapsed="false" customWidth="true" hidden="false" outlineLevel="0" max="6" min="6" style="1" width="16"/>
    <col collapsed="false" customWidth="true" hidden="false" outlineLevel="0" max="7" min="7" style="1" width="8"/>
    <col collapsed="false" customWidth="true" hidden="false" outlineLevel="0" max="8" min="8" style="1" width="22"/>
    <col collapsed="false" customWidth="true" hidden="false" outlineLevel="0" max="9" min="9" style="1" width="24"/>
    <col collapsed="false" customWidth="true" hidden="false" outlineLevel="0" max="10" min="10" style="1" width="10"/>
    <col collapsed="false" customWidth="true" hidden="false" outlineLevel="0" max="11" min="11" style="1" width="7"/>
    <col collapsed="false" customWidth="true" hidden="false" outlineLevel="0" max="12" min="12" style="1" width="8"/>
    <col collapsed="false" customWidth="true" hidden="false" outlineLevel="0" max="13" min="13" style="1" width="12"/>
    <col collapsed="false" customWidth="true" hidden="false" outlineLevel="0" max="15" min="14" style="1" width="14"/>
    <col collapsed="false" customWidth="true" hidden="false" outlineLevel="0" max="16" min="16" style="1" width="16"/>
    <col collapsed="false" customWidth="true" hidden="false" outlineLevel="0" max="17" min="17" style="1" width="14"/>
    <col collapsed="false" customWidth="true" hidden="false" outlineLevel="0" max="18" min="18" style="1" width="18"/>
    <col collapsed="false" customWidth="true" hidden="false" outlineLevel="0" max="19" min="19" style="1" width="32"/>
    <col collapsed="false" customWidth="true" hidden="false" outlineLevel="0" max="20" min="20" style="1" width="14"/>
    <col collapsed="false" customWidth="true" hidden="false" outlineLevel="0" max="21" min="21" style="1" width="12"/>
    <col collapsed="false" customWidth="true" hidden="false" outlineLevel="0" max="22" min="22" style="1" width="16"/>
    <col collapsed="false" customWidth="true" hidden="false" outlineLevel="0" max="23" min="23" style="1" width="14"/>
    <col collapsed="false" customWidth="true" hidden="false" outlineLevel="0" max="24" min="24" style="1" width="16"/>
    <col collapsed="false" customWidth="true" hidden="false" outlineLevel="0" max="25" min="25" style="1" width="40"/>
    <col collapsed="false" customWidth="true" hidden="false" outlineLevel="0" max="26" min="26" style="1" width="22"/>
    <col collapsed="false" customWidth="true" hidden="false" outlineLevel="0" max="28" min="27" style="1" width="18"/>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c r="S1" s="3" t="s">
        <v>18</v>
      </c>
      <c r="T1" s="3" t="s">
        <v>19</v>
      </c>
      <c r="U1" s="3" t="s">
        <v>20</v>
      </c>
      <c r="V1" s="3" t="s">
        <v>21</v>
      </c>
      <c r="W1" s="3" t="s">
        <v>22</v>
      </c>
      <c r="X1" s="3" t="s">
        <v>23</v>
      </c>
      <c r="Y1" s="3" t="s">
        <v>24</v>
      </c>
      <c r="Z1" s="3" t="s">
        <v>25</v>
      </c>
      <c r="AA1" s="3" t="s">
        <v>26</v>
      </c>
      <c r="AB1" s="3" t="s">
        <v>27</v>
      </c>
    </row>
    <row r="2" customFormat="false" ht="15" hidden="false" customHeight="true" outlineLevel="0" collapsed="false">
      <c r="A2" s="4" t="s">
        <v>28</v>
      </c>
      <c r="B2" s="5" t="s">
        <v>29</v>
      </c>
      <c r="C2" s="4" t="s">
        <v>30</v>
      </c>
      <c r="D2" s="4" t="s">
        <v>31</v>
      </c>
      <c r="E2" s="4" t="s">
        <v>32</v>
      </c>
      <c r="F2" s="4" t="s">
        <v>33</v>
      </c>
      <c r="G2" s="4" t="s">
        <v>34</v>
      </c>
      <c r="H2" s="5" t="s">
        <v>35</v>
      </c>
      <c r="I2" s="4" t="s">
        <v>36</v>
      </c>
      <c r="J2" s="4" t="s">
        <v>37</v>
      </c>
      <c r="K2" s="4" t="n">
        <v>3.78</v>
      </c>
      <c r="L2" s="4" t="n">
        <v>96</v>
      </c>
      <c r="M2" s="4" t="s">
        <v>38</v>
      </c>
      <c r="N2" s="4" t="s">
        <v>39</v>
      </c>
      <c r="O2" s="4" t="s">
        <v>40</v>
      </c>
      <c r="P2" s="4" t="s">
        <v>41</v>
      </c>
      <c r="Q2" s="4" t="s">
        <v>42</v>
      </c>
      <c r="R2" s="4" t="s">
        <v>34</v>
      </c>
      <c r="S2" s="5" t="s">
        <v>43</v>
      </c>
      <c r="T2" s="4" t="s">
        <v>44</v>
      </c>
      <c r="U2" s="4" t="s">
        <v>45</v>
      </c>
      <c r="V2" s="4" t="n">
        <v>0</v>
      </c>
      <c r="W2" s="4" t="s">
        <v>46</v>
      </c>
      <c r="X2" s="4" t="s">
        <v>47</v>
      </c>
      <c r="Y2" s="5" t="s">
        <v>48</v>
      </c>
      <c r="Z2" s="5" t="s">
        <v>48</v>
      </c>
      <c r="AA2" s="4" t="s">
        <v>49</v>
      </c>
      <c r="AB2" s="4"/>
    </row>
    <row r="3" customFormat="false" ht="15" hidden="false" customHeight="true" outlineLevel="0" collapsed="false">
      <c r="A3" s="4" t="s">
        <v>50</v>
      </c>
      <c r="B3" s="5" t="s">
        <v>51</v>
      </c>
      <c r="C3" s="4" t="s">
        <v>52</v>
      </c>
      <c r="D3" s="4" t="s">
        <v>53</v>
      </c>
      <c r="E3" s="4" t="s">
        <v>54</v>
      </c>
      <c r="F3" s="4" t="s">
        <v>55</v>
      </c>
      <c r="G3" s="4" t="s">
        <v>56</v>
      </c>
      <c r="H3" s="5" t="s">
        <v>57</v>
      </c>
      <c r="I3" s="4" t="s">
        <v>58</v>
      </c>
      <c r="J3" s="4" t="s">
        <v>59</v>
      </c>
      <c r="K3" s="4" t="n">
        <v>3.12</v>
      </c>
      <c r="L3" s="4" t="n">
        <v>64</v>
      </c>
      <c r="M3" s="4" t="s">
        <v>38</v>
      </c>
      <c r="N3" s="4" t="s">
        <v>39</v>
      </c>
      <c r="O3" s="4" t="s">
        <v>60</v>
      </c>
      <c r="P3" s="4" t="s">
        <v>61</v>
      </c>
      <c r="Q3" s="4" t="s">
        <v>42</v>
      </c>
      <c r="R3" s="4" t="s">
        <v>56</v>
      </c>
      <c r="S3" s="5" t="s">
        <v>62</v>
      </c>
      <c r="T3" s="4" t="s">
        <v>63</v>
      </c>
      <c r="U3" s="4" t="s">
        <v>45</v>
      </c>
      <c r="V3" s="4" t="n">
        <v>0</v>
      </c>
      <c r="W3" s="4" t="s">
        <v>46</v>
      </c>
      <c r="X3" s="4" t="s">
        <v>47</v>
      </c>
      <c r="Y3" s="5" t="s">
        <v>48</v>
      </c>
      <c r="Z3" s="5" t="s">
        <v>48</v>
      </c>
      <c r="AA3" s="4" t="s">
        <v>49</v>
      </c>
      <c r="AB3" s="4"/>
    </row>
    <row r="4" customFormat="false" ht="15" hidden="false" customHeight="true" outlineLevel="0" collapsed="false">
      <c r="A4" s="4" t="s">
        <v>64</v>
      </c>
      <c r="B4" s="5" t="s">
        <v>65</v>
      </c>
      <c r="C4" s="4" t="s">
        <v>30</v>
      </c>
      <c r="D4" s="4" t="s">
        <v>66</v>
      </c>
      <c r="E4" s="4" t="s">
        <v>67</v>
      </c>
      <c r="F4" s="4" t="s">
        <v>68</v>
      </c>
      <c r="G4" s="4" t="s">
        <v>34</v>
      </c>
      <c r="H4" s="5" t="s">
        <v>69</v>
      </c>
      <c r="I4" s="4" t="s">
        <v>70</v>
      </c>
      <c r="J4" s="4" t="s">
        <v>71</v>
      </c>
      <c r="K4" s="4" t="n">
        <v>3.55</v>
      </c>
      <c r="L4" s="4" t="n">
        <v>128</v>
      </c>
      <c r="M4" s="4" t="s">
        <v>38</v>
      </c>
      <c r="N4" s="4" t="s">
        <v>72</v>
      </c>
      <c r="O4" s="4" t="s">
        <v>73</v>
      </c>
      <c r="P4" s="4" t="s">
        <v>74</v>
      </c>
      <c r="Q4" s="4" t="s">
        <v>42</v>
      </c>
      <c r="R4" s="4" t="s">
        <v>34</v>
      </c>
      <c r="S4" s="5" t="s">
        <v>75</v>
      </c>
      <c r="T4" s="4" t="s">
        <v>76</v>
      </c>
      <c r="U4" s="4" t="s">
        <v>45</v>
      </c>
      <c r="V4" s="4" t="n">
        <v>0</v>
      </c>
      <c r="W4" s="4" t="s">
        <v>46</v>
      </c>
      <c r="X4" s="4" t="s">
        <v>47</v>
      </c>
      <c r="Y4" s="5" t="s">
        <v>48</v>
      </c>
      <c r="Z4" s="5" t="s">
        <v>48</v>
      </c>
      <c r="AA4" s="4" t="s">
        <v>77</v>
      </c>
      <c r="AB4" s="4"/>
    </row>
    <row r="5" customFormat="false" ht="15" hidden="false" customHeight="true" outlineLevel="0" collapsed="false">
      <c r="A5" s="6" t="s">
        <v>78</v>
      </c>
      <c r="B5" s="7" t="s">
        <v>79</v>
      </c>
      <c r="C5" s="6" t="s">
        <v>52</v>
      </c>
      <c r="D5" s="6" t="s">
        <v>80</v>
      </c>
      <c r="E5" s="6" t="s">
        <v>81</v>
      </c>
      <c r="F5" s="6" t="s">
        <v>82</v>
      </c>
      <c r="G5" s="6" t="s">
        <v>34</v>
      </c>
      <c r="H5" s="7" t="s">
        <v>83</v>
      </c>
      <c r="I5" s="6" t="s">
        <v>84</v>
      </c>
      <c r="J5" s="6" t="s">
        <v>71</v>
      </c>
      <c r="K5" s="6" t="n">
        <v>3.9</v>
      </c>
      <c r="L5" s="6" t="n">
        <v>132</v>
      </c>
      <c r="M5" s="6" t="s">
        <v>85</v>
      </c>
      <c r="N5" s="6" t="s">
        <v>86</v>
      </c>
      <c r="O5" s="6" t="s">
        <v>87</v>
      </c>
      <c r="P5" s="6"/>
      <c r="Q5" s="6" t="s">
        <v>42</v>
      </c>
      <c r="R5" s="6" t="s">
        <v>34</v>
      </c>
      <c r="S5" s="7" t="s">
        <v>88</v>
      </c>
      <c r="T5" s="6" t="s">
        <v>89</v>
      </c>
      <c r="U5" s="6" t="s">
        <v>90</v>
      </c>
      <c r="V5" s="6" t="n">
        <v>0</v>
      </c>
      <c r="W5" s="6" t="s">
        <v>90</v>
      </c>
      <c r="X5" s="6" t="s">
        <v>47</v>
      </c>
      <c r="Y5" s="7" t="s">
        <v>48</v>
      </c>
      <c r="Z5" s="7" t="s">
        <v>48</v>
      </c>
      <c r="AA5" s="6" t="s">
        <v>91</v>
      </c>
      <c r="AB5" s="6" t="s">
        <v>92</v>
      </c>
    </row>
    <row r="6" customFormat="false" ht="15" hidden="false" customHeight="true" outlineLevel="0" collapsed="false">
      <c r="A6" s="8" t="s">
        <v>93</v>
      </c>
      <c r="B6" s="9" t="s">
        <v>94</v>
      </c>
      <c r="C6" s="8" t="s">
        <v>30</v>
      </c>
      <c r="D6" s="8" t="s">
        <v>95</v>
      </c>
      <c r="E6" s="8" t="s">
        <v>96</v>
      </c>
      <c r="F6" s="8" t="s">
        <v>97</v>
      </c>
      <c r="G6" s="8" t="s">
        <v>34</v>
      </c>
      <c r="H6" s="9" t="s">
        <v>98</v>
      </c>
      <c r="I6" s="8" t="s">
        <v>99</v>
      </c>
      <c r="J6" s="8" t="s">
        <v>100</v>
      </c>
      <c r="K6" s="8" t="n">
        <v>2.45</v>
      </c>
      <c r="L6" s="8" t="n">
        <v>32</v>
      </c>
      <c r="M6" s="8" t="s">
        <v>101</v>
      </c>
      <c r="N6" s="8" t="s">
        <v>39</v>
      </c>
      <c r="O6" s="8" t="s">
        <v>102</v>
      </c>
      <c r="P6" s="8" t="s">
        <v>103</v>
      </c>
      <c r="Q6" s="8" t="s">
        <v>42</v>
      </c>
      <c r="R6" s="8" t="s">
        <v>34</v>
      </c>
      <c r="S6" s="9" t="s">
        <v>104</v>
      </c>
      <c r="T6" s="8" t="s">
        <v>105</v>
      </c>
      <c r="U6" s="8" t="s">
        <v>106</v>
      </c>
      <c r="V6" s="8" t="n">
        <v>35000</v>
      </c>
      <c r="W6" s="8" t="s">
        <v>101</v>
      </c>
      <c r="X6" s="8" t="s">
        <v>107</v>
      </c>
      <c r="Y6" s="9" t="s">
        <v>48</v>
      </c>
      <c r="Z6" s="9" t="s">
        <v>48</v>
      </c>
      <c r="AA6" s="8" t="s">
        <v>108</v>
      </c>
      <c r="AB6" s="8"/>
    </row>
    <row r="7" customFormat="false" ht="15" hidden="false" customHeight="true" outlineLevel="0" collapsed="false">
      <c r="A7" s="4" t="s">
        <v>109</v>
      </c>
      <c r="B7" s="5" t="s">
        <v>110</v>
      </c>
      <c r="C7" s="4" t="s">
        <v>52</v>
      </c>
      <c r="D7" s="4" t="s">
        <v>111</v>
      </c>
      <c r="E7" s="4" t="s">
        <v>112</v>
      </c>
      <c r="F7" s="4" t="s">
        <v>113</v>
      </c>
      <c r="G7" s="4" t="s">
        <v>114</v>
      </c>
      <c r="H7" s="5" t="s">
        <v>115</v>
      </c>
      <c r="I7" s="4" t="s">
        <v>116</v>
      </c>
      <c r="J7" s="4" t="s">
        <v>37</v>
      </c>
      <c r="K7" s="4" t="n">
        <v>3.22</v>
      </c>
      <c r="L7" s="4" t="n">
        <v>98</v>
      </c>
      <c r="M7" s="4" t="s">
        <v>38</v>
      </c>
      <c r="N7" s="4" t="s">
        <v>39</v>
      </c>
      <c r="O7" s="4" t="s">
        <v>40</v>
      </c>
      <c r="P7" s="4" t="s">
        <v>41</v>
      </c>
      <c r="Q7" s="4" t="s">
        <v>42</v>
      </c>
      <c r="R7" s="4" t="s">
        <v>114</v>
      </c>
      <c r="S7" s="5" t="s">
        <v>43</v>
      </c>
      <c r="T7" s="4" t="s">
        <v>44</v>
      </c>
      <c r="U7" s="4" t="s">
        <v>45</v>
      </c>
      <c r="V7" s="4" t="n">
        <v>0</v>
      </c>
      <c r="W7" s="4" t="s">
        <v>46</v>
      </c>
      <c r="X7" s="4" t="s">
        <v>47</v>
      </c>
      <c r="Y7" s="5" t="s">
        <v>48</v>
      </c>
      <c r="Z7" s="5" t="s">
        <v>48</v>
      </c>
      <c r="AA7" s="4" t="s">
        <v>49</v>
      </c>
      <c r="AB7" s="4"/>
    </row>
    <row r="8" customFormat="false" ht="15" hidden="false" customHeight="true" outlineLevel="0" collapsed="false">
      <c r="A8" s="4" t="s">
        <v>117</v>
      </c>
      <c r="B8" s="5" t="s">
        <v>118</v>
      </c>
      <c r="C8" s="4" t="s">
        <v>30</v>
      </c>
      <c r="D8" s="4" t="s">
        <v>119</v>
      </c>
      <c r="E8" s="4" t="s">
        <v>120</v>
      </c>
      <c r="F8" s="4" t="s">
        <v>121</v>
      </c>
      <c r="G8" s="4" t="s">
        <v>34</v>
      </c>
      <c r="H8" s="5" t="s">
        <v>122</v>
      </c>
      <c r="I8" s="4" t="s">
        <v>99</v>
      </c>
      <c r="J8" s="4" t="s">
        <v>59</v>
      </c>
      <c r="K8" s="4" t="n">
        <v>3.68</v>
      </c>
      <c r="L8" s="4" t="n">
        <v>66</v>
      </c>
      <c r="M8" s="4" t="s">
        <v>38</v>
      </c>
      <c r="N8" s="4" t="s">
        <v>39</v>
      </c>
      <c r="O8" s="4" t="s">
        <v>123</v>
      </c>
      <c r="P8" s="4" t="s">
        <v>61</v>
      </c>
      <c r="Q8" s="4" t="s">
        <v>42</v>
      </c>
      <c r="R8" s="4" t="s">
        <v>34</v>
      </c>
      <c r="S8" s="5" t="s">
        <v>62</v>
      </c>
      <c r="T8" s="4" t="s">
        <v>63</v>
      </c>
      <c r="U8" s="4" t="s">
        <v>45</v>
      </c>
      <c r="V8" s="4" t="n">
        <v>0</v>
      </c>
      <c r="W8" s="4" t="s">
        <v>46</v>
      </c>
      <c r="X8" s="4" t="s">
        <v>47</v>
      </c>
      <c r="Y8" s="5" t="s">
        <v>48</v>
      </c>
      <c r="Z8" s="5" t="s">
        <v>48</v>
      </c>
      <c r="AA8" s="4" t="s">
        <v>49</v>
      </c>
      <c r="AB8" s="4"/>
    </row>
    <row r="9" customFormat="false" ht="15" hidden="false" customHeight="true" outlineLevel="0" collapsed="false">
      <c r="A9" s="4" t="s">
        <v>124</v>
      </c>
      <c r="B9" s="5" t="s">
        <v>125</v>
      </c>
      <c r="C9" s="4" t="s">
        <v>52</v>
      </c>
      <c r="D9" s="4" t="s">
        <v>126</v>
      </c>
      <c r="E9" s="4" t="s">
        <v>127</v>
      </c>
      <c r="F9" s="4" t="s">
        <v>128</v>
      </c>
      <c r="G9" s="4" t="s">
        <v>129</v>
      </c>
      <c r="H9" s="5" t="s">
        <v>130</v>
      </c>
      <c r="I9" s="4" t="s">
        <v>131</v>
      </c>
      <c r="J9" s="4" t="s">
        <v>71</v>
      </c>
      <c r="K9" s="4" t="n">
        <v>3.1</v>
      </c>
      <c r="L9" s="4" t="n">
        <v>120</v>
      </c>
      <c r="M9" s="4" t="s">
        <v>38</v>
      </c>
      <c r="N9" s="4" t="s">
        <v>132</v>
      </c>
      <c r="O9" s="4" t="s">
        <v>73</v>
      </c>
      <c r="P9" s="4" t="s">
        <v>74</v>
      </c>
      <c r="Q9" s="4" t="s">
        <v>42</v>
      </c>
      <c r="R9" s="4" t="s">
        <v>129</v>
      </c>
      <c r="S9" s="5" t="s">
        <v>75</v>
      </c>
      <c r="T9" s="4" t="s">
        <v>76</v>
      </c>
      <c r="U9" s="4" t="s">
        <v>45</v>
      </c>
      <c r="V9" s="4" t="n">
        <v>0</v>
      </c>
      <c r="W9" s="4" t="s">
        <v>46</v>
      </c>
      <c r="X9" s="4" t="s">
        <v>47</v>
      </c>
      <c r="Y9" s="5" t="s">
        <v>48</v>
      </c>
      <c r="Z9" s="5" t="s">
        <v>48</v>
      </c>
      <c r="AA9" s="4" t="s">
        <v>77</v>
      </c>
      <c r="AB9" s="4"/>
    </row>
    <row r="10" customFormat="false" ht="15" hidden="false" customHeight="true" outlineLevel="0" collapsed="false">
      <c r="A10" s="10" t="s">
        <v>133</v>
      </c>
      <c r="B10" s="11" t="s">
        <v>134</v>
      </c>
      <c r="C10" s="10" t="s">
        <v>30</v>
      </c>
      <c r="D10" s="10" t="s">
        <v>135</v>
      </c>
      <c r="E10" s="10" t="s">
        <v>136</v>
      </c>
      <c r="F10" s="10" t="s">
        <v>137</v>
      </c>
      <c r="G10" s="10" t="s">
        <v>138</v>
      </c>
      <c r="H10" s="11" t="s">
        <v>139</v>
      </c>
      <c r="I10" s="10" t="s">
        <v>58</v>
      </c>
      <c r="J10" s="10" t="s">
        <v>37</v>
      </c>
      <c r="K10" s="10" t="n">
        <v>2.8</v>
      </c>
      <c r="L10" s="10" t="n">
        <v>90</v>
      </c>
      <c r="M10" s="10" t="s">
        <v>140</v>
      </c>
      <c r="N10" s="10" t="s">
        <v>39</v>
      </c>
      <c r="O10" s="10" t="s">
        <v>40</v>
      </c>
      <c r="P10" s="10" t="s">
        <v>41</v>
      </c>
      <c r="Q10" s="10" t="s">
        <v>42</v>
      </c>
      <c r="R10" s="10" t="s">
        <v>138</v>
      </c>
      <c r="S10" s="11" t="s">
        <v>141</v>
      </c>
      <c r="T10" s="10" t="s">
        <v>44</v>
      </c>
      <c r="U10" s="10" t="s">
        <v>142</v>
      </c>
      <c r="V10" s="10" t="n">
        <v>0</v>
      </c>
      <c r="W10" s="10" t="s">
        <v>46</v>
      </c>
      <c r="X10" s="10" t="s">
        <v>47</v>
      </c>
      <c r="Y10" s="11" t="s">
        <v>48</v>
      </c>
      <c r="Z10" s="11" t="s">
        <v>48</v>
      </c>
      <c r="AA10" s="10" t="s">
        <v>49</v>
      </c>
      <c r="AB10" s="10"/>
    </row>
    <row r="11" customFormat="false" ht="15" hidden="false" customHeight="true" outlineLevel="0" collapsed="false">
      <c r="A11" s="4" t="s">
        <v>143</v>
      </c>
      <c r="B11" s="5" t="s">
        <v>144</v>
      </c>
      <c r="C11" s="4" t="s">
        <v>52</v>
      </c>
      <c r="D11" s="4" t="s">
        <v>145</v>
      </c>
      <c r="E11" s="4" t="s">
        <v>146</v>
      </c>
      <c r="F11" s="4" t="s">
        <v>147</v>
      </c>
      <c r="G11" s="4" t="s">
        <v>34</v>
      </c>
      <c r="H11" s="5" t="s">
        <v>148</v>
      </c>
      <c r="I11" s="4" t="s">
        <v>36</v>
      </c>
      <c r="J11" s="4" t="s">
        <v>100</v>
      </c>
      <c r="K11" s="4" t="n">
        <v>3.4</v>
      </c>
      <c r="L11" s="4" t="n">
        <v>30</v>
      </c>
      <c r="M11" s="4" t="s">
        <v>38</v>
      </c>
      <c r="N11" s="4" t="s">
        <v>39</v>
      </c>
      <c r="O11" s="4" t="s">
        <v>102</v>
      </c>
      <c r="P11" s="4" t="s">
        <v>103</v>
      </c>
      <c r="Q11" s="4" t="s">
        <v>42</v>
      </c>
      <c r="R11" s="4" t="s">
        <v>34</v>
      </c>
      <c r="S11" s="5" t="s">
        <v>149</v>
      </c>
      <c r="T11" s="4" t="s">
        <v>105</v>
      </c>
      <c r="U11" s="4" t="s">
        <v>45</v>
      </c>
      <c r="V11" s="4" t="n">
        <v>0</v>
      </c>
      <c r="W11" s="4" t="s">
        <v>46</v>
      </c>
      <c r="X11" s="4" t="s">
        <v>47</v>
      </c>
      <c r="Y11" s="5" t="s">
        <v>48</v>
      </c>
      <c r="Z11" s="5" t="s">
        <v>48</v>
      </c>
      <c r="AA11" s="4" t="s">
        <v>49</v>
      </c>
      <c r="AB11" s="4"/>
    </row>
    <row r="12" customFormat="false" ht="15" hidden="false" customHeight="true" outlineLevel="0" collapsed="false">
      <c r="A12" s="4" t="s">
        <v>150</v>
      </c>
      <c r="B12" s="5" t="s">
        <v>151</v>
      </c>
      <c r="C12" s="4" t="s">
        <v>30</v>
      </c>
      <c r="D12" s="4" t="s">
        <v>152</v>
      </c>
      <c r="E12" s="4" t="s">
        <v>153</v>
      </c>
      <c r="F12" s="4" t="s">
        <v>154</v>
      </c>
      <c r="G12" s="4" t="s">
        <v>34</v>
      </c>
      <c r="H12" s="5" t="s">
        <v>155</v>
      </c>
      <c r="I12" s="4" t="s">
        <v>99</v>
      </c>
      <c r="J12" s="4" t="s">
        <v>59</v>
      </c>
      <c r="K12" s="4" t="n">
        <v>3.05</v>
      </c>
      <c r="L12" s="4" t="n">
        <v>60</v>
      </c>
      <c r="M12" s="4" t="s">
        <v>38</v>
      </c>
      <c r="N12" s="4" t="s">
        <v>39</v>
      </c>
      <c r="O12" s="4" t="s">
        <v>123</v>
      </c>
      <c r="P12" s="4" t="s">
        <v>61</v>
      </c>
      <c r="Q12" s="4" t="s">
        <v>42</v>
      </c>
      <c r="R12" s="4" t="s">
        <v>34</v>
      </c>
      <c r="S12" s="5" t="s">
        <v>62</v>
      </c>
      <c r="T12" s="4" t="s">
        <v>63</v>
      </c>
      <c r="U12" s="4" t="s">
        <v>45</v>
      </c>
      <c r="V12" s="4" t="n">
        <v>0</v>
      </c>
      <c r="W12" s="4" t="s">
        <v>46</v>
      </c>
      <c r="X12" s="4" t="s">
        <v>47</v>
      </c>
      <c r="Y12" s="5" t="s">
        <v>48</v>
      </c>
      <c r="Z12" s="5" t="s">
        <v>48</v>
      </c>
      <c r="AA12" s="4" t="s">
        <v>49</v>
      </c>
      <c r="AB12" s="4"/>
    </row>
    <row r="13" customFormat="false" ht="15" hidden="false" customHeight="true" outlineLevel="0" collapsed="false">
      <c r="A13" s="6" t="s">
        <v>156</v>
      </c>
      <c r="B13" s="7" t="s">
        <v>157</v>
      </c>
      <c r="C13" s="6" t="s">
        <v>52</v>
      </c>
      <c r="D13" s="6" t="s">
        <v>158</v>
      </c>
      <c r="E13" s="6" t="s">
        <v>159</v>
      </c>
      <c r="F13" s="6" t="s">
        <v>160</v>
      </c>
      <c r="G13" s="6" t="s">
        <v>34</v>
      </c>
      <c r="H13" s="7" t="s">
        <v>161</v>
      </c>
      <c r="I13" s="6" t="s">
        <v>70</v>
      </c>
      <c r="J13" s="6" t="s">
        <v>71</v>
      </c>
      <c r="K13" s="6" t="n">
        <v>2.6</v>
      </c>
      <c r="L13" s="6" t="n">
        <v>124</v>
      </c>
      <c r="M13" s="6" t="s">
        <v>85</v>
      </c>
      <c r="N13" s="6" t="s">
        <v>162</v>
      </c>
      <c r="O13" s="6" t="s">
        <v>87</v>
      </c>
      <c r="P13" s="6"/>
      <c r="Q13" s="6" t="s">
        <v>42</v>
      </c>
      <c r="R13" s="6" t="s">
        <v>34</v>
      </c>
      <c r="S13" s="7" t="s">
        <v>88</v>
      </c>
      <c r="T13" s="6" t="s">
        <v>89</v>
      </c>
      <c r="U13" s="6" t="s">
        <v>90</v>
      </c>
      <c r="V13" s="6" t="n">
        <v>0</v>
      </c>
      <c r="W13" s="6" t="s">
        <v>90</v>
      </c>
      <c r="X13" s="6" t="s">
        <v>47</v>
      </c>
      <c r="Y13" s="7" t="s">
        <v>48</v>
      </c>
      <c r="Z13" s="7" t="s">
        <v>48</v>
      </c>
      <c r="AA13" s="6" t="s">
        <v>91</v>
      </c>
      <c r="AB13" s="6" t="s">
        <v>92</v>
      </c>
    </row>
    <row r="14" customFormat="false" ht="15" hidden="false" customHeight="true" outlineLevel="0" collapsed="false">
      <c r="A14" s="4" t="s">
        <v>163</v>
      </c>
      <c r="B14" s="5" t="s">
        <v>164</v>
      </c>
      <c r="C14" s="4" t="s">
        <v>30</v>
      </c>
      <c r="D14" s="4" t="s">
        <v>165</v>
      </c>
      <c r="E14" s="4" t="s">
        <v>166</v>
      </c>
      <c r="F14" s="4" t="s">
        <v>167</v>
      </c>
      <c r="G14" s="4" t="s">
        <v>56</v>
      </c>
      <c r="H14" s="5" t="s">
        <v>168</v>
      </c>
      <c r="I14" s="4" t="s">
        <v>169</v>
      </c>
      <c r="J14" s="4" t="s">
        <v>37</v>
      </c>
      <c r="K14" s="4" t="n">
        <v>3.5</v>
      </c>
      <c r="L14" s="4" t="n">
        <v>94</v>
      </c>
      <c r="M14" s="4" t="s">
        <v>38</v>
      </c>
      <c r="N14" s="4" t="s">
        <v>39</v>
      </c>
      <c r="O14" s="4" t="s">
        <v>40</v>
      </c>
      <c r="P14" s="4" t="s">
        <v>41</v>
      </c>
      <c r="Q14" s="4" t="s">
        <v>42</v>
      </c>
      <c r="R14" s="4" t="s">
        <v>56</v>
      </c>
      <c r="S14" s="5" t="s">
        <v>43</v>
      </c>
      <c r="T14" s="4" t="s">
        <v>44</v>
      </c>
      <c r="U14" s="4" t="s">
        <v>45</v>
      </c>
      <c r="V14" s="4" t="n">
        <v>0</v>
      </c>
      <c r="W14" s="4" t="s">
        <v>46</v>
      </c>
      <c r="X14" s="4" t="s">
        <v>47</v>
      </c>
      <c r="Y14" s="5" t="s">
        <v>48</v>
      </c>
      <c r="Z14" s="5" t="s">
        <v>48</v>
      </c>
      <c r="AA14" s="4" t="s">
        <v>49</v>
      </c>
      <c r="AB14" s="4"/>
    </row>
    <row r="15" customFormat="false" ht="15" hidden="false" customHeight="true" outlineLevel="0" collapsed="false">
      <c r="A15" s="12" t="s">
        <v>170</v>
      </c>
      <c r="B15" s="13" t="s">
        <v>171</v>
      </c>
      <c r="C15" s="12" t="s">
        <v>52</v>
      </c>
      <c r="D15" s="12" t="s">
        <v>172</v>
      </c>
      <c r="E15" s="12" t="s">
        <v>173</v>
      </c>
      <c r="F15" s="12" t="s">
        <v>174</v>
      </c>
      <c r="G15" s="12" t="s">
        <v>175</v>
      </c>
      <c r="H15" s="13" t="s">
        <v>176</v>
      </c>
      <c r="I15" s="12" t="s">
        <v>84</v>
      </c>
      <c r="J15" s="12" t="s">
        <v>71</v>
      </c>
      <c r="K15" s="12" t="n">
        <v>1.9</v>
      </c>
      <c r="L15" s="12" t="n">
        <v>112</v>
      </c>
      <c r="M15" s="12" t="s">
        <v>177</v>
      </c>
      <c r="N15" s="12" t="s">
        <v>39</v>
      </c>
      <c r="O15" s="12" t="s">
        <v>73</v>
      </c>
      <c r="P15" s="12" t="s">
        <v>74</v>
      </c>
      <c r="Q15" s="12" t="s">
        <v>42</v>
      </c>
      <c r="R15" s="12" t="s">
        <v>175</v>
      </c>
      <c r="S15" s="13" t="s">
        <v>178</v>
      </c>
      <c r="T15" s="12" t="s">
        <v>76</v>
      </c>
      <c r="U15" s="12" t="s">
        <v>179</v>
      </c>
      <c r="V15" s="12" t="n">
        <v>75000</v>
      </c>
      <c r="W15" s="12" t="s">
        <v>177</v>
      </c>
      <c r="X15" s="12" t="s">
        <v>107</v>
      </c>
      <c r="Y15" s="13" t="s">
        <v>48</v>
      </c>
      <c r="Z15" s="13" t="s">
        <v>48</v>
      </c>
      <c r="AA15" s="12" t="s">
        <v>108</v>
      </c>
      <c r="AB15" s="12"/>
    </row>
    <row r="16" customFormat="false" ht="15" hidden="false" customHeight="true" outlineLevel="0" collapsed="false">
      <c r="A16" s="4" t="s">
        <v>180</v>
      </c>
      <c r="B16" s="5" t="s">
        <v>181</v>
      </c>
      <c r="C16" s="4" t="s">
        <v>30</v>
      </c>
      <c r="D16" s="4" t="s">
        <v>182</v>
      </c>
      <c r="E16" s="4" t="s">
        <v>183</v>
      </c>
      <c r="F16" s="4" t="s">
        <v>184</v>
      </c>
      <c r="G16" s="4" t="s">
        <v>56</v>
      </c>
      <c r="H16" s="5" t="s">
        <v>185</v>
      </c>
      <c r="I16" s="4" t="s">
        <v>186</v>
      </c>
      <c r="J16" s="4" t="s">
        <v>100</v>
      </c>
      <c r="K16" s="4" t="n">
        <v>3.82</v>
      </c>
      <c r="L16" s="4" t="n">
        <v>34</v>
      </c>
      <c r="M16" s="4" t="s">
        <v>38</v>
      </c>
      <c r="N16" s="4" t="s">
        <v>39</v>
      </c>
      <c r="O16" s="4" t="s">
        <v>102</v>
      </c>
      <c r="P16" s="4" t="s">
        <v>103</v>
      </c>
      <c r="Q16" s="4" t="s">
        <v>42</v>
      </c>
      <c r="R16" s="4" t="s">
        <v>56</v>
      </c>
      <c r="S16" s="5" t="s">
        <v>149</v>
      </c>
      <c r="T16" s="4" t="s">
        <v>105</v>
      </c>
      <c r="U16" s="4" t="s">
        <v>45</v>
      </c>
      <c r="V16" s="4" t="n">
        <v>0</v>
      </c>
      <c r="W16" s="4" t="s">
        <v>46</v>
      </c>
      <c r="X16" s="4" t="s">
        <v>47</v>
      </c>
      <c r="Y16" s="5" t="s">
        <v>48</v>
      </c>
      <c r="Z16" s="5" t="s">
        <v>48</v>
      </c>
      <c r="AA16" s="4" t="s">
        <v>49</v>
      </c>
      <c r="AB16" s="4"/>
    </row>
    <row r="17" customFormat="false" ht="15" hidden="false" customHeight="true" outlineLevel="0" collapsed="false">
      <c r="A17" s="4" t="s">
        <v>187</v>
      </c>
      <c r="B17" s="5" t="s">
        <v>188</v>
      </c>
      <c r="C17" s="4" t="s">
        <v>52</v>
      </c>
      <c r="D17" s="4" t="s">
        <v>189</v>
      </c>
      <c r="E17" s="4" t="s">
        <v>190</v>
      </c>
      <c r="F17" s="4" t="s">
        <v>191</v>
      </c>
      <c r="G17" s="4" t="s">
        <v>34</v>
      </c>
      <c r="H17" s="5" t="s">
        <v>192</v>
      </c>
      <c r="I17" s="4" t="s">
        <v>99</v>
      </c>
      <c r="J17" s="4" t="s">
        <v>59</v>
      </c>
      <c r="K17" s="4" t="n">
        <v>2.95</v>
      </c>
      <c r="L17" s="4" t="n">
        <v>58</v>
      </c>
      <c r="M17" s="4" t="s">
        <v>38</v>
      </c>
      <c r="N17" s="4" t="s">
        <v>39</v>
      </c>
      <c r="O17" s="4" t="s">
        <v>123</v>
      </c>
      <c r="P17" s="4" t="s">
        <v>61</v>
      </c>
      <c r="Q17" s="4" t="s">
        <v>42</v>
      </c>
      <c r="R17" s="4" t="s">
        <v>34</v>
      </c>
      <c r="S17" s="5" t="s">
        <v>62</v>
      </c>
      <c r="T17" s="4" t="s">
        <v>63</v>
      </c>
      <c r="U17" s="4" t="s">
        <v>45</v>
      </c>
      <c r="V17" s="4" t="n">
        <v>0</v>
      </c>
      <c r="W17" s="4" t="s">
        <v>46</v>
      </c>
      <c r="X17" s="4" t="s">
        <v>47</v>
      </c>
      <c r="Y17" s="5" t="s">
        <v>48</v>
      </c>
      <c r="Z17" s="5" t="s">
        <v>48</v>
      </c>
      <c r="AA17" s="4" t="s">
        <v>49</v>
      </c>
      <c r="AB17" s="4"/>
    </row>
    <row r="18" customFormat="false" ht="15" hidden="false" customHeight="true" outlineLevel="0" collapsed="false">
      <c r="A18" s="4" t="s">
        <v>193</v>
      </c>
      <c r="B18" s="5" t="s">
        <v>194</v>
      </c>
      <c r="C18" s="4" t="s">
        <v>30</v>
      </c>
      <c r="D18" s="4" t="s">
        <v>195</v>
      </c>
      <c r="E18" s="4" t="s">
        <v>196</v>
      </c>
      <c r="F18" s="4" t="s">
        <v>197</v>
      </c>
      <c r="G18" s="4" t="s">
        <v>34</v>
      </c>
      <c r="H18" s="5" t="s">
        <v>35</v>
      </c>
      <c r="I18" s="4" t="s">
        <v>36</v>
      </c>
      <c r="J18" s="4" t="s">
        <v>37</v>
      </c>
      <c r="K18" s="4" t="n">
        <v>3.95</v>
      </c>
      <c r="L18" s="4" t="n">
        <v>100</v>
      </c>
      <c r="M18" s="4" t="s">
        <v>38</v>
      </c>
      <c r="N18" s="4" t="s">
        <v>39</v>
      </c>
      <c r="O18" s="4" t="s">
        <v>40</v>
      </c>
      <c r="P18" s="4" t="s">
        <v>41</v>
      </c>
      <c r="Q18" s="4" t="s">
        <v>42</v>
      </c>
      <c r="R18" s="4" t="s">
        <v>34</v>
      </c>
      <c r="S18" s="5" t="s">
        <v>43</v>
      </c>
      <c r="T18" s="4" t="s">
        <v>44</v>
      </c>
      <c r="U18" s="4" t="s">
        <v>45</v>
      </c>
      <c r="V18" s="4" t="n">
        <v>0</v>
      </c>
      <c r="W18" s="4" t="s">
        <v>46</v>
      </c>
      <c r="X18" s="4" t="s">
        <v>47</v>
      </c>
      <c r="Y18" s="5" t="s">
        <v>48</v>
      </c>
      <c r="Z18" s="5" t="s">
        <v>48</v>
      </c>
      <c r="AA18" s="4" t="s">
        <v>49</v>
      </c>
      <c r="AB18" s="4"/>
    </row>
    <row r="19" customFormat="false" ht="15" hidden="false" customHeight="true" outlineLevel="0" collapsed="false">
      <c r="A19" s="4" t="s">
        <v>198</v>
      </c>
      <c r="B19" s="5" t="s">
        <v>199</v>
      </c>
      <c r="C19" s="4" t="s">
        <v>52</v>
      </c>
      <c r="D19" s="4" t="s">
        <v>200</v>
      </c>
      <c r="E19" s="4" t="s">
        <v>201</v>
      </c>
      <c r="F19" s="4" t="s">
        <v>202</v>
      </c>
      <c r="G19" s="4" t="s">
        <v>114</v>
      </c>
      <c r="H19" s="5" t="s">
        <v>203</v>
      </c>
      <c r="I19" s="4" t="s">
        <v>116</v>
      </c>
      <c r="J19" s="4" t="s">
        <v>71</v>
      </c>
      <c r="K19" s="4" t="n">
        <v>3.3</v>
      </c>
      <c r="L19" s="4" t="n">
        <v>118</v>
      </c>
      <c r="M19" s="4" t="s">
        <v>38</v>
      </c>
      <c r="N19" s="4" t="s">
        <v>204</v>
      </c>
      <c r="O19" s="4" t="s">
        <v>73</v>
      </c>
      <c r="P19" s="4" t="s">
        <v>74</v>
      </c>
      <c r="Q19" s="4" t="s">
        <v>42</v>
      </c>
      <c r="R19" s="4" t="s">
        <v>114</v>
      </c>
      <c r="S19" s="5" t="s">
        <v>75</v>
      </c>
      <c r="T19" s="4" t="s">
        <v>76</v>
      </c>
      <c r="U19" s="4" t="s">
        <v>45</v>
      </c>
      <c r="V19" s="4" t="n">
        <v>0</v>
      </c>
      <c r="W19" s="4" t="s">
        <v>46</v>
      </c>
      <c r="X19" s="4" t="s">
        <v>47</v>
      </c>
      <c r="Y19" s="5" t="s">
        <v>48</v>
      </c>
      <c r="Z19" s="5" t="s">
        <v>48</v>
      </c>
      <c r="AA19" s="4" t="s">
        <v>77</v>
      </c>
      <c r="AB19" s="4"/>
    </row>
    <row r="20" customFormat="false" ht="15" hidden="false" customHeight="true" outlineLevel="0" collapsed="false">
      <c r="A20" s="4" t="s">
        <v>205</v>
      </c>
      <c r="B20" s="5" t="s">
        <v>206</v>
      </c>
      <c r="C20" s="4" t="s">
        <v>30</v>
      </c>
      <c r="D20" s="4" t="s">
        <v>207</v>
      </c>
      <c r="E20" s="4" t="s">
        <v>208</v>
      </c>
      <c r="F20" s="4" t="s">
        <v>209</v>
      </c>
      <c r="G20" s="4" t="s">
        <v>34</v>
      </c>
      <c r="H20" s="5" t="s">
        <v>210</v>
      </c>
      <c r="I20" s="4" t="s">
        <v>84</v>
      </c>
      <c r="J20" s="4" t="s">
        <v>100</v>
      </c>
      <c r="K20" s="4" t="n">
        <v>3.15</v>
      </c>
      <c r="L20" s="4" t="n">
        <v>28</v>
      </c>
      <c r="M20" s="4" t="s">
        <v>38</v>
      </c>
      <c r="N20" s="4" t="s">
        <v>39</v>
      </c>
      <c r="O20" s="4" t="s">
        <v>102</v>
      </c>
      <c r="P20" s="4" t="s">
        <v>103</v>
      </c>
      <c r="Q20" s="4" t="s">
        <v>42</v>
      </c>
      <c r="R20" s="4" t="s">
        <v>34</v>
      </c>
      <c r="S20" s="5" t="s">
        <v>149</v>
      </c>
      <c r="T20" s="4" t="s">
        <v>105</v>
      </c>
      <c r="U20" s="4" t="s">
        <v>45</v>
      </c>
      <c r="V20" s="4" t="n">
        <v>0</v>
      </c>
      <c r="W20" s="4" t="s">
        <v>46</v>
      </c>
      <c r="X20" s="4" t="s">
        <v>47</v>
      </c>
      <c r="Y20" s="5" t="s">
        <v>48</v>
      </c>
      <c r="Z20" s="5" t="s">
        <v>48</v>
      </c>
      <c r="AA20" s="4" t="s">
        <v>49</v>
      </c>
      <c r="AB20" s="4"/>
    </row>
    <row r="21" customFormat="false" ht="15" hidden="false" customHeight="true" outlineLevel="0" collapsed="false">
      <c r="A21" s="4" t="s">
        <v>211</v>
      </c>
      <c r="B21" s="5" t="s">
        <v>212</v>
      </c>
      <c r="C21" s="4" t="s">
        <v>52</v>
      </c>
      <c r="D21" s="4" t="s">
        <v>213</v>
      </c>
      <c r="E21" s="4" t="s">
        <v>214</v>
      </c>
      <c r="F21" s="4" t="s">
        <v>215</v>
      </c>
      <c r="G21" s="4" t="s">
        <v>129</v>
      </c>
      <c r="H21" s="5" t="s">
        <v>130</v>
      </c>
      <c r="I21" s="4" t="s">
        <v>131</v>
      </c>
      <c r="J21" s="4" t="s">
        <v>59</v>
      </c>
      <c r="K21" s="4" t="n">
        <v>3.6</v>
      </c>
      <c r="L21" s="4" t="n">
        <v>62</v>
      </c>
      <c r="M21" s="4" t="s">
        <v>38</v>
      </c>
      <c r="N21" s="4" t="s">
        <v>162</v>
      </c>
      <c r="O21" s="4" t="s">
        <v>123</v>
      </c>
      <c r="P21" s="4" t="s">
        <v>61</v>
      </c>
      <c r="Q21" s="4" t="s">
        <v>42</v>
      </c>
      <c r="R21" s="4" t="s">
        <v>129</v>
      </c>
      <c r="S21" s="5" t="s">
        <v>62</v>
      </c>
      <c r="T21" s="4" t="s">
        <v>63</v>
      </c>
      <c r="U21" s="4" t="s">
        <v>45</v>
      </c>
      <c r="V21" s="4" t="n">
        <v>0</v>
      </c>
      <c r="W21" s="4" t="s">
        <v>46</v>
      </c>
      <c r="X21" s="4" t="s">
        <v>47</v>
      </c>
      <c r="Y21" s="5" t="s">
        <v>48</v>
      </c>
      <c r="Z21" s="5" t="s">
        <v>48</v>
      </c>
      <c r="AA21" s="4" t="s">
        <v>49</v>
      </c>
      <c r="AB21" s="4"/>
    </row>
    <row r="22" customFormat="false" ht="15" hidden="false" customHeight="true" outlineLevel="0" collapsed="false">
      <c r="A22" s="10" t="s">
        <v>216</v>
      </c>
      <c r="B22" s="11" t="s">
        <v>217</v>
      </c>
      <c r="C22" s="10" t="s">
        <v>52</v>
      </c>
      <c r="D22" s="10" t="s">
        <v>218</v>
      </c>
      <c r="E22" s="10" t="s">
        <v>219</v>
      </c>
      <c r="F22" s="10" t="s">
        <v>220</v>
      </c>
      <c r="G22" s="10" t="s">
        <v>56</v>
      </c>
      <c r="H22" s="11" t="s">
        <v>221</v>
      </c>
      <c r="I22" s="10" t="s">
        <v>169</v>
      </c>
      <c r="J22" s="10" t="s">
        <v>37</v>
      </c>
      <c r="K22" s="10" t="n">
        <v>2.75</v>
      </c>
      <c r="L22" s="10" t="n">
        <v>88</v>
      </c>
      <c r="M22" s="10" t="s">
        <v>140</v>
      </c>
      <c r="N22" s="10" t="s">
        <v>162</v>
      </c>
      <c r="O22" s="10" t="s">
        <v>40</v>
      </c>
      <c r="P22" s="10" t="s">
        <v>41</v>
      </c>
      <c r="Q22" s="10" t="s">
        <v>42</v>
      </c>
      <c r="R22" s="10" t="s">
        <v>56</v>
      </c>
      <c r="S22" s="11" t="s">
        <v>141</v>
      </c>
      <c r="T22" s="10" t="s">
        <v>44</v>
      </c>
      <c r="U22" s="10" t="s">
        <v>142</v>
      </c>
      <c r="V22" s="10" t="n">
        <v>0</v>
      </c>
      <c r="W22" s="10" t="s">
        <v>46</v>
      </c>
      <c r="X22" s="10" t="s">
        <v>47</v>
      </c>
      <c r="Y22" s="11" t="s">
        <v>48</v>
      </c>
      <c r="Z22" s="11" t="s">
        <v>48</v>
      </c>
      <c r="AA22" s="10" t="s">
        <v>49</v>
      </c>
      <c r="AB22" s="10"/>
    </row>
    <row r="23" customFormat="false" ht="15" hidden="false" customHeight="true" outlineLevel="0" collapsed="false">
      <c r="A23" s="6" t="s">
        <v>222</v>
      </c>
      <c r="B23" s="7" t="s">
        <v>223</v>
      </c>
      <c r="C23" s="6" t="s">
        <v>30</v>
      </c>
      <c r="D23" s="6" t="s">
        <v>224</v>
      </c>
      <c r="E23" s="6" t="s">
        <v>225</v>
      </c>
      <c r="F23" s="6" t="s">
        <v>226</v>
      </c>
      <c r="G23" s="6" t="s">
        <v>34</v>
      </c>
      <c r="H23" s="7" t="s">
        <v>122</v>
      </c>
      <c r="I23" s="6" t="s">
        <v>99</v>
      </c>
      <c r="J23" s="6" t="s">
        <v>71</v>
      </c>
      <c r="K23" s="6" t="n">
        <v>3.88</v>
      </c>
      <c r="L23" s="6" t="n">
        <v>134</v>
      </c>
      <c r="M23" s="6" t="s">
        <v>85</v>
      </c>
      <c r="N23" s="6" t="s">
        <v>39</v>
      </c>
      <c r="O23" s="6" t="s">
        <v>87</v>
      </c>
      <c r="P23" s="6"/>
      <c r="Q23" s="6" t="s">
        <v>42</v>
      </c>
      <c r="R23" s="6" t="s">
        <v>34</v>
      </c>
      <c r="S23" s="7" t="s">
        <v>88</v>
      </c>
      <c r="T23" s="6" t="s">
        <v>89</v>
      </c>
      <c r="U23" s="6" t="s">
        <v>90</v>
      </c>
      <c r="V23" s="6" t="n">
        <v>0</v>
      </c>
      <c r="W23" s="6" t="s">
        <v>90</v>
      </c>
      <c r="X23" s="6" t="s">
        <v>47</v>
      </c>
      <c r="Y23" s="7" t="s">
        <v>48</v>
      </c>
      <c r="Z23" s="7" t="s">
        <v>48</v>
      </c>
      <c r="AA23" s="6" t="s">
        <v>91</v>
      </c>
      <c r="AB23" s="6" t="s">
        <v>92</v>
      </c>
    </row>
    <row r="24" customFormat="false" ht="15" hidden="false" customHeight="true" outlineLevel="0" collapsed="false">
      <c r="A24" s="8" t="s">
        <v>227</v>
      </c>
      <c r="B24" s="9" t="s">
        <v>228</v>
      </c>
      <c r="C24" s="8" t="s">
        <v>52</v>
      </c>
      <c r="D24" s="8" t="s">
        <v>229</v>
      </c>
      <c r="E24" s="8" t="s">
        <v>230</v>
      </c>
      <c r="F24" s="8" t="s">
        <v>231</v>
      </c>
      <c r="G24" s="8" t="s">
        <v>138</v>
      </c>
      <c r="H24" s="9" t="s">
        <v>232</v>
      </c>
      <c r="I24" s="8" t="s">
        <v>58</v>
      </c>
      <c r="J24" s="8" t="s">
        <v>100</v>
      </c>
      <c r="K24" s="8" t="n">
        <v>2.2</v>
      </c>
      <c r="L24" s="8" t="n">
        <v>26</v>
      </c>
      <c r="M24" s="8" t="s">
        <v>101</v>
      </c>
      <c r="N24" s="8" t="s">
        <v>39</v>
      </c>
      <c r="O24" s="8" t="s">
        <v>102</v>
      </c>
      <c r="P24" s="8" t="s">
        <v>103</v>
      </c>
      <c r="Q24" s="8" t="s">
        <v>42</v>
      </c>
      <c r="R24" s="8" t="s">
        <v>138</v>
      </c>
      <c r="S24" s="9" t="s">
        <v>104</v>
      </c>
      <c r="T24" s="8" t="s">
        <v>105</v>
      </c>
      <c r="U24" s="8" t="s">
        <v>106</v>
      </c>
      <c r="V24" s="8" t="n">
        <v>35000</v>
      </c>
      <c r="W24" s="8" t="s">
        <v>101</v>
      </c>
      <c r="X24" s="8" t="s">
        <v>107</v>
      </c>
      <c r="Y24" s="9" t="s">
        <v>48</v>
      </c>
      <c r="Z24" s="9" t="s">
        <v>48</v>
      </c>
      <c r="AA24" s="8" t="s">
        <v>108</v>
      </c>
      <c r="AB24" s="8"/>
    </row>
    <row r="25" customFormat="false" ht="15" hidden="false" customHeight="true" outlineLevel="0" collapsed="false">
      <c r="A25" s="4" t="s">
        <v>233</v>
      </c>
      <c r="B25" s="5" t="s">
        <v>234</v>
      </c>
      <c r="C25" s="4" t="s">
        <v>30</v>
      </c>
      <c r="D25" s="4" t="s">
        <v>235</v>
      </c>
      <c r="E25" s="4" t="s">
        <v>236</v>
      </c>
      <c r="F25" s="4" t="s">
        <v>237</v>
      </c>
      <c r="G25" s="4" t="s">
        <v>34</v>
      </c>
      <c r="H25" s="5" t="s">
        <v>148</v>
      </c>
      <c r="I25" s="4" t="s">
        <v>36</v>
      </c>
      <c r="J25" s="4" t="s">
        <v>59</v>
      </c>
      <c r="K25" s="4" t="n">
        <v>3.42</v>
      </c>
      <c r="L25" s="4" t="n">
        <v>68</v>
      </c>
      <c r="M25" s="4" t="s">
        <v>38</v>
      </c>
      <c r="N25" s="4" t="s">
        <v>39</v>
      </c>
      <c r="O25" s="4" t="s">
        <v>123</v>
      </c>
      <c r="P25" s="4" t="s">
        <v>61</v>
      </c>
      <c r="Q25" s="4" t="s">
        <v>42</v>
      </c>
      <c r="R25" s="4" t="s">
        <v>34</v>
      </c>
      <c r="S25" s="5" t="s">
        <v>62</v>
      </c>
      <c r="T25" s="4" t="s">
        <v>63</v>
      </c>
      <c r="U25" s="4" t="s">
        <v>45</v>
      </c>
      <c r="V25" s="4" t="n">
        <v>0</v>
      </c>
      <c r="W25" s="4" t="s">
        <v>46</v>
      </c>
      <c r="X25" s="4" t="s">
        <v>47</v>
      </c>
      <c r="Y25" s="5" t="s">
        <v>48</v>
      </c>
      <c r="Z25" s="5" t="s">
        <v>48</v>
      </c>
      <c r="AA25" s="4" t="s">
        <v>49</v>
      </c>
      <c r="AB25" s="4"/>
    </row>
    <row r="26" customFormat="false" ht="15" hidden="false" customHeight="true" outlineLevel="0" collapsed="false">
      <c r="A26" s="4" t="s">
        <v>238</v>
      </c>
      <c r="B26" s="5" t="s">
        <v>239</v>
      </c>
      <c r="C26" s="4" t="s">
        <v>52</v>
      </c>
      <c r="D26" s="4" t="s">
        <v>240</v>
      </c>
      <c r="E26" s="4" t="s">
        <v>241</v>
      </c>
      <c r="F26" s="4" t="s">
        <v>242</v>
      </c>
      <c r="G26" s="4" t="s">
        <v>34</v>
      </c>
      <c r="H26" s="5" t="s">
        <v>35</v>
      </c>
      <c r="I26" s="4" t="s">
        <v>36</v>
      </c>
      <c r="J26" s="4" t="s">
        <v>100</v>
      </c>
      <c r="K26" s="4" t="n">
        <v>3.65</v>
      </c>
      <c r="L26" s="4" t="n">
        <v>32</v>
      </c>
      <c r="M26" s="4" t="s">
        <v>38</v>
      </c>
      <c r="N26" s="4" t="s">
        <v>39</v>
      </c>
      <c r="O26" s="4" t="s">
        <v>102</v>
      </c>
      <c r="P26" s="4" t="s">
        <v>103</v>
      </c>
      <c r="Q26" s="4" t="s">
        <v>42</v>
      </c>
      <c r="R26" s="4" t="s">
        <v>34</v>
      </c>
      <c r="S26" s="5" t="s">
        <v>149</v>
      </c>
      <c r="T26" s="4" t="s">
        <v>105</v>
      </c>
      <c r="U26" s="4" t="s">
        <v>45</v>
      </c>
      <c r="V26" s="4" t="n">
        <v>0</v>
      </c>
      <c r="W26" s="4" t="s">
        <v>46</v>
      </c>
      <c r="X26" s="4" t="s">
        <v>47</v>
      </c>
      <c r="Y26" s="5" t="s">
        <v>48</v>
      </c>
      <c r="Z26" s="5" t="s">
        <v>48</v>
      </c>
      <c r="AA26" s="4" t="s">
        <v>49</v>
      </c>
      <c r="AB26" s="4"/>
    </row>
    <row r="27" customFormat="false" ht="15" hidden="false" customHeight="true" outlineLevel="0" collapsed="false">
      <c r="A27" s="14" t="s">
        <v>243</v>
      </c>
      <c r="B27" s="15" t="s">
        <v>244</v>
      </c>
      <c r="C27" s="14" t="s">
        <v>30</v>
      </c>
      <c r="D27" s="14" t="s">
        <v>245</v>
      </c>
      <c r="E27" s="14" t="s">
        <v>246</v>
      </c>
      <c r="F27" s="14" t="s">
        <v>247</v>
      </c>
      <c r="G27" s="14" t="s">
        <v>248</v>
      </c>
      <c r="H27" s="15" t="s">
        <v>249</v>
      </c>
      <c r="I27" s="14" t="s">
        <v>36</v>
      </c>
      <c r="J27" s="14" t="s">
        <v>59</v>
      </c>
      <c r="K27" s="14" t="n">
        <v>3.72</v>
      </c>
      <c r="L27" s="14" t="n">
        <v>48</v>
      </c>
      <c r="M27" s="14" t="s">
        <v>38</v>
      </c>
      <c r="N27" s="14" t="s">
        <v>250</v>
      </c>
      <c r="O27" s="14" t="s">
        <v>60</v>
      </c>
      <c r="P27" s="14" t="s">
        <v>74</v>
      </c>
      <c r="Q27" s="14" t="s">
        <v>251</v>
      </c>
      <c r="R27" s="15" t="s">
        <v>252</v>
      </c>
      <c r="S27" s="14" t="s">
        <v>253</v>
      </c>
      <c r="T27" s="14" t="s">
        <v>63</v>
      </c>
      <c r="U27" s="14" t="s">
        <v>45</v>
      </c>
      <c r="V27" s="14" t="n">
        <v>0</v>
      </c>
      <c r="W27" s="14" t="s">
        <v>46</v>
      </c>
      <c r="X27" s="14" t="s">
        <v>47</v>
      </c>
      <c r="Y27" s="14" t="s">
        <v>48</v>
      </c>
      <c r="Z27" s="15" t="s">
        <v>48</v>
      </c>
      <c r="AA27" s="15" t="s">
        <v>77</v>
      </c>
      <c r="AB27" s="14"/>
    </row>
    <row r="28" customFormat="false" ht="15" hidden="false" customHeight="true" outlineLevel="0" collapsed="false">
      <c r="A28" s="14" t="s">
        <v>254</v>
      </c>
      <c r="B28" s="15" t="s">
        <v>255</v>
      </c>
      <c r="C28" s="14" t="s">
        <v>52</v>
      </c>
      <c r="D28" s="14" t="s">
        <v>256</v>
      </c>
      <c r="E28" s="14" t="s">
        <v>257</v>
      </c>
      <c r="F28" s="14" t="s">
        <v>258</v>
      </c>
      <c r="G28" s="14" t="s">
        <v>259</v>
      </c>
      <c r="H28" s="15" t="s">
        <v>260</v>
      </c>
      <c r="I28" s="14" t="s">
        <v>58</v>
      </c>
      <c r="J28" s="14" t="s">
        <v>100</v>
      </c>
      <c r="K28" s="14" t="n">
        <v>3.41</v>
      </c>
      <c r="L28" s="14" t="n">
        <v>24</v>
      </c>
      <c r="M28" s="14" t="s">
        <v>38</v>
      </c>
      <c r="N28" s="14" t="s">
        <v>261</v>
      </c>
      <c r="O28" s="14" t="s">
        <v>102</v>
      </c>
      <c r="P28" s="14" t="s">
        <v>41</v>
      </c>
      <c r="Q28" s="14" t="s">
        <v>251</v>
      </c>
      <c r="R28" s="15" t="s">
        <v>262</v>
      </c>
      <c r="S28" s="14" t="s">
        <v>263</v>
      </c>
      <c r="T28" s="14" t="s">
        <v>105</v>
      </c>
      <c r="U28" s="14" t="s">
        <v>45</v>
      </c>
      <c r="V28" s="14" t="n">
        <v>0</v>
      </c>
      <c r="W28" s="14" t="s">
        <v>46</v>
      </c>
      <c r="X28" s="14" t="s">
        <v>47</v>
      </c>
      <c r="Y28" s="14" t="s">
        <v>48</v>
      </c>
      <c r="Z28" s="15" t="s">
        <v>48</v>
      </c>
      <c r="AA28" s="15" t="s">
        <v>49</v>
      </c>
      <c r="AB28" s="14"/>
    </row>
    <row r="29" customFormat="false" ht="15" hidden="false" customHeight="true" outlineLevel="0" collapsed="false">
      <c r="A29" s="6" t="s">
        <v>264</v>
      </c>
      <c r="B29" s="7" t="s">
        <v>265</v>
      </c>
      <c r="C29" s="6" t="s">
        <v>30</v>
      </c>
      <c r="D29" s="6" t="s">
        <v>266</v>
      </c>
      <c r="E29" s="6" t="s">
        <v>267</v>
      </c>
      <c r="F29" s="6" t="s">
        <v>268</v>
      </c>
      <c r="G29" s="6" t="s">
        <v>269</v>
      </c>
      <c r="H29" s="7" t="s">
        <v>57</v>
      </c>
      <c r="I29" s="6" t="s">
        <v>58</v>
      </c>
      <c r="J29" s="6" t="s">
        <v>59</v>
      </c>
      <c r="K29" s="6" t="n">
        <v>3.55</v>
      </c>
      <c r="L29" s="6" t="n">
        <v>52</v>
      </c>
      <c r="M29" s="6" t="s">
        <v>85</v>
      </c>
      <c r="N29" s="6" t="s">
        <v>39</v>
      </c>
      <c r="O29" s="6" t="s">
        <v>60</v>
      </c>
      <c r="P29" s="6"/>
      <c r="Q29" s="6" t="s">
        <v>251</v>
      </c>
      <c r="R29" s="7" t="s">
        <v>270</v>
      </c>
      <c r="S29" s="6" t="s">
        <v>271</v>
      </c>
      <c r="T29" s="6" t="s">
        <v>89</v>
      </c>
      <c r="U29" s="6" t="s">
        <v>90</v>
      </c>
      <c r="V29" s="6" t="n">
        <v>0</v>
      </c>
      <c r="W29" s="6" t="s">
        <v>90</v>
      </c>
      <c r="X29" s="6" t="s">
        <v>272</v>
      </c>
      <c r="Y29" s="6" t="s">
        <v>48</v>
      </c>
      <c r="Z29" s="7" t="s">
        <v>48</v>
      </c>
      <c r="AA29" s="7" t="s">
        <v>91</v>
      </c>
      <c r="AB29" s="6" t="s">
        <v>92</v>
      </c>
    </row>
    <row r="30" customFormat="false" ht="15" hidden="false" customHeight="true" outlineLevel="0" collapsed="false">
      <c r="A30" s="8" t="s">
        <v>273</v>
      </c>
      <c r="B30" s="9" t="s">
        <v>274</v>
      </c>
      <c r="C30" s="8" t="s">
        <v>52</v>
      </c>
      <c r="D30" s="8" t="s">
        <v>275</v>
      </c>
      <c r="E30" s="8" t="s">
        <v>276</v>
      </c>
      <c r="F30" s="8" t="s">
        <v>277</v>
      </c>
      <c r="G30" s="8" t="s">
        <v>248</v>
      </c>
      <c r="H30" s="9" t="s">
        <v>155</v>
      </c>
      <c r="I30" s="8" t="s">
        <v>99</v>
      </c>
      <c r="J30" s="8" t="s">
        <v>100</v>
      </c>
      <c r="K30" s="8" t="n">
        <v>2.81</v>
      </c>
      <c r="L30" s="8" t="n">
        <v>20</v>
      </c>
      <c r="M30" s="8" t="s">
        <v>101</v>
      </c>
      <c r="N30" s="8" t="s">
        <v>72</v>
      </c>
      <c r="O30" s="8" t="s">
        <v>102</v>
      </c>
      <c r="P30" s="8" t="s">
        <v>41</v>
      </c>
      <c r="Q30" s="8" t="s">
        <v>251</v>
      </c>
      <c r="R30" s="9" t="s">
        <v>252</v>
      </c>
      <c r="S30" s="8" t="s">
        <v>104</v>
      </c>
      <c r="T30" s="8" t="s">
        <v>105</v>
      </c>
      <c r="U30" s="8" t="s">
        <v>106</v>
      </c>
      <c r="V30" s="8" t="n">
        <v>35000</v>
      </c>
      <c r="W30" s="8" t="s">
        <v>101</v>
      </c>
      <c r="X30" s="8" t="s">
        <v>107</v>
      </c>
      <c r="Y30" s="8" t="s">
        <v>48</v>
      </c>
      <c r="Z30" s="9" t="s">
        <v>48</v>
      </c>
      <c r="AA30" s="9" t="s">
        <v>108</v>
      </c>
      <c r="AB30" s="8"/>
    </row>
    <row r="31" customFormat="false" ht="15" hidden="false" customHeight="true" outlineLevel="0" collapsed="false">
      <c r="A31" s="14" t="s">
        <v>278</v>
      </c>
      <c r="B31" s="15" t="s">
        <v>279</v>
      </c>
      <c r="C31" s="14" t="s">
        <v>30</v>
      </c>
      <c r="D31" s="14" t="s">
        <v>280</v>
      </c>
      <c r="E31" s="14" t="s">
        <v>281</v>
      </c>
      <c r="F31" s="14" t="s">
        <v>282</v>
      </c>
      <c r="G31" s="14" t="s">
        <v>269</v>
      </c>
      <c r="H31" s="15" t="s">
        <v>185</v>
      </c>
      <c r="I31" s="14" t="s">
        <v>186</v>
      </c>
      <c r="J31" s="14" t="s">
        <v>59</v>
      </c>
      <c r="K31" s="14" t="n">
        <v>3.65</v>
      </c>
      <c r="L31" s="14" t="n">
        <v>46</v>
      </c>
      <c r="M31" s="14" t="s">
        <v>38</v>
      </c>
      <c r="N31" s="14" t="s">
        <v>39</v>
      </c>
      <c r="O31" s="14" t="s">
        <v>60</v>
      </c>
      <c r="P31" s="14" t="s">
        <v>74</v>
      </c>
      <c r="Q31" s="14" t="s">
        <v>251</v>
      </c>
      <c r="R31" s="15" t="s">
        <v>270</v>
      </c>
      <c r="S31" s="14" t="s">
        <v>253</v>
      </c>
      <c r="T31" s="14" t="s">
        <v>63</v>
      </c>
      <c r="U31" s="14" t="s">
        <v>45</v>
      </c>
      <c r="V31" s="14" t="n">
        <v>0</v>
      </c>
      <c r="W31" s="14" t="s">
        <v>46</v>
      </c>
      <c r="X31" s="14" t="s">
        <v>47</v>
      </c>
      <c r="Y31" s="14" t="s">
        <v>48</v>
      </c>
      <c r="Z31" s="15" t="s">
        <v>48</v>
      </c>
      <c r="AA31" s="15" t="s">
        <v>77</v>
      </c>
      <c r="AB31" s="14"/>
    </row>
    <row r="32" customFormat="false" ht="15" hidden="false" customHeight="true" outlineLevel="0" collapsed="false">
      <c r="A32" s="14" t="s">
        <v>283</v>
      </c>
      <c r="B32" s="15" t="s">
        <v>284</v>
      </c>
      <c r="C32" s="14" t="s">
        <v>52</v>
      </c>
      <c r="D32" s="14" t="s">
        <v>285</v>
      </c>
      <c r="E32" s="14" t="s">
        <v>286</v>
      </c>
      <c r="F32" s="14" t="s">
        <v>287</v>
      </c>
      <c r="G32" s="14" t="s">
        <v>259</v>
      </c>
      <c r="H32" s="15" t="s">
        <v>288</v>
      </c>
      <c r="I32" s="14" t="s">
        <v>58</v>
      </c>
      <c r="J32" s="14" t="s">
        <v>100</v>
      </c>
      <c r="K32" s="14" t="n">
        <v>3.22</v>
      </c>
      <c r="L32" s="14" t="n">
        <v>24</v>
      </c>
      <c r="M32" s="14" t="s">
        <v>38</v>
      </c>
      <c r="N32" s="14" t="s">
        <v>289</v>
      </c>
      <c r="O32" s="14" t="s">
        <v>102</v>
      </c>
      <c r="P32" s="14" t="s">
        <v>41</v>
      </c>
      <c r="Q32" s="14" t="s">
        <v>251</v>
      </c>
      <c r="R32" s="15" t="s">
        <v>262</v>
      </c>
      <c r="S32" s="14" t="s">
        <v>263</v>
      </c>
      <c r="T32" s="14" t="s">
        <v>105</v>
      </c>
      <c r="U32" s="14" t="s">
        <v>45</v>
      </c>
      <c r="V32" s="14" t="n">
        <v>0</v>
      </c>
      <c r="W32" s="14" t="s">
        <v>46</v>
      </c>
      <c r="X32" s="14" t="s">
        <v>47</v>
      </c>
      <c r="Y32" s="14" t="s">
        <v>48</v>
      </c>
      <c r="Z32" s="15" t="s">
        <v>48</v>
      </c>
      <c r="AA32" s="15" t="s">
        <v>49</v>
      </c>
      <c r="AB32" s="14"/>
    </row>
    <row r="33" customFormat="false" ht="21.75" hidden="false" customHeight="true" outlineLevel="0" collapsed="false">
      <c r="A33" s="16" t="s">
        <v>290</v>
      </c>
      <c r="B33" s="17" t="s">
        <v>291</v>
      </c>
      <c r="C33" s="16" t="s">
        <v>30</v>
      </c>
      <c r="D33" s="16" t="s">
        <v>292</v>
      </c>
      <c r="E33" s="16" t="s">
        <v>293</v>
      </c>
      <c r="F33" s="16" t="s">
        <v>294</v>
      </c>
      <c r="G33" s="16" t="s">
        <v>295</v>
      </c>
      <c r="H33" s="17" t="s">
        <v>122</v>
      </c>
      <c r="I33" s="16" t="s">
        <v>99</v>
      </c>
      <c r="J33" s="16" t="s">
        <v>37</v>
      </c>
      <c r="K33" s="16" t="n">
        <v>3.82</v>
      </c>
      <c r="L33" s="16" t="n">
        <v>36</v>
      </c>
      <c r="M33" s="16" t="s">
        <v>38</v>
      </c>
      <c r="N33" s="16" t="s">
        <v>39</v>
      </c>
      <c r="O33" s="16" t="s">
        <v>296</v>
      </c>
      <c r="P33" s="16" t="s">
        <v>74</v>
      </c>
      <c r="Q33" s="16" t="s">
        <v>251</v>
      </c>
      <c r="R33" s="17" t="s">
        <v>295</v>
      </c>
      <c r="S33" s="16" t="s">
        <v>297</v>
      </c>
      <c r="T33" s="16" t="s">
        <v>298</v>
      </c>
      <c r="U33" s="16" t="s">
        <v>45</v>
      </c>
      <c r="V33" s="16" t="n">
        <v>0</v>
      </c>
      <c r="W33" s="16" t="s">
        <v>46</v>
      </c>
      <c r="X33" s="16" t="s">
        <v>47</v>
      </c>
      <c r="Y33" s="16" t="s">
        <v>299</v>
      </c>
      <c r="Z33" s="17" t="s">
        <v>300</v>
      </c>
      <c r="AA33" s="17" t="s">
        <v>49</v>
      </c>
      <c r="AB33" s="16"/>
    </row>
    <row r="34" customFormat="false" ht="21.75" hidden="false" customHeight="true" outlineLevel="0" collapsed="false">
      <c r="A34" s="16" t="s">
        <v>301</v>
      </c>
      <c r="B34" s="17" t="s">
        <v>302</v>
      </c>
      <c r="C34" s="16" t="s">
        <v>52</v>
      </c>
      <c r="D34" s="16" t="s">
        <v>303</v>
      </c>
      <c r="E34" s="16" t="s">
        <v>304</v>
      </c>
      <c r="F34" s="16" t="s">
        <v>305</v>
      </c>
      <c r="G34" s="16" t="s">
        <v>295</v>
      </c>
      <c r="H34" s="17" t="s">
        <v>35</v>
      </c>
      <c r="I34" s="16" t="s">
        <v>36</v>
      </c>
      <c r="J34" s="16" t="s">
        <v>59</v>
      </c>
      <c r="K34" s="16" t="n">
        <v>3.61</v>
      </c>
      <c r="L34" s="16" t="n">
        <v>24</v>
      </c>
      <c r="M34" s="16" t="s">
        <v>38</v>
      </c>
      <c r="N34" s="16" t="s">
        <v>306</v>
      </c>
      <c r="O34" s="16" t="s">
        <v>60</v>
      </c>
      <c r="P34" s="16" t="s">
        <v>41</v>
      </c>
      <c r="Q34" s="16" t="s">
        <v>251</v>
      </c>
      <c r="R34" s="17" t="s">
        <v>295</v>
      </c>
      <c r="S34" s="16" t="s">
        <v>307</v>
      </c>
      <c r="T34" s="16" t="s">
        <v>308</v>
      </c>
      <c r="U34" s="16" t="s">
        <v>45</v>
      </c>
      <c r="V34" s="16" t="n">
        <v>0</v>
      </c>
      <c r="W34" s="16" t="s">
        <v>46</v>
      </c>
      <c r="X34" s="16" t="s">
        <v>47</v>
      </c>
      <c r="Y34" s="16" t="s">
        <v>309</v>
      </c>
      <c r="Z34" s="17" t="s">
        <v>310</v>
      </c>
      <c r="AA34" s="17" t="s">
        <v>49</v>
      </c>
      <c r="AB34" s="16"/>
    </row>
    <row r="35" customFormat="false" ht="21.75" hidden="false" customHeight="true" outlineLevel="0" collapsed="false">
      <c r="A35" s="16" t="s">
        <v>311</v>
      </c>
      <c r="B35" s="17" t="s">
        <v>312</v>
      </c>
      <c r="C35" s="16" t="s">
        <v>30</v>
      </c>
      <c r="D35" s="16" t="s">
        <v>313</v>
      </c>
      <c r="E35" s="16" t="s">
        <v>314</v>
      </c>
      <c r="F35" s="16" t="s">
        <v>315</v>
      </c>
      <c r="G35" s="16" t="s">
        <v>316</v>
      </c>
      <c r="H35" s="17" t="s">
        <v>115</v>
      </c>
      <c r="I35" s="16" t="s">
        <v>116</v>
      </c>
      <c r="J35" s="16" t="s">
        <v>37</v>
      </c>
      <c r="K35" s="16" t="n">
        <v>3.48</v>
      </c>
      <c r="L35" s="16" t="n">
        <v>36</v>
      </c>
      <c r="M35" s="16" t="s">
        <v>38</v>
      </c>
      <c r="N35" s="16" t="s">
        <v>39</v>
      </c>
      <c r="O35" s="16" t="s">
        <v>296</v>
      </c>
      <c r="P35" s="16" t="s">
        <v>74</v>
      </c>
      <c r="Q35" s="16" t="s">
        <v>251</v>
      </c>
      <c r="R35" s="17" t="s">
        <v>316</v>
      </c>
      <c r="S35" s="16" t="s">
        <v>297</v>
      </c>
      <c r="T35" s="16" t="s">
        <v>298</v>
      </c>
      <c r="U35" s="16" t="s">
        <v>45</v>
      </c>
      <c r="V35" s="16" t="n">
        <v>0</v>
      </c>
      <c r="W35" s="16" t="s">
        <v>46</v>
      </c>
      <c r="X35" s="16" t="s">
        <v>47</v>
      </c>
      <c r="Y35" s="16" t="s">
        <v>317</v>
      </c>
      <c r="Z35" s="17" t="s">
        <v>300</v>
      </c>
      <c r="AA35" s="17" t="s">
        <v>49</v>
      </c>
      <c r="AB35" s="16"/>
    </row>
    <row r="36" customFormat="false" ht="21.75" hidden="false" customHeight="true" outlineLevel="0" collapsed="false">
      <c r="A36" s="10" t="s">
        <v>318</v>
      </c>
      <c r="B36" s="11" t="s">
        <v>319</v>
      </c>
      <c r="C36" s="10" t="s">
        <v>52</v>
      </c>
      <c r="D36" s="10" t="s">
        <v>320</v>
      </c>
      <c r="E36" s="10" t="s">
        <v>321</v>
      </c>
      <c r="F36" s="10" t="s">
        <v>322</v>
      </c>
      <c r="G36" s="10" t="s">
        <v>295</v>
      </c>
      <c r="H36" s="11" t="s">
        <v>323</v>
      </c>
      <c r="I36" s="10" t="s">
        <v>70</v>
      </c>
      <c r="J36" s="10" t="s">
        <v>59</v>
      </c>
      <c r="K36" s="10" t="n">
        <v>3.31</v>
      </c>
      <c r="L36" s="10" t="n">
        <v>18</v>
      </c>
      <c r="M36" s="10" t="s">
        <v>140</v>
      </c>
      <c r="N36" s="10" t="s">
        <v>86</v>
      </c>
      <c r="O36" s="10" t="s">
        <v>60</v>
      </c>
      <c r="P36" s="10" t="s">
        <v>61</v>
      </c>
      <c r="Q36" s="10" t="s">
        <v>251</v>
      </c>
      <c r="R36" s="11" t="s">
        <v>295</v>
      </c>
      <c r="S36" s="10" t="s">
        <v>324</v>
      </c>
      <c r="T36" s="10" t="s">
        <v>308</v>
      </c>
      <c r="U36" s="10" t="s">
        <v>142</v>
      </c>
      <c r="V36" s="10" t="n">
        <v>0</v>
      </c>
      <c r="W36" s="10" t="s">
        <v>46</v>
      </c>
      <c r="X36" s="10" t="s">
        <v>47</v>
      </c>
      <c r="Y36" s="10" t="s">
        <v>325</v>
      </c>
      <c r="Z36" s="11" t="s">
        <v>326</v>
      </c>
      <c r="AA36" s="11" t="s">
        <v>49</v>
      </c>
      <c r="AB36" s="10"/>
    </row>
    <row r="37" customFormat="false" ht="21.75" hidden="false" customHeight="true" outlineLevel="0" collapsed="false">
      <c r="A37" s="6" t="s">
        <v>327</v>
      </c>
      <c r="B37" s="7" t="s">
        <v>328</v>
      </c>
      <c r="C37" s="6" t="s">
        <v>30</v>
      </c>
      <c r="D37" s="6" t="s">
        <v>329</v>
      </c>
      <c r="E37" s="6" t="s">
        <v>330</v>
      </c>
      <c r="F37" s="6" t="s">
        <v>331</v>
      </c>
      <c r="G37" s="6" t="s">
        <v>295</v>
      </c>
      <c r="H37" s="7" t="s">
        <v>332</v>
      </c>
      <c r="I37" s="6" t="s">
        <v>84</v>
      </c>
      <c r="J37" s="6" t="s">
        <v>71</v>
      </c>
      <c r="K37" s="6" t="n">
        <v>3.91</v>
      </c>
      <c r="L37" s="6" t="n">
        <v>48</v>
      </c>
      <c r="M37" s="6" t="s">
        <v>85</v>
      </c>
      <c r="N37" s="6" t="s">
        <v>39</v>
      </c>
      <c r="O37" s="6" t="s">
        <v>73</v>
      </c>
      <c r="P37" s="6"/>
      <c r="Q37" s="6" t="s">
        <v>251</v>
      </c>
      <c r="R37" s="7" t="s">
        <v>295</v>
      </c>
      <c r="S37" s="6" t="s">
        <v>333</v>
      </c>
      <c r="T37" s="6" t="s">
        <v>89</v>
      </c>
      <c r="U37" s="6" t="s">
        <v>90</v>
      </c>
      <c r="V37" s="6" t="n">
        <v>0</v>
      </c>
      <c r="W37" s="6" t="s">
        <v>90</v>
      </c>
      <c r="X37" s="6" t="s">
        <v>272</v>
      </c>
      <c r="Y37" s="6" t="s">
        <v>334</v>
      </c>
      <c r="Z37" s="7" t="s">
        <v>335</v>
      </c>
      <c r="AA37" s="7" t="s">
        <v>91</v>
      </c>
      <c r="AB37" s="6" t="s">
        <v>92</v>
      </c>
    </row>
    <row r="38" customFormat="false" ht="21.75" hidden="false" customHeight="true" outlineLevel="0" collapsed="false">
      <c r="A38" s="16" t="s">
        <v>336</v>
      </c>
      <c r="B38" s="17" t="s">
        <v>337</v>
      </c>
      <c r="C38" s="16" t="s">
        <v>52</v>
      </c>
      <c r="D38" s="16" t="s">
        <v>338</v>
      </c>
      <c r="E38" s="16" t="s">
        <v>339</v>
      </c>
      <c r="F38" s="16" t="s">
        <v>340</v>
      </c>
      <c r="G38" s="16" t="s">
        <v>295</v>
      </c>
      <c r="H38" s="17" t="s">
        <v>35</v>
      </c>
      <c r="I38" s="16" t="s">
        <v>36</v>
      </c>
      <c r="J38" s="16" t="s">
        <v>100</v>
      </c>
      <c r="K38" s="16" t="n">
        <v>3.52</v>
      </c>
      <c r="L38" s="16" t="n">
        <v>12</v>
      </c>
      <c r="M38" s="16" t="s">
        <v>38</v>
      </c>
      <c r="N38" s="16" t="s">
        <v>39</v>
      </c>
      <c r="O38" s="16" t="s">
        <v>102</v>
      </c>
      <c r="P38" s="16" t="s">
        <v>61</v>
      </c>
      <c r="Q38" s="16" t="s">
        <v>251</v>
      </c>
      <c r="R38" s="17" t="s">
        <v>295</v>
      </c>
      <c r="S38" s="16" t="s">
        <v>341</v>
      </c>
      <c r="T38" s="16" t="s">
        <v>342</v>
      </c>
      <c r="U38" s="16" t="s">
        <v>45</v>
      </c>
      <c r="V38" s="16" t="n">
        <v>0</v>
      </c>
      <c r="W38" s="16" t="s">
        <v>46</v>
      </c>
      <c r="X38" s="16" t="s">
        <v>47</v>
      </c>
      <c r="Y38" s="16" t="s">
        <v>343</v>
      </c>
      <c r="Z38" s="17" t="s">
        <v>344</v>
      </c>
      <c r="AA38" s="17" t="s">
        <v>49</v>
      </c>
      <c r="AB38"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8"/>
    <col collapsed="false" customWidth="true" hidden="false" outlineLevel="0" max="7" min="6" style="1" width="10"/>
    <col collapsed="false" customWidth="true" hidden="false" outlineLevel="0" max="8" min="8" style="1" width="18"/>
    <col collapsed="false" customWidth="true" hidden="false" outlineLevel="0" max="9" min="9" style="1" width="8"/>
    <col collapsed="false" customWidth="true" hidden="false" outlineLevel="0" max="10" min="10" style="1" width="10"/>
  </cols>
  <sheetData>
    <row r="1" customFormat="false" ht="30" hidden="false" customHeight="true" outlineLevel="0" collapsed="false">
      <c r="A1" s="18" t="s">
        <v>345</v>
      </c>
      <c r="B1" s="18" t="s">
        <v>346</v>
      </c>
      <c r="C1" s="18" t="s">
        <v>8</v>
      </c>
      <c r="D1" s="18" t="s">
        <v>347</v>
      </c>
      <c r="E1" s="18" t="s">
        <v>348</v>
      </c>
      <c r="F1" s="18" t="s">
        <v>349</v>
      </c>
      <c r="G1" s="18" t="s">
        <v>350</v>
      </c>
      <c r="H1" s="18" t="s">
        <v>351</v>
      </c>
      <c r="I1" s="18" t="s">
        <v>352</v>
      </c>
      <c r="J1" s="18" t="s">
        <v>12</v>
      </c>
    </row>
    <row r="2" customFormat="false" ht="15" hidden="false" customHeight="true" outlineLevel="0" collapsed="false">
      <c r="A2" s="19" t="s">
        <v>353</v>
      </c>
      <c r="B2" s="19" t="s">
        <v>354</v>
      </c>
      <c r="C2" s="19" t="s">
        <v>36</v>
      </c>
      <c r="D2" s="19" t="s">
        <v>355</v>
      </c>
      <c r="E2" s="19" t="n">
        <v>4</v>
      </c>
      <c r="F2" s="19" t="n">
        <v>18</v>
      </c>
      <c r="G2" s="19" t="s">
        <v>356</v>
      </c>
      <c r="H2" s="19" t="s">
        <v>357</v>
      </c>
      <c r="I2" s="19" t="s">
        <v>358</v>
      </c>
      <c r="J2" s="19" t="s">
        <v>38</v>
      </c>
    </row>
    <row r="3" customFormat="false" ht="15" hidden="false" customHeight="true" outlineLevel="0" collapsed="false">
      <c r="A3" s="20" t="s">
        <v>359</v>
      </c>
      <c r="B3" s="20" t="s">
        <v>360</v>
      </c>
      <c r="C3" s="20" t="s">
        <v>36</v>
      </c>
      <c r="D3" s="20" t="s">
        <v>355</v>
      </c>
      <c r="E3" s="20" t="n">
        <v>3</v>
      </c>
      <c r="F3" s="20" t="n">
        <v>22</v>
      </c>
      <c r="G3" s="20" t="s">
        <v>356</v>
      </c>
      <c r="H3" s="20" t="s">
        <v>361</v>
      </c>
      <c r="I3" s="20" t="s">
        <v>362</v>
      </c>
      <c r="J3" s="20" t="s">
        <v>38</v>
      </c>
    </row>
    <row r="4" customFormat="false" ht="15" hidden="false" customHeight="true" outlineLevel="0" collapsed="false">
      <c r="A4" s="19" t="s">
        <v>363</v>
      </c>
      <c r="B4" s="19" t="s">
        <v>364</v>
      </c>
      <c r="C4" s="19" t="s">
        <v>58</v>
      </c>
      <c r="D4" s="19" t="s">
        <v>365</v>
      </c>
      <c r="E4" s="19" t="n">
        <v>3</v>
      </c>
      <c r="F4" s="19" t="n">
        <v>35</v>
      </c>
      <c r="G4" s="19" t="s">
        <v>356</v>
      </c>
      <c r="H4" s="19" t="s">
        <v>366</v>
      </c>
      <c r="I4" s="19" t="s">
        <v>367</v>
      </c>
      <c r="J4" s="19" t="s">
        <v>38</v>
      </c>
    </row>
    <row r="5" customFormat="false" ht="15" hidden="false" customHeight="true" outlineLevel="0" collapsed="false">
      <c r="A5" s="20" t="s">
        <v>368</v>
      </c>
      <c r="B5" s="20" t="s">
        <v>369</v>
      </c>
      <c r="C5" s="20" t="s">
        <v>58</v>
      </c>
      <c r="D5" s="20" t="s">
        <v>370</v>
      </c>
      <c r="E5" s="20" t="n">
        <v>4</v>
      </c>
      <c r="F5" s="20" t="n">
        <v>28</v>
      </c>
      <c r="G5" s="20" t="s">
        <v>356</v>
      </c>
      <c r="H5" s="20" t="s">
        <v>371</v>
      </c>
      <c r="I5" s="20" t="s">
        <v>372</v>
      </c>
      <c r="J5" s="20" t="s">
        <v>38</v>
      </c>
    </row>
    <row r="6" customFormat="false" ht="15" hidden="false" customHeight="true" outlineLevel="0" collapsed="false">
      <c r="A6" s="19" t="s">
        <v>373</v>
      </c>
      <c r="B6" s="19" t="s">
        <v>374</v>
      </c>
      <c r="C6" s="19" t="s">
        <v>70</v>
      </c>
      <c r="D6" s="19" t="s">
        <v>375</v>
      </c>
      <c r="E6" s="19" t="n">
        <v>4</v>
      </c>
      <c r="F6" s="19" t="n">
        <v>15</v>
      </c>
      <c r="G6" s="19" t="s">
        <v>356</v>
      </c>
      <c r="H6" s="19" t="s">
        <v>376</v>
      </c>
      <c r="I6" s="19" t="s">
        <v>377</v>
      </c>
      <c r="J6" s="19" t="s">
        <v>38</v>
      </c>
    </row>
    <row r="7" customFormat="false" ht="15" hidden="false" customHeight="true" outlineLevel="0" collapsed="false">
      <c r="A7" s="20" t="s">
        <v>378</v>
      </c>
      <c r="B7" s="20" t="s">
        <v>379</v>
      </c>
      <c r="C7" s="20" t="s">
        <v>70</v>
      </c>
      <c r="D7" s="20" t="s">
        <v>380</v>
      </c>
      <c r="E7" s="20" t="n">
        <v>4</v>
      </c>
      <c r="F7" s="20" t="n">
        <v>12</v>
      </c>
      <c r="G7" s="20" t="s">
        <v>356</v>
      </c>
      <c r="H7" s="20" t="s">
        <v>381</v>
      </c>
      <c r="I7" s="20" t="s">
        <v>382</v>
      </c>
      <c r="J7" s="20" t="s">
        <v>38</v>
      </c>
    </row>
    <row r="8" customFormat="false" ht="15" hidden="false" customHeight="true" outlineLevel="0" collapsed="false">
      <c r="A8" s="19" t="s">
        <v>383</v>
      </c>
      <c r="B8" s="19" t="s">
        <v>384</v>
      </c>
      <c r="C8" s="19" t="s">
        <v>131</v>
      </c>
      <c r="D8" s="19" t="s">
        <v>385</v>
      </c>
      <c r="E8" s="19" t="n">
        <v>4</v>
      </c>
      <c r="F8" s="19" t="n">
        <v>20</v>
      </c>
      <c r="G8" s="19" t="s">
        <v>356</v>
      </c>
      <c r="H8" s="19" t="s">
        <v>386</v>
      </c>
      <c r="I8" s="19" t="s">
        <v>387</v>
      </c>
      <c r="J8" s="19" t="s">
        <v>38</v>
      </c>
    </row>
    <row r="9" customFormat="false" ht="15" hidden="false" customHeight="true" outlineLevel="0" collapsed="false">
      <c r="A9" s="20" t="s">
        <v>388</v>
      </c>
      <c r="B9" s="20" t="s">
        <v>389</v>
      </c>
      <c r="C9" s="20" t="s">
        <v>99</v>
      </c>
      <c r="D9" s="20" t="s">
        <v>390</v>
      </c>
      <c r="E9" s="20" t="n">
        <v>3</v>
      </c>
      <c r="F9" s="20" t="n">
        <v>24</v>
      </c>
      <c r="G9" s="20" t="s">
        <v>356</v>
      </c>
      <c r="H9" s="20" t="s">
        <v>391</v>
      </c>
      <c r="I9" s="20" t="s">
        <v>392</v>
      </c>
      <c r="J9" s="20" t="s">
        <v>38</v>
      </c>
    </row>
    <row r="10" customFormat="false" ht="15" hidden="false" customHeight="true" outlineLevel="0" collapsed="false">
      <c r="A10" s="19" t="s">
        <v>393</v>
      </c>
      <c r="B10" s="19" t="s">
        <v>394</v>
      </c>
      <c r="C10" s="19" t="s">
        <v>84</v>
      </c>
      <c r="D10" s="19" t="s">
        <v>395</v>
      </c>
      <c r="E10" s="19" t="n">
        <v>5</v>
      </c>
      <c r="F10" s="19" t="n">
        <v>18</v>
      </c>
      <c r="G10" s="19" t="s">
        <v>356</v>
      </c>
      <c r="H10" s="19" t="s">
        <v>396</v>
      </c>
      <c r="I10" s="19" t="s">
        <v>397</v>
      </c>
      <c r="J10" s="19" t="s">
        <v>38</v>
      </c>
    </row>
    <row r="11" customFormat="false" ht="15" hidden="false" customHeight="true" outlineLevel="0" collapsed="false">
      <c r="A11" s="20" t="s">
        <v>398</v>
      </c>
      <c r="B11" s="20" t="s">
        <v>399</v>
      </c>
      <c r="C11" s="20" t="s">
        <v>116</v>
      </c>
      <c r="D11" s="20" t="s">
        <v>400</v>
      </c>
      <c r="E11" s="20" t="n">
        <v>3</v>
      </c>
      <c r="F11" s="20" t="n">
        <v>20</v>
      </c>
      <c r="G11" s="20" t="s">
        <v>356</v>
      </c>
      <c r="H11" s="20" t="s">
        <v>401</v>
      </c>
      <c r="I11" s="20" t="s">
        <v>402</v>
      </c>
      <c r="J11" s="20" t="s">
        <v>38</v>
      </c>
    </row>
    <row r="12" customFormat="false" ht="15" hidden="false" customHeight="true" outlineLevel="0" collapsed="false">
      <c r="A12" s="19" t="s">
        <v>403</v>
      </c>
      <c r="B12" s="19" t="s">
        <v>404</v>
      </c>
      <c r="C12" s="19" t="s">
        <v>169</v>
      </c>
      <c r="D12" s="19" t="s">
        <v>405</v>
      </c>
      <c r="E12" s="19" t="n">
        <v>3</v>
      </c>
      <c r="F12" s="19" t="n">
        <v>26</v>
      </c>
      <c r="G12" s="19" t="s">
        <v>356</v>
      </c>
      <c r="H12" s="19" t="s">
        <v>406</v>
      </c>
      <c r="I12" s="19" t="s">
        <v>407</v>
      </c>
      <c r="J12" s="19" t="s">
        <v>38</v>
      </c>
    </row>
    <row r="13" customFormat="false" ht="15" hidden="false" customHeight="true" outlineLevel="0" collapsed="false">
      <c r="A13" s="20" t="s">
        <v>408</v>
      </c>
      <c r="B13" s="20" t="s">
        <v>409</v>
      </c>
      <c r="C13" s="20" t="s">
        <v>186</v>
      </c>
      <c r="D13" s="20" t="s">
        <v>410</v>
      </c>
      <c r="E13" s="20" t="n">
        <v>3</v>
      </c>
      <c r="F13" s="20" t="n">
        <v>30</v>
      </c>
      <c r="G13" s="20" t="s">
        <v>356</v>
      </c>
      <c r="H13" s="20" t="s">
        <v>411</v>
      </c>
      <c r="I13" s="20" t="s">
        <v>412</v>
      </c>
      <c r="J13" s="20" t="s">
        <v>38</v>
      </c>
    </row>
    <row r="14" customFormat="false" ht="15" hidden="false" customHeight="true" outlineLevel="0" collapsed="false">
      <c r="A14" s="19" t="s">
        <v>413</v>
      </c>
      <c r="B14" s="19" t="s">
        <v>414</v>
      </c>
      <c r="C14" s="19" t="s">
        <v>99</v>
      </c>
      <c r="D14" s="19" t="s">
        <v>415</v>
      </c>
      <c r="E14" s="19" t="n">
        <v>4</v>
      </c>
      <c r="F14" s="19" t="n">
        <v>40</v>
      </c>
      <c r="G14" s="19" t="s">
        <v>356</v>
      </c>
      <c r="H14" s="19" t="s">
        <v>416</v>
      </c>
      <c r="I14" s="19" t="s">
        <v>417</v>
      </c>
      <c r="J14" s="19" t="s">
        <v>38</v>
      </c>
    </row>
    <row r="15" customFormat="false" ht="15" hidden="false" customHeight="true" outlineLevel="0" collapsed="false">
      <c r="A15" s="20" t="s">
        <v>418</v>
      </c>
      <c r="B15" s="20" t="s">
        <v>419</v>
      </c>
      <c r="C15" s="20" t="s">
        <v>99</v>
      </c>
      <c r="D15" s="20" t="s">
        <v>415</v>
      </c>
      <c r="E15" s="20" t="n">
        <v>3</v>
      </c>
      <c r="F15" s="20" t="n">
        <v>32</v>
      </c>
      <c r="G15" s="20" t="s">
        <v>356</v>
      </c>
      <c r="H15" s="20" t="s">
        <v>420</v>
      </c>
      <c r="I15" s="20" t="s">
        <v>421</v>
      </c>
      <c r="J15" s="20" t="s">
        <v>38</v>
      </c>
    </row>
    <row r="16" customFormat="false" ht="15" hidden="false" customHeight="true" outlineLevel="0" collapsed="false">
      <c r="A16" s="19" t="s">
        <v>422</v>
      </c>
      <c r="B16" s="19" t="s">
        <v>423</v>
      </c>
      <c r="C16" s="19" t="s">
        <v>36</v>
      </c>
      <c r="D16" s="19" t="s">
        <v>424</v>
      </c>
      <c r="E16" s="19" t="n">
        <v>3</v>
      </c>
      <c r="F16" s="19" t="n">
        <v>26</v>
      </c>
      <c r="G16" s="19" t="s">
        <v>356</v>
      </c>
      <c r="H16" s="19" t="s">
        <v>425</v>
      </c>
      <c r="I16" s="19" t="s">
        <v>426</v>
      </c>
      <c r="J16" s="19" t="s">
        <v>38</v>
      </c>
    </row>
    <row r="17" customFormat="false" ht="15" hidden="false" customHeight="true" outlineLevel="0" collapsed="false">
      <c r="A17" s="20" t="s">
        <v>427</v>
      </c>
      <c r="B17" s="20" t="s">
        <v>428</v>
      </c>
      <c r="C17" s="20" t="s">
        <v>99</v>
      </c>
      <c r="D17" s="20" t="s">
        <v>429</v>
      </c>
      <c r="E17" s="20" t="n">
        <v>3</v>
      </c>
      <c r="F17" s="20" t="n">
        <v>22</v>
      </c>
      <c r="G17" s="20" t="s">
        <v>430</v>
      </c>
      <c r="H17" s="20" t="s">
        <v>431</v>
      </c>
      <c r="I17" s="20" t="s">
        <v>432</v>
      </c>
      <c r="J17" s="20" t="s">
        <v>38</v>
      </c>
    </row>
    <row r="18" customFormat="false" ht="15" hidden="false" customHeight="true" outlineLevel="0" collapsed="false">
      <c r="A18" s="19" t="s">
        <v>433</v>
      </c>
      <c r="B18" s="19" t="s">
        <v>434</v>
      </c>
      <c r="C18" s="19" t="s">
        <v>58</v>
      </c>
      <c r="D18" s="19" t="s">
        <v>435</v>
      </c>
      <c r="E18" s="19" t="n">
        <v>3</v>
      </c>
      <c r="F18" s="19" t="n">
        <v>34</v>
      </c>
      <c r="G18" s="19" t="s">
        <v>356</v>
      </c>
      <c r="H18" s="19" t="s">
        <v>357</v>
      </c>
      <c r="I18" s="19" t="s">
        <v>436</v>
      </c>
      <c r="J18" s="19" t="s">
        <v>38</v>
      </c>
    </row>
    <row r="19" customFormat="false" ht="15" hidden="false" customHeight="true" outlineLevel="0" collapsed="false">
      <c r="A19" s="20" t="s">
        <v>437</v>
      </c>
      <c r="B19" s="20" t="s">
        <v>438</v>
      </c>
      <c r="C19" s="20" t="s">
        <v>84</v>
      </c>
      <c r="D19" s="20" t="s">
        <v>395</v>
      </c>
      <c r="E19" s="20" t="n">
        <v>4</v>
      </c>
      <c r="F19" s="20" t="n">
        <v>14</v>
      </c>
      <c r="G19" s="20" t="s">
        <v>356</v>
      </c>
      <c r="H19" s="20" t="s">
        <v>371</v>
      </c>
      <c r="I19" s="20" t="s">
        <v>439</v>
      </c>
      <c r="J19" s="20" t="s">
        <v>177</v>
      </c>
    </row>
    <row r="20" customFormat="false" ht="15" hidden="false" customHeight="true" outlineLevel="0" collapsed="false">
      <c r="A20" s="19" t="s">
        <v>440</v>
      </c>
      <c r="B20" s="19" t="s">
        <v>441</v>
      </c>
      <c r="C20" s="19" t="s">
        <v>36</v>
      </c>
      <c r="D20" s="19" t="s">
        <v>424</v>
      </c>
      <c r="E20" s="19" t="n">
        <v>3</v>
      </c>
      <c r="F20" s="19" t="n">
        <v>45</v>
      </c>
      <c r="G20" s="19" t="s">
        <v>356</v>
      </c>
      <c r="H20" s="19" t="s">
        <v>366</v>
      </c>
      <c r="I20" s="19" t="s">
        <v>442</v>
      </c>
      <c r="J20" s="19" t="s">
        <v>38</v>
      </c>
    </row>
    <row r="21" customFormat="false" ht="15" hidden="false" customHeight="true" outlineLevel="0" collapsed="false">
      <c r="A21" s="20" t="s">
        <v>443</v>
      </c>
      <c r="B21" s="20" t="s">
        <v>444</v>
      </c>
      <c r="C21" s="20" t="s">
        <v>186</v>
      </c>
      <c r="D21" s="20" t="s">
        <v>410</v>
      </c>
      <c r="E21" s="20" t="n">
        <v>2</v>
      </c>
      <c r="F21" s="20" t="n">
        <v>80</v>
      </c>
      <c r="G21" s="20" t="s">
        <v>356</v>
      </c>
      <c r="H21" s="20" t="s">
        <v>445</v>
      </c>
      <c r="I21" s="20" t="s">
        <v>446</v>
      </c>
      <c r="J21" s="20"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22"/>
    <col collapsed="false" customWidth="true" hidden="false" outlineLevel="0" max="4" min="4" style="1" width="10"/>
    <col collapsed="false" customWidth="true" hidden="false" outlineLevel="0" max="5" min="5" style="1" width="28"/>
    <col collapsed="false" customWidth="true" hidden="false" outlineLevel="0" max="7" min="6" style="1" width="12"/>
    <col collapsed="false" customWidth="true" hidden="false" outlineLevel="0" max="8" min="8" style="1" width="10"/>
    <col collapsed="false" customWidth="true" hidden="false" outlineLevel="0" max="9" min="9" style="1" width="14"/>
  </cols>
  <sheetData>
    <row r="1" customFormat="false" ht="30" hidden="false" customHeight="true" outlineLevel="0" collapsed="false">
      <c r="A1" s="18" t="s">
        <v>447</v>
      </c>
      <c r="B1" s="18" t="s">
        <v>0</v>
      </c>
      <c r="C1" s="18" t="s">
        <v>448</v>
      </c>
      <c r="D1" s="18" t="s">
        <v>345</v>
      </c>
      <c r="E1" s="18" t="s">
        <v>449</v>
      </c>
      <c r="F1" s="18" t="s">
        <v>450</v>
      </c>
      <c r="G1" s="18" t="s">
        <v>12</v>
      </c>
      <c r="H1" s="18" t="s">
        <v>451</v>
      </c>
      <c r="I1" s="18" t="s">
        <v>452</v>
      </c>
    </row>
    <row r="2" customFormat="false" ht="15" hidden="false" customHeight="true" outlineLevel="0" collapsed="false">
      <c r="A2" s="19" t="s">
        <v>453</v>
      </c>
      <c r="B2" s="19" t="s">
        <v>28</v>
      </c>
      <c r="C2" s="19" t="s">
        <v>29</v>
      </c>
      <c r="D2" s="19" t="s">
        <v>353</v>
      </c>
      <c r="E2" s="19" t="s">
        <v>354</v>
      </c>
      <c r="F2" s="19" t="s">
        <v>454</v>
      </c>
      <c r="G2" s="19" t="s">
        <v>455</v>
      </c>
      <c r="H2" s="19" t="n">
        <v>82</v>
      </c>
      <c r="I2" s="21" t="n">
        <v>85</v>
      </c>
    </row>
    <row r="3" customFormat="false" ht="15" hidden="false" customHeight="true" outlineLevel="0" collapsed="false">
      <c r="A3" s="20" t="s">
        <v>456</v>
      </c>
      <c r="B3" s="20" t="s">
        <v>28</v>
      </c>
      <c r="C3" s="20" t="s">
        <v>29</v>
      </c>
      <c r="D3" s="20" t="s">
        <v>359</v>
      </c>
      <c r="E3" s="20" t="s">
        <v>360</v>
      </c>
      <c r="F3" s="20" t="s">
        <v>454</v>
      </c>
      <c r="G3" s="20" t="s">
        <v>455</v>
      </c>
      <c r="H3" s="20" t="n">
        <v>88</v>
      </c>
      <c r="I3" s="22" t="n">
        <v>87</v>
      </c>
    </row>
    <row r="4" customFormat="false" ht="15" hidden="false" customHeight="true" outlineLevel="0" collapsed="false">
      <c r="A4" s="19" t="s">
        <v>457</v>
      </c>
      <c r="B4" s="19" t="s">
        <v>28</v>
      </c>
      <c r="C4" s="19" t="s">
        <v>29</v>
      </c>
      <c r="D4" s="19" t="s">
        <v>413</v>
      </c>
      <c r="E4" s="19" t="s">
        <v>414</v>
      </c>
      <c r="F4" s="19" t="s">
        <v>454</v>
      </c>
      <c r="G4" s="19" t="s">
        <v>455</v>
      </c>
      <c r="H4" s="19" t="n">
        <v>75</v>
      </c>
      <c r="I4" s="21" t="n">
        <v>78</v>
      </c>
    </row>
    <row r="5" customFormat="false" ht="15" hidden="false" customHeight="true" outlineLevel="0" collapsed="false">
      <c r="A5" s="20" t="s">
        <v>458</v>
      </c>
      <c r="B5" s="20" t="s">
        <v>28</v>
      </c>
      <c r="C5" s="20" t="s">
        <v>29</v>
      </c>
      <c r="D5" s="20" t="s">
        <v>443</v>
      </c>
      <c r="E5" s="20" t="s">
        <v>444</v>
      </c>
      <c r="F5" s="20" t="s">
        <v>454</v>
      </c>
      <c r="G5" s="20" t="s">
        <v>455</v>
      </c>
      <c r="H5" s="20" t="n">
        <v>90</v>
      </c>
      <c r="I5" s="22" t="n">
        <v>91</v>
      </c>
    </row>
    <row r="6" customFormat="false" ht="15" hidden="false" customHeight="true" outlineLevel="0" collapsed="false">
      <c r="A6" s="19" t="s">
        <v>459</v>
      </c>
      <c r="B6" s="19" t="s">
        <v>50</v>
      </c>
      <c r="C6" s="19" t="s">
        <v>51</v>
      </c>
      <c r="D6" s="19" t="s">
        <v>363</v>
      </c>
      <c r="E6" s="19" t="s">
        <v>364</v>
      </c>
      <c r="F6" s="19" t="s">
        <v>454</v>
      </c>
      <c r="G6" s="19" t="s">
        <v>455</v>
      </c>
      <c r="H6" s="19" t="n">
        <v>72</v>
      </c>
      <c r="I6" s="21" t="n">
        <v>74</v>
      </c>
    </row>
    <row r="7" customFormat="false" ht="15" hidden="false" customHeight="true" outlineLevel="0" collapsed="false">
      <c r="A7" s="20" t="s">
        <v>460</v>
      </c>
      <c r="B7" s="20" t="s">
        <v>50</v>
      </c>
      <c r="C7" s="20" t="s">
        <v>51</v>
      </c>
      <c r="D7" s="20" t="s">
        <v>433</v>
      </c>
      <c r="E7" s="20" t="s">
        <v>434</v>
      </c>
      <c r="F7" s="20" t="s">
        <v>454</v>
      </c>
      <c r="G7" s="20" t="s">
        <v>455</v>
      </c>
      <c r="H7" s="20" t="n">
        <v>68</v>
      </c>
      <c r="I7" s="22" t="n">
        <v>70</v>
      </c>
    </row>
    <row r="8" customFormat="false" ht="15" hidden="false" customHeight="true" outlineLevel="0" collapsed="false">
      <c r="A8" s="19" t="s">
        <v>461</v>
      </c>
      <c r="B8" s="19" t="s">
        <v>50</v>
      </c>
      <c r="C8" s="19" t="s">
        <v>51</v>
      </c>
      <c r="D8" s="19" t="s">
        <v>413</v>
      </c>
      <c r="E8" s="19" t="s">
        <v>414</v>
      </c>
      <c r="F8" s="19" t="s">
        <v>454</v>
      </c>
      <c r="G8" s="19" t="s">
        <v>455</v>
      </c>
      <c r="H8" s="19" t="n">
        <v>65</v>
      </c>
      <c r="I8" s="21" t="n">
        <v>67</v>
      </c>
    </row>
    <row r="9" customFormat="false" ht="15" hidden="false" customHeight="true" outlineLevel="0" collapsed="false">
      <c r="A9" s="20" t="s">
        <v>462</v>
      </c>
      <c r="B9" s="20" t="s">
        <v>50</v>
      </c>
      <c r="C9" s="20" t="s">
        <v>51</v>
      </c>
      <c r="D9" s="20" t="s">
        <v>443</v>
      </c>
      <c r="E9" s="20" t="s">
        <v>444</v>
      </c>
      <c r="F9" s="20" t="s">
        <v>454</v>
      </c>
      <c r="G9" s="20" t="s">
        <v>455</v>
      </c>
      <c r="H9" s="20" t="n">
        <v>78</v>
      </c>
      <c r="I9" s="22" t="n">
        <v>77</v>
      </c>
    </row>
    <row r="10" customFormat="false" ht="15" hidden="false" customHeight="true" outlineLevel="0" collapsed="false">
      <c r="A10" s="19" t="s">
        <v>463</v>
      </c>
      <c r="B10" s="19" t="s">
        <v>64</v>
      </c>
      <c r="C10" s="19" t="s">
        <v>65</v>
      </c>
      <c r="D10" s="19" t="s">
        <v>373</v>
      </c>
      <c r="E10" s="19" t="s">
        <v>374</v>
      </c>
      <c r="F10" s="19" t="s">
        <v>464</v>
      </c>
      <c r="G10" s="19" t="s">
        <v>455</v>
      </c>
      <c r="H10" s="19" t="n">
        <v>80</v>
      </c>
      <c r="I10" s="21" t="n">
        <v>82</v>
      </c>
    </row>
    <row r="11" customFormat="false" ht="15" hidden="false" customHeight="true" outlineLevel="0" collapsed="false">
      <c r="A11" s="20" t="s">
        <v>465</v>
      </c>
      <c r="B11" s="20" t="s">
        <v>64</v>
      </c>
      <c r="C11" s="20" t="s">
        <v>65</v>
      </c>
      <c r="D11" s="20" t="s">
        <v>413</v>
      </c>
      <c r="E11" s="20" t="s">
        <v>414</v>
      </c>
      <c r="F11" s="20" t="s">
        <v>464</v>
      </c>
      <c r="G11" s="20" t="s">
        <v>455</v>
      </c>
      <c r="H11" s="20" t="n">
        <v>76</v>
      </c>
      <c r="I11" s="22" t="n">
        <v>78</v>
      </c>
    </row>
    <row r="12" customFormat="false" ht="15" hidden="false" customHeight="true" outlineLevel="0" collapsed="false">
      <c r="A12" s="19" t="s">
        <v>466</v>
      </c>
      <c r="B12" s="19" t="s">
        <v>64</v>
      </c>
      <c r="C12" s="19" t="s">
        <v>65</v>
      </c>
      <c r="D12" s="19" t="s">
        <v>427</v>
      </c>
      <c r="E12" s="19" t="s">
        <v>428</v>
      </c>
      <c r="F12" s="19" t="s">
        <v>464</v>
      </c>
      <c r="G12" s="19" t="s">
        <v>455</v>
      </c>
      <c r="H12" s="19" t="n">
        <v>83</v>
      </c>
      <c r="I12" s="21" t="n">
        <v>84</v>
      </c>
    </row>
    <row r="13" customFormat="false" ht="15" hidden="false" customHeight="true" outlineLevel="0" collapsed="false">
      <c r="A13" s="20" t="s">
        <v>467</v>
      </c>
      <c r="B13" s="20" t="s">
        <v>64</v>
      </c>
      <c r="C13" s="20" t="s">
        <v>65</v>
      </c>
      <c r="D13" s="20" t="s">
        <v>443</v>
      </c>
      <c r="E13" s="20" t="s">
        <v>444</v>
      </c>
      <c r="F13" s="20" t="s">
        <v>464</v>
      </c>
      <c r="G13" s="20" t="s">
        <v>455</v>
      </c>
      <c r="H13" s="20" t="n">
        <v>88</v>
      </c>
      <c r="I13" s="22" t="n">
        <v>89</v>
      </c>
    </row>
    <row r="14" customFormat="false" ht="15" hidden="false" customHeight="true" outlineLevel="0" collapsed="false">
      <c r="A14" s="19" t="s">
        <v>468</v>
      </c>
      <c r="B14" s="19" t="s">
        <v>78</v>
      </c>
      <c r="C14" s="19" t="s">
        <v>79</v>
      </c>
      <c r="D14" s="19" t="s">
        <v>393</v>
      </c>
      <c r="E14" s="19" t="s">
        <v>394</v>
      </c>
      <c r="F14" s="19" t="s">
        <v>469</v>
      </c>
      <c r="G14" s="19" t="s">
        <v>89</v>
      </c>
      <c r="H14" s="19" t="n">
        <v>91</v>
      </c>
      <c r="I14" s="21" t="n">
        <v>93</v>
      </c>
    </row>
    <row r="15" customFormat="false" ht="15" hidden="false" customHeight="true" outlineLevel="0" collapsed="false">
      <c r="A15" s="20" t="s">
        <v>470</v>
      </c>
      <c r="B15" s="20" t="s">
        <v>78</v>
      </c>
      <c r="C15" s="20" t="s">
        <v>79</v>
      </c>
      <c r="D15" s="20" t="s">
        <v>388</v>
      </c>
      <c r="E15" s="20" t="s">
        <v>389</v>
      </c>
      <c r="F15" s="20" t="s">
        <v>469</v>
      </c>
      <c r="G15" s="20" t="s">
        <v>89</v>
      </c>
      <c r="H15" s="20" t="n">
        <v>88</v>
      </c>
      <c r="I15" s="22" t="n">
        <v>90</v>
      </c>
    </row>
    <row r="16" customFormat="false" ht="15" hidden="false" customHeight="true" outlineLevel="0" collapsed="false">
      <c r="A16" s="19" t="s">
        <v>471</v>
      </c>
      <c r="B16" s="19" t="s">
        <v>78</v>
      </c>
      <c r="C16" s="19" t="s">
        <v>79</v>
      </c>
      <c r="D16" s="19" t="s">
        <v>443</v>
      </c>
      <c r="E16" s="19" t="s">
        <v>444</v>
      </c>
      <c r="F16" s="19" t="s">
        <v>469</v>
      </c>
      <c r="G16" s="19" t="s">
        <v>89</v>
      </c>
      <c r="H16" s="19" t="n">
        <v>92</v>
      </c>
      <c r="I16" s="21" t="n">
        <v>94</v>
      </c>
    </row>
    <row r="17" customFormat="false" ht="15" hidden="false" customHeight="true" outlineLevel="0" collapsed="false">
      <c r="A17" s="20" t="s">
        <v>472</v>
      </c>
      <c r="B17" s="20" t="s">
        <v>93</v>
      </c>
      <c r="C17" s="20" t="s">
        <v>94</v>
      </c>
      <c r="D17" s="20" t="s">
        <v>413</v>
      </c>
      <c r="E17" s="20" t="s">
        <v>414</v>
      </c>
      <c r="F17" s="20" t="s">
        <v>102</v>
      </c>
      <c r="G17" s="20" t="s">
        <v>455</v>
      </c>
      <c r="H17" s="20" t="n">
        <v>48</v>
      </c>
      <c r="I17" s="22" t="n">
        <v>52</v>
      </c>
    </row>
    <row r="18" customFormat="false" ht="15" hidden="false" customHeight="true" outlineLevel="0" collapsed="false">
      <c r="A18" s="19" t="s">
        <v>473</v>
      </c>
      <c r="B18" s="19" t="s">
        <v>93</v>
      </c>
      <c r="C18" s="19" t="s">
        <v>94</v>
      </c>
      <c r="D18" s="19" t="s">
        <v>418</v>
      </c>
      <c r="E18" s="19" t="s">
        <v>419</v>
      </c>
      <c r="F18" s="19" t="s">
        <v>102</v>
      </c>
      <c r="G18" s="19" t="s">
        <v>455</v>
      </c>
      <c r="H18" s="19" t="n">
        <v>55</v>
      </c>
      <c r="I18" s="21" t="n">
        <v>57</v>
      </c>
    </row>
    <row r="19" customFormat="false" ht="15" hidden="false" customHeight="true" outlineLevel="0" collapsed="false">
      <c r="A19" s="20" t="s">
        <v>474</v>
      </c>
      <c r="B19" s="20" t="s">
        <v>93</v>
      </c>
      <c r="C19" s="20" t="s">
        <v>94</v>
      </c>
      <c r="D19" s="20" t="s">
        <v>443</v>
      </c>
      <c r="E19" s="20" t="s">
        <v>444</v>
      </c>
      <c r="F19" s="20" t="s">
        <v>102</v>
      </c>
      <c r="G19" s="20" t="s">
        <v>455</v>
      </c>
      <c r="H19" s="20" t="n">
        <v>60</v>
      </c>
      <c r="I19" s="22" t="n">
        <v>62</v>
      </c>
    </row>
    <row r="20" customFormat="false" ht="15" hidden="false" customHeight="true" outlineLevel="0" collapsed="false">
      <c r="A20" s="19" t="s">
        <v>475</v>
      </c>
      <c r="B20" s="19" t="s">
        <v>109</v>
      </c>
      <c r="C20" s="19" t="s">
        <v>110</v>
      </c>
      <c r="D20" s="19" t="s">
        <v>398</v>
      </c>
      <c r="E20" s="19" t="s">
        <v>399</v>
      </c>
      <c r="F20" s="19" t="s">
        <v>454</v>
      </c>
      <c r="G20" s="19" t="s">
        <v>455</v>
      </c>
      <c r="H20" s="19" t="n">
        <v>74</v>
      </c>
      <c r="I20" s="21" t="n">
        <v>76</v>
      </c>
    </row>
    <row r="21" customFormat="false" ht="15" hidden="false" customHeight="true" outlineLevel="0" collapsed="false">
      <c r="A21" s="20" t="s">
        <v>476</v>
      </c>
      <c r="B21" s="20" t="s">
        <v>109</v>
      </c>
      <c r="C21" s="20" t="s">
        <v>110</v>
      </c>
      <c r="D21" s="20" t="s">
        <v>403</v>
      </c>
      <c r="E21" s="20" t="s">
        <v>404</v>
      </c>
      <c r="F21" s="20" t="s">
        <v>454</v>
      </c>
      <c r="G21" s="20" t="s">
        <v>455</v>
      </c>
      <c r="H21" s="20" t="n">
        <v>71</v>
      </c>
      <c r="I21" s="22" t="n">
        <v>73</v>
      </c>
    </row>
    <row r="22" customFormat="false" ht="15" hidden="false" customHeight="true" outlineLevel="0" collapsed="false">
      <c r="A22" s="19" t="s">
        <v>477</v>
      </c>
      <c r="B22" s="19" t="s">
        <v>109</v>
      </c>
      <c r="C22" s="19" t="s">
        <v>110</v>
      </c>
      <c r="D22" s="19" t="s">
        <v>443</v>
      </c>
      <c r="E22" s="19" t="s">
        <v>444</v>
      </c>
      <c r="F22" s="19" t="s">
        <v>454</v>
      </c>
      <c r="G22" s="19" t="s">
        <v>455</v>
      </c>
      <c r="H22" s="19" t="n">
        <v>79</v>
      </c>
      <c r="I22" s="21" t="n">
        <v>80</v>
      </c>
    </row>
    <row r="23" customFormat="false" ht="15" hidden="false" customHeight="true" outlineLevel="0" collapsed="false">
      <c r="A23" s="20" t="s">
        <v>478</v>
      </c>
      <c r="B23" s="20" t="s">
        <v>117</v>
      </c>
      <c r="C23" s="20" t="s">
        <v>118</v>
      </c>
      <c r="D23" s="20" t="s">
        <v>388</v>
      </c>
      <c r="E23" s="20" t="s">
        <v>389</v>
      </c>
      <c r="F23" s="20" t="s">
        <v>479</v>
      </c>
      <c r="G23" s="20" t="s">
        <v>455</v>
      </c>
      <c r="H23" s="20" t="n">
        <v>84</v>
      </c>
      <c r="I23" s="22" t="n">
        <v>86</v>
      </c>
    </row>
    <row r="24" customFormat="false" ht="15" hidden="false" customHeight="true" outlineLevel="0" collapsed="false">
      <c r="A24" s="19" t="s">
        <v>480</v>
      </c>
      <c r="B24" s="19" t="s">
        <v>117</v>
      </c>
      <c r="C24" s="19" t="s">
        <v>118</v>
      </c>
      <c r="D24" s="19" t="s">
        <v>427</v>
      </c>
      <c r="E24" s="19" t="s">
        <v>428</v>
      </c>
      <c r="F24" s="19" t="s">
        <v>479</v>
      </c>
      <c r="G24" s="19" t="s">
        <v>455</v>
      </c>
      <c r="H24" s="19" t="n">
        <v>80</v>
      </c>
      <c r="I24" s="21" t="n">
        <v>82</v>
      </c>
    </row>
    <row r="25" customFormat="false" ht="15" hidden="false" customHeight="true" outlineLevel="0" collapsed="false">
      <c r="A25" s="20" t="s">
        <v>481</v>
      </c>
      <c r="B25" s="20" t="s">
        <v>117</v>
      </c>
      <c r="C25" s="20" t="s">
        <v>118</v>
      </c>
      <c r="D25" s="20" t="s">
        <v>413</v>
      </c>
      <c r="E25" s="20" t="s">
        <v>414</v>
      </c>
      <c r="F25" s="20" t="s">
        <v>479</v>
      </c>
      <c r="G25" s="20" t="s">
        <v>455</v>
      </c>
      <c r="H25" s="20" t="n">
        <v>77</v>
      </c>
      <c r="I25" s="22" t="n">
        <v>79</v>
      </c>
    </row>
    <row r="26" customFormat="false" ht="15" hidden="false" customHeight="true" outlineLevel="0" collapsed="false">
      <c r="A26" s="19" t="s">
        <v>482</v>
      </c>
      <c r="B26" s="19" t="s">
        <v>117</v>
      </c>
      <c r="C26" s="19" t="s">
        <v>118</v>
      </c>
      <c r="D26" s="19" t="s">
        <v>443</v>
      </c>
      <c r="E26" s="19" t="s">
        <v>444</v>
      </c>
      <c r="F26" s="19" t="s">
        <v>479</v>
      </c>
      <c r="G26" s="19" t="s">
        <v>455</v>
      </c>
      <c r="H26" s="19" t="n">
        <v>88</v>
      </c>
      <c r="I26" s="21" t="n">
        <v>89</v>
      </c>
    </row>
    <row r="27" customFormat="false" ht="15" hidden="false" customHeight="true" outlineLevel="0" collapsed="false">
      <c r="A27" s="20" t="s">
        <v>483</v>
      </c>
      <c r="B27" s="20" t="s">
        <v>124</v>
      </c>
      <c r="C27" s="20" t="s">
        <v>125</v>
      </c>
      <c r="D27" s="20" t="s">
        <v>383</v>
      </c>
      <c r="E27" s="20" t="s">
        <v>384</v>
      </c>
      <c r="F27" s="20" t="s">
        <v>464</v>
      </c>
      <c r="G27" s="20" t="s">
        <v>455</v>
      </c>
      <c r="H27" s="20" t="n">
        <v>73</v>
      </c>
      <c r="I27" s="22" t="n">
        <v>74</v>
      </c>
    </row>
    <row r="28" customFormat="false" ht="15" hidden="false" customHeight="true" outlineLevel="0" collapsed="false">
      <c r="A28" s="19" t="s">
        <v>484</v>
      </c>
      <c r="B28" s="19" t="s">
        <v>124</v>
      </c>
      <c r="C28" s="19" t="s">
        <v>125</v>
      </c>
      <c r="D28" s="19" t="s">
        <v>403</v>
      </c>
      <c r="E28" s="19" t="s">
        <v>404</v>
      </c>
      <c r="F28" s="19" t="s">
        <v>464</v>
      </c>
      <c r="G28" s="19" t="s">
        <v>455</v>
      </c>
      <c r="H28" s="19" t="n">
        <v>70</v>
      </c>
      <c r="I28" s="21" t="n">
        <v>72</v>
      </c>
    </row>
    <row r="29" customFormat="false" ht="15" hidden="false" customHeight="true" outlineLevel="0" collapsed="false">
      <c r="A29" s="20" t="s">
        <v>485</v>
      </c>
      <c r="B29" s="20" t="s">
        <v>124</v>
      </c>
      <c r="C29" s="20" t="s">
        <v>125</v>
      </c>
      <c r="D29" s="20" t="s">
        <v>443</v>
      </c>
      <c r="E29" s="20" t="s">
        <v>444</v>
      </c>
      <c r="F29" s="20" t="s">
        <v>464</v>
      </c>
      <c r="G29" s="20" t="s">
        <v>455</v>
      </c>
      <c r="H29" s="20" t="n">
        <v>75</v>
      </c>
      <c r="I29" s="22" t="n">
        <v>76</v>
      </c>
    </row>
    <row r="30" customFormat="false" ht="15" hidden="false" customHeight="true" outlineLevel="0" collapsed="false">
      <c r="A30" s="19" t="s">
        <v>486</v>
      </c>
      <c r="B30" s="19" t="s">
        <v>133</v>
      </c>
      <c r="C30" s="19" t="s">
        <v>134</v>
      </c>
      <c r="D30" s="19" t="s">
        <v>368</v>
      </c>
      <c r="E30" s="19" t="s">
        <v>369</v>
      </c>
      <c r="F30" s="19" t="s">
        <v>454</v>
      </c>
      <c r="G30" s="19" t="s">
        <v>455</v>
      </c>
      <c r="H30" s="19" t="n">
        <v>66</v>
      </c>
      <c r="I30" s="21" t="n">
        <v>68</v>
      </c>
    </row>
    <row r="31" customFormat="false" ht="15" hidden="false" customHeight="true" outlineLevel="0" collapsed="false">
      <c r="A31" s="20" t="s">
        <v>487</v>
      </c>
      <c r="B31" s="20" t="s">
        <v>133</v>
      </c>
      <c r="C31" s="20" t="s">
        <v>134</v>
      </c>
      <c r="D31" s="20" t="s">
        <v>363</v>
      </c>
      <c r="E31" s="20" t="s">
        <v>364</v>
      </c>
      <c r="F31" s="20" t="s">
        <v>454</v>
      </c>
      <c r="G31" s="20" t="s">
        <v>455</v>
      </c>
      <c r="H31" s="20" t="n">
        <v>63</v>
      </c>
      <c r="I31" s="22" t="n">
        <v>65</v>
      </c>
    </row>
    <row r="32" customFormat="false" ht="15" hidden="false" customHeight="true" outlineLevel="0" collapsed="false">
      <c r="A32" s="19" t="s">
        <v>488</v>
      </c>
      <c r="B32" s="19" t="s">
        <v>133</v>
      </c>
      <c r="C32" s="19" t="s">
        <v>134</v>
      </c>
      <c r="D32" s="19" t="s">
        <v>443</v>
      </c>
      <c r="E32" s="19" t="s">
        <v>444</v>
      </c>
      <c r="F32" s="19" t="s">
        <v>454</v>
      </c>
      <c r="G32" s="19" t="s">
        <v>455</v>
      </c>
      <c r="H32" s="19" t="n">
        <v>70</v>
      </c>
      <c r="I32" s="21" t="n">
        <v>71</v>
      </c>
    </row>
    <row r="33" customFormat="false" ht="15" hidden="false" customHeight="true" outlineLevel="0" collapsed="false">
      <c r="A33" s="20" t="s">
        <v>489</v>
      </c>
      <c r="B33" s="20" t="s">
        <v>143</v>
      </c>
      <c r="C33" s="20" t="s">
        <v>144</v>
      </c>
      <c r="D33" s="20" t="s">
        <v>440</v>
      </c>
      <c r="E33" s="20" t="s">
        <v>441</v>
      </c>
      <c r="F33" s="20" t="s">
        <v>102</v>
      </c>
      <c r="G33" s="20" t="s">
        <v>455</v>
      </c>
      <c r="H33" s="20" t="n">
        <v>79</v>
      </c>
      <c r="I33" s="22" t="n">
        <v>81</v>
      </c>
    </row>
    <row r="34" customFormat="false" ht="15" hidden="false" customHeight="true" outlineLevel="0" collapsed="false">
      <c r="A34" s="19" t="s">
        <v>490</v>
      </c>
      <c r="B34" s="19" t="s">
        <v>143</v>
      </c>
      <c r="C34" s="19" t="s">
        <v>144</v>
      </c>
      <c r="D34" s="19" t="s">
        <v>422</v>
      </c>
      <c r="E34" s="19" t="s">
        <v>423</v>
      </c>
      <c r="F34" s="19" t="s">
        <v>102</v>
      </c>
      <c r="G34" s="19" t="s">
        <v>455</v>
      </c>
      <c r="H34" s="19" t="n">
        <v>76</v>
      </c>
      <c r="I34" s="21" t="n">
        <v>78</v>
      </c>
    </row>
    <row r="35" customFormat="false" ht="15" hidden="false" customHeight="true" outlineLevel="0" collapsed="false">
      <c r="A35" s="20" t="s">
        <v>491</v>
      </c>
      <c r="B35" s="20" t="s">
        <v>143</v>
      </c>
      <c r="C35" s="20" t="s">
        <v>144</v>
      </c>
      <c r="D35" s="20" t="s">
        <v>443</v>
      </c>
      <c r="E35" s="20" t="s">
        <v>444</v>
      </c>
      <c r="F35" s="20" t="s">
        <v>102</v>
      </c>
      <c r="G35" s="20" t="s">
        <v>455</v>
      </c>
      <c r="H35" s="20" t="n">
        <v>83</v>
      </c>
      <c r="I35" s="22" t="n">
        <v>84</v>
      </c>
    </row>
    <row r="36" customFormat="false" ht="15" hidden="false" customHeight="true" outlineLevel="0" collapsed="false">
      <c r="A36" s="19" t="s">
        <v>492</v>
      </c>
      <c r="B36" s="19" t="s">
        <v>150</v>
      </c>
      <c r="C36" s="19" t="s">
        <v>151</v>
      </c>
      <c r="D36" s="19" t="s">
        <v>427</v>
      </c>
      <c r="E36" s="19" t="s">
        <v>428</v>
      </c>
      <c r="F36" s="19" t="s">
        <v>479</v>
      </c>
      <c r="G36" s="19" t="s">
        <v>455</v>
      </c>
      <c r="H36" s="19" t="n">
        <v>74</v>
      </c>
      <c r="I36" s="21" t="n">
        <v>75</v>
      </c>
    </row>
    <row r="37" customFormat="false" ht="15" hidden="false" customHeight="true" outlineLevel="0" collapsed="false">
      <c r="A37" s="20" t="s">
        <v>493</v>
      </c>
      <c r="B37" s="20" t="s">
        <v>150</v>
      </c>
      <c r="C37" s="20" t="s">
        <v>151</v>
      </c>
      <c r="D37" s="20" t="s">
        <v>418</v>
      </c>
      <c r="E37" s="20" t="s">
        <v>419</v>
      </c>
      <c r="F37" s="20" t="s">
        <v>479</v>
      </c>
      <c r="G37" s="20" t="s">
        <v>455</v>
      </c>
      <c r="H37" s="20" t="n">
        <v>70</v>
      </c>
      <c r="I37" s="22" t="n">
        <v>72</v>
      </c>
    </row>
    <row r="38" customFormat="false" ht="15" hidden="false" customHeight="true" outlineLevel="0" collapsed="false">
      <c r="A38" s="19" t="s">
        <v>494</v>
      </c>
      <c r="B38" s="19" t="s">
        <v>150</v>
      </c>
      <c r="C38" s="19" t="s">
        <v>151</v>
      </c>
      <c r="D38" s="19" t="s">
        <v>443</v>
      </c>
      <c r="E38" s="19" t="s">
        <v>444</v>
      </c>
      <c r="F38" s="19" t="s">
        <v>479</v>
      </c>
      <c r="G38" s="19" t="s">
        <v>455</v>
      </c>
      <c r="H38" s="19" t="n">
        <v>77</v>
      </c>
      <c r="I38" s="21" t="n">
        <v>78</v>
      </c>
    </row>
    <row r="39" customFormat="false" ht="15" hidden="false" customHeight="true" outlineLevel="0" collapsed="false">
      <c r="A39" s="20" t="s">
        <v>495</v>
      </c>
      <c r="B39" s="20" t="s">
        <v>156</v>
      </c>
      <c r="C39" s="20" t="s">
        <v>157</v>
      </c>
      <c r="D39" s="20" t="s">
        <v>378</v>
      </c>
      <c r="E39" s="20" t="s">
        <v>379</v>
      </c>
      <c r="F39" s="20" t="s">
        <v>469</v>
      </c>
      <c r="G39" s="20" t="s">
        <v>89</v>
      </c>
      <c r="H39" s="20" t="n">
        <v>65</v>
      </c>
      <c r="I39" s="22" t="n">
        <v>67</v>
      </c>
    </row>
    <row r="40" customFormat="false" ht="15" hidden="false" customHeight="true" outlineLevel="0" collapsed="false">
      <c r="A40" s="19" t="s">
        <v>496</v>
      </c>
      <c r="B40" s="19" t="s">
        <v>156</v>
      </c>
      <c r="C40" s="19" t="s">
        <v>157</v>
      </c>
      <c r="D40" s="19" t="s">
        <v>413</v>
      </c>
      <c r="E40" s="19" t="s">
        <v>414</v>
      </c>
      <c r="F40" s="19" t="s">
        <v>469</v>
      </c>
      <c r="G40" s="19" t="s">
        <v>89</v>
      </c>
      <c r="H40" s="19" t="n">
        <v>60</v>
      </c>
      <c r="I40" s="21" t="n">
        <v>62</v>
      </c>
    </row>
    <row r="41" customFormat="false" ht="15" hidden="false" customHeight="true" outlineLevel="0" collapsed="false">
      <c r="A41" s="20" t="s">
        <v>497</v>
      </c>
      <c r="B41" s="20" t="s">
        <v>156</v>
      </c>
      <c r="C41" s="20" t="s">
        <v>157</v>
      </c>
      <c r="D41" s="20" t="s">
        <v>443</v>
      </c>
      <c r="E41" s="20" t="s">
        <v>444</v>
      </c>
      <c r="F41" s="20" t="s">
        <v>469</v>
      </c>
      <c r="G41" s="20" t="s">
        <v>89</v>
      </c>
      <c r="H41" s="20" t="n">
        <v>68</v>
      </c>
      <c r="I41" s="22" t="n">
        <v>70</v>
      </c>
    </row>
    <row r="42" customFormat="false" ht="15" hidden="false" customHeight="true" outlineLevel="0" collapsed="false">
      <c r="A42" s="19" t="s">
        <v>498</v>
      </c>
      <c r="B42" s="19" t="s">
        <v>163</v>
      </c>
      <c r="C42" s="19" t="s">
        <v>164</v>
      </c>
      <c r="D42" s="19" t="s">
        <v>403</v>
      </c>
      <c r="E42" s="19" t="s">
        <v>404</v>
      </c>
      <c r="F42" s="19" t="s">
        <v>454</v>
      </c>
      <c r="G42" s="19" t="s">
        <v>455</v>
      </c>
      <c r="H42" s="19" t="n">
        <v>82</v>
      </c>
      <c r="I42" s="21" t="n">
        <v>84</v>
      </c>
    </row>
    <row r="43" customFormat="false" ht="15" hidden="false" customHeight="true" outlineLevel="0" collapsed="false">
      <c r="A43" s="20" t="s">
        <v>499</v>
      </c>
      <c r="B43" s="20" t="s">
        <v>163</v>
      </c>
      <c r="C43" s="20" t="s">
        <v>164</v>
      </c>
      <c r="D43" s="20" t="s">
        <v>408</v>
      </c>
      <c r="E43" s="20" t="s">
        <v>409</v>
      </c>
      <c r="F43" s="20" t="s">
        <v>454</v>
      </c>
      <c r="G43" s="20" t="s">
        <v>455</v>
      </c>
      <c r="H43" s="20" t="n">
        <v>85</v>
      </c>
      <c r="I43" s="22" t="n">
        <v>86</v>
      </c>
    </row>
    <row r="44" customFormat="false" ht="15" hidden="false" customHeight="true" outlineLevel="0" collapsed="false">
      <c r="A44" s="19" t="s">
        <v>500</v>
      </c>
      <c r="B44" s="19" t="s">
        <v>163</v>
      </c>
      <c r="C44" s="19" t="s">
        <v>164</v>
      </c>
      <c r="D44" s="19" t="s">
        <v>443</v>
      </c>
      <c r="E44" s="19" t="s">
        <v>444</v>
      </c>
      <c r="F44" s="19" t="s">
        <v>454</v>
      </c>
      <c r="G44" s="19" t="s">
        <v>455</v>
      </c>
      <c r="H44" s="19" t="n">
        <v>88</v>
      </c>
      <c r="I44" s="21" t="n">
        <v>89</v>
      </c>
    </row>
    <row r="45" customFormat="false" ht="15" hidden="false" customHeight="true" outlineLevel="0" collapsed="false">
      <c r="A45" s="20" t="s">
        <v>501</v>
      </c>
      <c r="B45" s="20" t="s">
        <v>170</v>
      </c>
      <c r="C45" s="20" t="s">
        <v>171</v>
      </c>
      <c r="D45" s="20" t="s">
        <v>437</v>
      </c>
      <c r="E45" s="20" t="s">
        <v>438</v>
      </c>
      <c r="F45" s="20" t="s">
        <v>464</v>
      </c>
      <c r="G45" s="20" t="s">
        <v>502</v>
      </c>
      <c r="H45" s="20" t="n">
        <v>40</v>
      </c>
      <c r="I45" s="22" t="n">
        <v>42</v>
      </c>
    </row>
    <row r="46" customFormat="false" ht="15" hidden="false" customHeight="true" outlineLevel="0" collapsed="false">
      <c r="A46" s="19" t="s">
        <v>503</v>
      </c>
      <c r="B46" s="19" t="s">
        <v>170</v>
      </c>
      <c r="C46" s="19" t="s">
        <v>171</v>
      </c>
      <c r="D46" s="19" t="s">
        <v>388</v>
      </c>
      <c r="E46" s="19" t="s">
        <v>389</v>
      </c>
      <c r="F46" s="19" t="s">
        <v>464</v>
      </c>
      <c r="G46" s="19" t="s">
        <v>455</v>
      </c>
      <c r="H46" s="19" t="n">
        <v>45</v>
      </c>
      <c r="I46" s="21" t="n">
        <v>47</v>
      </c>
    </row>
    <row r="47" customFormat="false" ht="15" hidden="false" customHeight="true" outlineLevel="0" collapsed="false">
      <c r="A47" s="20" t="s">
        <v>504</v>
      </c>
      <c r="B47" s="20" t="s">
        <v>170</v>
      </c>
      <c r="C47" s="20" t="s">
        <v>171</v>
      </c>
      <c r="D47" s="20" t="s">
        <v>443</v>
      </c>
      <c r="E47" s="20" t="s">
        <v>444</v>
      </c>
      <c r="F47" s="20" t="s">
        <v>464</v>
      </c>
      <c r="G47" s="20" t="s">
        <v>455</v>
      </c>
      <c r="H47" s="20" t="n">
        <v>50</v>
      </c>
      <c r="I47" s="22" t="n">
        <v>52</v>
      </c>
    </row>
    <row r="48" customFormat="false" ht="15" hidden="false" customHeight="true" outlineLevel="0" collapsed="false">
      <c r="A48" s="19" t="s">
        <v>505</v>
      </c>
      <c r="B48" s="19" t="s">
        <v>180</v>
      </c>
      <c r="C48" s="19" t="s">
        <v>181</v>
      </c>
      <c r="D48" s="19" t="s">
        <v>408</v>
      </c>
      <c r="E48" s="19" t="s">
        <v>409</v>
      </c>
      <c r="F48" s="19" t="s">
        <v>102</v>
      </c>
      <c r="G48" s="19" t="s">
        <v>455</v>
      </c>
      <c r="H48" s="19" t="n">
        <v>89</v>
      </c>
      <c r="I48" s="21" t="n">
        <v>91</v>
      </c>
    </row>
    <row r="49" customFormat="false" ht="15" hidden="false" customHeight="true" outlineLevel="0" collapsed="false">
      <c r="A49" s="20" t="s">
        <v>506</v>
      </c>
      <c r="B49" s="20" t="s">
        <v>180</v>
      </c>
      <c r="C49" s="20" t="s">
        <v>181</v>
      </c>
      <c r="D49" s="20" t="s">
        <v>443</v>
      </c>
      <c r="E49" s="20" t="s">
        <v>444</v>
      </c>
      <c r="F49" s="20" t="s">
        <v>102</v>
      </c>
      <c r="G49" s="20" t="s">
        <v>455</v>
      </c>
      <c r="H49" s="20" t="n">
        <v>92</v>
      </c>
      <c r="I49" s="22" t="n">
        <v>93</v>
      </c>
    </row>
    <row r="50" customFormat="false" ht="15" hidden="false" customHeight="true" outlineLevel="0" collapsed="false">
      <c r="A50" s="19" t="s">
        <v>507</v>
      </c>
      <c r="B50" s="19" t="s">
        <v>180</v>
      </c>
      <c r="C50" s="19" t="s">
        <v>181</v>
      </c>
      <c r="D50" s="19" t="s">
        <v>403</v>
      </c>
      <c r="E50" s="19" t="s">
        <v>404</v>
      </c>
      <c r="F50" s="19" t="s">
        <v>102</v>
      </c>
      <c r="G50" s="19" t="s">
        <v>455</v>
      </c>
      <c r="H50" s="19" t="n">
        <v>86</v>
      </c>
      <c r="I50" s="21" t="n">
        <v>87</v>
      </c>
    </row>
    <row r="51" customFormat="false" ht="15" hidden="false" customHeight="true" outlineLevel="0" collapsed="false">
      <c r="A51" s="20" t="s">
        <v>508</v>
      </c>
      <c r="B51" s="20" t="s">
        <v>187</v>
      </c>
      <c r="C51" s="20" t="s">
        <v>188</v>
      </c>
      <c r="D51" s="20" t="s">
        <v>418</v>
      </c>
      <c r="E51" s="20" t="s">
        <v>419</v>
      </c>
      <c r="F51" s="20" t="s">
        <v>479</v>
      </c>
      <c r="G51" s="20" t="s">
        <v>455</v>
      </c>
      <c r="H51" s="20" t="n">
        <v>69</v>
      </c>
      <c r="I51" s="22" t="n">
        <v>71</v>
      </c>
    </row>
    <row r="52" customFormat="false" ht="15" hidden="false" customHeight="true" outlineLevel="0" collapsed="false">
      <c r="A52" s="19" t="s">
        <v>509</v>
      </c>
      <c r="B52" s="19" t="s">
        <v>187</v>
      </c>
      <c r="C52" s="19" t="s">
        <v>188</v>
      </c>
      <c r="D52" s="19" t="s">
        <v>413</v>
      </c>
      <c r="E52" s="19" t="s">
        <v>414</v>
      </c>
      <c r="F52" s="19" t="s">
        <v>479</v>
      </c>
      <c r="G52" s="19" t="s">
        <v>455</v>
      </c>
      <c r="H52" s="19" t="n">
        <v>66</v>
      </c>
      <c r="I52" s="21" t="n">
        <v>68</v>
      </c>
    </row>
    <row r="53" customFormat="false" ht="15" hidden="false" customHeight="true" outlineLevel="0" collapsed="false">
      <c r="A53" s="20" t="s">
        <v>510</v>
      </c>
      <c r="B53" s="20" t="s">
        <v>187</v>
      </c>
      <c r="C53" s="20" t="s">
        <v>188</v>
      </c>
      <c r="D53" s="20" t="s">
        <v>443</v>
      </c>
      <c r="E53" s="20" t="s">
        <v>444</v>
      </c>
      <c r="F53" s="20" t="s">
        <v>479</v>
      </c>
      <c r="G53" s="20" t="s">
        <v>455</v>
      </c>
      <c r="H53" s="20" t="n">
        <v>72</v>
      </c>
      <c r="I53" s="22" t="n">
        <v>73</v>
      </c>
    </row>
    <row r="54" customFormat="false" ht="15" hidden="false" customHeight="true" outlineLevel="0" collapsed="false">
      <c r="A54" s="19" t="s">
        <v>511</v>
      </c>
      <c r="B54" s="19" t="s">
        <v>193</v>
      </c>
      <c r="C54" s="19" t="s">
        <v>194</v>
      </c>
      <c r="D54" s="19" t="s">
        <v>353</v>
      </c>
      <c r="E54" s="19" t="s">
        <v>354</v>
      </c>
      <c r="F54" s="19" t="s">
        <v>454</v>
      </c>
      <c r="G54" s="19" t="s">
        <v>455</v>
      </c>
      <c r="H54" s="19" t="n">
        <v>95</v>
      </c>
      <c r="I54" s="21" t="n">
        <v>96</v>
      </c>
    </row>
    <row r="55" customFormat="false" ht="15" hidden="false" customHeight="true" outlineLevel="0" collapsed="false">
      <c r="A55" s="20" t="s">
        <v>512</v>
      </c>
      <c r="B55" s="20" t="s">
        <v>193</v>
      </c>
      <c r="C55" s="20" t="s">
        <v>194</v>
      </c>
      <c r="D55" s="20" t="s">
        <v>422</v>
      </c>
      <c r="E55" s="20" t="s">
        <v>423</v>
      </c>
      <c r="F55" s="20" t="s">
        <v>454</v>
      </c>
      <c r="G55" s="20" t="s">
        <v>455</v>
      </c>
      <c r="H55" s="20" t="n">
        <v>92</v>
      </c>
      <c r="I55" s="22" t="n">
        <v>93</v>
      </c>
    </row>
    <row r="56" customFormat="false" ht="15" hidden="false" customHeight="true" outlineLevel="0" collapsed="false">
      <c r="A56" s="19" t="s">
        <v>513</v>
      </c>
      <c r="B56" s="19" t="s">
        <v>193</v>
      </c>
      <c r="C56" s="19" t="s">
        <v>194</v>
      </c>
      <c r="D56" s="19" t="s">
        <v>359</v>
      </c>
      <c r="E56" s="19" t="s">
        <v>360</v>
      </c>
      <c r="F56" s="19" t="s">
        <v>454</v>
      </c>
      <c r="G56" s="19" t="s">
        <v>455</v>
      </c>
      <c r="H56" s="19" t="n">
        <v>94</v>
      </c>
      <c r="I56" s="21" t="n">
        <v>95</v>
      </c>
    </row>
    <row r="57" customFormat="false" ht="15" hidden="false" customHeight="true" outlineLevel="0" collapsed="false">
      <c r="A57" s="20" t="s">
        <v>514</v>
      </c>
      <c r="B57" s="20" t="s">
        <v>193</v>
      </c>
      <c r="C57" s="20" t="s">
        <v>194</v>
      </c>
      <c r="D57" s="20" t="s">
        <v>443</v>
      </c>
      <c r="E57" s="20" t="s">
        <v>444</v>
      </c>
      <c r="F57" s="20" t="s">
        <v>454</v>
      </c>
      <c r="G57" s="20" t="s">
        <v>455</v>
      </c>
      <c r="H57" s="20" t="n">
        <v>96</v>
      </c>
      <c r="I57" s="22" t="n">
        <v>97</v>
      </c>
    </row>
    <row r="58" customFormat="false" ht="15" hidden="false" customHeight="true" outlineLevel="0" collapsed="false">
      <c r="A58" s="19" t="s">
        <v>515</v>
      </c>
      <c r="B58" s="19" t="s">
        <v>198</v>
      </c>
      <c r="C58" s="19" t="s">
        <v>199</v>
      </c>
      <c r="D58" s="19" t="s">
        <v>398</v>
      </c>
      <c r="E58" s="19" t="s">
        <v>399</v>
      </c>
      <c r="F58" s="19" t="s">
        <v>464</v>
      </c>
      <c r="G58" s="19" t="s">
        <v>455</v>
      </c>
      <c r="H58" s="19" t="n">
        <v>78</v>
      </c>
      <c r="I58" s="21" t="n">
        <v>80</v>
      </c>
    </row>
    <row r="59" customFormat="false" ht="15" hidden="false" customHeight="true" outlineLevel="0" collapsed="false">
      <c r="A59" s="20" t="s">
        <v>516</v>
      </c>
      <c r="B59" s="20" t="s">
        <v>198</v>
      </c>
      <c r="C59" s="20" t="s">
        <v>199</v>
      </c>
      <c r="D59" s="20" t="s">
        <v>403</v>
      </c>
      <c r="E59" s="20" t="s">
        <v>404</v>
      </c>
      <c r="F59" s="20" t="s">
        <v>464</v>
      </c>
      <c r="G59" s="20" t="s">
        <v>455</v>
      </c>
      <c r="H59" s="20" t="n">
        <v>75</v>
      </c>
      <c r="I59" s="22" t="n">
        <v>77</v>
      </c>
    </row>
    <row r="60" customFormat="false" ht="15" hidden="false" customHeight="true" outlineLevel="0" collapsed="false">
      <c r="A60" s="19" t="s">
        <v>517</v>
      </c>
      <c r="B60" s="19" t="s">
        <v>198</v>
      </c>
      <c r="C60" s="19" t="s">
        <v>199</v>
      </c>
      <c r="D60" s="19" t="s">
        <v>443</v>
      </c>
      <c r="E60" s="19" t="s">
        <v>444</v>
      </c>
      <c r="F60" s="19" t="s">
        <v>464</v>
      </c>
      <c r="G60" s="19" t="s">
        <v>455</v>
      </c>
      <c r="H60" s="19" t="n">
        <v>82</v>
      </c>
      <c r="I60" s="21" t="n">
        <v>83</v>
      </c>
    </row>
    <row r="61" customFormat="false" ht="15" hidden="false" customHeight="true" outlineLevel="0" collapsed="false">
      <c r="A61" s="20" t="s">
        <v>518</v>
      </c>
      <c r="B61" s="20" t="s">
        <v>205</v>
      </c>
      <c r="C61" s="20" t="s">
        <v>206</v>
      </c>
      <c r="D61" s="20" t="s">
        <v>393</v>
      </c>
      <c r="E61" s="20" t="s">
        <v>394</v>
      </c>
      <c r="F61" s="20" t="s">
        <v>102</v>
      </c>
      <c r="G61" s="20" t="s">
        <v>455</v>
      </c>
      <c r="H61" s="20" t="n">
        <v>77</v>
      </c>
      <c r="I61" s="22" t="n">
        <v>79</v>
      </c>
    </row>
    <row r="62" customFormat="false" ht="15" hidden="false" customHeight="true" outlineLevel="0" collapsed="false">
      <c r="A62" s="19" t="s">
        <v>519</v>
      </c>
      <c r="B62" s="19" t="s">
        <v>205</v>
      </c>
      <c r="C62" s="19" t="s">
        <v>206</v>
      </c>
      <c r="D62" s="19" t="s">
        <v>388</v>
      </c>
      <c r="E62" s="19" t="s">
        <v>389</v>
      </c>
      <c r="F62" s="19" t="s">
        <v>102</v>
      </c>
      <c r="G62" s="19" t="s">
        <v>455</v>
      </c>
      <c r="H62" s="19" t="n">
        <v>74</v>
      </c>
      <c r="I62" s="21" t="n">
        <v>76</v>
      </c>
    </row>
    <row r="63" customFormat="false" ht="15" hidden="false" customHeight="true" outlineLevel="0" collapsed="false">
      <c r="A63" s="20" t="s">
        <v>520</v>
      </c>
      <c r="B63" s="20" t="s">
        <v>205</v>
      </c>
      <c r="C63" s="20" t="s">
        <v>206</v>
      </c>
      <c r="D63" s="20" t="s">
        <v>443</v>
      </c>
      <c r="E63" s="20" t="s">
        <v>444</v>
      </c>
      <c r="F63" s="20" t="s">
        <v>102</v>
      </c>
      <c r="G63" s="20" t="s">
        <v>455</v>
      </c>
      <c r="H63" s="20" t="n">
        <v>80</v>
      </c>
      <c r="I63" s="22" t="n">
        <v>81</v>
      </c>
    </row>
    <row r="64" customFormat="false" ht="15" hidden="false" customHeight="true" outlineLevel="0" collapsed="false">
      <c r="A64" s="19" t="s">
        <v>521</v>
      </c>
      <c r="B64" s="19" t="s">
        <v>211</v>
      </c>
      <c r="C64" s="19" t="s">
        <v>212</v>
      </c>
      <c r="D64" s="19" t="s">
        <v>383</v>
      </c>
      <c r="E64" s="19" t="s">
        <v>384</v>
      </c>
      <c r="F64" s="19" t="s">
        <v>479</v>
      </c>
      <c r="G64" s="19" t="s">
        <v>455</v>
      </c>
      <c r="H64" s="19" t="n">
        <v>84</v>
      </c>
      <c r="I64" s="21" t="n">
        <v>86</v>
      </c>
    </row>
    <row r="65" customFormat="false" ht="15" hidden="false" customHeight="true" outlineLevel="0" collapsed="false">
      <c r="A65" s="20" t="s">
        <v>522</v>
      </c>
      <c r="B65" s="20" t="s">
        <v>211</v>
      </c>
      <c r="C65" s="20" t="s">
        <v>212</v>
      </c>
      <c r="D65" s="20" t="s">
        <v>403</v>
      </c>
      <c r="E65" s="20" t="s">
        <v>404</v>
      </c>
      <c r="F65" s="20" t="s">
        <v>479</v>
      </c>
      <c r="G65" s="20" t="s">
        <v>455</v>
      </c>
      <c r="H65" s="20" t="n">
        <v>81</v>
      </c>
      <c r="I65" s="22" t="n">
        <v>83</v>
      </c>
    </row>
    <row r="66" customFormat="false" ht="15" hidden="false" customHeight="true" outlineLevel="0" collapsed="false">
      <c r="A66" s="19" t="s">
        <v>523</v>
      </c>
      <c r="B66" s="19" t="s">
        <v>211</v>
      </c>
      <c r="C66" s="19" t="s">
        <v>212</v>
      </c>
      <c r="D66" s="19" t="s">
        <v>443</v>
      </c>
      <c r="E66" s="19" t="s">
        <v>444</v>
      </c>
      <c r="F66" s="19" t="s">
        <v>479</v>
      </c>
      <c r="G66" s="19" t="s">
        <v>455</v>
      </c>
      <c r="H66" s="19" t="n">
        <v>87</v>
      </c>
      <c r="I66" s="21" t="n">
        <v>88</v>
      </c>
    </row>
    <row r="67" customFormat="false" ht="15" hidden="false" customHeight="true" outlineLevel="0" collapsed="false">
      <c r="A67" s="20" t="s">
        <v>524</v>
      </c>
      <c r="B67" s="20" t="s">
        <v>216</v>
      </c>
      <c r="C67" s="20" t="s">
        <v>217</v>
      </c>
      <c r="D67" s="20" t="s">
        <v>403</v>
      </c>
      <c r="E67" s="20" t="s">
        <v>404</v>
      </c>
      <c r="F67" s="20" t="s">
        <v>454</v>
      </c>
      <c r="G67" s="20" t="s">
        <v>455</v>
      </c>
      <c r="H67" s="20" t="n">
        <v>64</v>
      </c>
      <c r="I67" s="22" t="n">
        <v>66</v>
      </c>
    </row>
    <row r="68" customFormat="false" ht="15" hidden="false" customHeight="true" outlineLevel="0" collapsed="false">
      <c r="A68" s="19" t="s">
        <v>525</v>
      </c>
      <c r="B68" s="19" t="s">
        <v>216</v>
      </c>
      <c r="C68" s="19" t="s">
        <v>217</v>
      </c>
      <c r="D68" s="19" t="s">
        <v>408</v>
      </c>
      <c r="E68" s="19" t="s">
        <v>409</v>
      </c>
      <c r="F68" s="19" t="s">
        <v>454</v>
      </c>
      <c r="G68" s="19" t="s">
        <v>455</v>
      </c>
      <c r="H68" s="19" t="n">
        <v>61</v>
      </c>
      <c r="I68" s="21" t="n">
        <v>63</v>
      </c>
    </row>
    <row r="69" customFormat="false" ht="15" hidden="false" customHeight="true" outlineLevel="0" collapsed="false">
      <c r="A69" s="20" t="s">
        <v>526</v>
      </c>
      <c r="B69" s="20" t="s">
        <v>216</v>
      </c>
      <c r="C69" s="20" t="s">
        <v>217</v>
      </c>
      <c r="D69" s="20" t="s">
        <v>443</v>
      </c>
      <c r="E69" s="20" t="s">
        <v>444</v>
      </c>
      <c r="F69" s="20" t="s">
        <v>454</v>
      </c>
      <c r="G69" s="20" t="s">
        <v>455</v>
      </c>
      <c r="H69" s="20" t="n">
        <v>67</v>
      </c>
      <c r="I69" s="22" t="n">
        <v>69</v>
      </c>
    </row>
    <row r="70" customFormat="false" ht="15" hidden="false" customHeight="true" outlineLevel="0" collapsed="false">
      <c r="A70" s="19" t="s">
        <v>527</v>
      </c>
      <c r="B70" s="19" t="s">
        <v>222</v>
      </c>
      <c r="C70" s="19" t="s">
        <v>223</v>
      </c>
      <c r="D70" s="19" t="s">
        <v>388</v>
      </c>
      <c r="E70" s="19" t="s">
        <v>389</v>
      </c>
      <c r="F70" s="19" t="s">
        <v>469</v>
      </c>
      <c r="G70" s="19" t="s">
        <v>89</v>
      </c>
      <c r="H70" s="19" t="n">
        <v>90</v>
      </c>
      <c r="I70" s="21" t="n">
        <v>92</v>
      </c>
    </row>
    <row r="71" customFormat="false" ht="15" hidden="false" customHeight="true" outlineLevel="0" collapsed="false">
      <c r="A71" s="20" t="s">
        <v>528</v>
      </c>
      <c r="B71" s="20" t="s">
        <v>222</v>
      </c>
      <c r="C71" s="20" t="s">
        <v>223</v>
      </c>
      <c r="D71" s="20" t="s">
        <v>427</v>
      </c>
      <c r="E71" s="20" t="s">
        <v>428</v>
      </c>
      <c r="F71" s="20" t="s">
        <v>469</v>
      </c>
      <c r="G71" s="20" t="s">
        <v>89</v>
      </c>
      <c r="H71" s="20" t="n">
        <v>87</v>
      </c>
      <c r="I71" s="22" t="n">
        <v>89</v>
      </c>
    </row>
    <row r="72" customFormat="false" ht="15" hidden="false" customHeight="true" outlineLevel="0" collapsed="false">
      <c r="A72" s="19" t="s">
        <v>529</v>
      </c>
      <c r="B72" s="19" t="s">
        <v>222</v>
      </c>
      <c r="C72" s="19" t="s">
        <v>223</v>
      </c>
      <c r="D72" s="19" t="s">
        <v>443</v>
      </c>
      <c r="E72" s="19" t="s">
        <v>444</v>
      </c>
      <c r="F72" s="19" t="s">
        <v>469</v>
      </c>
      <c r="G72" s="19" t="s">
        <v>89</v>
      </c>
      <c r="H72" s="19" t="n">
        <v>93</v>
      </c>
      <c r="I72" s="21" t="n">
        <v>94</v>
      </c>
    </row>
    <row r="73" customFormat="false" ht="15" hidden="false" customHeight="true" outlineLevel="0" collapsed="false">
      <c r="A73" s="20" t="s">
        <v>530</v>
      </c>
      <c r="B73" s="20" t="s">
        <v>227</v>
      </c>
      <c r="C73" s="20" t="s">
        <v>228</v>
      </c>
      <c r="D73" s="20" t="s">
        <v>433</v>
      </c>
      <c r="E73" s="20" t="s">
        <v>434</v>
      </c>
      <c r="F73" s="20" t="s">
        <v>102</v>
      </c>
      <c r="G73" s="20" t="s">
        <v>455</v>
      </c>
      <c r="H73" s="20" t="n">
        <v>53</v>
      </c>
      <c r="I73" s="22" t="n">
        <v>55</v>
      </c>
    </row>
    <row r="74" customFormat="false" ht="15" hidden="false" customHeight="true" outlineLevel="0" collapsed="false">
      <c r="A74" s="19" t="s">
        <v>531</v>
      </c>
      <c r="B74" s="19" t="s">
        <v>227</v>
      </c>
      <c r="C74" s="19" t="s">
        <v>228</v>
      </c>
      <c r="D74" s="19" t="s">
        <v>363</v>
      </c>
      <c r="E74" s="19" t="s">
        <v>364</v>
      </c>
      <c r="F74" s="19" t="s">
        <v>102</v>
      </c>
      <c r="G74" s="19" t="s">
        <v>455</v>
      </c>
      <c r="H74" s="19" t="n">
        <v>50</v>
      </c>
      <c r="I74" s="21" t="n">
        <v>52</v>
      </c>
    </row>
    <row r="75" customFormat="false" ht="15" hidden="false" customHeight="true" outlineLevel="0" collapsed="false">
      <c r="A75" s="20" t="s">
        <v>532</v>
      </c>
      <c r="B75" s="20" t="s">
        <v>227</v>
      </c>
      <c r="C75" s="20" t="s">
        <v>228</v>
      </c>
      <c r="D75" s="20" t="s">
        <v>443</v>
      </c>
      <c r="E75" s="20" t="s">
        <v>444</v>
      </c>
      <c r="F75" s="20" t="s">
        <v>102</v>
      </c>
      <c r="G75" s="20" t="s">
        <v>455</v>
      </c>
      <c r="H75" s="20" t="n">
        <v>58</v>
      </c>
      <c r="I75" s="22" t="n">
        <v>60</v>
      </c>
    </row>
    <row r="76" customFormat="false" ht="15" hidden="false" customHeight="true" outlineLevel="0" collapsed="false">
      <c r="A76" s="19" t="s">
        <v>533</v>
      </c>
      <c r="B76" s="19" t="s">
        <v>233</v>
      </c>
      <c r="C76" s="19" t="s">
        <v>234</v>
      </c>
      <c r="D76" s="19" t="s">
        <v>422</v>
      </c>
      <c r="E76" s="19" t="s">
        <v>423</v>
      </c>
      <c r="F76" s="19" t="s">
        <v>479</v>
      </c>
      <c r="G76" s="19" t="s">
        <v>455</v>
      </c>
      <c r="H76" s="19" t="n">
        <v>80</v>
      </c>
      <c r="I76" s="21" t="n">
        <v>82</v>
      </c>
    </row>
    <row r="77" customFormat="false" ht="15" hidden="false" customHeight="true" outlineLevel="0" collapsed="false">
      <c r="A77" s="20" t="s">
        <v>534</v>
      </c>
      <c r="B77" s="20" t="s">
        <v>233</v>
      </c>
      <c r="C77" s="20" t="s">
        <v>234</v>
      </c>
      <c r="D77" s="20" t="s">
        <v>359</v>
      </c>
      <c r="E77" s="20" t="s">
        <v>360</v>
      </c>
      <c r="F77" s="20" t="s">
        <v>479</v>
      </c>
      <c r="G77" s="20" t="s">
        <v>455</v>
      </c>
      <c r="H77" s="20" t="n">
        <v>77</v>
      </c>
      <c r="I77" s="22" t="n">
        <v>79</v>
      </c>
    </row>
    <row r="78" customFormat="false" ht="15" hidden="false" customHeight="true" outlineLevel="0" collapsed="false">
      <c r="A78" s="19" t="s">
        <v>535</v>
      </c>
      <c r="B78" s="19" t="s">
        <v>233</v>
      </c>
      <c r="C78" s="19" t="s">
        <v>234</v>
      </c>
      <c r="D78" s="19" t="s">
        <v>443</v>
      </c>
      <c r="E78" s="19" t="s">
        <v>444</v>
      </c>
      <c r="F78" s="19" t="s">
        <v>479</v>
      </c>
      <c r="G78" s="19" t="s">
        <v>455</v>
      </c>
      <c r="H78" s="19" t="n">
        <v>83</v>
      </c>
      <c r="I78" s="21" t="n">
        <v>85</v>
      </c>
    </row>
    <row r="79" customFormat="false" ht="15" hidden="false" customHeight="true" outlineLevel="0" collapsed="false">
      <c r="A79" s="20" t="s">
        <v>536</v>
      </c>
      <c r="B79" s="20" t="s">
        <v>238</v>
      </c>
      <c r="C79" s="20" t="s">
        <v>239</v>
      </c>
      <c r="D79" s="20" t="s">
        <v>440</v>
      </c>
      <c r="E79" s="20" t="s">
        <v>441</v>
      </c>
      <c r="F79" s="20" t="s">
        <v>102</v>
      </c>
      <c r="G79" s="20" t="s">
        <v>455</v>
      </c>
      <c r="H79" s="20" t="n">
        <v>84</v>
      </c>
      <c r="I79" s="22" t="n">
        <v>86</v>
      </c>
    </row>
    <row r="80" customFormat="false" ht="15" hidden="false" customHeight="true" outlineLevel="0" collapsed="false">
      <c r="A80" s="19" t="s">
        <v>537</v>
      </c>
      <c r="B80" s="19" t="s">
        <v>238</v>
      </c>
      <c r="C80" s="19" t="s">
        <v>239</v>
      </c>
      <c r="D80" s="19" t="s">
        <v>422</v>
      </c>
      <c r="E80" s="19" t="s">
        <v>423</v>
      </c>
      <c r="F80" s="19" t="s">
        <v>102</v>
      </c>
      <c r="G80" s="19" t="s">
        <v>455</v>
      </c>
      <c r="H80" s="19" t="n">
        <v>78</v>
      </c>
      <c r="I80" s="21" t="n">
        <v>80</v>
      </c>
    </row>
    <row r="81" customFormat="false" ht="15" hidden="false" customHeight="true" outlineLevel="0" collapsed="false">
      <c r="A81" s="20" t="s">
        <v>538</v>
      </c>
      <c r="B81" s="20" t="s">
        <v>238</v>
      </c>
      <c r="C81" s="20" t="s">
        <v>239</v>
      </c>
      <c r="D81" s="20" t="s">
        <v>413</v>
      </c>
      <c r="E81" s="20" t="s">
        <v>414</v>
      </c>
      <c r="F81" s="20" t="s">
        <v>102</v>
      </c>
      <c r="G81" s="20" t="s">
        <v>455</v>
      </c>
      <c r="H81" s="20" t="n">
        <v>81</v>
      </c>
      <c r="I81" s="22" t="n">
        <v>83</v>
      </c>
    </row>
    <row r="82" customFormat="false" ht="15" hidden="false" customHeight="true" outlineLevel="0" collapsed="false">
      <c r="A82" s="19" t="s">
        <v>539</v>
      </c>
      <c r="B82" s="19" t="s">
        <v>238</v>
      </c>
      <c r="C82" s="19" t="s">
        <v>239</v>
      </c>
      <c r="D82" s="19" t="s">
        <v>443</v>
      </c>
      <c r="E82" s="19" t="s">
        <v>444</v>
      </c>
      <c r="F82" s="19" t="s">
        <v>102</v>
      </c>
      <c r="G82" s="19" t="s">
        <v>455</v>
      </c>
      <c r="H82" s="19" t="n">
        <v>87</v>
      </c>
      <c r="I82" s="21" t="n">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22"/>
    <col collapsed="false" customWidth="true" hidden="false" outlineLevel="0" max="9" min="4" style="1" width="10"/>
    <col collapsed="false" customWidth="true" hidden="false" outlineLevel="0" max="10" min="10" style="1" width="12"/>
  </cols>
  <sheetData>
    <row r="1" customFormat="false" ht="30" hidden="false" customHeight="true" outlineLevel="0" collapsed="false">
      <c r="A1" s="18" t="s">
        <v>540</v>
      </c>
      <c r="B1" s="18" t="s">
        <v>0</v>
      </c>
      <c r="C1" s="18" t="s">
        <v>448</v>
      </c>
      <c r="D1" s="18" t="s">
        <v>345</v>
      </c>
      <c r="E1" s="18" t="s">
        <v>541</v>
      </c>
      <c r="F1" s="18" t="s">
        <v>542</v>
      </c>
      <c r="G1" s="18" t="s">
        <v>543</v>
      </c>
      <c r="H1" s="18" t="s">
        <v>544</v>
      </c>
      <c r="I1" s="18" t="s">
        <v>545</v>
      </c>
      <c r="J1" s="18" t="s">
        <v>546</v>
      </c>
    </row>
    <row r="2" customFormat="false" ht="15" hidden="false" customHeight="true" outlineLevel="0" collapsed="false">
      <c r="A2" s="19" t="s">
        <v>547</v>
      </c>
      <c r="B2" s="19" t="s">
        <v>28</v>
      </c>
      <c r="C2" s="19" t="s">
        <v>29</v>
      </c>
      <c r="D2" s="19" t="s">
        <v>353</v>
      </c>
      <c r="E2" s="19" t="n">
        <v>85</v>
      </c>
      <c r="F2" s="19" t="n">
        <v>88</v>
      </c>
      <c r="G2" s="19" t="n">
        <v>82</v>
      </c>
      <c r="H2" s="19"/>
      <c r="I2" s="19"/>
      <c r="J2" s="19" t="s">
        <v>548</v>
      </c>
    </row>
    <row r="3" customFormat="false" ht="15" hidden="false" customHeight="true" outlineLevel="0" collapsed="false">
      <c r="A3" s="20" t="s">
        <v>549</v>
      </c>
      <c r="B3" s="20" t="s">
        <v>28</v>
      </c>
      <c r="C3" s="20" t="s">
        <v>29</v>
      </c>
      <c r="D3" s="20" t="s">
        <v>359</v>
      </c>
      <c r="E3" s="20" t="n">
        <v>90</v>
      </c>
      <c r="F3" s="20" t="n">
        <v>87</v>
      </c>
      <c r="G3" s="20" t="n">
        <v>88</v>
      </c>
      <c r="H3" s="20"/>
      <c r="I3" s="20"/>
      <c r="J3" s="20" t="s">
        <v>548</v>
      </c>
    </row>
    <row r="4" customFormat="false" ht="15" hidden="false" customHeight="true" outlineLevel="0" collapsed="false">
      <c r="A4" s="19" t="s">
        <v>550</v>
      </c>
      <c r="B4" s="19" t="s">
        <v>28</v>
      </c>
      <c r="C4" s="19" t="s">
        <v>29</v>
      </c>
      <c r="D4" s="19" t="s">
        <v>413</v>
      </c>
      <c r="E4" s="19" t="n">
        <v>78</v>
      </c>
      <c r="F4" s="19" t="n">
        <v>80</v>
      </c>
      <c r="G4" s="19" t="n">
        <v>75</v>
      </c>
      <c r="H4" s="19"/>
      <c r="I4" s="19"/>
      <c r="J4" s="19" t="s">
        <v>548</v>
      </c>
    </row>
    <row r="5" customFormat="false" ht="15" hidden="false" customHeight="true" outlineLevel="0" collapsed="false">
      <c r="A5" s="20" t="s">
        <v>551</v>
      </c>
      <c r="B5" s="20" t="s">
        <v>28</v>
      </c>
      <c r="C5" s="20" t="s">
        <v>29</v>
      </c>
      <c r="D5" s="20" t="s">
        <v>443</v>
      </c>
      <c r="E5" s="20" t="n">
        <v>92</v>
      </c>
      <c r="F5" s="20" t="n">
        <v>91</v>
      </c>
      <c r="G5" s="20" t="n">
        <v>90</v>
      </c>
      <c r="H5" s="20"/>
      <c r="I5" s="20"/>
      <c r="J5" s="20" t="s">
        <v>552</v>
      </c>
    </row>
    <row r="6" customFormat="false" ht="15" hidden="false" customHeight="true" outlineLevel="0" collapsed="false">
      <c r="A6" s="19" t="s">
        <v>553</v>
      </c>
      <c r="B6" s="19" t="s">
        <v>78</v>
      </c>
      <c r="C6" s="19" t="s">
        <v>79</v>
      </c>
      <c r="D6" s="19" t="s">
        <v>393</v>
      </c>
      <c r="E6" s="19" t="n">
        <v>94</v>
      </c>
      <c r="F6" s="19" t="n">
        <v>93</v>
      </c>
      <c r="G6" s="19" t="n">
        <v>91</v>
      </c>
      <c r="H6" s="19" t="n">
        <v>95</v>
      </c>
      <c r="I6" s="19" t="n">
        <v>93</v>
      </c>
      <c r="J6" s="19" t="s">
        <v>552</v>
      </c>
    </row>
    <row r="7" customFormat="false" ht="15" hidden="false" customHeight="true" outlineLevel="0" collapsed="false">
      <c r="A7" s="20" t="s">
        <v>554</v>
      </c>
      <c r="B7" s="20" t="s">
        <v>78</v>
      </c>
      <c r="C7" s="20" t="s">
        <v>79</v>
      </c>
      <c r="D7" s="20" t="s">
        <v>388</v>
      </c>
      <c r="E7" s="20" t="n">
        <v>91</v>
      </c>
      <c r="F7" s="20" t="n">
        <v>90</v>
      </c>
      <c r="G7" s="20" t="n">
        <v>88</v>
      </c>
      <c r="H7" s="20" t="n">
        <v>91</v>
      </c>
      <c r="I7" s="20" t="n">
        <v>90</v>
      </c>
      <c r="J7" s="20" t="s">
        <v>552</v>
      </c>
    </row>
    <row r="8" customFormat="false" ht="15" hidden="false" customHeight="true" outlineLevel="0" collapsed="false">
      <c r="A8" s="19" t="s">
        <v>555</v>
      </c>
      <c r="B8" s="19" t="s">
        <v>93</v>
      </c>
      <c r="C8" s="19" t="s">
        <v>94</v>
      </c>
      <c r="D8" s="19" t="s">
        <v>413</v>
      </c>
      <c r="E8" s="19" t="n">
        <v>52</v>
      </c>
      <c r="F8" s="19" t="n">
        <v>55</v>
      </c>
      <c r="G8" s="19" t="n">
        <v>48</v>
      </c>
      <c r="H8" s="19"/>
      <c r="I8" s="19"/>
      <c r="J8" s="19" t="s">
        <v>556</v>
      </c>
    </row>
    <row r="9" customFormat="false" ht="15" hidden="false" customHeight="true" outlineLevel="0" collapsed="false">
      <c r="A9" s="20" t="s">
        <v>557</v>
      </c>
      <c r="B9" s="20" t="s">
        <v>193</v>
      </c>
      <c r="C9" s="20" t="s">
        <v>194</v>
      </c>
      <c r="D9" s="20" t="s">
        <v>353</v>
      </c>
      <c r="E9" s="20" t="n">
        <v>97</v>
      </c>
      <c r="F9" s="20" t="n">
        <v>96</v>
      </c>
      <c r="G9" s="20" t="n">
        <v>95</v>
      </c>
      <c r="H9" s="20"/>
      <c r="I9" s="20"/>
      <c r="J9" s="20" t="s">
        <v>552</v>
      </c>
    </row>
    <row r="10" customFormat="false" ht="15" hidden="false" customHeight="true" outlineLevel="0" collapsed="false">
      <c r="A10" s="19" t="s">
        <v>558</v>
      </c>
      <c r="B10" s="19" t="s">
        <v>170</v>
      </c>
      <c r="C10" s="19" t="s">
        <v>171</v>
      </c>
      <c r="D10" s="19" t="s">
        <v>388</v>
      </c>
      <c r="E10" s="19" t="n">
        <v>48</v>
      </c>
      <c r="F10" s="19" t="n">
        <v>46</v>
      </c>
      <c r="G10" s="19" t="n">
        <v>45</v>
      </c>
      <c r="H10" s="19"/>
      <c r="I10" s="19"/>
      <c r="J10" s="19" t="s">
        <v>559</v>
      </c>
    </row>
    <row r="11" customFormat="false" ht="15" hidden="false" customHeight="true" outlineLevel="0" collapsed="false">
      <c r="A11" s="20" t="s">
        <v>560</v>
      </c>
      <c r="B11" s="20" t="s">
        <v>211</v>
      </c>
      <c r="C11" s="20" t="s">
        <v>212</v>
      </c>
      <c r="D11" s="20" t="s">
        <v>383</v>
      </c>
      <c r="E11" s="20" t="n">
        <v>86</v>
      </c>
      <c r="F11" s="20" t="n">
        <v>85</v>
      </c>
      <c r="G11" s="20" t="n">
        <v>84</v>
      </c>
      <c r="H11" s="20"/>
      <c r="I11" s="20"/>
      <c r="J11" s="20" t="s">
        <v>548</v>
      </c>
    </row>
    <row r="12" customFormat="false" ht="15" hidden="false" customHeight="true" outlineLevel="0" collapsed="false">
      <c r="A12" s="19" t="s">
        <v>561</v>
      </c>
      <c r="B12" s="19" t="s">
        <v>180</v>
      </c>
      <c r="C12" s="19" t="s">
        <v>181</v>
      </c>
      <c r="D12" s="19" t="s">
        <v>408</v>
      </c>
      <c r="E12" s="19" t="n">
        <v>91</v>
      </c>
      <c r="F12" s="19" t="n">
        <v>90</v>
      </c>
      <c r="G12" s="19" t="n">
        <v>89</v>
      </c>
      <c r="H12" s="19"/>
      <c r="I12" s="19"/>
      <c r="J12" s="19" t="s">
        <v>552</v>
      </c>
    </row>
    <row r="13" customFormat="false" ht="15" hidden="false" customHeight="true" outlineLevel="0" collapsed="false">
      <c r="A13" s="20" t="s">
        <v>562</v>
      </c>
      <c r="B13" s="20" t="s">
        <v>222</v>
      </c>
      <c r="C13" s="20" t="s">
        <v>223</v>
      </c>
      <c r="D13" s="20" t="s">
        <v>388</v>
      </c>
      <c r="E13" s="20" t="n">
        <v>93</v>
      </c>
      <c r="F13" s="20" t="n">
        <v>92</v>
      </c>
      <c r="G13" s="20" t="n">
        <v>90</v>
      </c>
      <c r="H13" s="20" t="n">
        <v>94</v>
      </c>
      <c r="I13" s="20" t="n">
        <v>93</v>
      </c>
      <c r="J13" s="20" t="s">
        <v>552</v>
      </c>
    </row>
    <row r="14" customFormat="false" ht="15" hidden="false" customHeight="true" outlineLevel="0" collapsed="false">
      <c r="A14" s="19" t="s">
        <v>563</v>
      </c>
      <c r="B14" s="19" t="s">
        <v>238</v>
      </c>
      <c r="C14" s="19" t="s">
        <v>239</v>
      </c>
      <c r="D14" s="19" t="s">
        <v>440</v>
      </c>
      <c r="E14" s="19" t="n">
        <v>88</v>
      </c>
      <c r="F14" s="19" t="n">
        <v>85</v>
      </c>
      <c r="G14" s="19" t="n">
        <v>84</v>
      </c>
      <c r="H14" s="19"/>
      <c r="I14" s="19"/>
      <c r="J14" s="19" t="s">
        <v>548</v>
      </c>
    </row>
    <row r="15" customFormat="false" ht="15" hidden="false" customHeight="true" outlineLevel="0" collapsed="false">
      <c r="A15" s="20" t="s">
        <v>564</v>
      </c>
      <c r="B15" s="20" t="s">
        <v>238</v>
      </c>
      <c r="C15" s="20" t="s">
        <v>239</v>
      </c>
      <c r="D15" s="20" t="s">
        <v>422</v>
      </c>
      <c r="E15" s="20" t="n">
        <v>80</v>
      </c>
      <c r="F15" s="20" t="n">
        <v>79</v>
      </c>
      <c r="G15" s="20" t="n">
        <v>78</v>
      </c>
      <c r="H15" s="20"/>
      <c r="I15" s="20"/>
      <c r="J15" s="20" t="s">
        <v>548</v>
      </c>
    </row>
    <row r="16" customFormat="false" ht="15" hidden="false" customHeight="true" outlineLevel="0" collapsed="false">
      <c r="A16" s="19" t="s">
        <v>565</v>
      </c>
      <c r="B16" s="19" t="s">
        <v>238</v>
      </c>
      <c r="C16" s="19" t="s">
        <v>239</v>
      </c>
      <c r="D16" s="19" t="s">
        <v>413</v>
      </c>
      <c r="E16" s="19" t="n">
        <v>83</v>
      </c>
      <c r="F16" s="19" t="n">
        <v>82</v>
      </c>
      <c r="G16" s="19" t="n">
        <v>81</v>
      </c>
      <c r="H16" s="19"/>
      <c r="I16" s="19"/>
      <c r="J16" s="19" t="s">
        <v>548</v>
      </c>
    </row>
    <row r="17" customFormat="false" ht="15" hidden="false" customHeight="true" outlineLevel="0" collapsed="false">
      <c r="A17" s="20" t="s">
        <v>566</v>
      </c>
      <c r="B17" s="20" t="s">
        <v>238</v>
      </c>
      <c r="C17" s="20" t="s">
        <v>239</v>
      </c>
      <c r="D17" s="20" t="s">
        <v>443</v>
      </c>
      <c r="E17" s="20" t="n">
        <v>89</v>
      </c>
      <c r="F17" s="20" t="n">
        <v>88</v>
      </c>
      <c r="G17" s="20" t="n">
        <v>87</v>
      </c>
      <c r="H17" s="20"/>
      <c r="I17" s="20"/>
      <c r="J17" s="20" t="s">
        <v>548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22"/>
    <col collapsed="false" customWidth="true" hidden="false" outlineLevel="0" max="4" min="4" style="1" width="10"/>
    <col collapsed="false" customWidth="true" hidden="false" outlineLevel="0" max="5" min="5" style="1" width="28"/>
    <col collapsed="false" customWidth="true" hidden="false" outlineLevel="0" max="8" min="6" style="1" width="10"/>
    <col collapsed="false" customWidth="true" hidden="false" outlineLevel="0" max="9" min="9" style="1" width="8"/>
    <col collapsed="false" customWidth="true" hidden="false" outlineLevel="0" max="11" min="10" style="1" width="10"/>
  </cols>
  <sheetData>
    <row r="1" customFormat="false" ht="30" hidden="false" customHeight="true" outlineLevel="0" collapsed="false">
      <c r="A1" s="18" t="s">
        <v>567</v>
      </c>
      <c r="B1" s="18" t="s">
        <v>0</v>
      </c>
      <c r="C1" s="18" t="s">
        <v>448</v>
      </c>
      <c r="D1" s="18" t="s">
        <v>345</v>
      </c>
      <c r="E1" s="18" t="s">
        <v>449</v>
      </c>
      <c r="F1" s="18" t="s">
        <v>568</v>
      </c>
      <c r="G1" s="18" t="s">
        <v>569</v>
      </c>
      <c r="H1" s="18" t="s">
        <v>570</v>
      </c>
      <c r="I1" s="18" t="s">
        <v>571</v>
      </c>
      <c r="J1" s="18" t="s">
        <v>572</v>
      </c>
      <c r="K1" s="18" t="s">
        <v>573</v>
      </c>
    </row>
    <row r="2" customFormat="false" ht="15" hidden="false" customHeight="true" outlineLevel="0" collapsed="false">
      <c r="A2" s="19" t="s">
        <v>574</v>
      </c>
      <c r="B2" s="19" t="s">
        <v>28</v>
      </c>
      <c r="C2" s="19" t="s">
        <v>29</v>
      </c>
      <c r="D2" s="19" t="s">
        <v>353</v>
      </c>
      <c r="E2" s="19" t="s">
        <v>354</v>
      </c>
      <c r="F2" s="19" t="n">
        <v>28</v>
      </c>
      <c r="G2" s="19" t="n">
        <v>26</v>
      </c>
      <c r="H2" s="19" t="n">
        <v>2</v>
      </c>
      <c r="I2" s="19" t="n">
        <v>1</v>
      </c>
      <c r="J2" s="21" t="n">
        <f aca="false">ROUND(G2/F2*100,0)</f>
        <v>93</v>
      </c>
      <c r="K2" s="19" t="s">
        <v>575</v>
      </c>
    </row>
    <row r="3" customFormat="false" ht="15" hidden="false" customHeight="true" outlineLevel="0" collapsed="false">
      <c r="A3" s="20" t="s">
        <v>576</v>
      </c>
      <c r="B3" s="20" t="s">
        <v>28</v>
      </c>
      <c r="C3" s="20" t="s">
        <v>29</v>
      </c>
      <c r="D3" s="20" t="s">
        <v>359</v>
      </c>
      <c r="E3" s="20" t="s">
        <v>360</v>
      </c>
      <c r="F3" s="20" t="n">
        <v>26</v>
      </c>
      <c r="G3" s="20" t="n">
        <v>25</v>
      </c>
      <c r="H3" s="20" t="n">
        <v>1</v>
      </c>
      <c r="I3" s="20" t="n">
        <v>2</v>
      </c>
      <c r="J3" s="22" t="n">
        <f aca="false">ROUND(G3/F3*100,0)</f>
        <v>96</v>
      </c>
      <c r="K3" s="20" t="s">
        <v>575</v>
      </c>
    </row>
    <row r="4" customFormat="false" ht="15" hidden="false" customHeight="true" outlineLevel="0" collapsed="false">
      <c r="A4" s="19" t="s">
        <v>577</v>
      </c>
      <c r="B4" s="19" t="s">
        <v>93</v>
      </c>
      <c r="C4" s="19" t="s">
        <v>94</v>
      </c>
      <c r="D4" s="19" t="s">
        <v>413</v>
      </c>
      <c r="E4" s="19" t="s">
        <v>414</v>
      </c>
      <c r="F4" s="19" t="n">
        <v>30</v>
      </c>
      <c r="G4" s="19" t="n">
        <v>17</v>
      </c>
      <c r="H4" s="19" t="n">
        <v>13</v>
      </c>
      <c r="I4" s="19" t="n">
        <v>3</v>
      </c>
      <c r="J4" s="21" t="n">
        <f aca="false">ROUND(G4/F4*100,0)</f>
        <v>57</v>
      </c>
      <c r="K4" s="19" t="s">
        <v>578</v>
      </c>
    </row>
    <row r="5" customFormat="false" ht="15" hidden="false" customHeight="true" outlineLevel="0" collapsed="false">
      <c r="A5" s="20" t="s">
        <v>579</v>
      </c>
      <c r="B5" s="20" t="s">
        <v>170</v>
      </c>
      <c r="C5" s="20" t="s">
        <v>171</v>
      </c>
      <c r="D5" s="20" t="s">
        <v>388</v>
      </c>
      <c r="E5" s="20" t="s">
        <v>389</v>
      </c>
      <c r="F5" s="20" t="n">
        <v>26</v>
      </c>
      <c r="G5" s="20" t="n">
        <v>14</v>
      </c>
      <c r="H5" s="20" t="n">
        <v>12</v>
      </c>
      <c r="I5" s="20" t="n">
        <v>2</v>
      </c>
      <c r="J5" s="22" t="n">
        <f aca="false">ROUND(G5/F5*100,0)</f>
        <v>54</v>
      </c>
      <c r="K5" s="20" t="s">
        <v>578</v>
      </c>
    </row>
    <row r="6" customFormat="false" ht="15" hidden="false" customHeight="true" outlineLevel="0" collapsed="false">
      <c r="A6" s="19" t="s">
        <v>580</v>
      </c>
      <c r="B6" s="19" t="s">
        <v>193</v>
      </c>
      <c r="C6" s="19" t="s">
        <v>194</v>
      </c>
      <c r="D6" s="19" t="s">
        <v>353</v>
      </c>
      <c r="E6" s="19" t="s">
        <v>354</v>
      </c>
      <c r="F6" s="19" t="n">
        <v>28</v>
      </c>
      <c r="G6" s="19" t="n">
        <v>28</v>
      </c>
      <c r="H6" s="19" t="n">
        <v>0</v>
      </c>
      <c r="I6" s="19" t="n">
        <v>0</v>
      </c>
      <c r="J6" s="21" t="n">
        <f aca="false">ROUND(G6/F6*100,0)</f>
        <v>100</v>
      </c>
      <c r="K6" s="19" t="s">
        <v>575</v>
      </c>
    </row>
    <row r="7" customFormat="false" ht="15" hidden="false" customHeight="true" outlineLevel="0" collapsed="false">
      <c r="A7" s="20" t="s">
        <v>581</v>
      </c>
      <c r="B7" s="20" t="s">
        <v>50</v>
      </c>
      <c r="C7" s="20" t="s">
        <v>51</v>
      </c>
      <c r="D7" s="20" t="s">
        <v>363</v>
      </c>
      <c r="E7" s="20" t="s">
        <v>364</v>
      </c>
      <c r="F7" s="20" t="n">
        <v>26</v>
      </c>
      <c r="G7" s="20" t="n">
        <v>21</v>
      </c>
      <c r="H7" s="20" t="n">
        <v>5</v>
      </c>
      <c r="I7" s="20" t="n">
        <v>2</v>
      </c>
      <c r="J7" s="22" t="n">
        <f aca="false">ROUND(G7/F7*100,0)</f>
        <v>81</v>
      </c>
      <c r="K7" s="20" t="s">
        <v>575</v>
      </c>
    </row>
    <row r="8" customFormat="false" ht="15" hidden="false" customHeight="true" outlineLevel="0" collapsed="false">
      <c r="A8" s="19" t="s">
        <v>582</v>
      </c>
      <c r="B8" s="19" t="s">
        <v>227</v>
      </c>
      <c r="C8" s="19" t="s">
        <v>228</v>
      </c>
      <c r="D8" s="19" t="s">
        <v>433</v>
      </c>
      <c r="E8" s="19" t="s">
        <v>434</v>
      </c>
      <c r="F8" s="19" t="n">
        <v>26</v>
      </c>
      <c r="G8" s="19" t="n">
        <v>16</v>
      </c>
      <c r="H8" s="19" t="n">
        <v>10</v>
      </c>
      <c r="I8" s="19" t="n">
        <v>3</v>
      </c>
      <c r="J8" s="21" t="n">
        <f aca="false">ROUND(G8/F8*100,0)</f>
        <v>62</v>
      </c>
      <c r="K8" s="19" t="s">
        <v>583</v>
      </c>
    </row>
    <row r="9" customFormat="false" ht="15" hidden="false" customHeight="true" outlineLevel="0" collapsed="false">
      <c r="A9" s="20" t="s">
        <v>584</v>
      </c>
      <c r="B9" s="20" t="s">
        <v>180</v>
      </c>
      <c r="C9" s="20" t="s">
        <v>181</v>
      </c>
      <c r="D9" s="20" t="s">
        <v>408</v>
      </c>
      <c r="E9" s="20" t="s">
        <v>409</v>
      </c>
      <c r="F9" s="20" t="n">
        <v>24</v>
      </c>
      <c r="G9" s="20" t="n">
        <v>24</v>
      </c>
      <c r="H9" s="20" t="n">
        <v>0</v>
      </c>
      <c r="I9" s="20" t="n">
        <v>1</v>
      </c>
      <c r="J9" s="22" t="n">
        <f aca="false">ROUND(G9/F9*100,0)</f>
        <v>100</v>
      </c>
      <c r="K9" s="20" t="s">
        <v>575</v>
      </c>
    </row>
    <row r="10" customFormat="false" ht="15" hidden="false" customHeight="true" outlineLevel="0" collapsed="false">
      <c r="A10" s="19" t="s">
        <v>585</v>
      </c>
      <c r="B10" s="19" t="s">
        <v>124</v>
      </c>
      <c r="C10" s="19" t="s">
        <v>125</v>
      </c>
      <c r="D10" s="19" t="s">
        <v>383</v>
      </c>
      <c r="E10" s="19" t="s">
        <v>384</v>
      </c>
      <c r="F10" s="19" t="n">
        <v>26</v>
      </c>
      <c r="G10" s="19" t="n">
        <v>22</v>
      </c>
      <c r="H10" s="19" t="n">
        <v>4</v>
      </c>
      <c r="I10" s="19" t="n">
        <v>1</v>
      </c>
      <c r="J10" s="21" t="n">
        <f aca="false">ROUND(G10/F10*100,0)</f>
        <v>85</v>
      </c>
      <c r="K10" s="19" t="s">
        <v>575</v>
      </c>
    </row>
    <row r="11" customFormat="false" ht="15" hidden="false" customHeight="true" outlineLevel="0" collapsed="false">
      <c r="A11" s="20" t="s">
        <v>586</v>
      </c>
      <c r="B11" s="20" t="s">
        <v>133</v>
      </c>
      <c r="C11" s="20" t="s">
        <v>134</v>
      </c>
      <c r="D11" s="20" t="s">
        <v>368</v>
      </c>
      <c r="E11" s="20" t="s">
        <v>369</v>
      </c>
      <c r="F11" s="20" t="n">
        <v>26</v>
      </c>
      <c r="G11" s="20" t="n">
        <v>16</v>
      </c>
      <c r="H11" s="20" t="n">
        <v>10</v>
      </c>
      <c r="I11" s="20" t="n">
        <v>2</v>
      </c>
      <c r="J11" s="22" t="n">
        <f aca="false">ROUND(G11/F11*100,0)</f>
        <v>62</v>
      </c>
      <c r="K11" s="20" t="s">
        <v>583</v>
      </c>
    </row>
    <row r="12" customFormat="false" ht="15" hidden="false" customHeight="true" outlineLevel="0" collapsed="false">
      <c r="A12" s="19" t="s">
        <v>587</v>
      </c>
      <c r="B12" s="19" t="s">
        <v>216</v>
      </c>
      <c r="C12" s="19" t="s">
        <v>217</v>
      </c>
      <c r="D12" s="19" t="s">
        <v>403</v>
      </c>
      <c r="E12" s="19" t="s">
        <v>404</v>
      </c>
      <c r="F12" s="19" t="n">
        <v>24</v>
      </c>
      <c r="G12" s="19" t="n">
        <v>15</v>
      </c>
      <c r="H12" s="19" t="n">
        <v>9</v>
      </c>
      <c r="I12" s="19" t="n">
        <v>2</v>
      </c>
      <c r="J12" s="21" t="n">
        <f aca="false">ROUND(G12/F12*100,0)</f>
        <v>63</v>
      </c>
      <c r="K12" s="19" t="s">
        <v>583</v>
      </c>
    </row>
    <row r="13" customFormat="false" ht="15" hidden="false" customHeight="true" outlineLevel="0" collapsed="false">
      <c r="A13" s="20" t="s">
        <v>588</v>
      </c>
      <c r="B13" s="20" t="s">
        <v>233</v>
      </c>
      <c r="C13" s="20" t="s">
        <v>234</v>
      </c>
      <c r="D13" s="20" t="s">
        <v>422</v>
      </c>
      <c r="E13" s="20" t="s">
        <v>423</v>
      </c>
      <c r="F13" s="20" t="n">
        <v>24</v>
      </c>
      <c r="G13" s="20" t="n">
        <v>22</v>
      </c>
      <c r="H13" s="20" t="n">
        <v>2</v>
      </c>
      <c r="I13" s="20" t="n">
        <v>1</v>
      </c>
      <c r="J13" s="22" t="n">
        <f aca="false">ROUND(G13/F13*100,0)</f>
        <v>92</v>
      </c>
      <c r="K13" s="20" t="s">
        <v>575</v>
      </c>
    </row>
    <row r="14" customFormat="false" ht="15" hidden="false" customHeight="true" outlineLevel="0" collapsed="false">
      <c r="A14" s="19" t="s">
        <v>589</v>
      </c>
      <c r="B14" s="19" t="s">
        <v>238</v>
      </c>
      <c r="C14" s="19" t="s">
        <v>239</v>
      </c>
      <c r="D14" s="19" t="s">
        <v>440</v>
      </c>
      <c r="E14" s="19" t="s">
        <v>441</v>
      </c>
      <c r="F14" s="19" t="n">
        <v>26</v>
      </c>
      <c r="G14" s="19" t="n">
        <v>25</v>
      </c>
      <c r="H14" s="19" t="n">
        <v>1</v>
      </c>
      <c r="I14" s="19" t="n">
        <v>1</v>
      </c>
      <c r="J14" s="21" t="n">
        <f aca="false">ROUND(G14/F14*100,0)</f>
        <v>96</v>
      </c>
      <c r="K14" s="19" t="s">
        <v>575</v>
      </c>
    </row>
    <row r="15" customFormat="false" ht="15" hidden="false" customHeight="true" outlineLevel="0" collapsed="false">
      <c r="A15" s="20" t="s">
        <v>590</v>
      </c>
      <c r="B15" s="20" t="s">
        <v>238</v>
      </c>
      <c r="C15" s="20" t="s">
        <v>239</v>
      </c>
      <c r="D15" s="20" t="s">
        <v>422</v>
      </c>
      <c r="E15" s="20" t="s">
        <v>423</v>
      </c>
      <c r="F15" s="20" t="n">
        <v>24</v>
      </c>
      <c r="G15" s="20" t="n">
        <v>22</v>
      </c>
      <c r="H15" s="20" t="n">
        <v>2</v>
      </c>
      <c r="I15" s="20" t="n">
        <v>0</v>
      </c>
      <c r="J15" s="22" t="n">
        <f aca="false">ROUND(G15/F15*100,0)</f>
        <v>92</v>
      </c>
      <c r="K15" s="20" t="s">
        <v>575</v>
      </c>
    </row>
    <row r="16" customFormat="false" ht="15" hidden="false" customHeight="true" outlineLevel="0" collapsed="false">
      <c r="A16" s="19" t="s">
        <v>591</v>
      </c>
      <c r="B16" s="19" t="s">
        <v>238</v>
      </c>
      <c r="C16" s="19" t="s">
        <v>239</v>
      </c>
      <c r="D16" s="19" t="s">
        <v>413</v>
      </c>
      <c r="E16" s="19" t="s">
        <v>414</v>
      </c>
      <c r="F16" s="19" t="n">
        <v>30</v>
      </c>
      <c r="G16" s="19" t="n">
        <v>28</v>
      </c>
      <c r="H16" s="19" t="n">
        <v>2</v>
      </c>
      <c r="I16" s="19" t="n">
        <v>1</v>
      </c>
      <c r="J16" s="21" t="n">
        <f aca="false">ROUND(G16/F16*100,0)</f>
        <v>93</v>
      </c>
      <c r="K16" s="19" t="s">
        <v>575</v>
      </c>
    </row>
    <row r="17" customFormat="false" ht="15" hidden="false" customHeight="true" outlineLevel="0" collapsed="false">
      <c r="A17" s="20" t="s">
        <v>592</v>
      </c>
      <c r="B17" s="20" t="s">
        <v>238</v>
      </c>
      <c r="C17" s="20" t="s">
        <v>239</v>
      </c>
      <c r="D17" s="20" t="s">
        <v>443</v>
      </c>
      <c r="E17" s="20" t="s">
        <v>444</v>
      </c>
      <c r="F17" s="20" t="n">
        <v>24</v>
      </c>
      <c r="G17" s="20" t="n">
        <v>23</v>
      </c>
      <c r="H17" s="20" t="n">
        <v>1</v>
      </c>
      <c r="I17" s="20" t="n">
        <v>0</v>
      </c>
      <c r="J17" s="22" t="n">
        <f aca="false">ROUND(G17/F17*100,0)</f>
        <v>96</v>
      </c>
      <c r="K17" s="20" t="s">
        <v>575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24"/>
    <col collapsed="false" customWidth="true" hidden="false" outlineLevel="0" max="4" min="4" style="0" width="20"/>
    <col collapsed="false" customWidth="true" hidden="false" outlineLevel="0" max="5" min="5" style="0" width="28"/>
    <col collapsed="false" customWidth="true" hidden="false" outlineLevel="0" max="6" min="6" style="0" width="14"/>
    <col collapsed="false" customWidth="true" hidden="false" outlineLevel="0" max="8" min="7" style="0" width="16"/>
    <col collapsed="false" customWidth="true" hidden="false" outlineLevel="0" max="9" min="9" style="0" width="14"/>
    <col collapsed="false" customWidth="true" hidden="false" outlineLevel="0" max="11" min="10" style="0" width="18"/>
    <col collapsed="false" customWidth="true" hidden="false" outlineLevel="0" max="13" min="12" style="0" width="14"/>
  </cols>
  <sheetData>
    <row r="1" customFormat="false" ht="25.5" hidden="false" customHeight="true" outlineLevel="0" collapsed="false">
      <c r="A1" s="23" t="s">
        <v>593</v>
      </c>
      <c r="B1" s="23"/>
      <c r="C1" s="23"/>
      <c r="D1" s="23"/>
      <c r="E1" s="23"/>
      <c r="F1" s="23"/>
      <c r="G1" s="23"/>
      <c r="H1" s="23"/>
      <c r="I1" s="23"/>
      <c r="J1" s="23"/>
      <c r="K1" s="23"/>
      <c r="L1" s="23"/>
    </row>
    <row r="2" customFormat="false" ht="15.75" hidden="false" customHeight="true" outlineLevel="0" collapsed="false">
      <c r="A2" s="24" t="s">
        <v>594</v>
      </c>
      <c r="B2" s="24"/>
      <c r="C2" s="24"/>
      <c r="D2" s="24"/>
      <c r="E2" s="24"/>
      <c r="F2" s="24"/>
      <c r="G2" s="24"/>
      <c r="H2" s="24"/>
      <c r="I2" s="24"/>
      <c r="J2" s="24"/>
      <c r="K2" s="24"/>
      <c r="L2" s="24"/>
    </row>
    <row r="4" customFormat="false" ht="18" hidden="false" customHeight="true" outlineLevel="0" collapsed="false">
      <c r="A4" s="25" t="s">
        <v>595</v>
      </c>
      <c r="B4" s="25" t="s">
        <v>596</v>
      </c>
      <c r="C4" s="25" t="s">
        <v>597</v>
      </c>
      <c r="D4" s="25" t="s">
        <v>598</v>
      </c>
      <c r="E4" s="25" t="s">
        <v>599</v>
      </c>
      <c r="F4" s="25" t="s">
        <v>16</v>
      </c>
      <c r="G4" s="25" t="s">
        <v>19</v>
      </c>
      <c r="H4" s="25" t="s">
        <v>600</v>
      </c>
      <c r="I4" s="25" t="s">
        <v>601</v>
      </c>
      <c r="J4" s="25" t="s">
        <v>602</v>
      </c>
      <c r="K4" s="25" t="s">
        <v>603</v>
      </c>
      <c r="L4" s="25" t="s">
        <v>604</v>
      </c>
      <c r="M4" s="25" t="s">
        <v>605</v>
      </c>
    </row>
    <row r="5" customFormat="false" ht="15.75" hidden="false" customHeight="true" outlineLevel="0" collapsed="false">
      <c r="A5" s="26" t="s">
        <v>606</v>
      </c>
      <c r="B5" s="26" t="s">
        <v>28</v>
      </c>
      <c r="C5" s="27" t="s">
        <v>29</v>
      </c>
      <c r="D5" s="26" t="s">
        <v>34</v>
      </c>
      <c r="E5" s="27" t="s">
        <v>36</v>
      </c>
      <c r="F5" s="26" t="s">
        <v>42</v>
      </c>
      <c r="G5" s="26" t="s">
        <v>44</v>
      </c>
      <c r="H5" s="28" t="n">
        <v>75000</v>
      </c>
      <c r="I5" s="28" t="n">
        <v>5000</v>
      </c>
      <c r="J5" s="26" t="n">
        <f aca="false">H5+I5</f>
        <v>80000</v>
      </c>
      <c r="K5" s="28" t="n">
        <v>80000</v>
      </c>
      <c r="L5" s="26" t="n">
        <f aca="false">J5-K5</f>
        <v>0</v>
      </c>
      <c r="M5" s="29" t="s">
        <v>45</v>
      </c>
    </row>
    <row r="6" customFormat="false" ht="15.75" hidden="false" customHeight="true" outlineLevel="0" collapsed="false">
      <c r="A6" s="30" t="s">
        <v>607</v>
      </c>
      <c r="B6" s="30" t="s">
        <v>50</v>
      </c>
      <c r="C6" s="31" t="s">
        <v>51</v>
      </c>
      <c r="D6" s="30" t="s">
        <v>56</v>
      </c>
      <c r="E6" s="31" t="s">
        <v>58</v>
      </c>
      <c r="F6" s="30" t="s">
        <v>42</v>
      </c>
      <c r="G6" s="30" t="s">
        <v>63</v>
      </c>
      <c r="H6" s="32" t="n">
        <v>65000</v>
      </c>
      <c r="I6" s="32" t="n">
        <v>5000</v>
      </c>
      <c r="J6" s="30" t="n">
        <f aca="false">H6+I6</f>
        <v>70000</v>
      </c>
      <c r="K6" s="32" t="n">
        <v>70000</v>
      </c>
      <c r="L6" s="30" t="n">
        <f aca="false">J6-K6</f>
        <v>0</v>
      </c>
      <c r="M6" s="29" t="s">
        <v>45</v>
      </c>
    </row>
    <row r="7" customFormat="false" ht="15.75" hidden="false" customHeight="true" outlineLevel="0" collapsed="false">
      <c r="A7" s="26" t="s">
        <v>608</v>
      </c>
      <c r="B7" s="26" t="s">
        <v>64</v>
      </c>
      <c r="C7" s="27" t="s">
        <v>65</v>
      </c>
      <c r="D7" s="26" t="s">
        <v>34</v>
      </c>
      <c r="E7" s="27" t="s">
        <v>70</v>
      </c>
      <c r="F7" s="26" t="s">
        <v>42</v>
      </c>
      <c r="G7" s="26" t="s">
        <v>76</v>
      </c>
      <c r="H7" s="28" t="n">
        <v>75000</v>
      </c>
      <c r="I7" s="28" t="n">
        <v>5000</v>
      </c>
      <c r="J7" s="26" t="n">
        <f aca="false">H7+I7</f>
        <v>80000</v>
      </c>
      <c r="K7" s="28" t="n">
        <v>80000</v>
      </c>
      <c r="L7" s="26" t="n">
        <f aca="false">J7-K7</f>
        <v>0</v>
      </c>
      <c r="M7" s="29" t="s">
        <v>45</v>
      </c>
    </row>
    <row r="8" customFormat="false" ht="15.75" hidden="false" customHeight="true" outlineLevel="0" collapsed="false">
      <c r="A8" s="30" t="s">
        <v>609</v>
      </c>
      <c r="B8" s="30" t="s">
        <v>78</v>
      </c>
      <c r="C8" s="31" t="s">
        <v>79</v>
      </c>
      <c r="D8" s="30" t="s">
        <v>34</v>
      </c>
      <c r="E8" s="31" t="s">
        <v>84</v>
      </c>
      <c r="F8" s="30" t="s">
        <v>42</v>
      </c>
      <c r="G8" s="30" t="s">
        <v>89</v>
      </c>
      <c r="H8" s="32" t="n">
        <v>75000</v>
      </c>
      <c r="I8" s="32" t="n">
        <v>5000</v>
      </c>
      <c r="J8" s="30" t="n">
        <f aca="false">H8+I8</f>
        <v>80000</v>
      </c>
      <c r="K8" s="32" t="n">
        <v>80000</v>
      </c>
      <c r="L8" s="30" t="n">
        <f aca="false">J8-K8</f>
        <v>0</v>
      </c>
      <c r="M8" s="29" t="s">
        <v>45</v>
      </c>
    </row>
    <row r="9" customFormat="false" ht="15.75" hidden="false" customHeight="true" outlineLevel="0" collapsed="false">
      <c r="A9" s="26" t="s">
        <v>610</v>
      </c>
      <c r="B9" s="26" t="s">
        <v>93</v>
      </c>
      <c r="C9" s="27" t="s">
        <v>94</v>
      </c>
      <c r="D9" s="26" t="s">
        <v>34</v>
      </c>
      <c r="E9" s="27" t="s">
        <v>99</v>
      </c>
      <c r="F9" s="26" t="s">
        <v>42</v>
      </c>
      <c r="G9" s="26" t="s">
        <v>105</v>
      </c>
      <c r="H9" s="28" t="n">
        <v>75000</v>
      </c>
      <c r="I9" s="28" t="n">
        <v>5000</v>
      </c>
      <c r="J9" s="26" t="n">
        <f aca="false">H9+I9</f>
        <v>80000</v>
      </c>
      <c r="K9" s="28" t="n">
        <v>45000</v>
      </c>
      <c r="L9" s="26" t="n">
        <f aca="false">J9-K9</f>
        <v>35000</v>
      </c>
      <c r="M9" s="33" t="s">
        <v>106</v>
      </c>
    </row>
    <row r="10" customFormat="false" ht="15.75" hidden="false" customHeight="true" outlineLevel="0" collapsed="false">
      <c r="A10" s="30" t="s">
        <v>611</v>
      </c>
      <c r="B10" s="30" t="s">
        <v>109</v>
      </c>
      <c r="C10" s="31" t="s">
        <v>110</v>
      </c>
      <c r="D10" s="30" t="s">
        <v>114</v>
      </c>
      <c r="E10" s="31" t="s">
        <v>116</v>
      </c>
      <c r="F10" s="30" t="s">
        <v>42</v>
      </c>
      <c r="G10" s="30" t="s">
        <v>44</v>
      </c>
      <c r="H10" s="32" t="n">
        <v>60000</v>
      </c>
      <c r="I10" s="32" t="n">
        <v>5000</v>
      </c>
      <c r="J10" s="30" t="n">
        <f aca="false">H10+I10</f>
        <v>65000</v>
      </c>
      <c r="K10" s="32" t="n">
        <v>65000</v>
      </c>
      <c r="L10" s="30" t="n">
        <f aca="false">J10-K10</f>
        <v>0</v>
      </c>
      <c r="M10" s="29" t="s">
        <v>45</v>
      </c>
    </row>
    <row r="11" customFormat="false" ht="15.75" hidden="false" customHeight="true" outlineLevel="0" collapsed="false">
      <c r="A11" s="26" t="s">
        <v>612</v>
      </c>
      <c r="B11" s="26" t="s">
        <v>117</v>
      </c>
      <c r="C11" s="27" t="s">
        <v>118</v>
      </c>
      <c r="D11" s="26" t="s">
        <v>34</v>
      </c>
      <c r="E11" s="27" t="s">
        <v>99</v>
      </c>
      <c r="F11" s="26" t="s">
        <v>42</v>
      </c>
      <c r="G11" s="26" t="s">
        <v>63</v>
      </c>
      <c r="H11" s="28" t="n">
        <v>75000</v>
      </c>
      <c r="I11" s="28" t="n">
        <v>5000</v>
      </c>
      <c r="J11" s="26" t="n">
        <f aca="false">H11+I11</f>
        <v>80000</v>
      </c>
      <c r="K11" s="28" t="n">
        <v>80000</v>
      </c>
      <c r="L11" s="26" t="n">
        <f aca="false">J11-K11</f>
        <v>0</v>
      </c>
      <c r="M11" s="29" t="s">
        <v>45</v>
      </c>
    </row>
    <row r="12" customFormat="false" ht="15.75" hidden="false" customHeight="true" outlineLevel="0" collapsed="false">
      <c r="A12" s="30" t="s">
        <v>613</v>
      </c>
      <c r="B12" s="30" t="s">
        <v>124</v>
      </c>
      <c r="C12" s="31" t="s">
        <v>125</v>
      </c>
      <c r="D12" s="30" t="s">
        <v>129</v>
      </c>
      <c r="E12" s="31" t="s">
        <v>131</v>
      </c>
      <c r="F12" s="30" t="s">
        <v>42</v>
      </c>
      <c r="G12" s="30" t="s">
        <v>76</v>
      </c>
      <c r="H12" s="32" t="n">
        <v>70000</v>
      </c>
      <c r="I12" s="32" t="n">
        <v>5000</v>
      </c>
      <c r="J12" s="30" t="n">
        <f aca="false">H12+I12</f>
        <v>75000</v>
      </c>
      <c r="K12" s="32" t="n">
        <v>75000</v>
      </c>
      <c r="L12" s="30" t="n">
        <f aca="false">J12-K12</f>
        <v>0</v>
      </c>
      <c r="M12" s="29" t="s">
        <v>45</v>
      </c>
    </row>
    <row r="13" customFormat="false" ht="15.75" hidden="false" customHeight="true" outlineLevel="0" collapsed="false">
      <c r="A13" s="26" t="s">
        <v>614</v>
      </c>
      <c r="B13" s="26" t="s">
        <v>133</v>
      </c>
      <c r="C13" s="27" t="s">
        <v>134</v>
      </c>
      <c r="D13" s="26" t="s">
        <v>138</v>
      </c>
      <c r="E13" s="27" t="s">
        <v>58</v>
      </c>
      <c r="F13" s="26" t="s">
        <v>42</v>
      </c>
      <c r="G13" s="26" t="s">
        <v>44</v>
      </c>
      <c r="H13" s="28" t="n">
        <v>65000</v>
      </c>
      <c r="I13" s="28" t="n">
        <v>5000</v>
      </c>
      <c r="J13" s="26" t="n">
        <f aca="false">H13+I13</f>
        <v>70000</v>
      </c>
      <c r="K13" s="28" t="n">
        <v>0</v>
      </c>
      <c r="L13" s="26" t="n">
        <f aca="false">J13-K13</f>
        <v>70000</v>
      </c>
      <c r="M13" s="34" t="s">
        <v>142</v>
      </c>
    </row>
    <row r="14" customFormat="false" ht="15.75" hidden="false" customHeight="true" outlineLevel="0" collapsed="false">
      <c r="A14" s="30" t="s">
        <v>615</v>
      </c>
      <c r="B14" s="30" t="s">
        <v>143</v>
      </c>
      <c r="C14" s="31" t="s">
        <v>144</v>
      </c>
      <c r="D14" s="30" t="s">
        <v>34</v>
      </c>
      <c r="E14" s="31" t="s">
        <v>36</v>
      </c>
      <c r="F14" s="30" t="s">
        <v>42</v>
      </c>
      <c r="G14" s="30" t="s">
        <v>105</v>
      </c>
      <c r="H14" s="32" t="n">
        <v>75000</v>
      </c>
      <c r="I14" s="32" t="n">
        <v>5000</v>
      </c>
      <c r="J14" s="30" t="n">
        <f aca="false">H14+I14</f>
        <v>80000</v>
      </c>
      <c r="K14" s="32" t="n">
        <v>80000</v>
      </c>
      <c r="L14" s="30" t="n">
        <f aca="false">J14-K14</f>
        <v>0</v>
      </c>
      <c r="M14" s="29" t="s">
        <v>45</v>
      </c>
    </row>
    <row r="15" customFormat="false" ht="15.75" hidden="false" customHeight="true" outlineLevel="0" collapsed="false">
      <c r="A15" s="26" t="s">
        <v>616</v>
      </c>
      <c r="B15" s="26" t="s">
        <v>150</v>
      </c>
      <c r="C15" s="27" t="s">
        <v>151</v>
      </c>
      <c r="D15" s="26" t="s">
        <v>34</v>
      </c>
      <c r="E15" s="27" t="s">
        <v>99</v>
      </c>
      <c r="F15" s="26" t="s">
        <v>42</v>
      </c>
      <c r="G15" s="26" t="s">
        <v>63</v>
      </c>
      <c r="H15" s="28" t="n">
        <v>75000</v>
      </c>
      <c r="I15" s="28" t="n">
        <v>5000</v>
      </c>
      <c r="J15" s="26" t="n">
        <f aca="false">H15+I15</f>
        <v>80000</v>
      </c>
      <c r="K15" s="28" t="n">
        <v>80000</v>
      </c>
      <c r="L15" s="26" t="n">
        <f aca="false">J15-K15</f>
        <v>0</v>
      </c>
      <c r="M15" s="29" t="s">
        <v>45</v>
      </c>
    </row>
    <row r="16" customFormat="false" ht="15.75" hidden="false" customHeight="true" outlineLevel="0" collapsed="false">
      <c r="A16" s="30" t="s">
        <v>617</v>
      </c>
      <c r="B16" s="30" t="s">
        <v>156</v>
      </c>
      <c r="C16" s="31" t="s">
        <v>157</v>
      </c>
      <c r="D16" s="30" t="s">
        <v>34</v>
      </c>
      <c r="E16" s="31" t="s">
        <v>70</v>
      </c>
      <c r="F16" s="30" t="s">
        <v>42</v>
      </c>
      <c r="G16" s="30" t="s">
        <v>89</v>
      </c>
      <c r="H16" s="32" t="n">
        <v>75000</v>
      </c>
      <c r="I16" s="32" t="n">
        <v>5000</v>
      </c>
      <c r="J16" s="30" t="n">
        <f aca="false">H16+I16</f>
        <v>80000</v>
      </c>
      <c r="K16" s="32" t="n">
        <v>80000</v>
      </c>
      <c r="L16" s="30" t="n">
        <f aca="false">J16-K16</f>
        <v>0</v>
      </c>
      <c r="M16" s="29" t="s">
        <v>45</v>
      </c>
    </row>
    <row r="17" customFormat="false" ht="15.75" hidden="false" customHeight="true" outlineLevel="0" collapsed="false">
      <c r="A17" s="26" t="s">
        <v>618</v>
      </c>
      <c r="B17" s="26" t="s">
        <v>163</v>
      </c>
      <c r="C17" s="27" t="s">
        <v>164</v>
      </c>
      <c r="D17" s="26" t="s">
        <v>56</v>
      </c>
      <c r="E17" s="27" t="s">
        <v>169</v>
      </c>
      <c r="F17" s="26" t="s">
        <v>42</v>
      </c>
      <c r="G17" s="26" t="s">
        <v>44</v>
      </c>
      <c r="H17" s="28" t="n">
        <v>65000</v>
      </c>
      <c r="I17" s="28" t="n">
        <v>5000</v>
      </c>
      <c r="J17" s="26" t="n">
        <f aca="false">H17+I17</f>
        <v>70000</v>
      </c>
      <c r="K17" s="28" t="n">
        <v>70000</v>
      </c>
      <c r="L17" s="26" t="n">
        <f aca="false">J17-K17</f>
        <v>0</v>
      </c>
      <c r="M17" s="29" t="s">
        <v>45</v>
      </c>
    </row>
    <row r="18" customFormat="false" ht="15.75" hidden="false" customHeight="true" outlineLevel="0" collapsed="false">
      <c r="A18" s="30" t="s">
        <v>619</v>
      </c>
      <c r="B18" s="30" t="s">
        <v>170</v>
      </c>
      <c r="C18" s="31" t="s">
        <v>171</v>
      </c>
      <c r="D18" s="30" t="s">
        <v>175</v>
      </c>
      <c r="E18" s="31" t="s">
        <v>84</v>
      </c>
      <c r="F18" s="30" t="s">
        <v>42</v>
      </c>
      <c r="G18" s="30" t="s">
        <v>76</v>
      </c>
      <c r="H18" s="32" t="n">
        <v>80000</v>
      </c>
      <c r="I18" s="32" t="n">
        <v>5000</v>
      </c>
      <c r="J18" s="30" t="n">
        <f aca="false">H18+I18</f>
        <v>85000</v>
      </c>
      <c r="K18" s="32" t="n">
        <v>10000</v>
      </c>
      <c r="L18" s="30" t="n">
        <f aca="false">J18-K18</f>
        <v>75000</v>
      </c>
      <c r="M18" s="35" t="s">
        <v>179</v>
      </c>
    </row>
    <row r="19" customFormat="false" ht="15.75" hidden="false" customHeight="true" outlineLevel="0" collapsed="false">
      <c r="A19" s="26" t="s">
        <v>620</v>
      </c>
      <c r="B19" s="26" t="s">
        <v>180</v>
      </c>
      <c r="C19" s="27" t="s">
        <v>181</v>
      </c>
      <c r="D19" s="26" t="s">
        <v>56</v>
      </c>
      <c r="E19" s="27" t="s">
        <v>186</v>
      </c>
      <c r="F19" s="26" t="s">
        <v>42</v>
      </c>
      <c r="G19" s="26" t="s">
        <v>105</v>
      </c>
      <c r="H19" s="28" t="n">
        <v>65000</v>
      </c>
      <c r="I19" s="28" t="n">
        <v>5000</v>
      </c>
      <c r="J19" s="26" t="n">
        <f aca="false">H19+I19</f>
        <v>70000</v>
      </c>
      <c r="K19" s="28" t="n">
        <v>70000</v>
      </c>
      <c r="L19" s="26" t="n">
        <f aca="false">J19-K19</f>
        <v>0</v>
      </c>
      <c r="M19" s="29" t="s">
        <v>45</v>
      </c>
    </row>
    <row r="20" customFormat="false" ht="15.75" hidden="false" customHeight="true" outlineLevel="0" collapsed="false">
      <c r="A20" s="30" t="s">
        <v>621</v>
      </c>
      <c r="B20" s="30" t="s">
        <v>187</v>
      </c>
      <c r="C20" s="31" t="s">
        <v>188</v>
      </c>
      <c r="D20" s="30" t="s">
        <v>34</v>
      </c>
      <c r="E20" s="31" t="s">
        <v>99</v>
      </c>
      <c r="F20" s="30" t="s">
        <v>42</v>
      </c>
      <c r="G20" s="30" t="s">
        <v>63</v>
      </c>
      <c r="H20" s="32" t="n">
        <v>75000</v>
      </c>
      <c r="I20" s="32" t="n">
        <v>5000</v>
      </c>
      <c r="J20" s="30" t="n">
        <f aca="false">H20+I20</f>
        <v>80000</v>
      </c>
      <c r="K20" s="32" t="n">
        <v>80000</v>
      </c>
      <c r="L20" s="30" t="n">
        <f aca="false">J20-K20</f>
        <v>0</v>
      </c>
      <c r="M20" s="29" t="s">
        <v>45</v>
      </c>
    </row>
    <row r="21" customFormat="false" ht="15.75" hidden="false" customHeight="true" outlineLevel="0" collapsed="false">
      <c r="A21" s="26" t="s">
        <v>622</v>
      </c>
      <c r="B21" s="26" t="s">
        <v>193</v>
      </c>
      <c r="C21" s="27" t="s">
        <v>194</v>
      </c>
      <c r="D21" s="26" t="s">
        <v>34</v>
      </c>
      <c r="E21" s="27" t="s">
        <v>36</v>
      </c>
      <c r="F21" s="26" t="s">
        <v>42</v>
      </c>
      <c r="G21" s="26" t="s">
        <v>44</v>
      </c>
      <c r="H21" s="28" t="n">
        <v>75000</v>
      </c>
      <c r="I21" s="28" t="n">
        <v>5000</v>
      </c>
      <c r="J21" s="26" t="n">
        <f aca="false">H21+I21</f>
        <v>80000</v>
      </c>
      <c r="K21" s="28" t="n">
        <v>80000</v>
      </c>
      <c r="L21" s="26" t="n">
        <f aca="false">J21-K21</f>
        <v>0</v>
      </c>
      <c r="M21" s="29" t="s">
        <v>45</v>
      </c>
    </row>
    <row r="22" customFormat="false" ht="15.75" hidden="false" customHeight="true" outlineLevel="0" collapsed="false">
      <c r="A22" s="30" t="s">
        <v>623</v>
      </c>
      <c r="B22" s="30" t="s">
        <v>198</v>
      </c>
      <c r="C22" s="31" t="s">
        <v>199</v>
      </c>
      <c r="D22" s="30" t="s">
        <v>114</v>
      </c>
      <c r="E22" s="31" t="s">
        <v>116</v>
      </c>
      <c r="F22" s="30" t="s">
        <v>42</v>
      </c>
      <c r="G22" s="30" t="s">
        <v>76</v>
      </c>
      <c r="H22" s="32" t="n">
        <v>60000</v>
      </c>
      <c r="I22" s="32" t="n">
        <v>5000</v>
      </c>
      <c r="J22" s="30" t="n">
        <f aca="false">H22+I22</f>
        <v>65000</v>
      </c>
      <c r="K22" s="32" t="n">
        <v>65000</v>
      </c>
      <c r="L22" s="30" t="n">
        <f aca="false">J22-K22</f>
        <v>0</v>
      </c>
      <c r="M22" s="29" t="s">
        <v>45</v>
      </c>
    </row>
    <row r="23" customFormat="false" ht="15.75" hidden="false" customHeight="true" outlineLevel="0" collapsed="false">
      <c r="A23" s="26" t="s">
        <v>624</v>
      </c>
      <c r="B23" s="26" t="s">
        <v>205</v>
      </c>
      <c r="C23" s="27" t="s">
        <v>206</v>
      </c>
      <c r="D23" s="26" t="s">
        <v>34</v>
      </c>
      <c r="E23" s="27" t="s">
        <v>84</v>
      </c>
      <c r="F23" s="26" t="s">
        <v>42</v>
      </c>
      <c r="G23" s="26" t="s">
        <v>105</v>
      </c>
      <c r="H23" s="28" t="n">
        <v>75000</v>
      </c>
      <c r="I23" s="28" t="n">
        <v>5000</v>
      </c>
      <c r="J23" s="26" t="n">
        <f aca="false">H23+I23</f>
        <v>80000</v>
      </c>
      <c r="K23" s="28" t="n">
        <v>80000</v>
      </c>
      <c r="L23" s="26" t="n">
        <f aca="false">J23-K23</f>
        <v>0</v>
      </c>
      <c r="M23" s="29" t="s">
        <v>45</v>
      </c>
    </row>
    <row r="24" customFormat="false" ht="15.75" hidden="false" customHeight="true" outlineLevel="0" collapsed="false">
      <c r="A24" s="30" t="s">
        <v>625</v>
      </c>
      <c r="B24" s="30" t="s">
        <v>211</v>
      </c>
      <c r="C24" s="31" t="s">
        <v>212</v>
      </c>
      <c r="D24" s="30" t="s">
        <v>129</v>
      </c>
      <c r="E24" s="31" t="s">
        <v>131</v>
      </c>
      <c r="F24" s="30" t="s">
        <v>42</v>
      </c>
      <c r="G24" s="30" t="s">
        <v>63</v>
      </c>
      <c r="H24" s="32" t="n">
        <v>70000</v>
      </c>
      <c r="I24" s="32" t="n">
        <v>5000</v>
      </c>
      <c r="J24" s="30" t="n">
        <f aca="false">H24+I24</f>
        <v>75000</v>
      </c>
      <c r="K24" s="32" t="n">
        <v>75000</v>
      </c>
      <c r="L24" s="30" t="n">
        <f aca="false">J24-K24</f>
        <v>0</v>
      </c>
      <c r="M24" s="29" t="s">
        <v>45</v>
      </c>
    </row>
    <row r="25" customFormat="false" ht="15.75" hidden="false" customHeight="true" outlineLevel="0" collapsed="false">
      <c r="A25" s="26" t="s">
        <v>626</v>
      </c>
      <c r="B25" s="26" t="s">
        <v>216</v>
      </c>
      <c r="C25" s="27" t="s">
        <v>217</v>
      </c>
      <c r="D25" s="26" t="s">
        <v>56</v>
      </c>
      <c r="E25" s="27" t="s">
        <v>169</v>
      </c>
      <c r="F25" s="26" t="s">
        <v>42</v>
      </c>
      <c r="G25" s="26" t="s">
        <v>44</v>
      </c>
      <c r="H25" s="28" t="n">
        <v>65000</v>
      </c>
      <c r="I25" s="28" t="n">
        <v>5000</v>
      </c>
      <c r="J25" s="26" t="n">
        <f aca="false">H25+I25</f>
        <v>70000</v>
      </c>
      <c r="K25" s="28" t="n">
        <v>0</v>
      </c>
      <c r="L25" s="26" t="n">
        <f aca="false">J25-K25</f>
        <v>70000</v>
      </c>
      <c r="M25" s="34" t="s">
        <v>142</v>
      </c>
    </row>
    <row r="26" customFormat="false" ht="15.75" hidden="false" customHeight="true" outlineLevel="0" collapsed="false">
      <c r="A26" s="30" t="s">
        <v>627</v>
      </c>
      <c r="B26" s="30" t="s">
        <v>222</v>
      </c>
      <c r="C26" s="31" t="s">
        <v>223</v>
      </c>
      <c r="D26" s="30" t="s">
        <v>34</v>
      </c>
      <c r="E26" s="31" t="s">
        <v>99</v>
      </c>
      <c r="F26" s="30" t="s">
        <v>42</v>
      </c>
      <c r="G26" s="30" t="s">
        <v>89</v>
      </c>
      <c r="H26" s="32" t="n">
        <v>75000</v>
      </c>
      <c r="I26" s="32" t="n">
        <v>5000</v>
      </c>
      <c r="J26" s="30" t="n">
        <f aca="false">H26+I26</f>
        <v>80000</v>
      </c>
      <c r="K26" s="32" t="n">
        <v>80000</v>
      </c>
      <c r="L26" s="30" t="n">
        <f aca="false">J26-K26</f>
        <v>0</v>
      </c>
      <c r="M26" s="29" t="s">
        <v>45</v>
      </c>
    </row>
    <row r="27" customFormat="false" ht="15.75" hidden="false" customHeight="true" outlineLevel="0" collapsed="false">
      <c r="A27" s="26" t="s">
        <v>628</v>
      </c>
      <c r="B27" s="26" t="s">
        <v>227</v>
      </c>
      <c r="C27" s="27" t="s">
        <v>228</v>
      </c>
      <c r="D27" s="26" t="s">
        <v>138</v>
      </c>
      <c r="E27" s="27" t="s">
        <v>58</v>
      </c>
      <c r="F27" s="26" t="s">
        <v>42</v>
      </c>
      <c r="G27" s="26" t="s">
        <v>105</v>
      </c>
      <c r="H27" s="28" t="n">
        <v>65000</v>
      </c>
      <c r="I27" s="28" t="n">
        <v>5000</v>
      </c>
      <c r="J27" s="26" t="n">
        <f aca="false">H27+I27</f>
        <v>70000</v>
      </c>
      <c r="K27" s="28" t="n">
        <v>35000</v>
      </c>
      <c r="L27" s="26" t="n">
        <f aca="false">J27-K27</f>
        <v>35000</v>
      </c>
      <c r="M27" s="33" t="s">
        <v>106</v>
      </c>
    </row>
    <row r="28" customFormat="false" ht="15.75" hidden="false" customHeight="true" outlineLevel="0" collapsed="false">
      <c r="A28" s="30" t="s">
        <v>629</v>
      </c>
      <c r="B28" s="30" t="s">
        <v>233</v>
      </c>
      <c r="C28" s="31" t="s">
        <v>234</v>
      </c>
      <c r="D28" s="30" t="s">
        <v>34</v>
      </c>
      <c r="E28" s="31" t="s">
        <v>36</v>
      </c>
      <c r="F28" s="30" t="s">
        <v>42</v>
      </c>
      <c r="G28" s="30" t="s">
        <v>63</v>
      </c>
      <c r="H28" s="32" t="n">
        <v>75000</v>
      </c>
      <c r="I28" s="32" t="n">
        <v>5000</v>
      </c>
      <c r="J28" s="30" t="n">
        <f aca="false">H28+I28</f>
        <v>80000</v>
      </c>
      <c r="K28" s="32" t="n">
        <v>80000</v>
      </c>
      <c r="L28" s="30" t="n">
        <f aca="false">J28-K28</f>
        <v>0</v>
      </c>
      <c r="M28" s="29" t="s">
        <v>45</v>
      </c>
    </row>
    <row r="29" customFormat="false" ht="15.75" hidden="false" customHeight="true" outlineLevel="0" collapsed="false">
      <c r="A29" s="26" t="s">
        <v>630</v>
      </c>
      <c r="B29" s="26" t="s">
        <v>238</v>
      </c>
      <c r="C29" s="27" t="s">
        <v>239</v>
      </c>
      <c r="D29" s="26" t="s">
        <v>34</v>
      </c>
      <c r="E29" s="27" t="s">
        <v>36</v>
      </c>
      <c r="F29" s="26" t="s">
        <v>42</v>
      </c>
      <c r="G29" s="26" t="s">
        <v>105</v>
      </c>
      <c r="H29" s="28" t="n">
        <v>75000</v>
      </c>
      <c r="I29" s="28" t="n">
        <v>5000</v>
      </c>
      <c r="J29" s="26" t="n">
        <f aca="false">H29+I29</f>
        <v>80000</v>
      </c>
      <c r="K29" s="28" t="n">
        <v>80000</v>
      </c>
      <c r="L29" s="26" t="n">
        <f aca="false">J29-K29</f>
        <v>0</v>
      </c>
      <c r="M29" s="29" t="s">
        <v>45</v>
      </c>
    </row>
    <row r="30" customFormat="false" ht="15.75" hidden="false" customHeight="true" outlineLevel="0" collapsed="false">
      <c r="A30" s="30" t="s">
        <v>631</v>
      </c>
      <c r="B30" s="30" t="s">
        <v>243</v>
      </c>
      <c r="C30" s="31" t="s">
        <v>244</v>
      </c>
      <c r="D30" s="30" t="s">
        <v>252</v>
      </c>
      <c r="E30" s="31" t="s">
        <v>36</v>
      </c>
      <c r="F30" s="30" t="s">
        <v>251</v>
      </c>
      <c r="G30" s="30" t="s">
        <v>63</v>
      </c>
      <c r="H30" s="32" t="n">
        <v>90000</v>
      </c>
      <c r="I30" s="32" t="n">
        <v>5000</v>
      </c>
      <c r="J30" s="30" t="n">
        <f aca="false">H30+I30</f>
        <v>95000</v>
      </c>
      <c r="K30" s="32" t="n">
        <v>95000</v>
      </c>
      <c r="L30" s="30" t="n">
        <f aca="false">J30-K30</f>
        <v>0</v>
      </c>
      <c r="M30" s="29" t="s">
        <v>45</v>
      </c>
    </row>
    <row r="31" customFormat="false" ht="15.75" hidden="false" customHeight="true" outlineLevel="0" collapsed="false">
      <c r="A31" s="26" t="s">
        <v>632</v>
      </c>
      <c r="B31" s="26" t="s">
        <v>254</v>
      </c>
      <c r="C31" s="27" t="s">
        <v>255</v>
      </c>
      <c r="D31" s="26" t="s">
        <v>262</v>
      </c>
      <c r="E31" s="27" t="s">
        <v>58</v>
      </c>
      <c r="F31" s="26" t="s">
        <v>251</v>
      </c>
      <c r="G31" s="26" t="s">
        <v>105</v>
      </c>
      <c r="H31" s="28" t="n">
        <v>110000</v>
      </c>
      <c r="I31" s="28" t="n">
        <v>5000</v>
      </c>
      <c r="J31" s="26" t="n">
        <f aca="false">H31+I31</f>
        <v>115000</v>
      </c>
      <c r="K31" s="28" t="n">
        <v>115000</v>
      </c>
      <c r="L31" s="26" t="n">
        <f aca="false">J31-K31</f>
        <v>0</v>
      </c>
      <c r="M31" s="29" t="s">
        <v>45</v>
      </c>
    </row>
    <row r="32" customFormat="false" ht="15.75" hidden="false" customHeight="true" outlineLevel="0" collapsed="false">
      <c r="A32" s="30" t="s">
        <v>633</v>
      </c>
      <c r="B32" s="30" t="s">
        <v>264</v>
      </c>
      <c r="C32" s="31" t="s">
        <v>265</v>
      </c>
      <c r="D32" s="30" t="s">
        <v>270</v>
      </c>
      <c r="E32" s="31" t="s">
        <v>58</v>
      </c>
      <c r="F32" s="30" t="s">
        <v>251</v>
      </c>
      <c r="G32" s="30" t="s">
        <v>89</v>
      </c>
      <c r="H32" s="32" t="n">
        <v>85000</v>
      </c>
      <c r="I32" s="32" t="n">
        <v>5000</v>
      </c>
      <c r="J32" s="30" t="n">
        <f aca="false">H32+I32</f>
        <v>90000</v>
      </c>
      <c r="K32" s="32" t="n">
        <v>90000</v>
      </c>
      <c r="L32" s="30" t="n">
        <f aca="false">J32-K32</f>
        <v>0</v>
      </c>
      <c r="M32" s="29" t="s">
        <v>45</v>
      </c>
    </row>
    <row r="33" customFormat="false" ht="15.75" hidden="false" customHeight="true" outlineLevel="0" collapsed="false">
      <c r="A33" s="26" t="s">
        <v>634</v>
      </c>
      <c r="B33" s="26" t="s">
        <v>273</v>
      </c>
      <c r="C33" s="27" t="s">
        <v>274</v>
      </c>
      <c r="D33" s="26" t="s">
        <v>252</v>
      </c>
      <c r="E33" s="27" t="s">
        <v>99</v>
      </c>
      <c r="F33" s="26" t="s">
        <v>251</v>
      </c>
      <c r="G33" s="26" t="s">
        <v>105</v>
      </c>
      <c r="H33" s="28" t="n">
        <v>90000</v>
      </c>
      <c r="I33" s="28" t="n">
        <v>5000</v>
      </c>
      <c r="J33" s="26" t="n">
        <f aca="false">H33+I33</f>
        <v>95000</v>
      </c>
      <c r="K33" s="28" t="n">
        <v>60000</v>
      </c>
      <c r="L33" s="26" t="n">
        <f aca="false">J33-K33</f>
        <v>35000</v>
      </c>
      <c r="M33" s="33" t="s">
        <v>106</v>
      </c>
    </row>
    <row r="34" customFormat="false" ht="15.75" hidden="false" customHeight="true" outlineLevel="0" collapsed="false">
      <c r="A34" s="30" t="s">
        <v>635</v>
      </c>
      <c r="B34" s="30" t="s">
        <v>278</v>
      </c>
      <c r="C34" s="31" t="s">
        <v>279</v>
      </c>
      <c r="D34" s="30" t="s">
        <v>270</v>
      </c>
      <c r="E34" s="31" t="s">
        <v>186</v>
      </c>
      <c r="F34" s="30" t="s">
        <v>251</v>
      </c>
      <c r="G34" s="30" t="s">
        <v>63</v>
      </c>
      <c r="H34" s="32" t="n">
        <v>85000</v>
      </c>
      <c r="I34" s="32" t="n">
        <v>5000</v>
      </c>
      <c r="J34" s="30" t="n">
        <f aca="false">H34+I34</f>
        <v>90000</v>
      </c>
      <c r="K34" s="32" t="n">
        <v>90000</v>
      </c>
      <c r="L34" s="30" t="n">
        <f aca="false">J34-K34</f>
        <v>0</v>
      </c>
      <c r="M34" s="29" t="s">
        <v>45</v>
      </c>
    </row>
    <row r="35" customFormat="false" ht="15.75" hidden="false" customHeight="true" outlineLevel="0" collapsed="false">
      <c r="A35" s="26" t="s">
        <v>636</v>
      </c>
      <c r="B35" s="26" t="s">
        <v>283</v>
      </c>
      <c r="C35" s="27" t="s">
        <v>284</v>
      </c>
      <c r="D35" s="26" t="s">
        <v>262</v>
      </c>
      <c r="E35" s="27" t="s">
        <v>58</v>
      </c>
      <c r="F35" s="26" t="s">
        <v>251</v>
      </c>
      <c r="G35" s="26" t="s">
        <v>105</v>
      </c>
      <c r="H35" s="28" t="n">
        <v>110000</v>
      </c>
      <c r="I35" s="28" t="n">
        <v>5000</v>
      </c>
      <c r="J35" s="26" t="n">
        <f aca="false">H35+I35</f>
        <v>115000</v>
      </c>
      <c r="K35" s="28" t="n">
        <v>115000</v>
      </c>
      <c r="L35" s="26" t="n">
        <f aca="false">J35-K35</f>
        <v>0</v>
      </c>
      <c r="M35" s="29" t="s">
        <v>45</v>
      </c>
    </row>
    <row r="36" customFormat="false" ht="15.75" hidden="false" customHeight="true" outlineLevel="0" collapsed="false">
      <c r="A36" s="30" t="s">
        <v>637</v>
      </c>
      <c r="B36" s="30" t="s">
        <v>290</v>
      </c>
      <c r="C36" s="31" t="s">
        <v>291</v>
      </c>
      <c r="D36" s="30" t="s">
        <v>295</v>
      </c>
      <c r="E36" s="31" t="s">
        <v>99</v>
      </c>
      <c r="F36" s="30" t="s">
        <v>251</v>
      </c>
      <c r="G36" s="30" t="s">
        <v>298</v>
      </c>
      <c r="H36" s="32" t="n">
        <v>80000</v>
      </c>
      <c r="I36" s="32" t="n">
        <v>5000</v>
      </c>
      <c r="J36" s="30" t="n">
        <f aca="false">H36+I36</f>
        <v>85000</v>
      </c>
      <c r="K36" s="32" t="n">
        <v>85000</v>
      </c>
      <c r="L36" s="30" t="n">
        <f aca="false">J36-K36</f>
        <v>0</v>
      </c>
      <c r="M36" s="29" t="s">
        <v>45</v>
      </c>
    </row>
    <row r="37" customFormat="false" ht="15.75" hidden="false" customHeight="true" outlineLevel="0" collapsed="false">
      <c r="A37" s="26" t="s">
        <v>638</v>
      </c>
      <c r="B37" s="26" t="s">
        <v>301</v>
      </c>
      <c r="C37" s="27" t="s">
        <v>302</v>
      </c>
      <c r="D37" s="26" t="s">
        <v>295</v>
      </c>
      <c r="E37" s="27" t="s">
        <v>36</v>
      </c>
      <c r="F37" s="26" t="s">
        <v>251</v>
      </c>
      <c r="G37" s="26" t="s">
        <v>308</v>
      </c>
      <c r="H37" s="28" t="n">
        <v>80000</v>
      </c>
      <c r="I37" s="28" t="n">
        <v>5000</v>
      </c>
      <c r="J37" s="26" t="n">
        <f aca="false">H37+I37</f>
        <v>85000</v>
      </c>
      <c r="K37" s="28" t="n">
        <v>85000</v>
      </c>
      <c r="L37" s="26" t="n">
        <f aca="false">J37-K37</f>
        <v>0</v>
      </c>
      <c r="M37" s="29" t="s">
        <v>45</v>
      </c>
    </row>
    <row r="38" customFormat="false" ht="15.75" hidden="false" customHeight="true" outlineLevel="0" collapsed="false">
      <c r="A38" s="30" t="s">
        <v>639</v>
      </c>
      <c r="B38" s="30" t="s">
        <v>311</v>
      </c>
      <c r="C38" s="31" t="s">
        <v>312</v>
      </c>
      <c r="D38" s="30" t="s">
        <v>316</v>
      </c>
      <c r="E38" s="31" t="s">
        <v>116</v>
      </c>
      <c r="F38" s="30" t="s">
        <v>251</v>
      </c>
      <c r="G38" s="30" t="s">
        <v>298</v>
      </c>
      <c r="H38" s="32" t="n">
        <v>75000</v>
      </c>
      <c r="I38" s="32" t="n">
        <v>5000</v>
      </c>
      <c r="J38" s="30" t="n">
        <f aca="false">H38+I38</f>
        <v>80000</v>
      </c>
      <c r="K38" s="32" t="n">
        <v>80000</v>
      </c>
      <c r="L38" s="30" t="n">
        <f aca="false">J38-K38</f>
        <v>0</v>
      </c>
      <c r="M38" s="29" t="s">
        <v>45</v>
      </c>
    </row>
    <row r="39" customFormat="false" ht="15.75" hidden="false" customHeight="true" outlineLevel="0" collapsed="false">
      <c r="A39" s="26" t="s">
        <v>640</v>
      </c>
      <c r="B39" s="26" t="s">
        <v>318</v>
      </c>
      <c r="C39" s="27" t="s">
        <v>319</v>
      </c>
      <c r="D39" s="26" t="s">
        <v>295</v>
      </c>
      <c r="E39" s="27" t="s">
        <v>70</v>
      </c>
      <c r="F39" s="26" t="s">
        <v>251</v>
      </c>
      <c r="G39" s="26" t="s">
        <v>308</v>
      </c>
      <c r="H39" s="28" t="n">
        <v>80000</v>
      </c>
      <c r="I39" s="28" t="n">
        <v>5000</v>
      </c>
      <c r="J39" s="26" t="n">
        <f aca="false">H39+I39</f>
        <v>85000</v>
      </c>
      <c r="K39" s="28" t="n">
        <v>0</v>
      </c>
      <c r="L39" s="26" t="n">
        <f aca="false">J39-K39</f>
        <v>85000</v>
      </c>
      <c r="M39" s="34" t="s">
        <v>142</v>
      </c>
    </row>
    <row r="40" customFormat="false" ht="15.75" hidden="false" customHeight="true" outlineLevel="0" collapsed="false">
      <c r="A40" s="30" t="s">
        <v>641</v>
      </c>
      <c r="B40" s="30" t="s">
        <v>327</v>
      </c>
      <c r="C40" s="31" t="s">
        <v>328</v>
      </c>
      <c r="D40" s="30" t="s">
        <v>295</v>
      </c>
      <c r="E40" s="31" t="s">
        <v>84</v>
      </c>
      <c r="F40" s="30" t="s">
        <v>251</v>
      </c>
      <c r="G40" s="30" t="s">
        <v>89</v>
      </c>
      <c r="H40" s="32" t="n">
        <v>80000</v>
      </c>
      <c r="I40" s="32" t="n">
        <v>5000</v>
      </c>
      <c r="J40" s="30" t="n">
        <f aca="false">H40+I40</f>
        <v>85000</v>
      </c>
      <c r="K40" s="32" t="n">
        <v>85000</v>
      </c>
      <c r="L40" s="30" t="n">
        <f aca="false">J40-K40</f>
        <v>0</v>
      </c>
      <c r="M40" s="29" t="s">
        <v>45</v>
      </c>
    </row>
    <row r="41" customFormat="false" ht="15.75" hidden="false" customHeight="true" outlineLevel="0" collapsed="false">
      <c r="A41" s="26" t="s">
        <v>642</v>
      </c>
      <c r="B41" s="26" t="s">
        <v>336</v>
      </c>
      <c r="C41" s="27" t="s">
        <v>337</v>
      </c>
      <c r="D41" s="26" t="s">
        <v>295</v>
      </c>
      <c r="E41" s="27" t="s">
        <v>36</v>
      </c>
      <c r="F41" s="26" t="s">
        <v>251</v>
      </c>
      <c r="G41" s="26" t="s">
        <v>342</v>
      </c>
      <c r="H41" s="28" t="n">
        <v>80000</v>
      </c>
      <c r="I41" s="28" t="n">
        <v>5000</v>
      </c>
      <c r="J41" s="26" t="n">
        <f aca="false">H41+I41</f>
        <v>85000</v>
      </c>
      <c r="K41" s="28" t="n">
        <v>85000</v>
      </c>
      <c r="L41" s="26" t="n">
        <f aca="false">J41-K41</f>
        <v>0</v>
      </c>
      <c r="M41" s="29" t="s">
        <v>45</v>
      </c>
    </row>
    <row r="42" customFormat="false" ht="18" hidden="false" customHeight="true" outlineLevel="0" collapsed="false">
      <c r="A42" s="36" t="s">
        <v>643</v>
      </c>
      <c r="B42" s="37"/>
      <c r="C42" s="37"/>
      <c r="D42" s="37"/>
      <c r="E42" s="37"/>
      <c r="F42" s="37"/>
      <c r="G42" s="37"/>
      <c r="H42" s="38" t="n">
        <f aca="false">SUM(H5:H41)</f>
        <v>2825000</v>
      </c>
      <c r="I42" s="38" t="n">
        <f aca="false">SUM(I5:I41)</f>
        <v>185000</v>
      </c>
      <c r="J42" s="38" t="n">
        <f aca="false">SUM(J5:J41)</f>
        <v>3010000</v>
      </c>
      <c r="K42" s="38" t="n">
        <f aca="false">SUM(K5:K41)</f>
        <v>2605000</v>
      </c>
      <c r="L42" s="38" t="n">
        <f aca="false">SUM(L5:L41)</f>
        <v>405000</v>
      </c>
      <c r="M42" s="37"/>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8"/>
    <col collapsed="false" customWidth="true" hidden="false" outlineLevel="0" max="4" min="4" style="0" width="24"/>
    <col collapsed="false" customWidth="true" hidden="false" outlineLevel="0" max="5" min="5" style="0" width="14"/>
    <col collapsed="false" customWidth="true" hidden="false" outlineLevel="0" max="7" min="6" style="0" width="18"/>
    <col collapsed="false" customWidth="true" hidden="false" outlineLevel="0" max="8" min="8" style="0" width="16"/>
    <col collapsed="false" customWidth="true" hidden="false" outlineLevel="0" max="9" min="9" style="0" width="18"/>
    <col collapsed="false" customWidth="true" hidden="false" outlineLevel="0" max="10" min="10" style="0" width="20"/>
    <col collapsed="false" customWidth="true" hidden="false" outlineLevel="0" max="11" min="11" style="0" width="14"/>
    <col collapsed="false" customWidth="true" hidden="false" outlineLevel="0" max="12" min="12" style="0" width="12"/>
  </cols>
  <sheetData>
    <row r="1" customFormat="false" ht="25.5" hidden="false" customHeight="true" outlineLevel="0" collapsed="false">
      <c r="A1" s="23" t="s">
        <v>644</v>
      </c>
      <c r="B1" s="23"/>
      <c r="C1" s="23"/>
      <c r="D1" s="23"/>
      <c r="E1" s="23"/>
      <c r="F1" s="23"/>
      <c r="G1" s="23"/>
      <c r="H1" s="23"/>
      <c r="I1" s="23"/>
      <c r="J1" s="23"/>
      <c r="K1" s="23"/>
    </row>
    <row r="2" customFormat="false" ht="15.75" hidden="false" customHeight="true" outlineLevel="0" collapsed="false">
      <c r="A2" s="24" t="s">
        <v>594</v>
      </c>
      <c r="B2" s="24"/>
      <c r="C2" s="24"/>
      <c r="D2" s="24"/>
      <c r="E2" s="24"/>
      <c r="F2" s="24"/>
      <c r="G2" s="24"/>
      <c r="H2" s="24"/>
      <c r="I2" s="24"/>
      <c r="J2" s="24"/>
      <c r="K2" s="24"/>
    </row>
    <row r="4" customFormat="false" ht="18" hidden="false" customHeight="true" outlineLevel="0" collapsed="false">
      <c r="A4" s="25" t="s">
        <v>645</v>
      </c>
      <c r="B4" s="25" t="s">
        <v>595</v>
      </c>
      <c r="C4" s="25" t="s">
        <v>596</v>
      </c>
      <c r="D4" s="25" t="s">
        <v>597</v>
      </c>
      <c r="E4" s="25" t="s">
        <v>646</v>
      </c>
      <c r="F4" s="25" t="s">
        <v>647</v>
      </c>
      <c r="G4" s="25" t="s">
        <v>648</v>
      </c>
      <c r="H4" s="25" t="s">
        <v>649</v>
      </c>
      <c r="I4" s="25" t="s">
        <v>650</v>
      </c>
      <c r="J4" s="25" t="s">
        <v>651</v>
      </c>
      <c r="K4" s="25" t="s">
        <v>652</v>
      </c>
      <c r="L4" s="25" t="s">
        <v>653</v>
      </c>
    </row>
    <row r="5" customFormat="false" ht="15.75" hidden="false" customHeight="true" outlineLevel="0" collapsed="false">
      <c r="A5" s="26" t="s">
        <v>654</v>
      </c>
      <c r="B5" s="26" t="s">
        <v>606</v>
      </c>
      <c r="C5" s="26" t="s">
        <v>28</v>
      </c>
      <c r="D5" s="27" t="s">
        <v>29</v>
      </c>
      <c r="E5" s="26" t="s">
        <v>655</v>
      </c>
      <c r="F5" s="26" t="s">
        <v>656</v>
      </c>
      <c r="G5" s="26" t="s">
        <v>657</v>
      </c>
      <c r="H5" s="28" t="n">
        <v>80000</v>
      </c>
      <c r="I5" s="26" t="s">
        <v>658</v>
      </c>
      <c r="J5" s="26" t="s">
        <v>659</v>
      </c>
      <c r="K5" s="26" t="s">
        <v>660</v>
      </c>
      <c r="L5" s="29" t="s">
        <v>661</v>
      </c>
    </row>
    <row r="6" customFormat="false" ht="15.75" hidden="false" customHeight="true" outlineLevel="0" collapsed="false">
      <c r="A6" s="30" t="s">
        <v>662</v>
      </c>
      <c r="B6" s="30" t="s">
        <v>607</v>
      </c>
      <c r="C6" s="30" t="s">
        <v>50</v>
      </c>
      <c r="D6" s="31" t="s">
        <v>51</v>
      </c>
      <c r="E6" s="30" t="s">
        <v>663</v>
      </c>
      <c r="F6" s="30" t="s">
        <v>656</v>
      </c>
      <c r="G6" s="30" t="s">
        <v>664</v>
      </c>
      <c r="H6" s="32" t="n">
        <v>70000</v>
      </c>
      <c r="I6" s="30" t="s">
        <v>658</v>
      </c>
      <c r="J6" s="30" t="s">
        <v>665</v>
      </c>
      <c r="K6" s="30" t="s">
        <v>666</v>
      </c>
      <c r="L6" s="29" t="s">
        <v>661</v>
      </c>
    </row>
    <row r="7" customFormat="false" ht="15.75" hidden="false" customHeight="true" outlineLevel="0" collapsed="false">
      <c r="A7" s="26" t="s">
        <v>667</v>
      </c>
      <c r="B7" s="26" t="s">
        <v>608</v>
      </c>
      <c r="C7" s="26" t="s">
        <v>64</v>
      </c>
      <c r="D7" s="27" t="s">
        <v>65</v>
      </c>
      <c r="E7" s="26" t="s">
        <v>102</v>
      </c>
      <c r="F7" s="26" t="s">
        <v>668</v>
      </c>
      <c r="G7" s="26" t="s">
        <v>669</v>
      </c>
      <c r="H7" s="28" t="n">
        <v>80000</v>
      </c>
      <c r="I7" s="26" t="s">
        <v>658</v>
      </c>
      <c r="J7" s="26" t="s">
        <v>659</v>
      </c>
      <c r="K7" s="26" t="s">
        <v>670</v>
      </c>
      <c r="L7" s="29" t="s">
        <v>661</v>
      </c>
    </row>
    <row r="8" customFormat="false" ht="15.75" hidden="false" customHeight="true" outlineLevel="0" collapsed="false">
      <c r="A8" s="30" t="s">
        <v>671</v>
      </c>
      <c r="B8" s="30" t="s">
        <v>609</v>
      </c>
      <c r="C8" s="30" t="s">
        <v>78</v>
      </c>
      <c r="D8" s="31" t="s">
        <v>79</v>
      </c>
      <c r="E8" s="30" t="s">
        <v>672</v>
      </c>
      <c r="F8" s="30" t="s">
        <v>668</v>
      </c>
      <c r="G8" s="30" t="s">
        <v>673</v>
      </c>
      <c r="H8" s="32" t="n">
        <v>80000</v>
      </c>
      <c r="I8" s="30" t="s">
        <v>658</v>
      </c>
      <c r="J8" s="30" t="s">
        <v>665</v>
      </c>
      <c r="K8" s="30" t="s">
        <v>674</v>
      </c>
      <c r="L8" s="29" t="s">
        <v>661</v>
      </c>
    </row>
    <row r="9" customFormat="false" ht="15.75" hidden="false" customHeight="true" outlineLevel="0" collapsed="false">
      <c r="A9" s="26" t="s">
        <v>675</v>
      </c>
      <c r="B9" s="26" t="s">
        <v>610</v>
      </c>
      <c r="C9" s="26" t="s">
        <v>93</v>
      </c>
      <c r="D9" s="27" t="s">
        <v>94</v>
      </c>
      <c r="E9" s="26" t="s">
        <v>469</v>
      </c>
      <c r="F9" s="26" t="s">
        <v>656</v>
      </c>
      <c r="G9" s="26" t="s">
        <v>676</v>
      </c>
      <c r="H9" s="28" t="n">
        <v>45000</v>
      </c>
      <c r="I9" s="26" t="s">
        <v>677</v>
      </c>
      <c r="J9" s="26" t="s">
        <v>665</v>
      </c>
      <c r="K9" s="26" t="s">
        <v>678</v>
      </c>
      <c r="L9" s="29" t="s">
        <v>661</v>
      </c>
    </row>
    <row r="10" customFormat="false" ht="15.75" hidden="false" customHeight="true" outlineLevel="0" collapsed="false">
      <c r="A10" s="30" t="s">
        <v>679</v>
      </c>
      <c r="B10" s="30" t="s">
        <v>611</v>
      </c>
      <c r="C10" s="30" t="s">
        <v>109</v>
      </c>
      <c r="D10" s="31" t="s">
        <v>110</v>
      </c>
      <c r="E10" s="30" t="s">
        <v>464</v>
      </c>
      <c r="F10" s="30" t="s">
        <v>668</v>
      </c>
      <c r="G10" s="30" t="s">
        <v>680</v>
      </c>
      <c r="H10" s="32" t="n">
        <v>65000</v>
      </c>
      <c r="I10" s="30" t="s">
        <v>658</v>
      </c>
      <c r="J10" s="30" t="s">
        <v>659</v>
      </c>
      <c r="K10" s="30" t="s">
        <v>681</v>
      </c>
      <c r="L10" s="29" t="s">
        <v>661</v>
      </c>
    </row>
    <row r="11" customFormat="false" ht="15.75" hidden="false" customHeight="true" outlineLevel="0" collapsed="false">
      <c r="A11" s="26" t="s">
        <v>682</v>
      </c>
      <c r="B11" s="26" t="s">
        <v>612</v>
      </c>
      <c r="C11" s="26" t="s">
        <v>117</v>
      </c>
      <c r="D11" s="27" t="s">
        <v>118</v>
      </c>
      <c r="E11" s="26" t="s">
        <v>469</v>
      </c>
      <c r="F11" s="26" t="s">
        <v>668</v>
      </c>
      <c r="G11" s="26" t="s">
        <v>683</v>
      </c>
      <c r="H11" s="28" t="n">
        <v>80000</v>
      </c>
      <c r="I11" s="26" t="s">
        <v>658</v>
      </c>
      <c r="J11" s="26" t="s">
        <v>659</v>
      </c>
      <c r="K11" s="26" t="s">
        <v>684</v>
      </c>
      <c r="L11" s="29" t="s">
        <v>661</v>
      </c>
    </row>
    <row r="12" customFormat="false" ht="15.75" hidden="false" customHeight="true" outlineLevel="0" collapsed="false">
      <c r="A12" s="30" t="s">
        <v>685</v>
      </c>
      <c r="B12" s="30" t="s">
        <v>613</v>
      </c>
      <c r="C12" s="30" t="s">
        <v>124</v>
      </c>
      <c r="D12" s="31" t="s">
        <v>125</v>
      </c>
      <c r="E12" s="30" t="s">
        <v>686</v>
      </c>
      <c r="F12" s="30" t="s">
        <v>656</v>
      </c>
      <c r="G12" s="30" t="s">
        <v>687</v>
      </c>
      <c r="H12" s="32" t="n">
        <v>75000</v>
      </c>
      <c r="I12" s="30" t="s">
        <v>658</v>
      </c>
      <c r="J12" s="30" t="s">
        <v>665</v>
      </c>
      <c r="K12" s="30" t="s">
        <v>688</v>
      </c>
      <c r="L12" s="29" t="s">
        <v>661</v>
      </c>
    </row>
    <row r="13" customFormat="false" ht="15.75" hidden="false" customHeight="true" outlineLevel="0" collapsed="false">
      <c r="A13" s="26" t="s">
        <v>689</v>
      </c>
      <c r="B13" s="26" t="s">
        <v>614</v>
      </c>
      <c r="C13" s="26" t="s">
        <v>133</v>
      </c>
      <c r="D13" s="27" t="s">
        <v>134</v>
      </c>
      <c r="E13" s="26" t="s">
        <v>469</v>
      </c>
      <c r="F13" s="26" t="s">
        <v>690</v>
      </c>
      <c r="G13" s="26" t="s">
        <v>690</v>
      </c>
      <c r="H13" s="28" t="n">
        <v>0</v>
      </c>
      <c r="I13" s="26" t="s">
        <v>691</v>
      </c>
      <c r="J13" s="26" t="s">
        <v>692</v>
      </c>
      <c r="K13" s="26" t="s">
        <v>693</v>
      </c>
      <c r="L13" s="34" t="s">
        <v>142</v>
      </c>
    </row>
    <row r="14" customFormat="false" ht="15.75" hidden="false" customHeight="true" outlineLevel="0" collapsed="false">
      <c r="A14" s="30" t="s">
        <v>694</v>
      </c>
      <c r="B14" s="30" t="s">
        <v>615</v>
      </c>
      <c r="C14" s="30" t="s">
        <v>143</v>
      </c>
      <c r="D14" s="31" t="s">
        <v>144</v>
      </c>
      <c r="E14" s="30" t="s">
        <v>102</v>
      </c>
      <c r="F14" s="30" t="s">
        <v>668</v>
      </c>
      <c r="G14" s="30" t="s">
        <v>695</v>
      </c>
      <c r="H14" s="32" t="n">
        <v>80000</v>
      </c>
      <c r="I14" s="30" t="s">
        <v>658</v>
      </c>
      <c r="J14" s="30" t="s">
        <v>659</v>
      </c>
      <c r="K14" s="30" t="s">
        <v>696</v>
      </c>
      <c r="L14" s="29" t="s">
        <v>661</v>
      </c>
    </row>
    <row r="15" customFormat="false" ht="15.75" hidden="false" customHeight="true" outlineLevel="0" collapsed="false">
      <c r="A15" s="26" t="s">
        <v>697</v>
      </c>
      <c r="B15" s="26" t="s">
        <v>616</v>
      </c>
      <c r="C15" s="26" t="s">
        <v>150</v>
      </c>
      <c r="D15" s="27" t="s">
        <v>151</v>
      </c>
      <c r="E15" s="26" t="s">
        <v>698</v>
      </c>
      <c r="F15" s="26" t="s">
        <v>668</v>
      </c>
      <c r="G15" s="26" t="s">
        <v>699</v>
      </c>
      <c r="H15" s="28" t="n">
        <v>80000</v>
      </c>
      <c r="I15" s="26" t="s">
        <v>658</v>
      </c>
      <c r="J15" s="26" t="s">
        <v>659</v>
      </c>
      <c r="K15" s="26" t="s">
        <v>700</v>
      </c>
      <c r="L15" s="29" t="s">
        <v>661</v>
      </c>
    </row>
    <row r="16" customFormat="false" ht="15.75" hidden="false" customHeight="true" outlineLevel="0" collapsed="false">
      <c r="A16" s="30" t="s">
        <v>701</v>
      </c>
      <c r="B16" s="30" t="s">
        <v>617</v>
      </c>
      <c r="C16" s="30" t="s">
        <v>156</v>
      </c>
      <c r="D16" s="31" t="s">
        <v>157</v>
      </c>
      <c r="E16" s="30" t="s">
        <v>663</v>
      </c>
      <c r="F16" s="30" t="s">
        <v>668</v>
      </c>
      <c r="G16" s="30" t="s">
        <v>702</v>
      </c>
      <c r="H16" s="32" t="n">
        <v>80000</v>
      </c>
      <c r="I16" s="30" t="s">
        <v>658</v>
      </c>
      <c r="J16" s="30" t="s">
        <v>659</v>
      </c>
      <c r="K16" s="30" t="s">
        <v>703</v>
      </c>
      <c r="L16" s="29" t="s">
        <v>661</v>
      </c>
    </row>
    <row r="17" customFormat="false" ht="15.75" hidden="false" customHeight="true" outlineLevel="0" collapsed="false">
      <c r="A17" s="26" t="s">
        <v>704</v>
      </c>
      <c r="B17" s="26" t="s">
        <v>618</v>
      </c>
      <c r="C17" s="26" t="s">
        <v>163</v>
      </c>
      <c r="D17" s="27" t="s">
        <v>164</v>
      </c>
      <c r="E17" s="26" t="s">
        <v>698</v>
      </c>
      <c r="F17" s="26" t="s">
        <v>668</v>
      </c>
      <c r="G17" s="26" t="s">
        <v>705</v>
      </c>
      <c r="H17" s="28" t="n">
        <v>70000</v>
      </c>
      <c r="I17" s="26" t="s">
        <v>658</v>
      </c>
      <c r="J17" s="26" t="s">
        <v>659</v>
      </c>
      <c r="K17" s="26" t="s">
        <v>706</v>
      </c>
      <c r="L17" s="29" t="s">
        <v>661</v>
      </c>
    </row>
    <row r="18" customFormat="false" ht="15.75" hidden="false" customHeight="true" outlineLevel="0" collapsed="false">
      <c r="A18" s="30" t="s">
        <v>707</v>
      </c>
      <c r="B18" s="30" t="s">
        <v>619</v>
      </c>
      <c r="C18" s="30" t="s">
        <v>170</v>
      </c>
      <c r="D18" s="31" t="s">
        <v>171</v>
      </c>
      <c r="E18" s="30" t="s">
        <v>708</v>
      </c>
      <c r="F18" s="30" t="s">
        <v>656</v>
      </c>
      <c r="G18" s="30" t="s">
        <v>709</v>
      </c>
      <c r="H18" s="32" t="n">
        <v>10000</v>
      </c>
      <c r="I18" s="30" t="s">
        <v>677</v>
      </c>
      <c r="J18" s="30" t="s">
        <v>665</v>
      </c>
      <c r="K18" s="30" t="s">
        <v>710</v>
      </c>
      <c r="L18" s="29" t="s">
        <v>661</v>
      </c>
    </row>
    <row r="19" customFormat="false" ht="15.75" hidden="false" customHeight="true" outlineLevel="0" collapsed="false">
      <c r="A19" s="26" t="s">
        <v>711</v>
      </c>
      <c r="B19" s="26" t="s">
        <v>620</v>
      </c>
      <c r="C19" s="26" t="s">
        <v>180</v>
      </c>
      <c r="D19" s="27" t="s">
        <v>181</v>
      </c>
      <c r="E19" s="26" t="s">
        <v>655</v>
      </c>
      <c r="F19" s="26" t="s">
        <v>668</v>
      </c>
      <c r="G19" s="26" t="s">
        <v>712</v>
      </c>
      <c r="H19" s="28" t="n">
        <v>70000</v>
      </c>
      <c r="I19" s="26" t="s">
        <v>658</v>
      </c>
      <c r="J19" s="26" t="s">
        <v>665</v>
      </c>
      <c r="K19" s="26" t="s">
        <v>713</v>
      </c>
      <c r="L19" s="29" t="s">
        <v>661</v>
      </c>
    </row>
    <row r="20" customFormat="false" ht="15.75" hidden="false" customHeight="true" outlineLevel="0" collapsed="false">
      <c r="A20" s="30" t="s">
        <v>714</v>
      </c>
      <c r="B20" s="30" t="s">
        <v>621</v>
      </c>
      <c r="C20" s="30" t="s">
        <v>187</v>
      </c>
      <c r="D20" s="31" t="s">
        <v>188</v>
      </c>
      <c r="E20" s="30" t="s">
        <v>715</v>
      </c>
      <c r="F20" s="30" t="s">
        <v>656</v>
      </c>
      <c r="G20" s="30" t="s">
        <v>716</v>
      </c>
      <c r="H20" s="32" t="n">
        <v>80000</v>
      </c>
      <c r="I20" s="30" t="s">
        <v>658</v>
      </c>
      <c r="J20" s="30" t="s">
        <v>659</v>
      </c>
      <c r="K20" s="30" t="s">
        <v>717</v>
      </c>
      <c r="L20" s="29" t="s">
        <v>661</v>
      </c>
    </row>
    <row r="21" customFormat="false" ht="15.75" hidden="false" customHeight="true" outlineLevel="0" collapsed="false">
      <c r="A21" s="26" t="s">
        <v>718</v>
      </c>
      <c r="B21" s="26" t="s">
        <v>622</v>
      </c>
      <c r="C21" s="26" t="s">
        <v>193</v>
      </c>
      <c r="D21" s="27" t="s">
        <v>194</v>
      </c>
      <c r="E21" s="26" t="s">
        <v>719</v>
      </c>
      <c r="F21" s="26" t="s">
        <v>668</v>
      </c>
      <c r="G21" s="26" t="s">
        <v>720</v>
      </c>
      <c r="H21" s="28" t="n">
        <v>80000</v>
      </c>
      <c r="I21" s="26" t="s">
        <v>658</v>
      </c>
      <c r="J21" s="26" t="s">
        <v>665</v>
      </c>
      <c r="K21" s="26" t="s">
        <v>721</v>
      </c>
      <c r="L21" s="29" t="s">
        <v>661</v>
      </c>
    </row>
    <row r="22" customFormat="false" ht="15.75" hidden="false" customHeight="true" outlineLevel="0" collapsed="false">
      <c r="A22" s="30" t="s">
        <v>722</v>
      </c>
      <c r="B22" s="30" t="s">
        <v>623</v>
      </c>
      <c r="C22" s="30" t="s">
        <v>198</v>
      </c>
      <c r="D22" s="31" t="s">
        <v>199</v>
      </c>
      <c r="E22" s="30" t="s">
        <v>663</v>
      </c>
      <c r="F22" s="30" t="s">
        <v>668</v>
      </c>
      <c r="G22" s="30" t="s">
        <v>723</v>
      </c>
      <c r="H22" s="32" t="n">
        <v>65000</v>
      </c>
      <c r="I22" s="30" t="s">
        <v>658</v>
      </c>
      <c r="J22" s="30" t="s">
        <v>665</v>
      </c>
      <c r="K22" s="30" t="s">
        <v>724</v>
      </c>
      <c r="L22" s="29" t="s">
        <v>661</v>
      </c>
    </row>
    <row r="23" customFormat="false" ht="15.75" hidden="false" customHeight="true" outlineLevel="0" collapsed="false">
      <c r="A23" s="26" t="s">
        <v>725</v>
      </c>
      <c r="B23" s="26" t="s">
        <v>624</v>
      </c>
      <c r="C23" s="26" t="s">
        <v>205</v>
      </c>
      <c r="D23" s="27" t="s">
        <v>206</v>
      </c>
      <c r="E23" s="26" t="s">
        <v>698</v>
      </c>
      <c r="F23" s="26" t="s">
        <v>656</v>
      </c>
      <c r="G23" s="26" t="s">
        <v>726</v>
      </c>
      <c r="H23" s="28" t="n">
        <v>80000</v>
      </c>
      <c r="I23" s="26" t="s">
        <v>658</v>
      </c>
      <c r="J23" s="26" t="s">
        <v>659</v>
      </c>
      <c r="K23" s="26" t="s">
        <v>727</v>
      </c>
      <c r="L23" s="29" t="s">
        <v>661</v>
      </c>
    </row>
    <row r="24" customFormat="false" ht="15.75" hidden="false" customHeight="true" outlineLevel="0" collapsed="false">
      <c r="A24" s="30" t="s">
        <v>728</v>
      </c>
      <c r="B24" s="30" t="s">
        <v>625</v>
      </c>
      <c r="C24" s="30" t="s">
        <v>211</v>
      </c>
      <c r="D24" s="31" t="s">
        <v>212</v>
      </c>
      <c r="E24" s="30" t="s">
        <v>479</v>
      </c>
      <c r="F24" s="30" t="s">
        <v>668</v>
      </c>
      <c r="G24" s="30" t="s">
        <v>729</v>
      </c>
      <c r="H24" s="32" t="n">
        <v>75000</v>
      </c>
      <c r="I24" s="30" t="s">
        <v>658</v>
      </c>
      <c r="J24" s="30" t="s">
        <v>665</v>
      </c>
      <c r="K24" s="30" t="s">
        <v>730</v>
      </c>
      <c r="L24" s="29" t="s">
        <v>661</v>
      </c>
    </row>
    <row r="25" customFormat="false" ht="15.75" hidden="false" customHeight="true" outlineLevel="0" collapsed="false">
      <c r="A25" s="26" t="s">
        <v>731</v>
      </c>
      <c r="B25" s="26" t="s">
        <v>626</v>
      </c>
      <c r="C25" s="26" t="s">
        <v>216</v>
      </c>
      <c r="D25" s="27" t="s">
        <v>217</v>
      </c>
      <c r="E25" s="26" t="s">
        <v>732</v>
      </c>
      <c r="F25" s="26" t="s">
        <v>690</v>
      </c>
      <c r="G25" s="26" t="s">
        <v>690</v>
      </c>
      <c r="H25" s="28" t="n">
        <v>0</v>
      </c>
      <c r="I25" s="26" t="s">
        <v>691</v>
      </c>
      <c r="J25" s="26" t="s">
        <v>692</v>
      </c>
      <c r="K25" s="26" t="s">
        <v>733</v>
      </c>
      <c r="L25" s="34" t="s">
        <v>142</v>
      </c>
    </row>
    <row r="26" customFormat="false" ht="15.75" hidden="false" customHeight="true" outlineLevel="0" collapsed="false">
      <c r="A26" s="30" t="s">
        <v>734</v>
      </c>
      <c r="B26" s="30" t="s">
        <v>627</v>
      </c>
      <c r="C26" s="30" t="s">
        <v>222</v>
      </c>
      <c r="D26" s="31" t="s">
        <v>223</v>
      </c>
      <c r="E26" s="30" t="s">
        <v>686</v>
      </c>
      <c r="F26" s="30" t="s">
        <v>668</v>
      </c>
      <c r="G26" s="30" t="s">
        <v>735</v>
      </c>
      <c r="H26" s="32" t="n">
        <v>80000</v>
      </c>
      <c r="I26" s="30" t="s">
        <v>658</v>
      </c>
      <c r="J26" s="30" t="s">
        <v>659</v>
      </c>
      <c r="K26" s="30" t="s">
        <v>736</v>
      </c>
      <c r="L26" s="29" t="s">
        <v>661</v>
      </c>
    </row>
    <row r="27" customFormat="false" ht="15.75" hidden="false" customHeight="true" outlineLevel="0" collapsed="false">
      <c r="A27" s="26" t="s">
        <v>737</v>
      </c>
      <c r="B27" s="26" t="s">
        <v>628</v>
      </c>
      <c r="C27" s="26" t="s">
        <v>227</v>
      </c>
      <c r="D27" s="27" t="s">
        <v>228</v>
      </c>
      <c r="E27" s="26" t="s">
        <v>732</v>
      </c>
      <c r="F27" s="26" t="s">
        <v>656</v>
      </c>
      <c r="G27" s="26" t="s">
        <v>738</v>
      </c>
      <c r="H27" s="28" t="n">
        <v>35000</v>
      </c>
      <c r="I27" s="26" t="s">
        <v>677</v>
      </c>
      <c r="J27" s="26" t="s">
        <v>665</v>
      </c>
      <c r="K27" s="26" t="s">
        <v>739</v>
      </c>
      <c r="L27" s="29" t="s">
        <v>661</v>
      </c>
    </row>
    <row r="28" customFormat="false" ht="15.75" hidden="false" customHeight="true" outlineLevel="0" collapsed="false">
      <c r="A28" s="30" t="s">
        <v>740</v>
      </c>
      <c r="B28" s="30" t="s">
        <v>629</v>
      </c>
      <c r="C28" s="30" t="s">
        <v>233</v>
      </c>
      <c r="D28" s="31" t="s">
        <v>234</v>
      </c>
      <c r="E28" s="30" t="s">
        <v>464</v>
      </c>
      <c r="F28" s="30" t="s">
        <v>668</v>
      </c>
      <c r="G28" s="30" t="s">
        <v>741</v>
      </c>
      <c r="H28" s="32" t="n">
        <v>80000</v>
      </c>
      <c r="I28" s="30" t="s">
        <v>658</v>
      </c>
      <c r="J28" s="30" t="s">
        <v>665</v>
      </c>
      <c r="K28" s="30" t="s">
        <v>742</v>
      </c>
      <c r="L28" s="29" t="s">
        <v>661</v>
      </c>
    </row>
    <row r="29" customFormat="false" ht="15.75" hidden="false" customHeight="true" outlineLevel="0" collapsed="false">
      <c r="A29" s="26" t="s">
        <v>743</v>
      </c>
      <c r="B29" s="26" t="s">
        <v>630</v>
      </c>
      <c r="C29" s="26" t="s">
        <v>238</v>
      </c>
      <c r="D29" s="27" t="s">
        <v>239</v>
      </c>
      <c r="E29" s="26" t="s">
        <v>479</v>
      </c>
      <c r="F29" s="26" t="s">
        <v>668</v>
      </c>
      <c r="G29" s="26" t="s">
        <v>744</v>
      </c>
      <c r="H29" s="28" t="n">
        <v>80000</v>
      </c>
      <c r="I29" s="26" t="s">
        <v>658</v>
      </c>
      <c r="J29" s="26" t="s">
        <v>665</v>
      </c>
      <c r="K29" s="26" t="s">
        <v>745</v>
      </c>
      <c r="L29" s="29" t="s">
        <v>661</v>
      </c>
    </row>
    <row r="30" customFormat="false" ht="15.75" hidden="false" customHeight="true" outlineLevel="0" collapsed="false">
      <c r="A30" s="30" t="s">
        <v>746</v>
      </c>
      <c r="B30" s="30" t="s">
        <v>631</v>
      </c>
      <c r="C30" s="30" t="s">
        <v>243</v>
      </c>
      <c r="D30" s="31" t="s">
        <v>244</v>
      </c>
      <c r="E30" s="30" t="s">
        <v>454</v>
      </c>
      <c r="F30" s="30" t="s">
        <v>668</v>
      </c>
      <c r="G30" s="30" t="s">
        <v>747</v>
      </c>
      <c r="H30" s="32" t="n">
        <v>95000</v>
      </c>
      <c r="I30" s="30" t="s">
        <v>658</v>
      </c>
      <c r="J30" s="30" t="s">
        <v>665</v>
      </c>
      <c r="K30" s="30" t="s">
        <v>748</v>
      </c>
      <c r="L30" s="29" t="s">
        <v>661</v>
      </c>
    </row>
    <row r="31" customFormat="false" ht="15.75" hidden="false" customHeight="true" outlineLevel="0" collapsed="false">
      <c r="A31" s="26" t="s">
        <v>749</v>
      </c>
      <c r="B31" s="26" t="s">
        <v>632</v>
      </c>
      <c r="C31" s="26" t="s">
        <v>254</v>
      </c>
      <c r="D31" s="27" t="s">
        <v>255</v>
      </c>
      <c r="E31" s="26" t="s">
        <v>750</v>
      </c>
      <c r="F31" s="26" t="s">
        <v>668</v>
      </c>
      <c r="G31" s="26" t="s">
        <v>751</v>
      </c>
      <c r="H31" s="28" t="n">
        <v>115000</v>
      </c>
      <c r="I31" s="26" t="s">
        <v>658</v>
      </c>
      <c r="J31" s="26" t="s">
        <v>659</v>
      </c>
      <c r="K31" s="26" t="s">
        <v>752</v>
      </c>
      <c r="L31" s="29" t="s">
        <v>661</v>
      </c>
    </row>
    <row r="32" customFormat="false" ht="15.75" hidden="false" customHeight="true" outlineLevel="0" collapsed="false">
      <c r="A32" s="30" t="s">
        <v>753</v>
      </c>
      <c r="B32" s="30" t="s">
        <v>633</v>
      </c>
      <c r="C32" s="30" t="s">
        <v>264</v>
      </c>
      <c r="D32" s="31" t="s">
        <v>265</v>
      </c>
      <c r="E32" s="30" t="s">
        <v>454</v>
      </c>
      <c r="F32" s="30" t="s">
        <v>668</v>
      </c>
      <c r="G32" s="30" t="s">
        <v>754</v>
      </c>
      <c r="H32" s="32" t="n">
        <v>90000</v>
      </c>
      <c r="I32" s="30" t="s">
        <v>658</v>
      </c>
      <c r="J32" s="30" t="s">
        <v>659</v>
      </c>
      <c r="K32" s="30" t="s">
        <v>755</v>
      </c>
      <c r="L32" s="29" t="s">
        <v>661</v>
      </c>
    </row>
    <row r="33" customFormat="false" ht="15.75" hidden="false" customHeight="true" outlineLevel="0" collapsed="false">
      <c r="A33" s="26" t="s">
        <v>756</v>
      </c>
      <c r="B33" s="26" t="s">
        <v>634</v>
      </c>
      <c r="C33" s="26" t="s">
        <v>273</v>
      </c>
      <c r="D33" s="27" t="s">
        <v>274</v>
      </c>
      <c r="E33" s="26" t="s">
        <v>469</v>
      </c>
      <c r="F33" s="26" t="s">
        <v>656</v>
      </c>
      <c r="G33" s="26" t="s">
        <v>757</v>
      </c>
      <c r="H33" s="28" t="n">
        <v>60000</v>
      </c>
      <c r="I33" s="26" t="s">
        <v>677</v>
      </c>
      <c r="J33" s="26" t="s">
        <v>665</v>
      </c>
      <c r="K33" s="26" t="s">
        <v>758</v>
      </c>
      <c r="L33" s="29" t="s">
        <v>661</v>
      </c>
    </row>
    <row r="34" customFormat="false" ht="15.75" hidden="false" customHeight="true" outlineLevel="0" collapsed="false">
      <c r="A34" s="30" t="s">
        <v>759</v>
      </c>
      <c r="B34" s="30" t="s">
        <v>635</v>
      </c>
      <c r="C34" s="30" t="s">
        <v>278</v>
      </c>
      <c r="D34" s="31" t="s">
        <v>279</v>
      </c>
      <c r="E34" s="30" t="s">
        <v>454</v>
      </c>
      <c r="F34" s="30" t="s">
        <v>668</v>
      </c>
      <c r="G34" s="30" t="s">
        <v>760</v>
      </c>
      <c r="H34" s="32" t="n">
        <v>90000</v>
      </c>
      <c r="I34" s="30" t="s">
        <v>658</v>
      </c>
      <c r="J34" s="30" t="s">
        <v>665</v>
      </c>
      <c r="K34" s="30" t="s">
        <v>761</v>
      </c>
      <c r="L34" s="29" t="s">
        <v>661</v>
      </c>
    </row>
    <row r="35" customFormat="false" ht="15.75" hidden="false" customHeight="true" outlineLevel="0" collapsed="false">
      <c r="A35" s="26" t="s">
        <v>762</v>
      </c>
      <c r="B35" s="26" t="s">
        <v>636</v>
      </c>
      <c r="C35" s="26" t="s">
        <v>283</v>
      </c>
      <c r="D35" s="27" t="s">
        <v>284</v>
      </c>
      <c r="E35" s="26" t="s">
        <v>479</v>
      </c>
      <c r="F35" s="26" t="s">
        <v>656</v>
      </c>
      <c r="G35" s="26" t="s">
        <v>763</v>
      </c>
      <c r="H35" s="28" t="n">
        <v>115000</v>
      </c>
      <c r="I35" s="26" t="s">
        <v>658</v>
      </c>
      <c r="J35" s="26" t="s">
        <v>659</v>
      </c>
      <c r="K35" s="26" t="s">
        <v>764</v>
      </c>
      <c r="L35" s="29" t="s">
        <v>661</v>
      </c>
    </row>
    <row r="36" customFormat="false" ht="15.75" hidden="false" customHeight="true" outlineLevel="0" collapsed="false">
      <c r="A36" s="30" t="s">
        <v>765</v>
      </c>
      <c r="B36" s="30" t="s">
        <v>637</v>
      </c>
      <c r="C36" s="30" t="s">
        <v>290</v>
      </c>
      <c r="D36" s="31" t="s">
        <v>291</v>
      </c>
      <c r="E36" s="30" t="s">
        <v>663</v>
      </c>
      <c r="F36" s="30" t="s">
        <v>656</v>
      </c>
      <c r="G36" s="30" t="s">
        <v>766</v>
      </c>
      <c r="H36" s="32" t="n">
        <v>85000</v>
      </c>
      <c r="I36" s="30" t="s">
        <v>658</v>
      </c>
      <c r="J36" s="30" t="s">
        <v>665</v>
      </c>
      <c r="K36" s="30" t="s">
        <v>767</v>
      </c>
      <c r="L36" s="29" t="s">
        <v>661</v>
      </c>
    </row>
    <row r="37" customFormat="false" ht="15.75" hidden="false" customHeight="true" outlineLevel="0" collapsed="false">
      <c r="A37" s="26" t="s">
        <v>768</v>
      </c>
      <c r="B37" s="26" t="s">
        <v>638</v>
      </c>
      <c r="C37" s="26" t="s">
        <v>301</v>
      </c>
      <c r="D37" s="27" t="s">
        <v>302</v>
      </c>
      <c r="E37" s="26" t="s">
        <v>672</v>
      </c>
      <c r="F37" s="26" t="s">
        <v>656</v>
      </c>
      <c r="G37" s="26" t="s">
        <v>769</v>
      </c>
      <c r="H37" s="28" t="n">
        <v>85000</v>
      </c>
      <c r="I37" s="26" t="s">
        <v>658</v>
      </c>
      <c r="J37" s="26" t="s">
        <v>665</v>
      </c>
      <c r="K37" s="26" t="s">
        <v>770</v>
      </c>
      <c r="L37" s="29" t="s">
        <v>661</v>
      </c>
    </row>
    <row r="38" customFormat="false" ht="15.75" hidden="false" customHeight="true" outlineLevel="0" collapsed="false">
      <c r="A38" s="30" t="s">
        <v>771</v>
      </c>
      <c r="B38" s="30" t="s">
        <v>639</v>
      </c>
      <c r="C38" s="30" t="s">
        <v>311</v>
      </c>
      <c r="D38" s="31" t="s">
        <v>312</v>
      </c>
      <c r="E38" s="30" t="s">
        <v>663</v>
      </c>
      <c r="F38" s="30" t="s">
        <v>668</v>
      </c>
      <c r="G38" s="30" t="s">
        <v>772</v>
      </c>
      <c r="H38" s="32" t="n">
        <v>80000</v>
      </c>
      <c r="I38" s="30" t="s">
        <v>658</v>
      </c>
      <c r="J38" s="30" t="s">
        <v>665</v>
      </c>
      <c r="K38" s="30" t="s">
        <v>773</v>
      </c>
      <c r="L38" s="29" t="s">
        <v>661</v>
      </c>
    </row>
    <row r="39" customFormat="false" ht="15.75" hidden="false" customHeight="true" outlineLevel="0" collapsed="false">
      <c r="A39" s="26" t="s">
        <v>774</v>
      </c>
      <c r="B39" s="26" t="s">
        <v>640</v>
      </c>
      <c r="C39" s="26" t="s">
        <v>318</v>
      </c>
      <c r="D39" s="27" t="s">
        <v>319</v>
      </c>
      <c r="E39" s="26" t="s">
        <v>469</v>
      </c>
      <c r="F39" s="26" t="s">
        <v>690</v>
      </c>
      <c r="G39" s="26" t="s">
        <v>690</v>
      </c>
      <c r="H39" s="28" t="n">
        <v>0</v>
      </c>
      <c r="I39" s="26" t="s">
        <v>691</v>
      </c>
      <c r="J39" s="26" t="s">
        <v>692</v>
      </c>
      <c r="K39" s="26" t="s">
        <v>775</v>
      </c>
      <c r="L39" s="34" t="s">
        <v>142</v>
      </c>
    </row>
    <row r="40" customFormat="false" ht="15.75" hidden="false" customHeight="true" outlineLevel="0" collapsed="false">
      <c r="A40" s="30" t="s">
        <v>776</v>
      </c>
      <c r="B40" s="30" t="s">
        <v>641</v>
      </c>
      <c r="C40" s="30" t="s">
        <v>327</v>
      </c>
      <c r="D40" s="31" t="s">
        <v>328</v>
      </c>
      <c r="E40" s="30" t="s">
        <v>102</v>
      </c>
      <c r="F40" s="30" t="s">
        <v>656</v>
      </c>
      <c r="G40" s="30" t="s">
        <v>777</v>
      </c>
      <c r="H40" s="32" t="n">
        <v>85000</v>
      </c>
      <c r="I40" s="30" t="s">
        <v>658</v>
      </c>
      <c r="J40" s="30" t="s">
        <v>659</v>
      </c>
      <c r="K40" s="30" t="s">
        <v>778</v>
      </c>
      <c r="L40" s="29" t="s">
        <v>661</v>
      </c>
    </row>
    <row r="41" customFormat="false" ht="15.75" hidden="false" customHeight="true" outlineLevel="0" collapsed="false">
      <c r="A41" s="26" t="s">
        <v>779</v>
      </c>
      <c r="B41" s="26" t="s">
        <v>642</v>
      </c>
      <c r="C41" s="26" t="s">
        <v>336</v>
      </c>
      <c r="D41" s="27" t="s">
        <v>337</v>
      </c>
      <c r="E41" s="26" t="s">
        <v>469</v>
      </c>
      <c r="F41" s="26" t="s">
        <v>668</v>
      </c>
      <c r="G41" s="26" t="s">
        <v>780</v>
      </c>
      <c r="H41" s="28" t="n">
        <v>85000</v>
      </c>
      <c r="I41" s="26" t="s">
        <v>658</v>
      </c>
      <c r="J41" s="26" t="s">
        <v>665</v>
      </c>
      <c r="K41" s="26" t="s">
        <v>781</v>
      </c>
      <c r="L41" s="29" t="s">
        <v>661</v>
      </c>
    </row>
    <row r="42" customFormat="false" ht="18" hidden="false" customHeight="true" outlineLevel="0" collapsed="false">
      <c r="A42" s="36" t="s">
        <v>782</v>
      </c>
      <c r="B42" s="37"/>
      <c r="C42" s="37"/>
      <c r="D42" s="37"/>
      <c r="E42" s="37"/>
      <c r="F42" s="37"/>
      <c r="G42" s="37"/>
      <c r="H42" s="38" t="n">
        <f aca="false">SUM(H5:H41)</f>
        <v>2605000</v>
      </c>
      <c r="I42" s="37"/>
      <c r="J42" s="37"/>
      <c r="K42" s="37"/>
      <c r="L42" s="37"/>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6"/>
    <col collapsed="false" customWidth="true" hidden="false" outlineLevel="0" max="3" min="3" style="0" width="18"/>
    <col collapsed="false" customWidth="true" hidden="false" outlineLevel="0" max="4" min="4" style="0" width="40"/>
    <col collapsed="false" customWidth="true" hidden="false" outlineLevel="0" max="5" min="5" style="0" width="16"/>
    <col collapsed="false" customWidth="true" hidden="false" outlineLevel="0" max="6" min="6" style="0" width="22"/>
    <col collapsed="false" customWidth="true" hidden="false" outlineLevel="0" max="7" min="7" style="0" width="16"/>
    <col collapsed="false" customWidth="true" hidden="false" outlineLevel="0" max="8" min="8" style="0" width="14"/>
    <col collapsed="false" customWidth="true" hidden="false" outlineLevel="0" max="9" min="9" style="0" width="12"/>
  </cols>
  <sheetData>
    <row r="1" customFormat="false" ht="25.5" hidden="false" customHeight="true" outlineLevel="0" collapsed="false">
      <c r="A1" s="23" t="s">
        <v>783</v>
      </c>
      <c r="B1" s="23"/>
      <c r="C1" s="23"/>
      <c r="D1" s="23"/>
      <c r="E1" s="23"/>
      <c r="F1" s="23"/>
      <c r="G1" s="23"/>
      <c r="H1" s="23"/>
      <c r="I1" s="23"/>
    </row>
    <row r="2" customFormat="false" ht="15.75" hidden="false" customHeight="true" outlineLevel="0" collapsed="false">
      <c r="A2" s="24" t="s">
        <v>784</v>
      </c>
      <c r="B2" s="24"/>
      <c r="C2" s="24"/>
      <c r="D2" s="24"/>
      <c r="E2" s="24"/>
      <c r="F2" s="24"/>
      <c r="G2" s="24"/>
      <c r="H2" s="24"/>
      <c r="I2" s="24"/>
    </row>
    <row r="4" customFormat="false" ht="18" hidden="false" customHeight="true" outlineLevel="0" collapsed="false">
      <c r="A4" s="25" t="s">
        <v>785</v>
      </c>
      <c r="B4" s="25" t="s">
        <v>786</v>
      </c>
      <c r="C4" s="25" t="s">
        <v>787</v>
      </c>
      <c r="D4" s="25" t="s">
        <v>788</v>
      </c>
      <c r="E4" s="25" t="s">
        <v>789</v>
      </c>
      <c r="F4" s="25" t="s">
        <v>790</v>
      </c>
      <c r="G4" s="25" t="s">
        <v>791</v>
      </c>
      <c r="H4" s="25" t="s">
        <v>792</v>
      </c>
      <c r="I4" s="25" t="s">
        <v>653</v>
      </c>
    </row>
    <row r="5" customFormat="false" ht="24" hidden="false" customHeight="true" outlineLevel="0" collapsed="false">
      <c r="A5" s="26" t="s">
        <v>793</v>
      </c>
      <c r="B5" s="27" t="s">
        <v>794</v>
      </c>
      <c r="C5" s="26" t="s">
        <v>795</v>
      </c>
      <c r="D5" s="39" t="s">
        <v>796</v>
      </c>
      <c r="E5" s="28" t="n">
        <v>100000</v>
      </c>
      <c r="F5" s="26" t="s">
        <v>797</v>
      </c>
      <c r="G5" s="26" t="n">
        <v>5</v>
      </c>
      <c r="H5" s="26" t="n">
        <v>2</v>
      </c>
      <c r="I5" s="29" t="s">
        <v>38</v>
      </c>
    </row>
    <row r="6" customFormat="false" ht="24" hidden="false" customHeight="true" outlineLevel="0" collapsed="false">
      <c r="A6" s="30" t="s">
        <v>798</v>
      </c>
      <c r="B6" s="31" t="s">
        <v>799</v>
      </c>
      <c r="C6" s="30" t="s">
        <v>795</v>
      </c>
      <c r="D6" s="40" t="s">
        <v>800</v>
      </c>
      <c r="E6" s="32" t="n">
        <v>50000</v>
      </c>
      <c r="F6" s="30" t="s">
        <v>801</v>
      </c>
      <c r="G6" s="30" t="n">
        <v>10</v>
      </c>
      <c r="H6" s="30" t="n">
        <v>4</v>
      </c>
      <c r="I6" s="29" t="s">
        <v>38</v>
      </c>
    </row>
    <row r="7" customFormat="false" ht="24" hidden="false" customHeight="true" outlineLevel="0" collapsed="false">
      <c r="A7" s="26" t="s">
        <v>802</v>
      </c>
      <c r="B7" s="27" t="s">
        <v>803</v>
      </c>
      <c r="C7" s="26" t="s">
        <v>804</v>
      </c>
      <c r="D7" s="39" t="s">
        <v>805</v>
      </c>
      <c r="E7" s="28" t="n">
        <v>40000</v>
      </c>
      <c r="F7" s="26" t="s">
        <v>806</v>
      </c>
      <c r="G7" s="26" t="n">
        <v>8</v>
      </c>
      <c r="H7" s="26" t="n">
        <v>3</v>
      </c>
      <c r="I7" s="29" t="s">
        <v>38</v>
      </c>
    </row>
    <row r="8" customFormat="false" ht="24" hidden="false" customHeight="true" outlineLevel="0" collapsed="false">
      <c r="A8" s="30" t="s">
        <v>807</v>
      </c>
      <c r="B8" s="31" t="s">
        <v>808</v>
      </c>
      <c r="C8" s="30" t="s">
        <v>809</v>
      </c>
      <c r="D8" s="40" t="s">
        <v>810</v>
      </c>
      <c r="E8" s="32" t="n">
        <v>30000</v>
      </c>
      <c r="F8" s="30" t="s">
        <v>677</v>
      </c>
      <c r="G8" s="30" t="n">
        <v>15</v>
      </c>
      <c r="H8" s="30" t="n">
        <v>7</v>
      </c>
      <c r="I8" s="29" t="s">
        <v>38</v>
      </c>
    </row>
    <row r="9" customFormat="false" ht="24" hidden="false" customHeight="true" outlineLevel="0" collapsed="false">
      <c r="A9" s="26" t="s">
        <v>811</v>
      </c>
      <c r="B9" s="27" t="s">
        <v>812</v>
      </c>
      <c r="C9" s="26" t="s">
        <v>813</v>
      </c>
      <c r="D9" s="39" t="s">
        <v>814</v>
      </c>
      <c r="E9" s="28" t="n">
        <v>35000</v>
      </c>
      <c r="F9" s="26" t="s">
        <v>677</v>
      </c>
      <c r="G9" s="26" t="n">
        <v>6</v>
      </c>
      <c r="H9" s="26" t="n">
        <v>2</v>
      </c>
      <c r="I9" s="29" t="s">
        <v>38</v>
      </c>
    </row>
    <row r="10" customFormat="false" ht="24" hidden="false" customHeight="true" outlineLevel="0" collapsed="false">
      <c r="A10" s="30" t="s">
        <v>815</v>
      </c>
      <c r="B10" s="31" t="s">
        <v>816</v>
      </c>
      <c r="C10" s="30" t="s">
        <v>817</v>
      </c>
      <c r="D10" s="40" t="s">
        <v>818</v>
      </c>
      <c r="E10" s="32" t="n">
        <v>25000</v>
      </c>
      <c r="F10" s="30" t="s">
        <v>677</v>
      </c>
      <c r="G10" s="30" t="n">
        <v>10</v>
      </c>
      <c r="H10" s="30" t="n">
        <v>3</v>
      </c>
      <c r="I10" s="29" t="s">
        <v>38</v>
      </c>
    </row>
    <row r="11" customFormat="false" ht="24" hidden="false" customHeight="true" outlineLevel="0" collapsed="false">
      <c r="A11" s="26" t="s">
        <v>819</v>
      </c>
      <c r="B11" s="27" t="s">
        <v>820</v>
      </c>
      <c r="C11" s="26" t="s">
        <v>821</v>
      </c>
      <c r="D11" s="39" t="s">
        <v>822</v>
      </c>
      <c r="E11" s="28" t="n">
        <v>60000</v>
      </c>
      <c r="F11" s="26" t="s">
        <v>823</v>
      </c>
      <c r="G11" s="26" t="n">
        <v>4</v>
      </c>
      <c r="H11" s="26" t="n">
        <v>2</v>
      </c>
      <c r="I11" s="29" t="s">
        <v>38</v>
      </c>
    </row>
    <row r="12" customFormat="false" ht="24" hidden="false" customHeight="true" outlineLevel="0" collapsed="false">
      <c r="A12" s="30" t="s">
        <v>824</v>
      </c>
      <c r="B12" s="31" t="s">
        <v>825</v>
      </c>
      <c r="C12" s="30" t="s">
        <v>826</v>
      </c>
      <c r="D12" s="40" t="s">
        <v>827</v>
      </c>
      <c r="E12" s="32" t="n">
        <v>20000</v>
      </c>
      <c r="F12" s="30" t="s">
        <v>828</v>
      </c>
      <c r="G12" s="30" t="n">
        <v>5</v>
      </c>
      <c r="H12" s="30" t="n">
        <v>1</v>
      </c>
      <c r="I12" s="29" t="s">
        <v>38</v>
      </c>
    </row>
    <row r="13" customFormat="false" ht="24" hidden="false" customHeight="true" outlineLevel="0" collapsed="false">
      <c r="A13" s="26" t="s">
        <v>829</v>
      </c>
      <c r="B13" s="27" t="s">
        <v>830</v>
      </c>
      <c r="C13" s="26" t="s">
        <v>831</v>
      </c>
      <c r="D13" s="39" t="s">
        <v>832</v>
      </c>
      <c r="E13" s="28" t="n">
        <v>45000</v>
      </c>
      <c r="F13" s="26" t="s">
        <v>801</v>
      </c>
      <c r="G13" s="26" t="n">
        <v>4</v>
      </c>
      <c r="H13" s="26" t="n">
        <v>2</v>
      </c>
      <c r="I13" s="29" t="s">
        <v>38</v>
      </c>
    </row>
    <row r="14" customFormat="false" ht="24" hidden="false" customHeight="true" outlineLevel="0" collapsed="false">
      <c r="A14" s="30" t="s">
        <v>833</v>
      </c>
      <c r="B14" s="31" t="s">
        <v>834</v>
      </c>
      <c r="C14" s="30" t="s">
        <v>831</v>
      </c>
      <c r="D14" s="40" t="s">
        <v>835</v>
      </c>
      <c r="E14" s="32" t="n">
        <v>30000</v>
      </c>
      <c r="F14" s="30" t="s">
        <v>806</v>
      </c>
      <c r="G14" s="30" t="n">
        <v>4</v>
      </c>
      <c r="H14" s="30" t="n">
        <v>1</v>
      </c>
      <c r="I14" s="29" t="s">
        <v>38</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24"/>
    <col collapsed="false" customWidth="true" hidden="false" outlineLevel="0" max="4" min="4" style="0" width="20"/>
    <col collapsed="false" customWidth="true" hidden="false" outlineLevel="0" max="5" min="5" style="0" width="8"/>
    <col collapsed="false" customWidth="true" hidden="false" outlineLevel="0" max="6" min="6" style="0" width="14"/>
    <col collapsed="false" customWidth="true" hidden="false" outlineLevel="0" max="7" min="7" style="0" width="30"/>
    <col collapsed="false" customWidth="true" hidden="false" outlineLevel="0" max="9" min="8" style="0" width="14"/>
    <col collapsed="false" customWidth="true" hidden="false" outlineLevel="0" max="10" min="10" style="0" width="18"/>
    <col collapsed="false" customWidth="true" hidden="false" outlineLevel="0" max="11" min="11" style="0" width="20"/>
    <col collapsed="false" customWidth="true" hidden="false" outlineLevel="0" max="12" min="12" style="0" width="14"/>
    <col collapsed="false" customWidth="true" hidden="false" outlineLevel="0" max="13" min="13" style="0" width="30"/>
  </cols>
  <sheetData>
    <row r="1" customFormat="false" ht="25.5" hidden="false" customHeight="true" outlineLevel="0" collapsed="false">
      <c r="A1" s="23" t="s">
        <v>836</v>
      </c>
      <c r="B1" s="23"/>
      <c r="C1" s="23"/>
      <c r="D1" s="23"/>
      <c r="E1" s="23"/>
      <c r="F1" s="23"/>
      <c r="G1" s="23"/>
      <c r="H1" s="23"/>
      <c r="I1" s="23"/>
      <c r="J1" s="23"/>
      <c r="K1" s="23"/>
    </row>
    <row r="2" customFormat="false" ht="15.75" hidden="false" customHeight="true" outlineLevel="0" collapsed="false">
      <c r="A2" s="24" t="s">
        <v>837</v>
      </c>
      <c r="B2" s="24"/>
      <c r="C2" s="24"/>
      <c r="D2" s="24"/>
      <c r="E2" s="24"/>
      <c r="F2" s="24"/>
      <c r="G2" s="24"/>
      <c r="H2" s="24"/>
      <c r="I2" s="24"/>
      <c r="J2" s="24"/>
      <c r="K2" s="24"/>
    </row>
    <row r="4" customFormat="false" ht="18" hidden="false" customHeight="true" outlineLevel="0" collapsed="false">
      <c r="A4" s="25" t="s">
        <v>838</v>
      </c>
      <c r="B4" s="25" t="s">
        <v>596</v>
      </c>
      <c r="C4" s="25" t="s">
        <v>597</v>
      </c>
      <c r="D4" s="25" t="s">
        <v>598</v>
      </c>
      <c r="E4" s="25" t="s">
        <v>839</v>
      </c>
      <c r="F4" s="25" t="s">
        <v>785</v>
      </c>
      <c r="G4" s="25" t="s">
        <v>786</v>
      </c>
      <c r="H4" s="25" t="s">
        <v>840</v>
      </c>
      <c r="I4" s="25" t="s">
        <v>653</v>
      </c>
      <c r="J4" s="25" t="s">
        <v>841</v>
      </c>
      <c r="K4" s="25" t="s">
        <v>842</v>
      </c>
      <c r="L4" s="25" t="s">
        <v>843</v>
      </c>
      <c r="M4" s="25" t="s">
        <v>844</v>
      </c>
    </row>
    <row r="5" customFormat="false" ht="19.5" hidden="false" customHeight="true" outlineLevel="0" collapsed="false">
      <c r="A5" s="26" t="s">
        <v>845</v>
      </c>
      <c r="B5" s="26" t="s">
        <v>193</v>
      </c>
      <c r="C5" s="27" t="s">
        <v>194</v>
      </c>
      <c r="D5" s="26" t="s">
        <v>34</v>
      </c>
      <c r="E5" s="26" t="n">
        <v>3.95</v>
      </c>
      <c r="F5" s="26" t="s">
        <v>793</v>
      </c>
      <c r="G5" s="27" t="s">
        <v>794</v>
      </c>
      <c r="H5" s="26" t="s">
        <v>846</v>
      </c>
      <c r="I5" s="29" t="s">
        <v>847</v>
      </c>
      <c r="J5" s="28" t="n">
        <v>100000</v>
      </c>
      <c r="K5" s="26" t="s">
        <v>848</v>
      </c>
      <c r="L5" s="26" t="s">
        <v>849</v>
      </c>
      <c r="M5" s="39" t="s">
        <v>850</v>
      </c>
    </row>
    <row r="6" customFormat="false" ht="19.5" hidden="false" customHeight="true" outlineLevel="0" collapsed="false">
      <c r="A6" s="30" t="s">
        <v>851</v>
      </c>
      <c r="B6" s="30" t="s">
        <v>28</v>
      </c>
      <c r="C6" s="31" t="s">
        <v>29</v>
      </c>
      <c r="D6" s="30" t="s">
        <v>34</v>
      </c>
      <c r="E6" s="30" t="n">
        <v>3.78</v>
      </c>
      <c r="F6" s="30" t="s">
        <v>798</v>
      </c>
      <c r="G6" s="31" t="s">
        <v>799</v>
      </c>
      <c r="H6" s="30" t="s">
        <v>852</v>
      </c>
      <c r="I6" s="29" t="s">
        <v>847</v>
      </c>
      <c r="J6" s="32" t="n">
        <v>50000</v>
      </c>
      <c r="K6" s="30" t="s">
        <v>853</v>
      </c>
      <c r="L6" s="30" t="s">
        <v>854</v>
      </c>
      <c r="M6" s="40" t="s">
        <v>855</v>
      </c>
    </row>
    <row r="7" customFormat="false" ht="19.5" hidden="false" customHeight="true" outlineLevel="0" collapsed="false">
      <c r="A7" s="26" t="s">
        <v>856</v>
      </c>
      <c r="B7" s="26" t="s">
        <v>117</v>
      </c>
      <c r="C7" s="27" t="s">
        <v>118</v>
      </c>
      <c r="D7" s="26" t="s">
        <v>34</v>
      </c>
      <c r="E7" s="26" t="n">
        <v>3.68</v>
      </c>
      <c r="F7" s="26" t="s">
        <v>798</v>
      </c>
      <c r="G7" s="27" t="s">
        <v>799</v>
      </c>
      <c r="H7" s="26" t="s">
        <v>857</v>
      </c>
      <c r="I7" s="29" t="s">
        <v>847</v>
      </c>
      <c r="J7" s="28" t="n">
        <v>50000</v>
      </c>
      <c r="K7" s="26" t="s">
        <v>858</v>
      </c>
      <c r="L7" s="26" t="s">
        <v>859</v>
      </c>
      <c r="M7" s="39" t="s">
        <v>860</v>
      </c>
    </row>
    <row r="8" customFormat="false" ht="19.5" hidden="false" customHeight="true" outlineLevel="0" collapsed="false">
      <c r="A8" s="30" t="s">
        <v>861</v>
      </c>
      <c r="B8" s="30" t="s">
        <v>222</v>
      </c>
      <c r="C8" s="31" t="s">
        <v>223</v>
      </c>
      <c r="D8" s="30" t="s">
        <v>34</v>
      </c>
      <c r="E8" s="30" t="n">
        <v>3.88</v>
      </c>
      <c r="F8" s="30" t="s">
        <v>793</v>
      </c>
      <c r="G8" s="31" t="s">
        <v>794</v>
      </c>
      <c r="H8" s="30" t="s">
        <v>655</v>
      </c>
      <c r="I8" s="29" t="s">
        <v>847</v>
      </c>
      <c r="J8" s="32" t="n">
        <v>100000</v>
      </c>
      <c r="K8" s="30" t="s">
        <v>858</v>
      </c>
      <c r="L8" s="30" t="s">
        <v>862</v>
      </c>
      <c r="M8" s="40" t="s">
        <v>863</v>
      </c>
    </row>
    <row r="9" customFormat="false" ht="19.5" hidden="false" customHeight="true" outlineLevel="0" collapsed="false">
      <c r="A9" s="26" t="s">
        <v>864</v>
      </c>
      <c r="B9" s="26" t="s">
        <v>180</v>
      </c>
      <c r="C9" s="27" t="s">
        <v>181</v>
      </c>
      <c r="D9" s="26" t="s">
        <v>56</v>
      </c>
      <c r="E9" s="26" t="n">
        <v>3.82</v>
      </c>
      <c r="F9" s="26" t="s">
        <v>793</v>
      </c>
      <c r="G9" s="27" t="s">
        <v>794</v>
      </c>
      <c r="H9" s="26" t="s">
        <v>732</v>
      </c>
      <c r="I9" s="33" t="s">
        <v>865</v>
      </c>
      <c r="J9" s="26" t="s">
        <v>690</v>
      </c>
      <c r="K9" s="26" t="s">
        <v>866</v>
      </c>
      <c r="L9" s="26"/>
      <c r="M9" s="39" t="s">
        <v>867</v>
      </c>
    </row>
    <row r="10" customFormat="false" ht="19.5" hidden="false" customHeight="true" outlineLevel="0" collapsed="false">
      <c r="A10" s="30" t="s">
        <v>868</v>
      </c>
      <c r="B10" s="30" t="s">
        <v>290</v>
      </c>
      <c r="C10" s="31" t="s">
        <v>291</v>
      </c>
      <c r="D10" s="30" t="s">
        <v>295</v>
      </c>
      <c r="E10" s="30" t="n">
        <v>3.82</v>
      </c>
      <c r="F10" s="30" t="s">
        <v>819</v>
      </c>
      <c r="G10" s="31" t="s">
        <v>820</v>
      </c>
      <c r="H10" s="30" t="s">
        <v>869</v>
      </c>
      <c r="I10" s="29" t="s">
        <v>847</v>
      </c>
      <c r="J10" s="32" t="n">
        <v>60000</v>
      </c>
      <c r="K10" s="30" t="s">
        <v>853</v>
      </c>
      <c r="L10" s="30" t="s">
        <v>870</v>
      </c>
      <c r="M10" s="40" t="s">
        <v>871</v>
      </c>
    </row>
    <row r="11" customFormat="false" ht="19.5" hidden="false" customHeight="true" outlineLevel="0" collapsed="false">
      <c r="A11" s="26" t="s">
        <v>872</v>
      </c>
      <c r="B11" s="26" t="s">
        <v>327</v>
      </c>
      <c r="C11" s="27" t="s">
        <v>328</v>
      </c>
      <c r="D11" s="26" t="s">
        <v>295</v>
      </c>
      <c r="E11" s="26" t="n">
        <v>3.91</v>
      </c>
      <c r="F11" s="26" t="s">
        <v>819</v>
      </c>
      <c r="G11" s="27" t="s">
        <v>820</v>
      </c>
      <c r="H11" s="26" t="s">
        <v>454</v>
      </c>
      <c r="I11" s="29" t="s">
        <v>847</v>
      </c>
      <c r="J11" s="28" t="n">
        <v>60000</v>
      </c>
      <c r="K11" s="26" t="s">
        <v>858</v>
      </c>
      <c r="L11" s="26" t="s">
        <v>870</v>
      </c>
      <c r="M11" s="39" t="s">
        <v>873</v>
      </c>
    </row>
    <row r="12" customFormat="false" ht="19.5" hidden="false" customHeight="true" outlineLevel="0" collapsed="false">
      <c r="A12" s="30" t="s">
        <v>874</v>
      </c>
      <c r="B12" s="30" t="s">
        <v>301</v>
      </c>
      <c r="C12" s="31" t="s">
        <v>302</v>
      </c>
      <c r="D12" s="30" t="s">
        <v>295</v>
      </c>
      <c r="E12" s="30" t="n">
        <v>3.61</v>
      </c>
      <c r="F12" s="30" t="s">
        <v>819</v>
      </c>
      <c r="G12" s="31" t="s">
        <v>820</v>
      </c>
      <c r="H12" s="30" t="s">
        <v>469</v>
      </c>
      <c r="I12" s="33" t="s">
        <v>865</v>
      </c>
      <c r="J12" s="30" t="s">
        <v>690</v>
      </c>
      <c r="K12" s="30" t="s">
        <v>866</v>
      </c>
      <c r="L12" s="30"/>
      <c r="M12" s="40" t="s">
        <v>875</v>
      </c>
    </row>
    <row r="13" customFormat="false" ht="19.5" hidden="false" customHeight="true" outlineLevel="0" collapsed="false">
      <c r="A13" s="26" t="s">
        <v>876</v>
      </c>
      <c r="B13" s="26" t="s">
        <v>243</v>
      </c>
      <c r="C13" s="27" t="s">
        <v>244</v>
      </c>
      <c r="D13" s="26" t="s">
        <v>252</v>
      </c>
      <c r="E13" s="26" t="n">
        <v>3.72</v>
      </c>
      <c r="F13" s="26" t="s">
        <v>807</v>
      </c>
      <c r="G13" s="27" t="s">
        <v>808</v>
      </c>
      <c r="H13" s="26" t="s">
        <v>655</v>
      </c>
      <c r="I13" s="29" t="s">
        <v>847</v>
      </c>
      <c r="J13" s="28" t="n">
        <v>30000</v>
      </c>
      <c r="K13" s="26" t="s">
        <v>848</v>
      </c>
      <c r="L13" s="26" t="s">
        <v>877</v>
      </c>
      <c r="M13" s="39" t="s">
        <v>878</v>
      </c>
    </row>
    <row r="14" customFormat="false" ht="19.5" hidden="false" customHeight="true" outlineLevel="0" collapsed="false">
      <c r="A14" s="30" t="s">
        <v>879</v>
      </c>
      <c r="B14" s="30" t="s">
        <v>254</v>
      </c>
      <c r="C14" s="31" t="s">
        <v>255</v>
      </c>
      <c r="D14" s="30" t="s">
        <v>262</v>
      </c>
      <c r="E14" s="30" t="n">
        <v>3.41</v>
      </c>
      <c r="F14" s="30" t="s">
        <v>807</v>
      </c>
      <c r="G14" s="31" t="s">
        <v>808</v>
      </c>
      <c r="H14" s="30" t="s">
        <v>869</v>
      </c>
      <c r="I14" s="29" t="s">
        <v>847</v>
      </c>
      <c r="J14" s="32" t="n">
        <v>30000</v>
      </c>
      <c r="K14" s="30" t="s">
        <v>858</v>
      </c>
      <c r="L14" s="30" t="s">
        <v>880</v>
      </c>
      <c r="M14" s="40" t="s">
        <v>881</v>
      </c>
    </row>
    <row r="15" customFormat="false" ht="19.5" hidden="false" customHeight="true" outlineLevel="0" collapsed="false">
      <c r="A15" s="26" t="s">
        <v>882</v>
      </c>
      <c r="B15" s="26" t="s">
        <v>283</v>
      </c>
      <c r="C15" s="27" t="s">
        <v>284</v>
      </c>
      <c r="D15" s="26" t="s">
        <v>262</v>
      </c>
      <c r="E15" s="26" t="n">
        <v>3.22</v>
      </c>
      <c r="F15" s="26" t="s">
        <v>807</v>
      </c>
      <c r="G15" s="27" t="s">
        <v>808</v>
      </c>
      <c r="H15" s="26" t="s">
        <v>883</v>
      </c>
      <c r="I15" s="29" t="s">
        <v>847</v>
      </c>
      <c r="J15" s="28" t="n">
        <v>30000</v>
      </c>
      <c r="K15" s="26" t="s">
        <v>858</v>
      </c>
      <c r="L15" s="26" t="s">
        <v>884</v>
      </c>
      <c r="M15" s="39" t="s">
        <v>885</v>
      </c>
    </row>
    <row r="16" customFormat="false" ht="19.5" hidden="false" customHeight="true" outlineLevel="0" collapsed="false">
      <c r="A16" s="30" t="s">
        <v>886</v>
      </c>
      <c r="B16" s="30" t="s">
        <v>273</v>
      </c>
      <c r="C16" s="31" t="s">
        <v>274</v>
      </c>
      <c r="D16" s="30" t="s">
        <v>252</v>
      </c>
      <c r="E16" s="30" t="n">
        <v>2.81</v>
      </c>
      <c r="F16" s="30" t="s">
        <v>807</v>
      </c>
      <c r="G16" s="31" t="s">
        <v>808</v>
      </c>
      <c r="H16" s="30" t="s">
        <v>732</v>
      </c>
      <c r="I16" s="35" t="s">
        <v>887</v>
      </c>
      <c r="J16" s="30" t="s">
        <v>690</v>
      </c>
      <c r="K16" s="30" t="s">
        <v>858</v>
      </c>
      <c r="L16" s="30" t="s">
        <v>870</v>
      </c>
      <c r="M16" s="40" t="s">
        <v>888</v>
      </c>
    </row>
    <row r="17" customFormat="false" ht="19.5" hidden="false" customHeight="true" outlineLevel="0" collapsed="false">
      <c r="A17" s="26" t="s">
        <v>889</v>
      </c>
      <c r="B17" s="26" t="s">
        <v>93</v>
      </c>
      <c r="C17" s="27" t="s">
        <v>94</v>
      </c>
      <c r="D17" s="26" t="s">
        <v>34</v>
      </c>
      <c r="E17" s="26" t="n">
        <v>2.45</v>
      </c>
      <c r="F17" s="26" t="s">
        <v>815</v>
      </c>
      <c r="G17" s="27" t="s">
        <v>816</v>
      </c>
      <c r="H17" s="26" t="s">
        <v>890</v>
      </c>
      <c r="I17" s="33" t="s">
        <v>865</v>
      </c>
      <c r="J17" s="26" t="s">
        <v>690</v>
      </c>
      <c r="K17" s="26" t="s">
        <v>866</v>
      </c>
      <c r="L17" s="26"/>
      <c r="M17" s="39" t="s">
        <v>891</v>
      </c>
    </row>
    <row r="18" customFormat="false" ht="19.5" hidden="false" customHeight="true" outlineLevel="0" collapsed="false">
      <c r="A18" s="30" t="s">
        <v>892</v>
      </c>
      <c r="B18" s="30" t="s">
        <v>227</v>
      </c>
      <c r="C18" s="31" t="s">
        <v>228</v>
      </c>
      <c r="D18" s="30" t="s">
        <v>138</v>
      </c>
      <c r="E18" s="30" t="n">
        <v>2.2</v>
      </c>
      <c r="F18" s="30" t="s">
        <v>815</v>
      </c>
      <c r="G18" s="31" t="s">
        <v>816</v>
      </c>
      <c r="H18" s="30" t="s">
        <v>893</v>
      </c>
      <c r="I18" s="35" t="s">
        <v>887</v>
      </c>
      <c r="J18" s="30" t="s">
        <v>690</v>
      </c>
      <c r="K18" s="30" t="s">
        <v>894</v>
      </c>
      <c r="L18" s="30" t="s">
        <v>895</v>
      </c>
      <c r="M18" s="40" t="s">
        <v>896</v>
      </c>
    </row>
    <row r="19" customFormat="false" ht="19.5" hidden="false" customHeight="true" outlineLevel="0" collapsed="false">
      <c r="A19" s="26" t="s">
        <v>897</v>
      </c>
      <c r="B19" s="26" t="s">
        <v>78</v>
      </c>
      <c r="C19" s="27" t="s">
        <v>79</v>
      </c>
      <c r="D19" s="26" t="s">
        <v>34</v>
      </c>
      <c r="E19" s="26" t="n">
        <v>3.9</v>
      </c>
      <c r="F19" s="26" t="s">
        <v>829</v>
      </c>
      <c r="G19" s="27" t="s">
        <v>830</v>
      </c>
      <c r="H19" s="26" t="s">
        <v>898</v>
      </c>
      <c r="I19" s="29" t="s">
        <v>847</v>
      </c>
      <c r="J19" s="28" t="n">
        <v>45000</v>
      </c>
      <c r="K19" s="26" t="s">
        <v>858</v>
      </c>
      <c r="L19" s="26" t="s">
        <v>877</v>
      </c>
      <c r="M19" s="39" t="s">
        <v>863</v>
      </c>
    </row>
    <row r="20" customFormat="false" ht="19.5" hidden="false" customHeight="true" outlineLevel="0" collapsed="false">
      <c r="A20" s="30" t="s">
        <v>899</v>
      </c>
      <c r="B20" s="30" t="s">
        <v>205</v>
      </c>
      <c r="C20" s="31" t="s">
        <v>206</v>
      </c>
      <c r="D20" s="30" t="s">
        <v>34</v>
      </c>
      <c r="E20" s="30" t="n">
        <v>3.15</v>
      </c>
      <c r="F20" s="30" t="s">
        <v>829</v>
      </c>
      <c r="G20" s="31" t="s">
        <v>830</v>
      </c>
      <c r="H20" s="30" t="s">
        <v>900</v>
      </c>
      <c r="I20" s="29" t="s">
        <v>847</v>
      </c>
      <c r="J20" s="32" t="n">
        <v>45000</v>
      </c>
      <c r="K20" s="30" t="s">
        <v>858</v>
      </c>
      <c r="L20" s="30" t="s">
        <v>901</v>
      </c>
      <c r="M20" s="40" t="s">
        <v>902</v>
      </c>
    </row>
    <row r="21" customFormat="false" ht="19.5" hidden="false" customHeight="true" outlineLevel="0" collapsed="false">
      <c r="A21" s="26" t="s">
        <v>903</v>
      </c>
      <c r="B21" s="26" t="s">
        <v>124</v>
      </c>
      <c r="C21" s="27" t="s">
        <v>125</v>
      </c>
      <c r="D21" s="26" t="s">
        <v>129</v>
      </c>
      <c r="E21" s="26" t="n">
        <v>3.1</v>
      </c>
      <c r="F21" s="26" t="s">
        <v>833</v>
      </c>
      <c r="G21" s="27" t="s">
        <v>834</v>
      </c>
      <c r="H21" s="26" t="s">
        <v>904</v>
      </c>
      <c r="I21" s="29" t="s">
        <v>847</v>
      </c>
      <c r="J21" s="28" t="n">
        <v>30000</v>
      </c>
      <c r="K21" s="26" t="s">
        <v>848</v>
      </c>
      <c r="L21" s="26" t="s">
        <v>905</v>
      </c>
      <c r="M21" s="39" t="s">
        <v>906</v>
      </c>
    </row>
    <row r="22" customFormat="false" ht="19.5" hidden="false" customHeight="true" outlineLevel="0" collapsed="false">
      <c r="A22" s="30" t="s">
        <v>907</v>
      </c>
      <c r="B22" s="30" t="s">
        <v>211</v>
      </c>
      <c r="C22" s="31" t="s">
        <v>212</v>
      </c>
      <c r="D22" s="30" t="s">
        <v>129</v>
      </c>
      <c r="E22" s="30" t="n">
        <v>3.6</v>
      </c>
      <c r="F22" s="30" t="s">
        <v>833</v>
      </c>
      <c r="G22" s="31" t="s">
        <v>834</v>
      </c>
      <c r="H22" s="30" t="s">
        <v>908</v>
      </c>
      <c r="I22" s="33" t="s">
        <v>865</v>
      </c>
      <c r="J22" s="30" t="s">
        <v>690</v>
      </c>
      <c r="K22" s="30" t="s">
        <v>866</v>
      </c>
      <c r="L22" s="30"/>
      <c r="M22" s="40" t="s">
        <v>909</v>
      </c>
    </row>
    <row r="23" customFormat="false" ht="19.5" hidden="false" customHeight="true" outlineLevel="0" collapsed="false">
      <c r="A23" s="26" t="s">
        <v>910</v>
      </c>
      <c r="B23" s="26" t="s">
        <v>117</v>
      </c>
      <c r="C23" s="27" t="s">
        <v>118</v>
      </c>
      <c r="D23" s="26" t="s">
        <v>34</v>
      </c>
      <c r="E23" s="26" t="n">
        <v>3.68</v>
      </c>
      <c r="F23" s="26" t="s">
        <v>811</v>
      </c>
      <c r="G23" s="27" t="s">
        <v>812</v>
      </c>
      <c r="H23" s="26" t="s">
        <v>908</v>
      </c>
      <c r="I23" s="29" t="s">
        <v>847</v>
      </c>
      <c r="J23" s="28" t="n">
        <v>35000</v>
      </c>
      <c r="K23" s="26" t="s">
        <v>894</v>
      </c>
      <c r="L23" s="26" t="s">
        <v>911</v>
      </c>
      <c r="M23" s="39" t="s">
        <v>912</v>
      </c>
    </row>
    <row r="24" customFormat="false" ht="19.5" hidden="false" customHeight="true" outlineLevel="0" collapsed="false">
      <c r="A24" s="30" t="s">
        <v>913</v>
      </c>
      <c r="B24" s="30" t="s">
        <v>222</v>
      </c>
      <c r="C24" s="31" t="s">
        <v>223</v>
      </c>
      <c r="D24" s="30" t="s">
        <v>34</v>
      </c>
      <c r="E24" s="30" t="n">
        <v>3.88</v>
      </c>
      <c r="F24" s="30" t="s">
        <v>811</v>
      </c>
      <c r="G24" s="31" t="s">
        <v>812</v>
      </c>
      <c r="H24" s="30" t="s">
        <v>655</v>
      </c>
      <c r="I24" s="29" t="s">
        <v>847</v>
      </c>
      <c r="J24" s="32" t="n">
        <v>35000</v>
      </c>
      <c r="K24" s="30" t="s">
        <v>848</v>
      </c>
      <c r="L24" s="30" t="s">
        <v>914</v>
      </c>
      <c r="M24" s="40" t="s">
        <v>915</v>
      </c>
    </row>
    <row r="25" customFormat="false" ht="19.5" hidden="false" customHeight="true" outlineLevel="0" collapsed="false">
      <c r="A25" s="26" t="s">
        <v>916</v>
      </c>
      <c r="B25" s="26" t="s">
        <v>64</v>
      </c>
      <c r="C25" s="27" t="s">
        <v>65</v>
      </c>
      <c r="D25" s="26" t="s">
        <v>34</v>
      </c>
      <c r="E25" s="26" t="n">
        <v>3.55</v>
      </c>
      <c r="F25" s="26" t="s">
        <v>811</v>
      </c>
      <c r="G25" s="27" t="s">
        <v>812</v>
      </c>
      <c r="H25" s="26" t="s">
        <v>904</v>
      </c>
      <c r="I25" s="33" t="s">
        <v>865</v>
      </c>
      <c r="J25" s="26" t="s">
        <v>690</v>
      </c>
      <c r="K25" s="26" t="s">
        <v>866</v>
      </c>
      <c r="L25" s="26"/>
      <c r="M25" s="39" t="s">
        <v>917</v>
      </c>
    </row>
    <row r="26" customFormat="false" ht="19.5" hidden="false" customHeight="true" outlineLevel="0" collapsed="false">
      <c r="A26" s="30" t="s">
        <v>918</v>
      </c>
      <c r="B26" s="30" t="s">
        <v>238</v>
      </c>
      <c r="C26" s="31" t="s">
        <v>239</v>
      </c>
      <c r="D26" s="30" t="s">
        <v>34</v>
      </c>
      <c r="E26" s="30" t="n">
        <v>3.65</v>
      </c>
      <c r="F26" s="30" t="s">
        <v>802</v>
      </c>
      <c r="G26" s="31" t="s">
        <v>803</v>
      </c>
      <c r="H26" s="30" t="s">
        <v>715</v>
      </c>
      <c r="I26" s="29" t="s">
        <v>847</v>
      </c>
      <c r="J26" s="32" t="n">
        <v>40000</v>
      </c>
      <c r="K26" s="30" t="s">
        <v>848</v>
      </c>
      <c r="L26" s="30" t="s">
        <v>905</v>
      </c>
      <c r="M26" s="40" t="s">
        <v>919</v>
      </c>
    </row>
    <row r="27" customFormat="false" ht="19.5" hidden="false" customHeight="true" outlineLevel="0" collapsed="false">
      <c r="A27" s="26" t="s">
        <v>920</v>
      </c>
      <c r="B27" s="26" t="s">
        <v>233</v>
      </c>
      <c r="C27" s="27" t="s">
        <v>234</v>
      </c>
      <c r="D27" s="26" t="s">
        <v>34</v>
      </c>
      <c r="E27" s="26" t="n">
        <v>3.42</v>
      </c>
      <c r="F27" s="26" t="s">
        <v>802</v>
      </c>
      <c r="G27" s="27" t="s">
        <v>803</v>
      </c>
      <c r="H27" s="26" t="s">
        <v>921</v>
      </c>
      <c r="I27" s="29" t="s">
        <v>847</v>
      </c>
      <c r="J27" s="28" t="n">
        <v>40000</v>
      </c>
      <c r="K27" s="26" t="s">
        <v>853</v>
      </c>
      <c r="L27" s="26" t="s">
        <v>854</v>
      </c>
      <c r="M27" s="39" t="s">
        <v>922</v>
      </c>
    </row>
    <row r="28" customFormat="false" ht="19.5" hidden="false" customHeight="true" outlineLevel="0" collapsed="false">
      <c r="A28" s="30" t="s">
        <v>923</v>
      </c>
      <c r="B28" s="30" t="s">
        <v>143</v>
      </c>
      <c r="C28" s="31" t="s">
        <v>144</v>
      </c>
      <c r="D28" s="30" t="s">
        <v>34</v>
      </c>
      <c r="E28" s="30" t="n">
        <v>3.4</v>
      </c>
      <c r="F28" s="30" t="s">
        <v>802</v>
      </c>
      <c r="G28" s="31" t="s">
        <v>803</v>
      </c>
      <c r="H28" s="30" t="s">
        <v>732</v>
      </c>
      <c r="I28" s="33" t="s">
        <v>865</v>
      </c>
      <c r="J28" s="30" t="s">
        <v>690</v>
      </c>
      <c r="K28" s="30" t="s">
        <v>866</v>
      </c>
      <c r="L28" s="30"/>
      <c r="M28" s="40" t="s">
        <v>924</v>
      </c>
    </row>
    <row r="29" customFormat="false" ht="19.5" hidden="false" customHeight="true" outlineLevel="0" collapsed="false">
      <c r="A29" s="26" t="s">
        <v>925</v>
      </c>
      <c r="B29" s="26" t="s">
        <v>163</v>
      </c>
      <c r="C29" s="27" t="s">
        <v>164</v>
      </c>
      <c r="D29" s="26" t="s">
        <v>56</v>
      </c>
      <c r="E29" s="26" t="n">
        <v>3.5</v>
      </c>
      <c r="F29" s="26" t="s">
        <v>824</v>
      </c>
      <c r="G29" s="27" t="s">
        <v>825</v>
      </c>
      <c r="H29" s="26" t="s">
        <v>926</v>
      </c>
      <c r="I29" s="29" t="s">
        <v>847</v>
      </c>
      <c r="J29" s="28" t="n">
        <v>20000</v>
      </c>
      <c r="K29" s="26" t="s">
        <v>927</v>
      </c>
      <c r="L29" s="26" t="s">
        <v>928</v>
      </c>
      <c r="M29" s="39" t="s">
        <v>929</v>
      </c>
    </row>
    <row r="30" customFormat="false" ht="19.5" hidden="false" customHeight="true" outlineLevel="0" collapsed="false">
      <c r="A30" s="30" t="s">
        <v>930</v>
      </c>
      <c r="B30" s="30" t="s">
        <v>109</v>
      </c>
      <c r="C30" s="31" t="s">
        <v>110</v>
      </c>
      <c r="D30" s="30" t="s">
        <v>114</v>
      </c>
      <c r="E30" s="30" t="n">
        <v>3.22</v>
      </c>
      <c r="F30" s="30" t="s">
        <v>824</v>
      </c>
      <c r="G30" s="31" t="s">
        <v>825</v>
      </c>
      <c r="H30" s="30" t="s">
        <v>931</v>
      </c>
      <c r="I30" s="33" t="s">
        <v>865</v>
      </c>
      <c r="J30" s="30" t="s">
        <v>690</v>
      </c>
      <c r="K30" s="30" t="s">
        <v>866</v>
      </c>
      <c r="L30" s="30"/>
      <c r="M30" s="40" t="s">
        <v>932</v>
      </c>
    </row>
    <row r="31" customFormat="false" ht="19.5" hidden="false" customHeight="true" outlineLevel="0" collapsed="false">
      <c r="A31" s="36" t="s">
        <v>933</v>
      </c>
      <c r="B31" s="37"/>
      <c r="C31" s="37"/>
      <c r="D31" s="37"/>
      <c r="E31" s="37"/>
      <c r="F31" s="37"/>
      <c r="G31" s="37"/>
      <c r="H31" s="37"/>
      <c r="I31" s="41" t="s">
        <v>934</v>
      </c>
      <c r="J31" s="41"/>
      <c r="K31" s="41"/>
      <c r="L31" s="41"/>
      <c r="M31" s="41"/>
    </row>
  </sheetData>
  <mergeCells count="3">
    <mergeCell ref="A1:K1"/>
    <mergeCell ref="A2:K2"/>
    <mergeCell ref="I31:M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28"/>
    <col collapsed="false" customWidth="true" hidden="false" outlineLevel="0" max="4" min="4" style="1" width="18"/>
  </cols>
  <sheetData>
    <row r="1" customFormat="false" ht="36" hidden="false" customHeight="true" outlineLevel="0" collapsed="false">
      <c r="A1" s="42" t="s">
        <v>935</v>
      </c>
      <c r="B1" s="42"/>
      <c r="C1" s="42"/>
      <c r="D1" s="42"/>
    </row>
    <row r="2" customFormat="false" ht="18" hidden="false" customHeight="true" outlineLevel="0" collapsed="false">
      <c r="A2" s="43" t="s">
        <v>936</v>
      </c>
      <c r="B2" s="43"/>
      <c r="C2" s="43"/>
      <c r="D2" s="43"/>
    </row>
    <row r="4" customFormat="false" ht="19.5" hidden="false" customHeight="true" outlineLevel="0" collapsed="false">
      <c r="A4" s="44" t="s">
        <v>937</v>
      </c>
      <c r="B4" s="44"/>
      <c r="C4" s="44" t="s">
        <v>938</v>
      </c>
      <c r="D4" s="44"/>
    </row>
    <row r="5" customFormat="false" ht="21.75" hidden="false" customHeight="true" outlineLevel="0" collapsed="false">
      <c r="A5" s="45" t="s">
        <v>939</v>
      </c>
      <c r="B5" s="46" t="n">
        <v>37</v>
      </c>
      <c r="C5" s="45" t="s">
        <v>940</v>
      </c>
      <c r="D5" s="46" t="n">
        <f aca="false">COUNTA(Courses!A2:A1000)</f>
        <v>20</v>
      </c>
    </row>
    <row r="6" customFormat="false" ht="21.75" hidden="false" customHeight="true" outlineLevel="0" collapsed="false">
      <c r="A6" s="45" t="s">
        <v>38</v>
      </c>
      <c r="B6" s="46" t="n">
        <v>25</v>
      </c>
      <c r="C6" s="45" t="s">
        <v>941</v>
      </c>
      <c r="D6" s="46" t="n">
        <f aca="false">COUNTIF(Courses!J2:J1000,"Active")</f>
        <v>19</v>
      </c>
    </row>
    <row r="7" customFormat="false" ht="21.75" hidden="false" customHeight="true" outlineLevel="0" collapsed="false">
      <c r="A7" s="45" t="s">
        <v>942</v>
      </c>
      <c r="B7" s="46" t="n">
        <v>3</v>
      </c>
      <c r="C7" s="45" t="s">
        <v>943</v>
      </c>
      <c r="D7" s="46" t="n">
        <f aca="false">COUNTA(Enrolments!A2:A1000)</f>
        <v>81</v>
      </c>
    </row>
    <row r="8" customFormat="false" ht="21.75" hidden="false" customHeight="true" outlineLevel="0" collapsed="false">
      <c r="A8" s="45" t="s">
        <v>85</v>
      </c>
      <c r="B8" s="46" t="n">
        <v>5</v>
      </c>
      <c r="C8" s="45" t="s">
        <v>944</v>
      </c>
      <c r="D8" s="46" t="n">
        <f aca="false">COUNTIF(Enrolments!G2:G1000,"Enrolled")</f>
        <v>71</v>
      </c>
    </row>
    <row r="9" customFormat="false" ht="21.75" hidden="false" customHeight="true" outlineLevel="0" collapsed="false">
      <c r="A9" s="45" t="s">
        <v>177</v>
      </c>
      <c r="B9" s="46" t="n">
        <v>1</v>
      </c>
      <c r="C9" s="45" t="s">
        <v>89</v>
      </c>
      <c r="D9" s="46" t="n">
        <f aca="false">COUNTIF(Enrolments!G2:G1000,"Completed")</f>
        <v>9</v>
      </c>
    </row>
    <row r="10" customFormat="false" ht="21.75" hidden="false" customHeight="true" outlineLevel="0" collapsed="false">
      <c r="A10" s="45" t="s">
        <v>140</v>
      </c>
      <c r="B10" s="46" t="n">
        <v>3</v>
      </c>
      <c r="C10" s="45" t="s">
        <v>502</v>
      </c>
      <c r="D10" s="46" t="n">
        <f aca="false">COUNTIF(Enrolments!G2:G1000,"Dropped")</f>
        <v>1</v>
      </c>
    </row>
    <row r="11" customFormat="false" ht="21.75" hidden="false" customHeight="true" outlineLevel="0" collapsed="false">
      <c r="A11" s="45" t="s">
        <v>945</v>
      </c>
      <c r="B11" s="46" t="n">
        <v>3.32</v>
      </c>
      <c r="C11" s="45" t="s">
        <v>946</v>
      </c>
      <c r="D11" s="46" t="str">
        <f aca="false">ROUND(AVERAGE(Enrolments!I2:I1000),1)&amp;"%"</f>
        <v>77.6%</v>
      </c>
    </row>
    <row r="12" customFormat="false" ht="21.75" hidden="false" customHeight="true" outlineLevel="0" collapsed="false">
      <c r="A12" s="45" t="s">
        <v>947</v>
      </c>
      <c r="B12" s="46" t="n">
        <f aca="false">SUM(Students!L2:L1000)</f>
        <v>2382</v>
      </c>
      <c r="C12" s="45" t="s">
        <v>948</v>
      </c>
      <c r="D12" s="46" t="n">
        <f aca="false">COUNTIF(Grades!J2:J1000,"A")</f>
        <v>6</v>
      </c>
    </row>
    <row r="14" customFormat="false" ht="19.5" hidden="false" customHeight="true" outlineLevel="0" collapsed="false">
      <c r="A14" s="47" t="s">
        <v>949</v>
      </c>
      <c r="B14" s="47"/>
      <c r="C14" s="44" t="s">
        <v>950</v>
      </c>
      <c r="D14" s="44"/>
    </row>
    <row r="15" customFormat="false" ht="21.75" hidden="false" customHeight="true" outlineLevel="0" collapsed="false">
      <c r="A15" s="48" t="s">
        <v>951</v>
      </c>
      <c r="B15" s="49" t="n">
        <v>12</v>
      </c>
      <c r="C15" s="50" t="s">
        <v>952</v>
      </c>
      <c r="D15" s="51" t="s">
        <v>238</v>
      </c>
    </row>
    <row r="16" customFormat="false" ht="21.75" hidden="false" customHeight="true" outlineLevel="0" collapsed="false">
      <c r="A16" s="48" t="s">
        <v>953</v>
      </c>
      <c r="B16" s="49" t="n">
        <v>6</v>
      </c>
      <c r="C16" s="45" t="s">
        <v>954</v>
      </c>
      <c r="D16" s="46" t="str">
        <f aca="false">IFERROR(VLOOKUP(D15,Students!A:B,2,0),"-")</f>
        <v>Stephen Gaita Gaikia</v>
      </c>
    </row>
    <row r="17" customFormat="false" ht="21.75" hidden="false" customHeight="true" outlineLevel="0" collapsed="false">
      <c r="A17" s="48" t="s">
        <v>295</v>
      </c>
      <c r="B17" s="49" t="n">
        <v>6</v>
      </c>
      <c r="C17" s="45" t="s">
        <v>955</v>
      </c>
      <c r="D17" s="46" t="str">
        <f aca="false">IFERROR(VLOOKUP(D15,Students!A:H,8,0),"-")</f>
        <v>Computer Science</v>
      </c>
    </row>
    <row r="18" customFormat="false" ht="21.75" hidden="false" customHeight="true" outlineLevel="0" collapsed="false">
      <c r="A18" s="45" t="s">
        <v>578</v>
      </c>
      <c r="B18" s="46" t="n">
        <f aca="false">COUNTIF(Attendance!K2:K1000,"At Risk")</f>
        <v>2</v>
      </c>
      <c r="C18" s="45" t="s">
        <v>839</v>
      </c>
      <c r="D18" s="46" t="n">
        <f aca="false">IFERROR(VLOOKUP(D15,Students!A:K,11,0),"-")</f>
        <v>3.65</v>
      </c>
    </row>
    <row r="19" customFormat="false" ht="21.75" hidden="false" customHeight="true" outlineLevel="0" collapsed="false">
      <c r="A19" s="45" t="s">
        <v>956</v>
      </c>
      <c r="B19" s="46" t="str">
        <f aca="false">ROUND(AVERAGE(Attendance!J2:J1000),0)&amp;"%"</f>
        <v>83%</v>
      </c>
      <c r="C19" s="45" t="s">
        <v>653</v>
      </c>
      <c r="D19" s="46" t="str">
        <f aca="false">IFERROR(VLOOKUP(D15,Students!A:M,13,0),"-")</f>
        <v>Active</v>
      </c>
    </row>
  </sheetData>
  <mergeCells count="6">
    <mergeCell ref="A1:D1"/>
    <mergeCell ref="A2:D2"/>
    <mergeCell ref="A4:B4"/>
    <mergeCell ref="C4:D4"/>
    <mergeCell ref="A14:B14"/>
    <mergeCell ref="C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2"/>
    <col collapsed="false" customWidth="true" hidden="false" outlineLevel="0" max="3" min="3" style="1" width="14"/>
    <col collapsed="false" customWidth="true" hidden="false" outlineLevel="0" max="4" min="4" style="1" width="20"/>
    <col collapsed="false" customWidth="true" hidden="false" outlineLevel="0" max="5" min="5" style="1" width="22"/>
    <col collapsed="false" customWidth="true" hidden="false" outlineLevel="0" max="7" min="6" style="1" width="14"/>
    <col collapsed="false" customWidth="true" hidden="false" outlineLevel="0" max="9" min="8" style="1" width="12"/>
    <col collapsed="false" customWidth="true" hidden="false" outlineLevel="0" max="11" min="10" style="1" width="14"/>
    <col collapsed="false" customWidth="true" hidden="false" outlineLevel="0" max="12" min="12" style="1" width="7"/>
    <col collapsed="false" customWidth="true" hidden="false" outlineLevel="0" max="13" min="13" style="1" width="16"/>
    <col collapsed="false" customWidth="true" hidden="false" outlineLevel="0" max="14" min="14" style="1" width="14"/>
    <col collapsed="false" customWidth="true" hidden="false" outlineLevel="0" max="16" min="15" style="1" width="12"/>
    <col collapsed="false" customWidth="true" hidden="false" outlineLevel="0" max="17" min="17" style="1" width="14"/>
    <col collapsed="false" customWidth="true" hidden="false" outlineLevel="0" max="18" min="18" style="1" width="18"/>
    <col collapsed="false" customWidth="true" hidden="false" outlineLevel="0" max="19" min="19" style="1" width="24"/>
    <col collapsed="false" customWidth="true" hidden="false" outlineLevel="0" max="20" min="20" style="1" width="16"/>
    <col collapsed="false" customWidth="true" hidden="false" outlineLevel="0" max="21" min="21" style="1" width="14"/>
    <col collapsed="false" customWidth="true" hidden="false" outlineLevel="0" max="22" min="22" style="1" width="18"/>
    <col collapsed="false" customWidth="true" hidden="false" outlineLevel="0" max="24" min="23" style="1" width="14"/>
    <col collapsed="false" customWidth="true" hidden="false" outlineLevel="0" max="25" min="25" style="1" width="32"/>
  </cols>
  <sheetData>
    <row r="1" customFormat="false" ht="21.75" hidden="false" customHeight="true" outlineLevel="0" collapsed="false">
      <c r="A1" s="52" t="s">
        <v>957</v>
      </c>
      <c r="B1" s="52"/>
      <c r="C1" s="52"/>
      <c r="D1" s="52"/>
      <c r="E1" s="52"/>
      <c r="F1" s="52"/>
      <c r="G1" s="53" t="s">
        <v>958</v>
      </c>
      <c r="H1" s="53"/>
      <c r="I1" s="53"/>
      <c r="J1" s="53"/>
      <c r="K1" s="53"/>
      <c r="L1" s="54" t="s">
        <v>959</v>
      </c>
      <c r="M1" s="54"/>
      <c r="N1" s="54"/>
      <c r="O1" s="55" t="s">
        <v>960</v>
      </c>
      <c r="P1" s="55"/>
      <c r="Q1" s="55"/>
      <c r="R1" s="56" t="s">
        <v>961</v>
      </c>
      <c r="S1" s="56"/>
      <c r="T1" s="56"/>
      <c r="U1" s="56"/>
      <c r="V1" s="57" t="s">
        <v>962</v>
      </c>
      <c r="W1" s="57"/>
      <c r="X1" s="57"/>
      <c r="Y1" s="57"/>
    </row>
    <row r="2" customFormat="false" ht="30" hidden="false" customHeight="true" outlineLevel="0" collapsed="false">
      <c r="A2" s="58" t="s">
        <v>596</v>
      </c>
      <c r="B2" s="58" t="s">
        <v>963</v>
      </c>
      <c r="C2" s="58" t="s">
        <v>16</v>
      </c>
      <c r="D2" s="58" t="s">
        <v>17</v>
      </c>
      <c r="E2" s="58" t="s">
        <v>599</v>
      </c>
      <c r="F2" s="58" t="s">
        <v>964</v>
      </c>
      <c r="G2" s="59" t="s">
        <v>965</v>
      </c>
      <c r="H2" s="59" t="s">
        <v>966</v>
      </c>
      <c r="I2" s="59" t="s">
        <v>967</v>
      </c>
      <c r="J2" s="59" t="s">
        <v>968</v>
      </c>
      <c r="K2" s="59" t="s">
        <v>969</v>
      </c>
      <c r="L2" s="59" t="s">
        <v>839</v>
      </c>
      <c r="M2" s="59" t="s">
        <v>22</v>
      </c>
      <c r="N2" s="59" t="s">
        <v>970</v>
      </c>
      <c r="O2" s="59" t="s">
        <v>971</v>
      </c>
      <c r="P2" s="59" t="s">
        <v>972</v>
      </c>
      <c r="Q2" s="59" t="s">
        <v>21</v>
      </c>
      <c r="R2" s="59" t="s">
        <v>973</v>
      </c>
      <c r="S2" s="59" t="s">
        <v>974</v>
      </c>
      <c r="T2" s="59" t="s">
        <v>975</v>
      </c>
      <c r="U2" s="59" t="s">
        <v>976</v>
      </c>
      <c r="V2" s="59" t="s">
        <v>26</v>
      </c>
      <c r="W2" s="59" t="s">
        <v>977</v>
      </c>
      <c r="X2" s="59" t="s">
        <v>978</v>
      </c>
      <c r="Y2" s="59" t="s">
        <v>18</v>
      </c>
    </row>
    <row r="3" customFormat="false" ht="15" hidden="false" customHeight="true" outlineLevel="0" collapsed="false">
      <c r="A3" s="4" t="s">
        <v>28</v>
      </c>
      <c r="B3" s="5" t="s">
        <v>29</v>
      </c>
      <c r="C3" s="4" t="s">
        <v>42</v>
      </c>
      <c r="D3" s="5" t="s">
        <v>34</v>
      </c>
      <c r="E3" s="5" t="s">
        <v>36</v>
      </c>
      <c r="F3" s="4" t="s">
        <v>40</v>
      </c>
      <c r="G3" s="4" t="s">
        <v>44</v>
      </c>
      <c r="H3" s="6" t="s">
        <v>979</v>
      </c>
      <c r="I3" s="6" t="s">
        <v>979</v>
      </c>
      <c r="J3" s="6" t="s">
        <v>979</v>
      </c>
      <c r="K3" s="60" t="s">
        <v>77</v>
      </c>
      <c r="L3" s="60" t="n">
        <v>3.78</v>
      </c>
      <c r="M3" s="6" t="s">
        <v>46</v>
      </c>
      <c r="N3" s="60" t="s">
        <v>47</v>
      </c>
      <c r="O3" s="6" t="s">
        <v>45</v>
      </c>
      <c r="P3" s="6" t="s">
        <v>45</v>
      </c>
      <c r="Q3" s="60" t="n">
        <v>0</v>
      </c>
      <c r="R3" s="61" t="s">
        <v>48</v>
      </c>
      <c r="S3" s="60" t="s">
        <v>980</v>
      </c>
      <c r="T3" s="61" t="s">
        <v>48</v>
      </c>
      <c r="U3" s="62" t="s">
        <v>48</v>
      </c>
      <c r="V3" s="4" t="s">
        <v>49</v>
      </c>
      <c r="W3" s="4"/>
      <c r="X3" s="5"/>
      <c r="Y3" s="4" t="s">
        <v>43</v>
      </c>
    </row>
    <row r="4" customFormat="false" ht="15" hidden="false" customHeight="true" outlineLevel="0" collapsed="false">
      <c r="A4" s="4" t="s">
        <v>50</v>
      </c>
      <c r="B4" s="5" t="s">
        <v>51</v>
      </c>
      <c r="C4" s="4" t="s">
        <v>42</v>
      </c>
      <c r="D4" s="5" t="s">
        <v>56</v>
      </c>
      <c r="E4" s="5" t="s">
        <v>58</v>
      </c>
      <c r="F4" s="4" t="s">
        <v>60</v>
      </c>
      <c r="G4" s="4" t="s">
        <v>63</v>
      </c>
      <c r="H4" s="6" t="s">
        <v>979</v>
      </c>
      <c r="I4" s="6" t="s">
        <v>979</v>
      </c>
      <c r="J4" s="60" t="s">
        <v>77</v>
      </c>
      <c r="K4" s="60" t="s">
        <v>866</v>
      </c>
      <c r="L4" s="60" t="n">
        <v>3.12</v>
      </c>
      <c r="M4" s="6" t="s">
        <v>46</v>
      </c>
      <c r="N4" s="60" t="s">
        <v>47</v>
      </c>
      <c r="O4" s="6" t="s">
        <v>45</v>
      </c>
      <c r="P4" s="6" t="s">
        <v>45</v>
      </c>
      <c r="Q4" s="60" t="n">
        <v>0</v>
      </c>
      <c r="R4" s="61" t="s">
        <v>48</v>
      </c>
      <c r="S4" s="60" t="s">
        <v>981</v>
      </c>
      <c r="T4" s="61" t="s">
        <v>48</v>
      </c>
      <c r="U4" s="62" t="s">
        <v>48</v>
      </c>
      <c r="V4" s="4" t="s">
        <v>49</v>
      </c>
      <c r="W4" s="4"/>
      <c r="X4" s="5"/>
      <c r="Y4" s="4" t="s">
        <v>62</v>
      </c>
    </row>
    <row r="5" customFormat="false" ht="15" hidden="false" customHeight="true" outlineLevel="0" collapsed="false">
      <c r="A5" s="4" t="s">
        <v>64</v>
      </c>
      <c r="B5" s="5" t="s">
        <v>65</v>
      </c>
      <c r="C5" s="4" t="s">
        <v>42</v>
      </c>
      <c r="D5" s="5" t="s">
        <v>34</v>
      </c>
      <c r="E5" s="5" t="s">
        <v>70</v>
      </c>
      <c r="F5" s="4" t="s">
        <v>73</v>
      </c>
      <c r="G5" s="4" t="s">
        <v>76</v>
      </c>
      <c r="H5" s="6" t="s">
        <v>979</v>
      </c>
      <c r="I5" s="6" t="s">
        <v>979</v>
      </c>
      <c r="J5" s="6" t="s">
        <v>979</v>
      </c>
      <c r="K5" s="6" t="s">
        <v>979</v>
      </c>
      <c r="L5" s="60" t="n">
        <v>3.55</v>
      </c>
      <c r="M5" s="6" t="s">
        <v>46</v>
      </c>
      <c r="N5" s="60" t="s">
        <v>47</v>
      </c>
      <c r="O5" s="6" t="s">
        <v>45</v>
      </c>
      <c r="P5" s="6" t="s">
        <v>45</v>
      </c>
      <c r="Q5" s="60" t="n">
        <v>0</v>
      </c>
      <c r="R5" s="61" t="s">
        <v>48</v>
      </c>
      <c r="S5" s="60" t="s">
        <v>982</v>
      </c>
      <c r="T5" s="61" t="s">
        <v>48</v>
      </c>
      <c r="U5" s="62" t="s">
        <v>48</v>
      </c>
      <c r="V5" s="4" t="s">
        <v>77</v>
      </c>
      <c r="W5" s="4"/>
      <c r="X5" s="5"/>
      <c r="Y5" s="4" t="s">
        <v>75</v>
      </c>
    </row>
    <row r="6" customFormat="false" ht="15" hidden="false" customHeight="true" outlineLevel="0" collapsed="false">
      <c r="A6" s="6" t="s">
        <v>78</v>
      </c>
      <c r="B6" s="7" t="s">
        <v>79</v>
      </c>
      <c r="C6" s="6" t="s">
        <v>42</v>
      </c>
      <c r="D6" s="7" t="s">
        <v>34</v>
      </c>
      <c r="E6" s="7" t="s">
        <v>84</v>
      </c>
      <c r="F6" s="6" t="s">
        <v>87</v>
      </c>
      <c r="G6" s="6" t="s">
        <v>89</v>
      </c>
      <c r="H6" s="6" t="s">
        <v>979</v>
      </c>
      <c r="I6" s="6" t="s">
        <v>979</v>
      </c>
      <c r="J6" s="6" t="s">
        <v>979</v>
      </c>
      <c r="K6" s="6" t="s">
        <v>979</v>
      </c>
      <c r="L6" s="60" t="n">
        <v>3.9</v>
      </c>
      <c r="M6" s="6" t="s">
        <v>90</v>
      </c>
      <c r="N6" s="60" t="s">
        <v>47</v>
      </c>
      <c r="O6" s="6" t="s">
        <v>45</v>
      </c>
      <c r="P6" s="6" t="s">
        <v>90</v>
      </c>
      <c r="Q6" s="60" t="n">
        <v>0</v>
      </c>
      <c r="R6" s="61" t="s">
        <v>48</v>
      </c>
      <c r="S6" s="60" t="s">
        <v>982</v>
      </c>
      <c r="T6" s="61" t="s">
        <v>48</v>
      </c>
      <c r="U6" s="62" t="s">
        <v>48</v>
      </c>
      <c r="V6" s="6" t="s">
        <v>91</v>
      </c>
      <c r="W6" s="6" t="s">
        <v>47</v>
      </c>
      <c r="X6" s="7" t="s">
        <v>92</v>
      </c>
      <c r="Y6" s="6" t="s">
        <v>88</v>
      </c>
    </row>
    <row r="7" customFormat="false" ht="15" hidden="false" customHeight="true" outlineLevel="0" collapsed="false">
      <c r="A7" s="8" t="s">
        <v>93</v>
      </c>
      <c r="B7" s="9" t="s">
        <v>94</v>
      </c>
      <c r="C7" s="8" t="s">
        <v>42</v>
      </c>
      <c r="D7" s="9" t="s">
        <v>34</v>
      </c>
      <c r="E7" s="9" t="s">
        <v>99</v>
      </c>
      <c r="F7" s="8" t="s">
        <v>102</v>
      </c>
      <c r="G7" s="8" t="s">
        <v>105</v>
      </c>
      <c r="H7" s="60" t="s">
        <v>77</v>
      </c>
      <c r="I7" s="60" t="s">
        <v>77</v>
      </c>
      <c r="J7" s="60" t="s">
        <v>866</v>
      </c>
      <c r="K7" s="60" t="s">
        <v>866</v>
      </c>
      <c r="L7" s="60" t="n">
        <v>2.45</v>
      </c>
      <c r="M7" s="12" t="s">
        <v>101</v>
      </c>
      <c r="N7" s="60" t="s">
        <v>107</v>
      </c>
      <c r="O7" s="60" t="s">
        <v>106</v>
      </c>
      <c r="P7" s="60" t="s">
        <v>106</v>
      </c>
      <c r="Q7" s="60" t="n">
        <v>35000</v>
      </c>
      <c r="R7" s="61" t="s">
        <v>48</v>
      </c>
      <c r="S7" s="60" t="s">
        <v>983</v>
      </c>
      <c r="T7" s="61" t="s">
        <v>48</v>
      </c>
      <c r="U7" s="62" t="s">
        <v>48</v>
      </c>
      <c r="V7" s="8" t="s">
        <v>108</v>
      </c>
      <c r="W7" s="8"/>
      <c r="X7" s="9"/>
      <c r="Y7" s="8" t="s">
        <v>104</v>
      </c>
    </row>
    <row r="8" customFormat="false" ht="15" hidden="false" customHeight="true" outlineLevel="0" collapsed="false">
      <c r="A8" s="4" t="s">
        <v>109</v>
      </c>
      <c r="B8" s="5" t="s">
        <v>110</v>
      </c>
      <c r="C8" s="4" t="s">
        <v>42</v>
      </c>
      <c r="D8" s="5" t="s">
        <v>114</v>
      </c>
      <c r="E8" s="5" t="s">
        <v>116</v>
      </c>
      <c r="F8" s="4" t="s">
        <v>40</v>
      </c>
      <c r="G8" s="4" t="s">
        <v>44</v>
      </c>
      <c r="H8" s="6" t="s">
        <v>979</v>
      </c>
      <c r="I8" s="6" t="s">
        <v>979</v>
      </c>
      <c r="J8" s="6" t="s">
        <v>979</v>
      </c>
      <c r="K8" s="60" t="s">
        <v>77</v>
      </c>
      <c r="L8" s="60" t="n">
        <v>3.22</v>
      </c>
      <c r="M8" s="6" t="s">
        <v>46</v>
      </c>
      <c r="N8" s="60" t="s">
        <v>47</v>
      </c>
      <c r="O8" s="6" t="s">
        <v>45</v>
      </c>
      <c r="P8" s="6" t="s">
        <v>45</v>
      </c>
      <c r="Q8" s="60" t="n">
        <v>0</v>
      </c>
      <c r="R8" s="61" t="s">
        <v>48</v>
      </c>
      <c r="S8" s="60" t="s">
        <v>980</v>
      </c>
      <c r="T8" s="61" t="s">
        <v>48</v>
      </c>
      <c r="U8" s="62" t="s">
        <v>48</v>
      </c>
      <c r="V8" s="4" t="s">
        <v>49</v>
      </c>
      <c r="W8" s="4"/>
      <c r="X8" s="5"/>
      <c r="Y8" s="4" t="s">
        <v>43</v>
      </c>
    </row>
    <row r="9" customFormat="false" ht="15" hidden="false" customHeight="true" outlineLevel="0" collapsed="false">
      <c r="A9" s="4" t="s">
        <v>117</v>
      </c>
      <c r="B9" s="5" t="s">
        <v>118</v>
      </c>
      <c r="C9" s="4" t="s">
        <v>42</v>
      </c>
      <c r="D9" s="5" t="s">
        <v>34</v>
      </c>
      <c r="E9" s="5" t="s">
        <v>99</v>
      </c>
      <c r="F9" s="4" t="s">
        <v>123</v>
      </c>
      <c r="G9" s="4" t="s">
        <v>63</v>
      </c>
      <c r="H9" s="6" t="s">
        <v>979</v>
      </c>
      <c r="I9" s="6" t="s">
        <v>979</v>
      </c>
      <c r="J9" s="60" t="s">
        <v>77</v>
      </c>
      <c r="K9" s="60" t="s">
        <v>866</v>
      </c>
      <c r="L9" s="60" t="n">
        <v>3.68</v>
      </c>
      <c r="M9" s="6" t="s">
        <v>46</v>
      </c>
      <c r="N9" s="60" t="s">
        <v>47</v>
      </c>
      <c r="O9" s="6" t="s">
        <v>45</v>
      </c>
      <c r="P9" s="6" t="s">
        <v>45</v>
      </c>
      <c r="Q9" s="60" t="n">
        <v>0</v>
      </c>
      <c r="R9" s="61" t="s">
        <v>48</v>
      </c>
      <c r="S9" s="60" t="s">
        <v>981</v>
      </c>
      <c r="T9" s="61" t="s">
        <v>48</v>
      </c>
      <c r="U9" s="62" t="s">
        <v>48</v>
      </c>
      <c r="V9" s="4" t="s">
        <v>49</v>
      </c>
      <c r="W9" s="4"/>
      <c r="X9" s="5"/>
      <c r="Y9" s="4" t="s">
        <v>62</v>
      </c>
    </row>
    <row r="10" customFormat="false" ht="15" hidden="false" customHeight="true" outlineLevel="0" collapsed="false">
      <c r="A10" s="4" t="s">
        <v>124</v>
      </c>
      <c r="B10" s="5" t="s">
        <v>125</v>
      </c>
      <c r="C10" s="4" t="s">
        <v>42</v>
      </c>
      <c r="D10" s="5" t="s">
        <v>129</v>
      </c>
      <c r="E10" s="5" t="s">
        <v>131</v>
      </c>
      <c r="F10" s="4" t="s">
        <v>73</v>
      </c>
      <c r="G10" s="4" t="s">
        <v>76</v>
      </c>
      <c r="H10" s="6" t="s">
        <v>979</v>
      </c>
      <c r="I10" s="6" t="s">
        <v>979</v>
      </c>
      <c r="J10" s="6" t="s">
        <v>979</v>
      </c>
      <c r="K10" s="6" t="s">
        <v>979</v>
      </c>
      <c r="L10" s="60" t="n">
        <v>3.1</v>
      </c>
      <c r="M10" s="6" t="s">
        <v>46</v>
      </c>
      <c r="N10" s="60" t="s">
        <v>47</v>
      </c>
      <c r="O10" s="6" t="s">
        <v>45</v>
      </c>
      <c r="P10" s="6" t="s">
        <v>45</v>
      </c>
      <c r="Q10" s="60" t="n">
        <v>0</v>
      </c>
      <c r="R10" s="61" t="s">
        <v>48</v>
      </c>
      <c r="S10" s="60" t="s">
        <v>982</v>
      </c>
      <c r="T10" s="61" t="s">
        <v>48</v>
      </c>
      <c r="U10" s="62" t="s">
        <v>48</v>
      </c>
      <c r="V10" s="4" t="s">
        <v>77</v>
      </c>
      <c r="W10" s="4"/>
      <c r="X10" s="5"/>
      <c r="Y10" s="4" t="s">
        <v>75</v>
      </c>
    </row>
    <row r="11" customFormat="false" ht="15" hidden="false" customHeight="true" outlineLevel="0" collapsed="false">
      <c r="A11" s="10" t="s">
        <v>133</v>
      </c>
      <c r="B11" s="11" t="s">
        <v>134</v>
      </c>
      <c r="C11" s="10" t="s">
        <v>42</v>
      </c>
      <c r="D11" s="11" t="s">
        <v>138</v>
      </c>
      <c r="E11" s="11" t="s">
        <v>58</v>
      </c>
      <c r="F11" s="10" t="s">
        <v>40</v>
      </c>
      <c r="G11" s="10" t="s">
        <v>44</v>
      </c>
      <c r="H11" s="6" t="s">
        <v>979</v>
      </c>
      <c r="I11" s="6" t="s">
        <v>979</v>
      </c>
      <c r="J11" s="6" t="s">
        <v>979</v>
      </c>
      <c r="K11" s="60" t="s">
        <v>77</v>
      </c>
      <c r="L11" s="60" t="n">
        <v>2.8</v>
      </c>
      <c r="M11" s="6" t="s">
        <v>46</v>
      </c>
      <c r="N11" s="60" t="s">
        <v>47</v>
      </c>
      <c r="O11" s="61" t="s">
        <v>142</v>
      </c>
      <c r="P11" s="61" t="s">
        <v>142</v>
      </c>
      <c r="Q11" s="60" t="n">
        <v>0</v>
      </c>
      <c r="R11" s="61" t="s">
        <v>48</v>
      </c>
      <c r="S11" s="60" t="s">
        <v>980</v>
      </c>
      <c r="T11" s="61" t="s">
        <v>48</v>
      </c>
      <c r="U11" s="62" t="s">
        <v>48</v>
      </c>
      <c r="V11" s="10" t="s">
        <v>49</v>
      </c>
      <c r="W11" s="10"/>
      <c r="X11" s="11"/>
      <c r="Y11" s="10" t="s">
        <v>141</v>
      </c>
    </row>
    <row r="12" customFormat="false" ht="15" hidden="false" customHeight="true" outlineLevel="0" collapsed="false">
      <c r="A12" s="4" t="s">
        <v>143</v>
      </c>
      <c r="B12" s="5" t="s">
        <v>144</v>
      </c>
      <c r="C12" s="4" t="s">
        <v>42</v>
      </c>
      <c r="D12" s="5" t="s">
        <v>34</v>
      </c>
      <c r="E12" s="5" t="s">
        <v>36</v>
      </c>
      <c r="F12" s="4" t="s">
        <v>102</v>
      </c>
      <c r="G12" s="4" t="s">
        <v>105</v>
      </c>
      <c r="H12" s="60" t="s">
        <v>77</v>
      </c>
      <c r="I12" s="60" t="s">
        <v>77</v>
      </c>
      <c r="J12" s="60" t="s">
        <v>866</v>
      </c>
      <c r="K12" s="60" t="s">
        <v>866</v>
      </c>
      <c r="L12" s="60" t="n">
        <v>3.4</v>
      </c>
      <c r="M12" s="6" t="s">
        <v>46</v>
      </c>
      <c r="N12" s="60" t="s">
        <v>47</v>
      </c>
      <c r="O12" s="6" t="s">
        <v>45</v>
      </c>
      <c r="P12" s="6" t="s">
        <v>45</v>
      </c>
      <c r="Q12" s="60" t="n">
        <v>0</v>
      </c>
      <c r="R12" s="61" t="s">
        <v>48</v>
      </c>
      <c r="S12" s="60" t="s">
        <v>983</v>
      </c>
      <c r="T12" s="61" t="s">
        <v>48</v>
      </c>
      <c r="U12" s="62" t="s">
        <v>48</v>
      </c>
      <c r="V12" s="4" t="s">
        <v>49</v>
      </c>
      <c r="W12" s="4"/>
      <c r="X12" s="5"/>
      <c r="Y12" s="4" t="s">
        <v>149</v>
      </c>
    </row>
    <row r="13" customFormat="false" ht="15" hidden="false" customHeight="true" outlineLevel="0" collapsed="false">
      <c r="A13" s="4" t="s">
        <v>150</v>
      </c>
      <c r="B13" s="5" t="s">
        <v>151</v>
      </c>
      <c r="C13" s="4" t="s">
        <v>42</v>
      </c>
      <c r="D13" s="5" t="s">
        <v>34</v>
      </c>
      <c r="E13" s="5" t="s">
        <v>99</v>
      </c>
      <c r="F13" s="4" t="s">
        <v>123</v>
      </c>
      <c r="G13" s="4" t="s">
        <v>63</v>
      </c>
      <c r="H13" s="6" t="s">
        <v>979</v>
      </c>
      <c r="I13" s="6" t="s">
        <v>979</v>
      </c>
      <c r="J13" s="60" t="s">
        <v>77</v>
      </c>
      <c r="K13" s="60" t="s">
        <v>866</v>
      </c>
      <c r="L13" s="60" t="n">
        <v>3.05</v>
      </c>
      <c r="M13" s="6" t="s">
        <v>46</v>
      </c>
      <c r="N13" s="60" t="s">
        <v>47</v>
      </c>
      <c r="O13" s="6" t="s">
        <v>45</v>
      </c>
      <c r="P13" s="6" t="s">
        <v>45</v>
      </c>
      <c r="Q13" s="60" t="n">
        <v>0</v>
      </c>
      <c r="R13" s="61" t="s">
        <v>48</v>
      </c>
      <c r="S13" s="60" t="s">
        <v>981</v>
      </c>
      <c r="T13" s="61" t="s">
        <v>48</v>
      </c>
      <c r="U13" s="62" t="s">
        <v>48</v>
      </c>
      <c r="V13" s="4" t="s">
        <v>49</v>
      </c>
      <c r="W13" s="4"/>
      <c r="X13" s="5"/>
      <c r="Y13" s="4" t="s">
        <v>62</v>
      </c>
    </row>
    <row r="14" customFormat="false" ht="15" hidden="false" customHeight="true" outlineLevel="0" collapsed="false">
      <c r="A14" s="6" t="s">
        <v>156</v>
      </c>
      <c r="B14" s="7" t="s">
        <v>157</v>
      </c>
      <c r="C14" s="6" t="s">
        <v>42</v>
      </c>
      <c r="D14" s="7" t="s">
        <v>34</v>
      </c>
      <c r="E14" s="7" t="s">
        <v>70</v>
      </c>
      <c r="F14" s="6" t="s">
        <v>87</v>
      </c>
      <c r="G14" s="6" t="s">
        <v>89</v>
      </c>
      <c r="H14" s="6" t="s">
        <v>979</v>
      </c>
      <c r="I14" s="6" t="s">
        <v>979</v>
      </c>
      <c r="J14" s="6" t="s">
        <v>979</v>
      </c>
      <c r="K14" s="6" t="s">
        <v>979</v>
      </c>
      <c r="L14" s="60" t="n">
        <v>2.6</v>
      </c>
      <c r="M14" s="6" t="s">
        <v>90</v>
      </c>
      <c r="N14" s="60" t="s">
        <v>47</v>
      </c>
      <c r="O14" s="6" t="s">
        <v>45</v>
      </c>
      <c r="P14" s="6" t="s">
        <v>90</v>
      </c>
      <c r="Q14" s="60" t="n">
        <v>0</v>
      </c>
      <c r="R14" s="61" t="s">
        <v>48</v>
      </c>
      <c r="S14" s="60" t="s">
        <v>982</v>
      </c>
      <c r="T14" s="61" t="s">
        <v>48</v>
      </c>
      <c r="U14" s="62" t="s">
        <v>48</v>
      </c>
      <c r="V14" s="6" t="s">
        <v>91</v>
      </c>
      <c r="W14" s="6" t="s">
        <v>47</v>
      </c>
      <c r="X14" s="7" t="s">
        <v>92</v>
      </c>
      <c r="Y14" s="6" t="s">
        <v>88</v>
      </c>
    </row>
    <row r="15" customFormat="false" ht="15" hidden="false" customHeight="true" outlineLevel="0" collapsed="false">
      <c r="A15" s="4" t="s">
        <v>163</v>
      </c>
      <c r="B15" s="5" t="s">
        <v>164</v>
      </c>
      <c r="C15" s="4" t="s">
        <v>42</v>
      </c>
      <c r="D15" s="5" t="s">
        <v>56</v>
      </c>
      <c r="E15" s="5" t="s">
        <v>169</v>
      </c>
      <c r="F15" s="4" t="s">
        <v>40</v>
      </c>
      <c r="G15" s="4" t="s">
        <v>44</v>
      </c>
      <c r="H15" s="6" t="s">
        <v>979</v>
      </c>
      <c r="I15" s="6" t="s">
        <v>979</v>
      </c>
      <c r="J15" s="6" t="s">
        <v>979</v>
      </c>
      <c r="K15" s="60" t="s">
        <v>77</v>
      </c>
      <c r="L15" s="60" t="n">
        <v>3.5</v>
      </c>
      <c r="M15" s="6" t="s">
        <v>46</v>
      </c>
      <c r="N15" s="60" t="s">
        <v>47</v>
      </c>
      <c r="O15" s="6" t="s">
        <v>45</v>
      </c>
      <c r="P15" s="6" t="s">
        <v>45</v>
      </c>
      <c r="Q15" s="60" t="n">
        <v>0</v>
      </c>
      <c r="R15" s="61" t="s">
        <v>48</v>
      </c>
      <c r="S15" s="60" t="s">
        <v>980</v>
      </c>
      <c r="T15" s="61" t="s">
        <v>48</v>
      </c>
      <c r="U15" s="62" t="s">
        <v>48</v>
      </c>
      <c r="V15" s="4" t="s">
        <v>49</v>
      </c>
      <c r="W15" s="4"/>
      <c r="X15" s="5"/>
      <c r="Y15" s="4" t="s">
        <v>43</v>
      </c>
    </row>
    <row r="16" customFormat="false" ht="15" hidden="false" customHeight="true" outlineLevel="0" collapsed="false">
      <c r="A16" s="12" t="s">
        <v>170</v>
      </c>
      <c r="B16" s="13" t="s">
        <v>171</v>
      </c>
      <c r="C16" s="12" t="s">
        <v>42</v>
      </c>
      <c r="D16" s="13" t="s">
        <v>175</v>
      </c>
      <c r="E16" s="13" t="s">
        <v>84</v>
      </c>
      <c r="F16" s="12" t="s">
        <v>73</v>
      </c>
      <c r="G16" s="12" t="s">
        <v>76</v>
      </c>
      <c r="H16" s="6" t="s">
        <v>979</v>
      </c>
      <c r="I16" s="6" t="s">
        <v>979</v>
      </c>
      <c r="J16" s="6" t="s">
        <v>979</v>
      </c>
      <c r="K16" s="6" t="s">
        <v>979</v>
      </c>
      <c r="L16" s="60" t="n">
        <v>1.9</v>
      </c>
      <c r="M16" s="12" t="s">
        <v>177</v>
      </c>
      <c r="N16" s="60" t="s">
        <v>107</v>
      </c>
      <c r="O16" s="12" t="s">
        <v>179</v>
      </c>
      <c r="P16" s="12" t="s">
        <v>179</v>
      </c>
      <c r="Q16" s="60" t="n">
        <v>75000</v>
      </c>
      <c r="R16" s="61" t="s">
        <v>48</v>
      </c>
      <c r="S16" s="60" t="s">
        <v>982</v>
      </c>
      <c r="T16" s="61" t="s">
        <v>48</v>
      </c>
      <c r="U16" s="62" t="s">
        <v>48</v>
      </c>
      <c r="V16" s="12" t="s">
        <v>108</v>
      </c>
      <c r="W16" s="12"/>
      <c r="X16" s="13"/>
      <c r="Y16" s="12" t="s">
        <v>178</v>
      </c>
    </row>
    <row r="17" customFormat="false" ht="15" hidden="false" customHeight="true" outlineLevel="0" collapsed="false">
      <c r="A17" s="4" t="s">
        <v>180</v>
      </c>
      <c r="B17" s="5" t="s">
        <v>181</v>
      </c>
      <c r="C17" s="4" t="s">
        <v>42</v>
      </c>
      <c r="D17" s="5" t="s">
        <v>56</v>
      </c>
      <c r="E17" s="5" t="s">
        <v>186</v>
      </c>
      <c r="F17" s="4" t="s">
        <v>102</v>
      </c>
      <c r="G17" s="4" t="s">
        <v>105</v>
      </c>
      <c r="H17" s="60" t="s">
        <v>77</v>
      </c>
      <c r="I17" s="60" t="s">
        <v>77</v>
      </c>
      <c r="J17" s="60" t="s">
        <v>866</v>
      </c>
      <c r="K17" s="60" t="s">
        <v>866</v>
      </c>
      <c r="L17" s="60" t="n">
        <v>3.82</v>
      </c>
      <c r="M17" s="6" t="s">
        <v>46</v>
      </c>
      <c r="N17" s="60" t="s">
        <v>47</v>
      </c>
      <c r="O17" s="6" t="s">
        <v>45</v>
      </c>
      <c r="P17" s="6" t="s">
        <v>45</v>
      </c>
      <c r="Q17" s="60" t="n">
        <v>0</v>
      </c>
      <c r="R17" s="61" t="s">
        <v>48</v>
      </c>
      <c r="S17" s="60" t="s">
        <v>983</v>
      </c>
      <c r="T17" s="61" t="s">
        <v>48</v>
      </c>
      <c r="U17" s="62" t="s">
        <v>48</v>
      </c>
      <c r="V17" s="4" t="s">
        <v>49</v>
      </c>
      <c r="W17" s="4"/>
      <c r="X17" s="5"/>
      <c r="Y17" s="4" t="s">
        <v>149</v>
      </c>
    </row>
    <row r="18" customFormat="false" ht="15" hidden="false" customHeight="true" outlineLevel="0" collapsed="false">
      <c r="A18" s="4" t="s">
        <v>187</v>
      </c>
      <c r="B18" s="5" t="s">
        <v>188</v>
      </c>
      <c r="C18" s="4" t="s">
        <v>42</v>
      </c>
      <c r="D18" s="5" t="s">
        <v>34</v>
      </c>
      <c r="E18" s="5" t="s">
        <v>99</v>
      </c>
      <c r="F18" s="4" t="s">
        <v>123</v>
      </c>
      <c r="G18" s="4" t="s">
        <v>63</v>
      </c>
      <c r="H18" s="6" t="s">
        <v>979</v>
      </c>
      <c r="I18" s="6" t="s">
        <v>979</v>
      </c>
      <c r="J18" s="60" t="s">
        <v>77</v>
      </c>
      <c r="K18" s="60" t="s">
        <v>866</v>
      </c>
      <c r="L18" s="60" t="n">
        <v>2.95</v>
      </c>
      <c r="M18" s="6" t="s">
        <v>46</v>
      </c>
      <c r="N18" s="60" t="s">
        <v>47</v>
      </c>
      <c r="O18" s="6" t="s">
        <v>45</v>
      </c>
      <c r="P18" s="6" t="s">
        <v>45</v>
      </c>
      <c r="Q18" s="60" t="n">
        <v>0</v>
      </c>
      <c r="R18" s="61" t="s">
        <v>48</v>
      </c>
      <c r="S18" s="60" t="s">
        <v>981</v>
      </c>
      <c r="T18" s="61" t="s">
        <v>48</v>
      </c>
      <c r="U18" s="62" t="s">
        <v>48</v>
      </c>
      <c r="V18" s="4" t="s">
        <v>49</v>
      </c>
      <c r="W18" s="4"/>
      <c r="X18" s="5"/>
      <c r="Y18" s="4" t="s">
        <v>62</v>
      </c>
    </row>
    <row r="19" customFormat="false" ht="15" hidden="false" customHeight="true" outlineLevel="0" collapsed="false">
      <c r="A19" s="4" t="s">
        <v>193</v>
      </c>
      <c r="B19" s="5" t="s">
        <v>194</v>
      </c>
      <c r="C19" s="4" t="s">
        <v>42</v>
      </c>
      <c r="D19" s="5" t="s">
        <v>34</v>
      </c>
      <c r="E19" s="5" t="s">
        <v>36</v>
      </c>
      <c r="F19" s="4" t="s">
        <v>40</v>
      </c>
      <c r="G19" s="4" t="s">
        <v>44</v>
      </c>
      <c r="H19" s="6" t="s">
        <v>979</v>
      </c>
      <c r="I19" s="6" t="s">
        <v>979</v>
      </c>
      <c r="J19" s="6" t="s">
        <v>979</v>
      </c>
      <c r="K19" s="60" t="s">
        <v>77</v>
      </c>
      <c r="L19" s="60" t="n">
        <v>3.95</v>
      </c>
      <c r="M19" s="6" t="s">
        <v>46</v>
      </c>
      <c r="N19" s="60" t="s">
        <v>47</v>
      </c>
      <c r="O19" s="6" t="s">
        <v>45</v>
      </c>
      <c r="P19" s="6" t="s">
        <v>45</v>
      </c>
      <c r="Q19" s="60" t="n">
        <v>0</v>
      </c>
      <c r="R19" s="61" t="s">
        <v>48</v>
      </c>
      <c r="S19" s="60" t="s">
        <v>980</v>
      </c>
      <c r="T19" s="61" t="s">
        <v>48</v>
      </c>
      <c r="U19" s="62" t="s">
        <v>48</v>
      </c>
      <c r="V19" s="4" t="s">
        <v>49</v>
      </c>
      <c r="W19" s="4"/>
      <c r="X19" s="5"/>
      <c r="Y19" s="4" t="s">
        <v>43</v>
      </c>
    </row>
    <row r="20" customFormat="false" ht="15" hidden="false" customHeight="true" outlineLevel="0" collapsed="false">
      <c r="A20" s="4" t="s">
        <v>198</v>
      </c>
      <c r="B20" s="5" t="s">
        <v>199</v>
      </c>
      <c r="C20" s="4" t="s">
        <v>42</v>
      </c>
      <c r="D20" s="5" t="s">
        <v>114</v>
      </c>
      <c r="E20" s="5" t="s">
        <v>116</v>
      </c>
      <c r="F20" s="4" t="s">
        <v>73</v>
      </c>
      <c r="G20" s="4" t="s">
        <v>76</v>
      </c>
      <c r="H20" s="6" t="s">
        <v>979</v>
      </c>
      <c r="I20" s="6" t="s">
        <v>979</v>
      </c>
      <c r="J20" s="6" t="s">
        <v>979</v>
      </c>
      <c r="K20" s="6" t="s">
        <v>979</v>
      </c>
      <c r="L20" s="60" t="n">
        <v>3.3</v>
      </c>
      <c r="M20" s="6" t="s">
        <v>46</v>
      </c>
      <c r="N20" s="60" t="s">
        <v>47</v>
      </c>
      <c r="O20" s="6" t="s">
        <v>45</v>
      </c>
      <c r="P20" s="6" t="s">
        <v>45</v>
      </c>
      <c r="Q20" s="60" t="n">
        <v>0</v>
      </c>
      <c r="R20" s="61" t="s">
        <v>48</v>
      </c>
      <c r="S20" s="60" t="s">
        <v>982</v>
      </c>
      <c r="T20" s="61" t="s">
        <v>48</v>
      </c>
      <c r="U20" s="62" t="s">
        <v>48</v>
      </c>
      <c r="V20" s="4" t="s">
        <v>77</v>
      </c>
      <c r="W20" s="4"/>
      <c r="X20" s="5"/>
      <c r="Y20" s="4" t="s">
        <v>75</v>
      </c>
    </row>
    <row r="21" customFormat="false" ht="15" hidden="false" customHeight="true" outlineLevel="0" collapsed="false">
      <c r="A21" s="4" t="s">
        <v>205</v>
      </c>
      <c r="B21" s="5" t="s">
        <v>206</v>
      </c>
      <c r="C21" s="4" t="s">
        <v>42</v>
      </c>
      <c r="D21" s="5" t="s">
        <v>34</v>
      </c>
      <c r="E21" s="5" t="s">
        <v>84</v>
      </c>
      <c r="F21" s="4" t="s">
        <v>102</v>
      </c>
      <c r="G21" s="4" t="s">
        <v>105</v>
      </c>
      <c r="H21" s="60" t="s">
        <v>77</v>
      </c>
      <c r="I21" s="60" t="s">
        <v>77</v>
      </c>
      <c r="J21" s="60" t="s">
        <v>866</v>
      </c>
      <c r="K21" s="60" t="s">
        <v>866</v>
      </c>
      <c r="L21" s="60" t="n">
        <v>3.15</v>
      </c>
      <c r="M21" s="6" t="s">
        <v>46</v>
      </c>
      <c r="N21" s="60" t="s">
        <v>47</v>
      </c>
      <c r="O21" s="6" t="s">
        <v>45</v>
      </c>
      <c r="P21" s="6" t="s">
        <v>45</v>
      </c>
      <c r="Q21" s="60" t="n">
        <v>0</v>
      </c>
      <c r="R21" s="61" t="s">
        <v>48</v>
      </c>
      <c r="S21" s="60" t="s">
        <v>983</v>
      </c>
      <c r="T21" s="61" t="s">
        <v>48</v>
      </c>
      <c r="U21" s="62" t="s">
        <v>48</v>
      </c>
      <c r="V21" s="4" t="s">
        <v>49</v>
      </c>
      <c r="W21" s="4"/>
      <c r="X21" s="5"/>
      <c r="Y21" s="4" t="s">
        <v>149</v>
      </c>
    </row>
    <row r="22" customFormat="false" ht="15" hidden="false" customHeight="true" outlineLevel="0" collapsed="false">
      <c r="A22" s="4" t="s">
        <v>211</v>
      </c>
      <c r="B22" s="5" t="s">
        <v>212</v>
      </c>
      <c r="C22" s="4" t="s">
        <v>42</v>
      </c>
      <c r="D22" s="5" t="s">
        <v>129</v>
      </c>
      <c r="E22" s="5" t="s">
        <v>131</v>
      </c>
      <c r="F22" s="4" t="s">
        <v>123</v>
      </c>
      <c r="G22" s="4" t="s">
        <v>63</v>
      </c>
      <c r="H22" s="6" t="s">
        <v>979</v>
      </c>
      <c r="I22" s="6" t="s">
        <v>979</v>
      </c>
      <c r="J22" s="60" t="s">
        <v>77</v>
      </c>
      <c r="K22" s="60" t="s">
        <v>866</v>
      </c>
      <c r="L22" s="60" t="n">
        <v>3.6</v>
      </c>
      <c r="M22" s="6" t="s">
        <v>46</v>
      </c>
      <c r="N22" s="60" t="s">
        <v>47</v>
      </c>
      <c r="O22" s="6" t="s">
        <v>45</v>
      </c>
      <c r="P22" s="6" t="s">
        <v>45</v>
      </c>
      <c r="Q22" s="60" t="n">
        <v>0</v>
      </c>
      <c r="R22" s="61" t="s">
        <v>48</v>
      </c>
      <c r="S22" s="60" t="s">
        <v>981</v>
      </c>
      <c r="T22" s="61" t="s">
        <v>48</v>
      </c>
      <c r="U22" s="62" t="s">
        <v>48</v>
      </c>
      <c r="V22" s="4" t="s">
        <v>49</v>
      </c>
      <c r="W22" s="4"/>
      <c r="X22" s="5"/>
      <c r="Y22" s="4" t="s">
        <v>62</v>
      </c>
    </row>
    <row r="23" customFormat="false" ht="15" hidden="false" customHeight="true" outlineLevel="0" collapsed="false">
      <c r="A23" s="10" t="s">
        <v>216</v>
      </c>
      <c r="B23" s="11" t="s">
        <v>217</v>
      </c>
      <c r="C23" s="10" t="s">
        <v>42</v>
      </c>
      <c r="D23" s="11" t="s">
        <v>56</v>
      </c>
      <c r="E23" s="11" t="s">
        <v>169</v>
      </c>
      <c r="F23" s="10" t="s">
        <v>40</v>
      </c>
      <c r="G23" s="10" t="s">
        <v>44</v>
      </c>
      <c r="H23" s="6" t="s">
        <v>979</v>
      </c>
      <c r="I23" s="6" t="s">
        <v>979</v>
      </c>
      <c r="J23" s="6" t="s">
        <v>979</v>
      </c>
      <c r="K23" s="60" t="s">
        <v>77</v>
      </c>
      <c r="L23" s="60" t="n">
        <v>2.75</v>
      </c>
      <c r="M23" s="6" t="s">
        <v>46</v>
      </c>
      <c r="N23" s="60" t="s">
        <v>47</v>
      </c>
      <c r="O23" s="61" t="s">
        <v>142</v>
      </c>
      <c r="P23" s="61" t="s">
        <v>142</v>
      </c>
      <c r="Q23" s="60" t="n">
        <v>0</v>
      </c>
      <c r="R23" s="61" t="s">
        <v>48</v>
      </c>
      <c r="S23" s="60" t="s">
        <v>980</v>
      </c>
      <c r="T23" s="61" t="s">
        <v>48</v>
      </c>
      <c r="U23" s="62" t="s">
        <v>48</v>
      </c>
      <c r="V23" s="10" t="s">
        <v>49</v>
      </c>
      <c r="W23" s="10"/>
      <c r="X23" s="11"/>
      <c r="Y23" s="10" t="s">
        <v>141</v>
      </c>
    </row>
    <row r="24" customFormat="false" ht="15" hidden="false" customHeight="true" outlineLevel="0" collapsed="false">
      <c r="A24" s="6" t="s">
        <v>222</v>
      </c>
      <c r="B24" s="7" t="s">
        <v>223</v>
      </c>
      <c r="C24" s="6" t="s">
        <v>42</v>
      </c>
      <c r="D24" s="7" t="s">
        <v>34</v>
      </c>
      <c r="E24" s="7" t="s">
        <v>99</v>
      </c>
      <c r="F24" s="6" t="s">
        <v>87</v>
      </c>
      <c r="G24" s="6" t="s">
        <v>89</v>
      </c>
      <c r="H24" s="6" t="s">
        <v>979</v>
      </c>
      <c r="I24" s="6" t="s">
        <v>979</v>
      </c>
      <c r="J24" s="6" t="s">
        <v>979</v>
      </c>
      <c r="K24" s="6" t="s">
        <v>979</v>
      </c>
      <c r="L24" s="60" t="n">
        <v>3.88</v>
      </c>
      <c r="M24" s="6" t="s">
        <v>90</v>
      </c>
      <c r="N24" s="60" t="s">
        <v>47</v>
      </c>
      <c r="O24" s="6" t="s">
        <v>45</v>
      </c>
      <c r="P24" s="6" t="s">
        <v>90</v>
      </c>
      <c r="Q24" s="60" t="n">
        <v>0</v>
      </c>
      <c r="R24" s="61" t="s">
        <v>48</v>
      </c>
      <c r="S24" s="60" t="s">
        <v>982</v>
      </c>
      <c r="T24" s="61" t="s">
        <v>48</v>
      </c>
      <c r="U24" s="62" t="s">
        <v>48</v>
      </c>
      <c r="V24" s="6" t="s">
        <v>91</v>
      </c>
      <c r="W24" s="6" t="s">
        <v>47</v>
      </c>
      <c r="X24" s="7" t="s">
        <v>92</v>
      </c>
      <c r="Y24" s="6" t="s">
        <v>88</v>
      </c>
    </row>
    <row r="25" customFormat="false" ht="15" hidden="false" customHeight="true" outlineLevel="0" collapsed="false">
      <c r="A25" s="8" t="s">
        <v>227</v>
      </c>
      <c r="B25" s="9" t="s">
        <v>228</v>
      </c>
      <c r="C25" s="8" t="s">
        <v>42</v>
      </c>
      <c r="D25" s="9" t="s">
        <v>138</v>
      </c>
      <c r="E25" s="9" t="s">
        <v>58</v>
      </c>
      <c r="F25" s="8" t="s">
        <v>102</v>
      </c>
      <c r="G25" s="8" t="s">
        <v>105</v>
      </c>
      <c r="H25" s="60" t="s">
        <v>77</v>
      </c>
      <c r="I25" s="60" t="s">
        <v>77</v>
      </c>
      <c r="J25" s="60" t="s">
        <v>866</v>
      </c>
      <c r="K25" s="60" t="s">
        <v>866</v>
      </c>
      <c r="L25" s="60" t="n">
        <v>2.2</v>
      </c>
      <c r="M25" s="12" t="s">
        <v>101</v>
      </c>
      <c r="N25" s="60" t="s">
        <v>107</v>
      </c>
      <c r="O25" s="60" t="s">
        <v>106</v>
      </c>
      <c r="P25" s="60" t="s">
        <v>106</v>
      </c>
      <c r="Q25" s="60" t="n">
        <v>35000</v>
      </c>
      <c r="R25" s="61" t="s">
        <v>48</v>
      </c>
      <c r="S25" s="60" t="s">
        <v>983</v>
      </c>
      <c r="T25" s="61" t="s">
        <v>48</v>
      </c>
      <c r="U25" s="62" t="s">
        <v>48</v>
      </c>
      <c r="V25" s="8" t="s">
        <v>108</v>
      </c>
      <c r="W25" s="8"/>
      <c r="X25" s="9"/>
      <c r="Y25" s="8" t="s">
        <v>104</v>
      </c>
    </row>
    <row r="26" customFormat="false" ht="15" hidden="false" customHeight="true" outlineLevel="0" collapsed="false">
      <c r="A26" s="4" t="s">
        <v>233</v>
      </c>
      <c r="B26" s="5" t="s">
        <v>234</v>
      </c>
      <c r="C26" s="4" t="s">
        <v>42</v>
      </c>
      <c r="D26" s="5" t="s">
        <v>34</v>
      </c>
      <c r="E26" s="5" t="s">
        <v>36</v>
      </c>
      <c r="F26" s="4" t="s">
        <v>123</v>
      </c>
      <c r="G26" s="4" t="s">
        <v>63</v>
      </c>
      <c r="H26" s="6" t="s">
        <v>979</v>
      </c>
      <c r="I26" s="6" t="s">
        <v>979</v>
      </c>
      <c r="J26" s="60" t="s">
        <v>77</v>
      </c>
      <c r="K26" s="60" t="s">
        <v>866</v>
      </c>
      <c r="L26" s="60" t="n">
        <v>3.42</v>
      </c>
      <c r="M26" s="6" t="s">
        <v>46</v>
      </c>
      <c r="N26" s="60" t="s">
        <v>47</v>
      </c>
      <c r="O26" s="6" t="s">
        <v>45</v>
      </c>
      <c r="P26" s="6" t="s">
        <v>45</v>
      </c>
      <c r="Q26" s="60" t="n">
        <v>0</v>
      </c>
      <c r="R26" s="61" t="s">
        <v>48</v>
      </c>
      <c r="S26" s="60" t="s">
        <v>981</v>
      </c>
      <c r="T26" s="61" t="s">
        <v>48</v>
      </c>
      <c r="U26" s="62" t="s">
        <v>48</v>
      </c>
      <c r="V26" s="4" t="s">
        <v>49</v>
      </c>
      <c r="W26" s="4"/>
      <c r="X26" s="5"/>
      <c r="Y26" s="4" t="s">
        <v>62</v>
      </c>
    </row>
    <row r="27" customFormat="false" ht="15" hidden="false" customHeight="true" outlineLevel="0" collapsed="false">
      <c r="A27" s="4" t="s">
        <v>238</v>
      </c>
      <c r="B27" s="5" t="s">
        <v>239</v>
      </c>
      <c r="C27" s="4" t="s">
        <v>42</v>
      </c>
      <c r="D27" s="5" t="s">
        <v>34</v>
      </c>
      <c r="E27" s="5" t="s">
        <v>36</v>
      </c>
      <c r="F27" s="4" t="s">
        <v>102</v>
      </c>
      <c r="G27" s="4" t="s">
        <v>105</v>
      </c>
      <c r="H27" s="60" t="s">
        <v>77</v>
      </c>
      <c r="I27" s="60" t="s">
        <v>77</v>
      </c>
      <c r="J27" s="60" t="s">
        <v>866</v>
      </c>
      <c r="K27" s="60" t="s">
        <v>866</v>
      </c>
      <c r="L27" s="60" t="n">
        <v>3.65</v>
      </c>
      <c r="M27" s="6" t="s">
        <v>46</v>
      </c>
      <c r="N27" s="60" t="s">
        <v>47</v>
      </c>
      <c r="O27" s="6" t="s">
        <v>45</v>
      </c>
      <c r="P27" s="6" t="s">
        <v>45</v>
      </c>
      <c r="Q27" s="60" t="n">
        <v>0</v>
      </c>
      <c r="R27" s="61" t="s">
        <v>48</v>
      </c>
      <c r="S27" s="60" t="s">
        <v>983</v>
      </c>
      <c r="T27" s="61" t="s">
        <v>48</v>
      </c>
      <c r="U27" s="62" t="s">
        <v>48</v>
      </c>
      <c r="V27" s="4" t="s">
        <v>49</v>
      </c>
      <c r="W27" s="4"/>
      <c r="X27" s="5"/>
      <c r="Y27" s="4" t="s">
        <v>149</v>
      </c>
    </row>
    <row r="28" customFormat="false" ht="15" hidden="false" customHeight="true" outlineLevel="0" collapsed="false">
      <c r="A28" s="14" t="s">
        <v>243</v>
      </c>
      <c r="B28" s="15" t="s">
        <v>244</v>
      </c>
      <c r="C28" s="14" t="s">
        <v>251</v>
      </c>
      <c r="D28" s="15" t="s">
        <v>252</v>
      </c>
      <c r="E28" s="15" t="s">
        <v>36</v>
      </c>
      <c r="F28" s="14" t="s">
        <v>60</v>
      </c>
      <c r="G28" s="14" t="s">
        <v>63</v>
      </c>
      <c r="H28" s="6" t="s">
        <v>979</v>
      </c>
      <c r="I28" s="6" t="s">
        <v>979</v>
      </c>
      <c r="J28" s="60" t="s">
        <v>77</v>
      </c>
      <c r="K28" s="60" t="s">
        <v>866</v>
      </c>
      <c r="L28" s="60" t="n">
        <v>3.72</v>
      </c>
      <c r="M28" s="6" t="s">
        <v>46</v>
      </c>
      <c r="N28" s="60" t="s">
        <v>47</v>
      </c>
      <c r="O28" s="6" t="s">
        <v>45</v>
      </c>
      <c r="P28" s="6" t="s">
        <v>45</v>
      </c>
      <c r="Q28" s="60" t="n">
        <v>0</v>
      </c>
      <c r="R28" s="61" t="s">
        <v>48</v>
      </c>
      <c r="S28" s="60" t="s">
        <v>63</v>
      </c>
      <c r="T28" s="61" t="s">
        <v>48</v>
      </c>
      <c r="U28" s="62" t="s">
        <v>48</v>
      </c>
      <c r="V28" s="14" t="s">
        <v>77</v>
      </c>
      <c r="W28" s="14"/>
      <c r="X28" s="15"/>
      <c r="Y28" s="14" t="s">
        <v>253</v>
      </c>
    </row>
    <row r="29" customFormat="false" ht="15" hidden="false" customHeight="true" outlineLevel="0" collapsed="false">
      <c r="A29" s="14" t="s">
        <v>254</v>
      </c>
      <c r="B29" s="15" t="s">
        <v>255</v>
      </c>
      <c r="C29" s="14" t="s">
        <v>251</v>
      </c>
      <c r="D29" s="15" t="s">
        <v>262</v>
      </c>
      <c r="E29" s="15" t="s">
        <v>58</v>
      </c>
      <c r="F29" s="14" t="s">
        <v>102</v>
      </c>
      <c r="G29" s="14" t="s">
        <v>105</v>
      </c>
      <c r="H29" s="60" t="s">
        <v>77</v>
      </c>
      <c r="I29" s="60" t="s">
        <v>77</v>
      </c>
      <c r="J29" s="60" t="s">
        <v>866</v>
      </c>
      <c r="K29" s="60" t="s">
        <v>866</v>
      </c>
      <c r="L29" s="60" t="n">
        <v>3.41</v>
      </c>
      <c r="M29" s="6" t="s">
        <v>46</v>
      </c>
      <c r="N29" s="60" t="s">
        <v>47</v>
      </c>
      <c r="O29" s="6" t="s">
        <v>45</v>
      </c>
      <c r="P29" s="6" t="s">
        <v>45</v>
      </c>
      <c r="Q29" s="60" t="n">
        <v>0</v>
      </c>
      <c r="R29" s="61" t="s">
        <v>48</v>
      </c>
      <c r="S29" s="60" t="s">
        <v>105</v>
      </c>
      <c r="T29" s="61" t="s">
        <v>48</v>
      </c>
      <c r="U29" s="62" t="s">
        <v>48</v>
      </c>
      <c r="V29" s="14" t="s">
        <v>49</v>
      </c>
      <c r="W29" s="14"/>
      <c r="X29" s="15"/>
      <c r="Y29" s="14" t="s">
        <v>263</v>
      </c>
    </row>
    <row r="30" customFormat="false" ht="15" hidden="false" customHeight="true" outlineLevel="0" collapsed="false">
      <c r="A30" s="6" t="s">
        <v>264</v>
      </c>
      <c r="B30" s="7" t="s">
        <v>265</v>
      </c>
      <c r="C30" s="6" t="s">
        <v>251</v>
      </c>
      <c r="D30" s="7" t="s">
        <v>270</v>
      </c>
      <c r="E30" s="7" t="s">
        <v>58</v>
      </c>
      <c r="F30" s="6" t="s">
        <v>60</v>
      </c>
      <c r="G30" s="6" t="s">
        <v>89</v>
      </c>
      <c r="H30" s="6" t="s">
        <v>979</v>
      </c>
      <c r="I30" s="6" t="s">
        <v>979</v>
      </c>
      <c r="J30" s="6" t="s">
        <v>979</v>
      </c>
      <c r="K30" s="6" t="s">
        <v>979</v>
      </c>
      <c r="L30" s="60" t="n">
        <v>3.55</v>
      </c>
      <c r="M30" s="6" t="s">
        <v>90</v>
      </c>
      <c r="N30" s="60" t="s">
        <v>272</v>
      </c>
      <c r="O30" s="6" t="s">
        <v>45</v>
      </c>
      <c r="P30" s="6" t="s">
        <v>90</v>
      </c>
      <c r="Q30" s="60" t="n">
        <v>0</v>
      </c>
      <c r="R30" s="61" t="s">
        <v>48</v>
      </c>
      <c r="S30" s="6" t="s">
        <v>89</v>
      </c>
      <c r="T30" s="61" t="s">
        <v>48</v>
      </c>
      <c r="U30" s="62" t="s">
        <v>48</v>
      </c>
      <c r="V30" s="6" t="s">
        <v>91</v>
      </c>
      <c r="W30" s="6" t="s">
        <v>272</v>
      </c>
      <c r="X30" s="7" t="s">
        <v>92</v>
      </c>
      <c r="Y30" s="6" t="s">
        <v>271</v>
      </c>
    </row>
    <row r="31" customFormat="false" ht="15" hidden="false" customHeight="true" outlineLevel="0" collapsed="false">
      <c r="A31" s="8" t="s">
        <v>273</v>
      </c>
      <c r="B31" s="9" t="s">
        <v>274</v>
      </c>
      <c r="C31" s="8" t="s">
        <v>251</v>
      </c>
      <c r="D31" s="9" t="s">
        <v>252</v>
      </c>
      <c r="E31" s="9" t="s">
        <v>99</v>
      </c>
      <c r="F31" s="8" t="s">
        <v>102</v>
      </c>
      <c r="G31" s="8" t="s">
        <v>105</v>
      </c>
      <c r="H31" s="60" t="s">
        <v>77</v>
      </c>
      <c r="I31" s="60" t="s">
        <v>77</v>
      </c>
      <c r="J31" s="60" t="s">
        <v>866</v>
      </c>
      <c r="K31" s="60" t="s">
        <v>866</v>
      </c>
      <c r="L31" s="60" t="n">
        <v>2.81</v>
      </c>
      <c r="M31" s="12" t="s">
        <v>101</v>
      </c>
      <c r="N31" s="60" t="s">
        <v>107</v>
      </c>
      <c r="O31" s="60" t="s">
        <v>106</v>
      </c>
      <c r="P31" s="60" t="s">
        <v>106</v>
      </c>
      <c r="Q31" s="60" t="n">
        <v>35000</v>
      </c>
      <c r="R31" s="61" t="s">
        <v>48</v>
      </c>
      <c r="S31" s="60" t="s">
        <v>105</v>
      </c>
      <c r="T31" s="61" t="s">
        <v>48</v>
      </c>
      <c r="U31" s="62" t="s">
        <v>48</v>
      </c>
      <c r="V31" s="8" t="s">
        <v>108</v>
      </c>
      <c r="W31" s="8"/>
      <c r="X31" s="9"/>
      <c r="Y31" s="8" t="s">
        <v>104</v>
      </c>
    </row>
    <row r="32" customFormat="false" ht="15" hidden="false" customHeight="true" outlineLevel="0" collapsed="false">
      <c r="A32" s="14" t="s">
        <v>278</v>
      </c>
      <c r="B32" s="15" t="s">
        <v>279</v>
      </c>
      <c r="C32" s="14" t="s">
        <v>251</v>
      </c>
      <c r="D32" s="15" t="s">
        <v>270</v>
      </c>
      <c r="E32" s="15" t="s">
        <v>186</v>
      </c>
      <c r="F32" s="14" t="s">
        <v>60</v>
      </c>
      <c r="G32" s="14" t="s">
        <v>63</v>
      </c>
      <c r="H32" s="6" t="s">
        <v>979</v>
      </c>
      <c r="I32" s="6" t="s">
        <v>979</v>
      </c>
      <c r="J32" s="60" t="s">
        <v>77</v>
      </c>
      <c r="K32" s="60" t="s">
        <v>866</v>
      </c>
      <c r="L32" s="60" t="n">
        <v>3.65</v>
      </c>
      <c r="M32" s="6" t="s">
        <v>46</v>
      </c>
      <c r="N32" s="60" t="s">
        <v>47</v>
      </c>
      <c r="O32" s="6" t="s">
        <v>45</v>
      </c>
      <c r="P32" s="6" t="s">
        <v>45</v>
      </c>
      <c r="Q32" s="60" t="n">
        <v>0</v>
      </c>
      <c r="R32" s="61" t="s">
        <v>48</v>
      </c>
      <c r="S32" s="60" t="s">
        <v>63</v>
      </c>
      <c r="T32" s="61" t="s">
        <v>48</v>
      </c>
      <c r="U32" s="62" t="s">
        <v>48</v>
      </c>
      <c r="V32" s="14" t="s">
        <v>77</v>
      </c>
      <c r="W32" s="14"/>
      <c r="X32" s="15"/>
      <c r="Y32" s="14" t="s">
        <v>253</v>
      </c>
    </row>
    <row r="33" customFormat="false" ht="15" hidden="false" customHeight="true" outlineLevel="0" collapsed="false">
      <c r="A33" s="14" t="s">
        <v>283</v>
      </c>
      <c r="B33" s="15" t="s">
        <v>284</v>
      </c>
      <c r="C33" s="14" t="s">
        <v>251</v>
      </c>
      <c r="D33" s="15" t="s">
        <v>262</v>
      </c>
      <c r="E33" s="15" t="s">
        <v>58</v>
      </c>
      <c r="F33" s="14" t="s">
        <v>102</v>
      </c>
      <c r="G33" s="14" t="s">
        <v>105</v>
      </c>
      <c r="H33" s="60" t="s">
        <v>77</v>
      </c>
      <c r="I33" s="60" t="s">
        <v>77</v>
      </c>
      <c r="J33" s="60" t="s">
        <v>866</v>
      </c>
      <c r="K33" s="60" t="s">
        <v>866</v>
      </c>
      <c r="L33" s="60" t="n">
        <v>3.22</v>
      </c>
      <c r="M33" s="6" t="s">
        <v>46</v>
      </c>
      <c r="N33" s="60" t="s">
        <v>47</v>
      </c>
      <c r="O33" s="6" t="s">
        <v>45</v>
      </c>
      <c r="P33" s="6" t="s">
        <v>45</v>
      </c>
      <c r="Q33" s="60" t="n">
        <v>0</v>
      </c>
      <c r="R33" s="61" t="s">
        <v>48</v>
      </c>
      <c r="S33" s="60" t="s">
        <v>105</v>
      </c>
      <c r="T33" s="61" t="s">
        <v>48</v>
      </c>
      <c r="U33" s="62" t="s">
        <v>48</v>
      </c>
      <c r="V33" s="14" t="s">
        <v>49</v>
      </c>
      <c r="W33" s="14"/>
      <c r="X33" s="15"/>
      <c r="Y33" s="14" t="s">
        <v>263</v>
      </c>
    </row>
    <row r="34" customFormat="false" ht="15" hidden="false" customHeight="true" outlineLevel="0" collapsed="false">
      <c r="A34" s="16" t="s">
        <v>290</v>
      </c>
      <c r="B34" s="17" t="s">
        <v>291</v>
      </c>
      <c r="C34" s="16" t="s">
        <v>251</v>
      </c>
      <c r="D34" s="17" t="s">
        <v>295</v>
      </c>
      <c r="E34" s="17" t="s">
        <v>99</v>
      </c>
      <c r="F34" s="16" t="s">
        <v>296</v>
      </c>
      <c r="G34" s="16" t="s">
        <v>298</v>
      </c>
      <c r="H34" s="6" t="s">
        <v>979</v>
      </c>
      <c r="I34" s="6" t="s">
        <v>979</v>
      </c>
      <c r="J34" s="6" t="s">
        <v>979</v>
      </c>
      <c r="K34" s="6" t="s">
        <v>979</v>
      </c>
      <c r="L34" s="60" t="n">
        <v>3.82</v>
      </c>
      <c r="M34" s="6" t="s">
        <v>46</v>
      </c>
      <c r="N34" s="60" t="s">
        <v>47</v>
      </c>
      <c r="O34" s="6" t="s">
        <v>45</v>
      </c>
      <c r="P34" s="6" t="s">
        <v>45</v>
      </c>
      <c r="Q34" s="60" t="n">
        <v>0</v>
      </c>
      <c r="R34" s="60" t="s">
        <v>300</v>
      </c>
      <c r="S34" s="60" t="s">
        <v>300</v>
      </c>
      <c r="T34" s="60" t="s">
        <v>77</v>
      </c>
      <c r="U34" s="63" t="s">
        <v>49</v>
      </c>
      <c r="V34" s="16" t="s">
        <v>49</v>
      </c>
      <c r="W34" s="16"/>
      <c r="X34" s="17"/>
      <c r="Y34" s="16" t="s">
        <v>297</v>
      </c>
    </row>
    <row r="35" customFormat="false" ht="15" hidden="false" customHeight="true" outlineLevel="0" collapsed="false">
      <c r="A35" s="16" t="s">
        <v>301</v>
      </c>
      <c r="B35" s="17" t="s">
        <v>302</v>
      </c>
      <c r="C35" s="16" t="s">
        <v>251</v>
      </c>
      <c r="D35" s="17" t="s">
        <v>295</v>
      </c>
      <c r="E35" s="17" t="s">
        <v>36</v>
      </c>
      <c r="F35" s="16" t="s">
        <v>60</v>
      </c>
      <c r="G35" s="16" t="s">
        <v>308</v>
      </c>
      <c r="H35" s="6" t="s">
        <v>979</v>
      </c>
      <c r="I35" s="6" t="s">
        <v>979</v>
      </c>
      <c r="J35" s="6" t="s">
        <v>979</v>
      </c>
      <c r="K35" s="60" t="s">
        <v>77</v>
      </c>
      <c r="L35" s="60" t="n">
        <v>3.61</v>
      </c>
      <c r="M35" s="6" t="s">
        <v>46</v>
      </c>
      <c r="N35" s="60" t="s">
        <v>47</v>
      </c>
      <c r="O35" s="6" t="s">
        <v>45</v>
      </c>
      <c r="P35" s="6" t="s">
        <v>45</v>
      </c>
      <c r="Q35" s="60" t="n">
        <v>0</v>
      </c>
      <c r="R35" s="60" t="s">
        <v>310</v>
      </c>
      <c r="S35" s="60" t="s">
        <v>310</v>
      </c>
      <c r="T35" s="60" t="s">
        <v>49</v>
      </c>
      <c r="U35" s="63" t="s">
        <v>49</v>
      </c>
      <c r="V35" s="16" t="s">
        <v>49</v>
      </c>
      <c r="W35" s="16"/>
      <c r="X35" s="17"/>
      <c r="Y35" s="16" t="s">
        <v>307</v>
      </c>
    </row>
    <row r="36" customFormat="false" ht="15" hidden="false" customHeight="true" outlineLevel="0" collapsed="false">
      <c r="A36" s="16" t="s">
        <v>311</v>
      </c>
      <c r="B36" s="17" t="s">
        <v>312</v>
      </c>
      <c r="C36" s="16" t="s">
        <v>251</v>
      </c>
      <c r="D36" s="17" t="s">
        <v>316</v>
      </c>
      <c r="E36" s="17" t="s">
        <v>116</v>
      </c>
      <c r="F36" s="16" t="s">
        <v>296</v>
      </c>
      <c r="G36" s="16" t="s">
        <v>298</v>
      </c>
      <c r="H36" s="6" t="s">
        <v>979</v>
      </c>
      <c r="I36" s="6" t="s">
        <v>979</v>
      </c>
      <c r="J36" s="6" t="s">
        <v>979</v>
      </c>
      <c r="K36" s="6" t="s">
        <v>979</v>
      </c>
      <c r="L36" s="60" t="n">
        <v>3.48</v>
      </c>
      <c r="M36" s="6" t="s">
        <v>46</v>
      </c>
      <c r="N36" s="60" t="s">
        <v>47</v>
      </c>
      <c r="O36" s="6" t="s">
        <v>45</v>
      </c>
      <c r="P36" s="6" t="s">
        <v>45</v>
      </c>
      <c r="Q36" s="60" t="n">
        <v>0</v>
      </c>
      <c r="R36" s="60" t="s">
        <v>300</v>
      </c>
      <c r="S36" s="60" t="s">
        <v>300</v>
      </c>
      <c r="T36" s="60" t="s">
        <v>77</v>
      </c>
      <c r="U36" s="63" t="s">
        <v>49</v>
      </c>
      <c r="V36" s="16" t="s">
        <v>49</v>
      </c>
      <c r="W36" s="16"/>
      <c r="X36" s="17"/>
      <c r="Y36" s="16" t="s">
        <v>297</v>
      </c>
    </row>
    <row r="37" customFormat="false" ht="15" hidden="false" customHeight="true" outlineLevel="0" collapsed="false">
      <c r="A37" s="10" t="s">
        <v>318</v>
      </c>
      <c r="B37" s="11" t="s">
        <v>319</v>
      </c>
      <c r="C37" s="10" t="s">
        <v>251</v>
      </c>
      <c r="D37" s="11" t="s">
        <v>295</v>
      </c>
      <c r="E37" s="11" t="s">
        <v>70</v>
      </c>
      <c r="F37" s="10" t="s">
        <v>60</v>
      </c>
      <c r="G37" s="10" t="s">
        <v>308</v>
      </c>
      <c r="H37" s="6" t="s">
        <v>979</v>
      </c>
      <c r="I37" s="6" t="s">
        <v>979</v>
      </c>
      <c r="J37" s="6" t="s">
        <v>979</v>
      </c>
      <c r="K37" s="60" t="s">
        <v>77</v>
      </c>
      <c r="L37" s="60" t="n">
        <v>3.31</v>
      </c>
      <c r="M37" s="6" t="s">
        <v>46</v>
      </c>
      <c r="N37" s="60" t="s">
        <v>47</v>
      </c>
      <c r="O37" s="61" t="s">
        <v>142</v>
      </c>
      <c r="P37" s="61" t="s">
        <v>142</v>
      </c>
      <c r="Q37" s="60" t="n">
        <v>0</v>
      </c>
      <c r="R37" s="6" t="s">
        <v>326</v>
      </c>
      <c r="S37" s="6" t="s">
        <v>326</v>
      </c>
      <c r="T37" s="60" t="s">
        <v>49</v>
      </c>
      <c r="U37" s="63" t="s">
        <v>49</v>
      </c>
      <c r="V37" s="10" t="s">
        <v>49</v>
      </c>
      <c r="W37" s="10"/>
      <c r="X37" s="11"/>
      <c r="Y37" s="10" t="s">
        <v>324</v>
      </c>
    </row>
    <row r="38" customFormat="false" ht="15" hidden="false" customHeight="true" outlineLevel="0" collapsed="false">
      <c r="A38" s="6" t="s">
        <v>327</v>
      </c>
      <c r="B38" s="7" t="s">
        <v>328</v>
      </c>
      <c r="C38" s="6" t="s">
        <v>251</v>
      </c>
      <c r="D38" s="7" t="s">
        <v>295</v>
      </c>
      <c r="E38" s="7" t="s">
        <v>84</v>
      </c>
      <c r="F38" s="6" t="s">
        <v>73</v>
      </c>
      <c r="G38" s="6" t="s">
        <v>89</v>
      </c>
      <c r="H38" s="6" t="s">
        <v>979</v>
      </c>
      <c r="I38" s="6" t="s">
        <v>979</v>
      </c>
      <c r="J38" s="6" t="s">
        <v>979</v>
      </c>
      <c r="K38" s="6" t="s">
        <v>979</v>
      </c>
      <c r="L38" s="60" t="n">
        <v>3.91</v>
      </c>
      <c r="M38" s="6" t="s">
        <v>90</v>
      </c>
      <c r="N38" s="60" t="s">
        <v>272</v>
      </c>
      <c r="O38" s="6" t="s">
        <v>45</v>
      </c>
      <c r="P38" s="6" t="s">
        <v>90</v>
      </c>
      <c r="Q38" s="60" t="n">
        <v>0</v>
      </c>
      <c r="R38" s="6" t="s">
        <v>335</v>
      </c>
      <c r="S38" s="6" t="s">
        <v>335</v>
      </c>
      <c r="T38" s="60" t="s">
        <v>984</v>
      </c>
      <c r="U38" s="7" t="s">
        <v>985</v>
      </c>
      <c r="V38" s="6" t="s">
        <v>91</v>
      </c>
      <c r="W38" s="6" t="s">
        <v>272</v>
      </c>
      <c r="X38" s="7" t="s">
        <v>92</v>
      </c>
      <c r="Y38" s="6" t="s">
        <v>333</v>
      </c>
    </row>
    <row r="39" customFormat="false" ht="15" hidden="false" customHeight="true" outlineLevel="0" collapsed="false">
      <c r="A39" s="16" t="s">
        <v>336</v>
      </c>
      <c r="B39" s="17" t="s">
        <v>337</v>
      </c>
      <c r="C39" s="16" t="s">
        <v>251</v>
      </c>
      <c r="D39" s="17" t="s">
        <v>295</v>
      </c>
      <c r="E39" s="17" t="s">
        <v>36</v>
      </c>
      <c r="F39" s="16" t="s">
        <v>102</v>
      </c>
      <c r="G39" s="16" t="s">
        <v>342</v>
      </c>
      <c r="H39" s="6" t="s">
        <v>979</v>
      </c>
      <c r="I39" s="60" t="s">
        <v>77</v>
      </c>
      <c r="J39" s="60" t="s">
        <v>866</v>
      </c>
      <c r="K39" s="60" t="s">
        <v>866</v>
      </c>
      <c r="L39" s="60" t="n">
        <v>3.52</v>
      </c>
      <c r="M39" s="6" t="s">
        <v>46</v>
      </c>
      <c r="N39" s="60" t="s">
        <v>47</v>
      </c>
      <c r="O39" s="6" t="s">
        <v>45</v>
      </c>
      <c r="P39" s="6" t="s">
        <v>45</v>
      </c>
      <c r="Q39" s="60" t="n">
        <v>0</v>
      </c>
      <c r="R39" s="60" t="s">
        <v>344</v>
      </c>
      <c r="S39" s="60" t="s">
        <v>344</v>
      </c>
      <c r="T39" s="60" t="s">
        <v>984</v>
      </c>
      <c r="U39" s="63" t="s">
        <v>49</v>
      </c>
      <c r="V39" s="16" t="s">
        <v>49</v>
      </c>
      <c r="W39" s="16"/>
      <c r="X39" s="17"/>
      <c r="Y39" s="16" t="s">
        <v>341</v>
      </c>
    </row>
  </sheetData>
  <mergeCells count="6">
    <mergeCell ref="A1:F1"/>
    <mergeCell ref="G1:K1"/>
    <mergeCell ref="L1:N1"/>
    <mergeCell ref="O1:Q1"/>
    <mergeCell ref="R1:U1"/>
    <mergeCell ref="V1:Y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14"/>
    <col collapsed="false" customWidth="true" hidden="false" outlineLevel="0" max="4" min="4" style="0" width="60"/>
    <col collapsed="false" customWidth="true" hidden="false" outlineLevel="0" max="5" min="5" style="0" width="8"/>
    <col collapsed="false" customWidth="true" hidden="false" outlineLevel="0" max="8" min="8" style="0" width="5"/>
  </cols>
  <sheetData>
    <row r="1" customFormat="false" ht="27.75" hidden="false" customHeight="true" outlineLevel="0" collapsed="false">
      <c r="A1" s="64" t="s">
        <v>986</v>
      </c>
      <c r="B1" s="64"/>
      <c r="C1" s="64"/>
      <c r="D1" s="64"/>
      <c r="E1" s="64"/>
      <c r="F1" s="64"/>
      <c r="G1" s="64"/>
      <c r="H1" s="64"/>
    </row>
    <row r="2" customFormat="false" ht="15.75" hidden="false" customHeight="true" outlineLevel="0" collapsed="false">
      <c r="A2" s="65" t="s">
        <v>987</v>
      </c>
      <c r="B2" s="65"/>
      <c r="C2" s="65"/>
      <c r="D2" s="65"/>
      <c r="E2" s="65"/>
      <c r="F2" s="65"/>
      <c r="G2" s="65"/>
      <c r="H2" s="65"/>
    </row>
    <row r="4" customFormat="false" ht="19.5" hidden="false" customHeight="true" outlineLevel="0" collapsed="false">
      <c r="A4" s="66" t="s">
        <v>988</v>
      </c>
      <c r="B4" s="66"/>
      <c r="C4" s="66"/>
      <c r="D4" s="66"/>
      <c r="E4" s="66"/>
      <c r="F4" s="66"/>
      <c r="G4" s="66"/>
      <c r="H4" s="66"/>
    </row>
    <row r="5" customFormat="false" ht="19.5" hidden="false" customHeight="true" outlineLevel="0" collapsed="false">
      <c r="A5" s="67" t="s">
        <v>939</v>
      </c>
      <c r="B5" s="68" t="s">
        <v>989</v>
      </c>
      <c r="C5" s="67" t="s">
        <v>990</v>
      </c>
      <c r="D5" s="68" t="s">
        <v>991</v>
      </c>
      <c r="E5" s="67" t="s">
        <v>992</v>
      </c>
      <c r="F5" s="68" t="s">
        <v>993</v>
      </c>
      <c r="G5" s="67" t="s">
        <v>994</v>
      </c>
      <c r="H5" s="68" t="s">
        <v>995</v>
      </c>
    </row>
    <row r="6" customFormat="false" ht="19.5" hidden="false" customHeight="true" outlineLevel="0" collapsed="false">
      <c r="A6" s="67" t="s">
        <v>996</v>
      </c>
      <c r="B6" s="68" t="s">
        <v>997</v>
      </c>
      <c r="C6" s="67" t="s">
        <v>998</v>
      </c>
      <c r="D6" s="68" t="s">
        <v>997</v>
      </c>
      <c r="E6" s="67" t="s">
        <v>999</v>
      </c>
      <c r="F6" s="68" t="s">
        <v>1000</v>
      </c>
      <c r="G6" s="67" t="s">
        <v>1001</v>
      </c>
      <c r="H6" s="68" t="s">
        <v>1002</v>
      </c>
    </row>
    <row r="7" customFormat="false" ht="19.5" hidden="false" customHeight="true" outlineLevel="0" collapsed="false">
      <c r="A7" s="67" t="s">
        <v>951</v>
      </c>
      <c r="B7" s="68" t="s">
        <v>1003</v>
      </c>
      <c r="C7" s="67" t="s">
        <v>1004</v>
      </c>
      <c r="D7" s="68" t="s">
        <v>1005</v>
      </c>
      <c r="E7" s="67" t="s">
        <v>1006</v>
      </c>
      <c r="F7" s="68" t="s">
        <v>1007</v>
      </c>
      <c r="G7" s="67" t="s">
        <v>1008</v>
      </c>
      <c r="H7" s="68" t="s">
        <v>1009</v>
      </c>
    </row>
    <row r="8" customFormat="false" ht="19.5" hidden="false" customHeight="true" outlineLevel="0" collapsed="false">
      <c r="A8" s="67" t="s">
        <v>1010</v>
      </c>
      <c r="B8" s="68" t="s">
        <v>1011</v>
      </c>
      <c r="C8" s="67" t="s">
        <v>941</v>
      </c>
      <c r="D8" s="68" t="s">
        <v>1012</v>
      </c>
      <c r="E8" s="67" t="s">
        <v>1013</v>
      </c>
      <c r="F8" s="68" t="s">
        <v>1014</v>
      </c>
      <c r="G8" s="67" t="s">
        <v>1015</v>
      </c>
      <c r="H8" s="68" t="s">
        <v>1016</v>
      </c>
    </row>
    <row r="10" customFormat="false" ht="21.75" hidden="false" customHeight="true" outlineLevel="0" collapsed="false">
      <c r="A10" s="69" t="s">
        <v>1017</v>
      </c>
      <c r="B10" s="69"/>
      <c r="C10" s="69"/>
      <c r="D10" s="69"/>
      <c r="E10" s="69"/>
      <c r="F10" s="69"/>
      <c r="G10" s="69"/>
      <c r="H10" s="69"/>
    </row>
    <row r="11" customFormat="false" ht="15.75" hidden="false" customHeight="true" outlineLevel="0" collapsed="false">
      <c r="A11" s="70" t="s">
        <v>1018</v>
      </c>
      <c r="B11" s="70"/>
      <c r="C11" s="70"/>
      <c r="D11" s="70"/>
      <c r="E11" s="70"/>
      <c r="F11" s="70"/>
      <c r="G11" s="70"/>
      <c r="H11" s="70"/>
    </row>
    <row r="12" customFormat="false" ht="15.75" hidden="false" customHeight="true" outlineLevel="0" collapsed="false">
      <c r="A12" s="71" t="s">
        <v>1019</v>
      </c>
      <c r="B12" s="71" t="s">
        <v>1020</v>
      </c>
      <c r="C12" s="71" t="s">
        <v>1021</v>
      </c>
      <c r="D12" s="71" t="s">
        <v>1022</v>
      </c>
      <c r="E12" s="71" t="s">
        <v>653</v>
      </c>
    </row>
    <row r="13" customFormat="false" ht="30" hidden="false" customHeight="true" outlineLevel="0" collapsed="false">
      <c r="A13" s="72" t="s">
        <v>1023</v>
      </c>
      <c r="B13" s="73" t="s">
        <v>1024</v>
      </c>
      <c r="C13" s="73" t="s">
        <v>1025</v>
      </c>
      <c r="D13" s="72" t="s">
        <v>1026</v>
      </c>
      <c r="E13" s="74" t="s">
        <v>1027</v>
      </c>
    </row>
    <row r="14" customFormat="false" ht="30" hidden="false" customHeight="true" outlineLevel="0" collapsed="false">
      <c r="A14" s="72" t="s">
        <v>1028</v>
      </c>
      <c r="B14" s="73" t="s">
        <v>1029</v>
      </c>
      <c r="C14" s="73" t="s">
        <v>1030</v>
      </c>
      <c r="D14" s="72" t="s">
        <v>1031</v>
      </c>
      <c r="E14" s="74" t="s">
        <v>1027</v>
      </c>
    </row>
    <row r="15" customFormat="false" ht="30" hidden="false" customHeight="true" outlineLevel="0" collapsed="false">
      <c r="A15" s="72" t="s">
        <v>1032</v>
      </c>
      <c r="B15" s="73" t="s">
        <v>1029</v>
      </c>
      <c r="C15" s="73" t="s">
        <v>1033</v>
      </c>
      <c r="D15" s="72" t="s">
        <v>1034</v>
      </c>
      <c r="E15" s="75" t="s">
        <v>1035</v>
      </c>
    </row>
    <row r="16" customFormat="false" ht="30" hidden="false" customHeight="true" outlineLevel="0" collapsed="false">
      <c r="A16" s="72" t="s">
        <v>1036</v>
      </c>
      <c r="B16" s="73" t="s">
        <v>1037</v>
      </c>
      <c r="C16" s="73" t="s">
        <v>1038</v>
      </c>
      <c r="D16" s="72" t="s">
        <v>1039</v>
      </c>
      <c r="E16" s="74" t="s">
        <v>1027</v>
      </c>
    </row>
    <row r="17" customFormat="false" ht="18" hidden="false" customHeight="true" outlineLevel="0" collapsed="false">
      <c r="A17" s="76" t="s">
        <v>1040</v>
      </c>
      <c r="B17" s="77" t="s">
        <v>690</v>
      </c>
      <c r="C17" s="78" t="s">
        <v>1041</v>
      </c>
      <c r="D17" s="79" t="s">
        <v>1042</v>
      </c>
      <c r="E17" s="80"/>
    </row>
    <row r="19" customFormat="false" ht="21.75" hidden="false" customHeight="true" outlineLevel="0" collapsed="false">
      <c r="A19" s="81" t="s">
        <v>1043</v>
      </c>
      <c r="B19" s="81"/>
      <c r="C19" s="81"/>
      <c r="D19" s="81"/>
      <c r="E19" s="81"/>
      <c r="F19" s="81"/>
      <c r="G19" s="81"/>
      <c r="H19" s="81"/>
    </row>
    <row r="20" customFormat="false" ht="15.75" hidden="false" customHeight="true" outlineLevel="0" collapsed="false">
      <c r="A20" s="82" t="s">
        <v>1044</v>
      </c>
      <c r="B20" s="82"/>
      <c r="C20" s="82"/>
      <c r="D20" s="82"/>
      <c r="E20" s="82"/>
      <c r="F20" s="82"/>
      <c r="G20" s="82"/>
      <c r="H20" s="82"/>
    </row>
    <row r="21" customFormat="false" ht="15.75" hidden="false" customHeight="true" outlineLevel="0" collapsed="false">
      <c r="A21" s="71" t="s">
        <v>1019</v>
      </c>
      <c r="B21" s="71" t="s">
        <v>1020</v>
      </c>
      <c r="C21" s="71" t="s">
        <v>1021</v>
      </c>
      <c r="D21" s="71" t="s">
        <v>1022</v>
      </c>
      <c r="E21" s="71" t="s">
        <v>653</v>
      </c>
    </row>
    <row r="22" customFormat="false" ht="30" hidden="false" customHeight="true" outlineLevel="0" collapsed="false">
      <c r="A22" s="72" t="s">
        <v>1045</v>
      </c>
      <c r="B22" s="73" t="s">
        <v>1046</v>
      </c>
      <c r="C22" s="73" t="s">
        <v>1047</v>
      </c>
      <c r="D22" s="72" t="s">
        <v>1048</v>
      </c>
      <c r="E22" s="83" t="s">
        <v>1049</v>
      </c>
    </row>
    <row r="23" customFormat="false" ht="30" hidden="false" customHeight="true" outlineLevel="0" collapsed="false">
      <c r="A23" s="72" t="s">
        <v>1050</v>
      </c>
      <c r="B23" s="73" t="s">
        <v>1051</v>
      </c>
      <c r="C23" s="73" t="s">
        <v>1052</v>
      </c>
      <c r="D23" s="72" t="s">
        <v>1053</v>
      </c>
      <c r="E23" s="75" t="s">
        <v>1035</v>
      </c>
    </row>
    <row r="24" customFormat="false" ht="30" hidden="false" customHeight="true" outlineLevel="0" collapsed="false">
      <c r="A24" s="72" t="s">
        <v>1054</v>
      </c>
      <c r="B24" s="73" t="s">
        <v>1055</v>
      </c>
      <c r="C24" s="73" t="s">
        <v>1056</v>
      </c>
      <c r="D24" s="72" t="s">
        <v>1057</v>
      </c>
      <c r="E24" s="75" t="s">
        <v>1035</v>
      </c>
    </row>
    <row r="25" customFormat="false" ht="30" hidden="false" customHeight="true" outlineLevel="0" collapsed="false">
      <c r="A25" s="72" t="s">
        <v>1058</v>
      </c>
      <c r="B25" s="73" t="s">
        <v>1059</v>
      </c>
      <c r="C25" s="73" t="s">
        <v>1060</v>
      </c>
      <c r="D25" s="72" t="s">
        <v>1061</v>
      </c>
      <c r="E25" s="83" t="s">
        <v>1049</v>
      </c>
    </row>
    <row r="26" customFormat="false" ht="30" hidden="false" customHeight="true" outlineLevel="0" collapsed="false">
      <c r="A26" s="72" t="s">
        <v>1062</v>
      </c>
      <c r="B26" s="73" t="s">
        <v>1063</v>
      </c>
      <c r="C26" s="73" t="s">
        <v>1056</v>
      </c>
      <c r="D26" s="72" t="s">
        <v>1064</v>
      </c>
      <c r="E26" s="75" t="s">
        <v>1035</v>
      </c>
    </row>
    <row r="27" customFormat="false" ht="18" hidden="false" customHeight="true" outlineLevel="0" collapsed="false">
      <c r="A27" s="84" t="s">
        <v>1040</v>
      </c>
      <c r="B27" s="77" t="s">
        <v>690</v>
      </c>
      <c r="C27" s="85" t="s">
        <v>1065</v>
      </c>
      <c r="D27" s="79" t="s">
        <v>1042</v>
      </c>
      <c r="E27" s="80"/>
    </row>
    <row r="29" customFormat="false" ht="21.75" hidden="false" customHeight="true" outlineLevel="0" collapsed="false">
      <c r="A29" s="86" t="s">
        <v>1066</v>
      </c>
      <c r="B29" s="86"/>
      <c r="C29" s="86"/>
      <c r="D29" s="86"/>
      <c r="E29" s="86"/>
      <c r="F29" s="86"/>
      <c r="G29" s="86"/>
      <c r="H29" s="86"/>
    </row>
    <row r="30" customFormat="false" ht="15.75" hidden="false" customHeight="true" outlineLevel="0" collapsed="false">
      <c r="A30" s="87" t="s">
        <v>1067</v>
      </c>
      <c r="B30" s="87"/>
      <c r="C30" s="87"/>
      <c r="D30" s="87"/>
      <c r="E30" s="87"/>
      <c r="F30" s="87"/>
      <c r="G30" s="87"/>
      <c r="H30" s="87"/>
    </row>
    <row r="31" customFormat="false" ht="15.75" hidden="false" customHeight="true" outlineLevel="0" collapsed="false">
      <c r="A31" s="71" t="s">
        <v>1019</v>
      </c>
      <c r="B31" s="71" t="s">
        <v>1020</v>
      </c>
      <c r="C31" s="71" t="s">
        <v>1021</v>
      </c>
      <c r="D31" s="71" t="s">
        <v>1022</v>
      </c>
      <c r="E31" s="71" t="s">
        <v>653</v>
      </c>
    </row>
    <row r="32" customFormat="false" ht="30" hidden="false" customHeight="true" outlineLevel="0" collapsed="false">
      <c r="A32" s="72" t="s">
        <v>1068</v>
      </c>
      <c r="B32" s="73" t="s">
        <v>1069</v>
      </c>
      <c r="C32" s="73" t="s">
        <v>1070</v>
      </c>
      <c r="D32" s="72" t="s">
        <v>1071</v>
      </c>
      <c r="E32" s="83" t="s">
        <v>1049</v>
      </c>
    </row>
    <row r="33" customFormat="false" ht="30" hidden="false" customHeight="true" outlineLevel="0" collapsed="false">
      <c r="A33" s="72" t="s">
        <v>821</v>
      </c>
      <c r="B33" s="73" t="s">
        <v>1055</v>
      </c>
      <c r="C33" s="73" t="s">
        <v>1072</v>
      </c>
      <c r="D33" s="72" t="s">
        <v>1073</v>
      </c>
      <c r="E33" s="74" t="s">
        <v>1027</v>
      </c>
    </row>
    <row r="34" customFormat="false" ht="30" hidden="false" customHeight="true" outlineLevel="0" collapsed="false">
      <c r="A34" s="72" t="s">
        <v>1074</v>
      </c>
      <c r="B34" s="73" t="s">
        <v>1075</v>
      </c>
      <c r="C34" s="73" t="s">
        <v>1076</v>
      </c>
      <c r="D34" s="72" t="s">
        <v>1077</v>
      </c>
      <c r="E34" s="74" t="s">
        <v>1027</v>
      </c>
    </row>
    <row r="35" customFormat="false" ht="30" hidden="false" customHeight="true" outlineLevel="0" collapsed="false">
      <c r="A35" s="72" t="s">
        <v>1058</v>
      </c>
      <c r="B35" s="73" t="s">
        <v>1078</v>
      </c>
      <c r="C35" s="73" t="s">
        <v>1079</v>
      </c>
      <c r="D35" s="72" t="s">
        <v>1080</v>
      </c>
      <c r="E35" s="83" t="s">
        <v>1049</v>
      </c>
    </row>
    <row r="36" customFormat="false" ht="30" hidden="false" customHeight="true" outlineLevel="0" collapsed="false">
      <c r="A36" s="72" t="s">
        <v>1081</v>
      </c>
      <c r="B36" s="73" t="s">
        <v>1029</v>
      </c>
      <c r="C36" s="73" t="s">
        <v>1082</v>
      </c>
      <c r="D36" s="72" t="s">
        <v>1083</v>
      </c>
      <c r="E36" s="83" t="s">
        <v>1049</v>
      </c>
    </row>
    <row r="37" customFormat="false" ht="18" hidden="false" customHeight="true" outlineLevel="0" collapsed="false">
      <c r="A37" s="88" t="s">
        <v>1040</v>
      </c>
      <c r="B37" s="77" t="s">
        <v>690</v>
      </c>
      <c r="C37" s="89" t="s">
        <v>1084</v>
      </c>
      <c r="D37" s="79" t="s">
        <v>1042</v>
      </c>
      <c r="E37" s="80"/>
    </row>
    <row r="39" customFormat="false" ht="21.75" hidden="false" customHeight="true" outlineLevel="0" collapsed="false">
      <c r="A39" s="90" t="s">
        <v>1085</v>
      </c>
      <c r="B39" s="90"/>
      <c r="C39" s="90"/>
      <c r="D39" s="90"/>
      <c r="E39" s="90"/>
      <c r="F39" s="90"/>
      <c r="G39" s="90"/>
      <c r="H39" s="90"/>
    </row>
    <row r="40" customFormat="false" ht="15.75" hidden="false" customHeight="true" outlineLevel="0" collapsed="false">
      <c r="A40" s="91" t="s">
        <v>1086</v>
      </c>
      <c r="B40" s="91"/>
      <c r="C40" s="91"/>
      <c r="D40" s="91"/>
      <c r="E40" s="91"/>
      <c r="F40" s="91"/>
      <c r="G40" s="91"/>
      <c r="H40" s="91"/>
    </row>
    <row r="41" customFormat="false" ht="15.75" hidden="false" customHeight="true" outlineLevel="0" collapsed="false">
      <c r="A41" s="71" t="s">
        <v>1019</v>
      </c>
      <c r="B41" s="71" t="s">
        <v>1020</v>
      </c>
      <c r="C41" s="71" t="s">
        <v>1021</v>
      </c>
      <c r="D41" s="71" t="s">
        <v>1022</v>
      </c>
      <c r="E41" s="71" t="s">
        <v>653</v>
      </c>
    </row>
    <row r="42" customFormat="false" ht="30" hidden="false" customHeight="true" outlineLevel="0" collapsed="false">
      <c r="A42" s="72" t="s">
        <v>1087</v>
      </c>
      <c r="B42" s="73" t="s">
        <v>1029</v>
      </c>
      <c r="C42" s="73" t="s">
        <v>1088</v>
      </c>
      <c r="D42" s="72" t="s">
        <v>1089</v>
      </c>
      <c r="E42" s="75" t="s">
        <v>1035</v>
      </c>
    </row>
    <row r="43" customFormat="false" ht="30" hidden="false" customHeight="true" outlineLevel="0" collapsed="false">
      <c r="A43" s="72" t="s">
        <v>1090</v>
      </c>
      <c r="B43" s="73" t="s">
        <v>1075</v>
      </c>
      <c r="C43" s="73" t="s">
        <v>1088</v>
      </c>
      <c r="D43" s="72" t="s">
        <v>1091</v>
      </c>
      <c r="E43" s="75" t="s">
        <v>1035</v>
      </c>
    </row>
    <row r="44" customFormat="false" ht="30" hidden="false" customHeight="true" outlineLevel="0" collapsed="false">
      <c r="A44" s="72" t="s">
        <v>1092</v>
      </c>
      <c r="B44" s="73" t="s">
        <v>1075</v>
      </c>
      <c r="C44" s="73" t="s">
        <v>1088</v>
      </c>
      <c r="D44" s="72" t="s">
        <v>1093</v>
      </c>
      <c r="E44" s="75" t="s">
        <v>1035</v>
      </c>
    </row>
    <row r="45" customFormat="false" ht="30" hidden="false" customHeight="true" outlineLevel="0" collapsed="false">
      <c r="A45" s="72" t="s">
        <v>1094</v>
      </c>
      <c r="B45" s="73" t="s">
        <v>1075</v>
      </c>
      <c r="C45" s="73" t="s">
        <v>1088</v>
      </c>
      <c r="D45" s="72" t="s">
        <v>1095</v>
      </c>
      <c r="E45" s="75" t="s">
        <v>1035</v>
      </c>
    </row>
    <row r="46" customFormat="false" ht="30" hidden="false" customHeight="true" outlineLevel="0" collapsed="false">
      <c r="A46" s="72" t="s">
        <v>1096</v>
      </c>
      <c r="B46" s="73" t="s">
        <v>1075</v>
      </c>
      <c r="C46" s="73" t="s">
        <v>1056</v>
      </c>
      <c r="D46" s="72" t="s">
        <v>1097</v>
      </c>
      <c r="E46" s="74" t="s">
        <v>1027</v>
      </c>
    </row>
    <row r="47" customFormat="false" ht="30" hidden="false" customHeight="true" outlineLevel="0" collapsed="false">
      <c r="A47" s="72" t="s">
        <v>1098</v>
      </c>
      <c r="B47" s="73" t="s">
        <v>1029</v>
      </c>
      <c r="C47" s="73" t="s">
        <v>1099</v>
      </c>
      <c r="D47" s="72" t="s">
        <v>1100</v>
      </c>
      <c r="E47" s="74" t="s">
        <v>1027</v>
      </c>
    </row>
    <row r="48" customFormat="false" ht="18" hidden="false" customHeight="true" outlineLevel="0" collapsed="false">
      <c r="A48" s="92" t="s">
        <v>1040</v>
      </c>
      <c r="B48" s="77" t="s">
        <v>690</v>
      </c>
      <c r="C48" s="93" t="s">
        <v>1056</v>
      </c>
      <c r="D48" s="79" t="s">
        <v>1042</v>
      </c>
      <c r="E48" s="80"/>
    </row>
    <row r="50" customFormat="false" ht="21.75" hidden="false" customHeight="true" outlineLevel="0" collapsed="false">
      <c r="A50" s="94" t="s">
        <v>1101</v>
      </c>
      <c r="B50" s="94"/>
      <c r="C50" s="94"/>
      <c r="D50" s="94"/>
      <c r="E50" s="94"/>
      <c r="F50" s="94"/>
      <c r="G50" s="94"/>
      <c r="H50" s="94"/>
    </row>
    <row r="51" customFormat="false" ht="15.75" hidden="false" customHeight="true" outlineLevel="0" collapsed="false">
      <c r="A51" s="95" t="s">
        <v>1102</v>
      </c>
      <c r="B51" s="95"/>
      <c r="C51" s="95"/>
      <c r="D51" s="95"/>
      <c r="E51" s="95"/>
      <c r="F51" s="95"/>
      <c r="G51" s="95"/>
      <c r="H51" s="95"/>
    </row>
    <row r="52" customFormat="false" ht="15.75" hidden="false" customHeight="true" outlineLevel="0" collapsed="false">
      <c r="A52" s="71" t="s">
        <v>1019</v>
      </c>
      <c r="B52" s="71" t="s">
        <v>1020</v>
      </c>
      <c r="C52" s="71" t="s">
        <v>1021</v>
      </c>
      <c r="D52" s="71" t="s">
        <v>1022</v>
      </c>
      <c r="E52" s="71" t="s">
        <v>653</v>
      </c>
    </row>
    <row r="53" customFormat="false" ht="30" hidden="false" customHeight="true" outlineLevel="0" collapsed="false">
      <c r="A53" s="72" t="s">
        <v>1103</v>
      </c>
      <c r="B53" s="73" t="s">
        <v>1055</v>
      </c>
      <c r="C53" s="73" t="s">
        <v>1104</v>
      </c>
      <c r="D53" s="72" t="s">
        <v>1105</v>
      </c>
      <c r="E53" s="75" t="s">
        <v>1035</v>
      </c>
    </row>
    <row r="54" customFormat="false" ht="30" hidden="false" customHeight="true" outlineLevel="0" collapsed="false">
      <c r="A54" s="72" t="s">
        <v>1106</v>
      </c>
      <c r="B54" s="73" t="s">
        <v>1078</v>
      </c>
      <c r="C54" s="73" t="s">
        <v>1104</v>
      </c>
      <c r="D54" s="72" t="s">
        <v>1107</v>
      </c>
      <c r="E54" s="75" t="s">
        <v>1035</v>
      </c>
    </row>
    <row r="55" customFormat="false" ht="30" hidden="false" customHeight="true" outlineLevel="0" collapsed="false">
      <c r="A55" s="72" t="s">
        <v>1108</v>
      </c>
      <c r="B55" s="73" t="s">
        <v>1029</v>
      </c>
      <c r="C55" s="73" t="s">
        <v>1109</v>
      </c>
      <c r="D55" s="72" t="s">
        <v>1110</v>
      </c>
      <c r="E55" s="83" t="s">
        <v>1049</v>
      </c>
    </row>
    <row r="56" customFormat="false" ht="30" hidden="false" customHeight="true" outlineLevel="0" collapsed="false">
      <c r="A56" s="72" t="s">
        <v>1111</v>
      </c>
      <c r="B56" s="73" t="s">
        <v>1075</v>
      </c>
      <c r="C56" s="73" t="s">
        <v>1056</v>
      </c>
      <c r="D56" s="72" t="s">
        <v>1112</v>
      </c>
      <c r="E56" s="75" t="s">
        <v>1035</v>
      </c>
    </row>
    <row r="57" customFormat="false" ht="30" hidden="false" customHeight="true" outlineLevel="0" collapsed="false">
      <c r="A57" s="72" t="s">
        <v>1113</v>
      </c>
      <c r="B57" s="73" t="s">
        <v>1037</v>
      </c>
      <c r="C57" s="73" t="s">
        <v>1030</v>
      </c>
      <c r="D57" s="72" t="s">
        <v>1114</v>
      </c>
      <c r="E57" s="74" t="s">
        <v>1027</v>
      </c>
    </row>
    <row r="58" customFormat="false" ht="30" hidden="false" customHeight="true" outlineLevel="0" collapsed="false">
      <c r="A58" s="72" t="s">
        <v>1115</v>
      </c>
      <c r="B58" s="73" t="s">
        <v>1037</v>
      </c>
      <c r="C58" s="73" t="s">
        <v>1116</v>
      </c>
      <c r="D58" s="72" t="s">
        <v>1117</v>
      </c>
      <c r="E58" s="83" t="s">
        <v>1049</v>
      </c>
    </row>
    <row r="59" customFormat="false" ht="30" hidden="false" customHeight="true" outlineLevel="0" collapsed="false">
      <c r="A59" s="72" t="s">
        <v>1118</v>
      </c>
      <c r="B59" s="73" t="s">
        <v>1037</v>
      </c>
      <c r="C59" s="73" t="s">
        <v>1025</v>
      </c>
      <c r="D59" s="72" t="s">
        <v>1119</v>
      </c>
      <c r="E59" s="74" t="s">
        <v>1027</v>
      </c>
    </row>
    <row r="60" customFormat="false" ht="30" hidden="false" customHeight="true" outlineLevel="0" collapsed="false">
      <c r="A60" s="72" t="s">
        <v>1120</v>
      </c>
      <c r="B60" s="73" t="s">
        <v>1029</v>
      </c>
      <c r="C60" s="73" t="s">
        <v>1025</v>
      </c>
      <c r="D60" s="72" t="s">
        <v>1121</v>
      </c>
      <c r="E60" s="74" t="s">
        <v>1027</v>
      </c>
    </row>
    <row r="61" customFormat="false" ht="18" hidden="false" customHeight="true" outlineLevel="0" collapsed="false">
      <c r="A61" s="96" t="s">
        <v>1040</v>
      </c>
      <c r="B61" s="77" t="s">
        <v>690</v>
      </c>
      <c r="C61" s="97" t="s">
        <v>1122</v>
      </c>
      <c r="D61" s="79" t="s">
        <v>1042</v>
      </c>
      <c r="E61" s="80"/>
    </row>
    <row r="63" customFormat="false" ht="21.75" hidden="false" customHeight="true" outlineLevel="0" collapsed="false">
      <c r="A63" s="98" t="s">
        <v>1123</v>
      </c>
      <c r="B63" s="98"/>
      <c r="C63" s="98"/>
      <c r="D63" s="98"/>
      <c r="E63" s="98"/>
      <c r="F63" s="98"/>
      <c r="G63" s="98"/>
      <c r="H63" s="98"/>
    </row>
    <row r="64" customFormat="false" ht="15.75" hidden="false" customHeight="true" outlineLevel="0" collapsed="false">
      <c r="A64" s="99" t="s">
        <v>1124</v>
      </c>
      <c r="B64" s="99"/>
      <c r="C64" s="99"/>
      <c r="D64" s="99"/>
      <c r="E64" s="99"/>
      <c r="F64" s="99"/>
      <c r="G64" s="99"/>
      <c r="H64" s="99"/>
    </row>
    <row r="65" customFormat="false" ht="15.75" hidden="false" customHeight="true" outlineLevel="0" collapsed="false">
      <c r="A65" s="71" t="s">
        <v>1019</v>
      </c>
      <c r="B65" s="71" t="s">
        <v>1020</v>
      </c>
      <c r="C65" s="71" t="s">
        <v>1021</v>
      </c>
      <c r="D65" s="71" t="s">
        <v>1022</v>
      </c>
      <c r="E65" s="71" t="s">
        <v>653</v>
      </c>
    </row>
    <row r="66" customFormat="false" ht="30" hidden="false" customHeight="true" outlineLevel="0" collapsed="false">
      <c r="A66" s="72" t="s">
        <v>1125</v>
      </c>
      <c r="B66" s="73" t="s">
        <v>356</v>
      </c>
      <c r="C66" s="73" t="s">
        <v>1099</v>
      </c>
      <c r="D66" s="72" t="s">
        <v>1126</v>
      </c>
      <c r="E66" s="74" t="s">
        <v>1027</v>
      </c>
    </row>
    <row r="67" customFormat="false" ht="30" hidden="false" customHeight="true" outlineLevel="0" collapsed="false">
      <c r="A67" s="72" t="s">
        <v>1127</v>
      </c>
      <c r="B67" s="73" t="s">
        <v>356</v>
      </c>
      <c r="C67" s="73" t="s">
        <v>1128</v>
      </c>
      <c r="D67" s="72" t="s">
        <v>1129</v>
      </c>
      <c r="E67" s="75" t="s">
        <v>1035</v>
      </c>
    </row>
    <row r="68" customFormat="false" ht="30" hidden="false" customHeight="true" outlineLevel="0" collapsed="false">
      <c r="A68" s="72" t="s">
        <v>1130</v>
      </c>
      <c r="B68" s="73" t="s">
        <v>356</v>
      </c>
      <c r="C68" s="73" t="s">
        <v>1128</v>
      </c>
      <c r="D68" s="72" t="s">
        <v>1131</v>
      </c>
      <c r="E68" s="75" t="s">
        <v>1035</v>
      </c>
    </row>
    <row r="69" customFormat="false" ht="30" hidden="false" customHeight="true" outlineLevel="0" collapsed="false">
      <c r="A69" s="72" t="s">
        <v>1132</v>
      </c>
      <c r="B69" s="73" t="s">
        <v>356</v>
      </c>
      <c r="C69" s="73" t="s">
        <v>1104</v>
      </c>
      <c r="D69" s="72" t="s">
        <v>1133</v>
      </c>
      <c r="E69" s="74" t="s">
        <v>1027</v>
      </c>
    </row>
    <row r="70" customFormat="false" ht="30" hidden="false" customHeight="true" outlineLevel="0" collapsed="false">
      <c r="A70" s="72" t="s">
        <v>1134</v>
      </c>
      <c r="B70" s="73" t="s">
        <v>1135</v>
      </c>
      <c r="C70" s="73" t="s">
        <v>1136</v>
      </c>
      <c r="D70" s="72" t="s">
        <v>1137</v>
      </c>
      <c r="E70" s="74" t="s">
        <v>1027</v>
      </c>
    </row>
    <row r="71" customFormat="false" ht="30" hidden="false" customHeight="true" outlineLevel="0" collapsed="false">
      <c r="A71" s="72" t="s">
        <v>1138</v>
      </c>
      <c r="B71" s="73" t="s">
        <v>1135</v>
      </c>
      <c r="C71" s="73" t="s">
        <v>1104</v>
      </c>
      <c r="D71" s="72" t="s">
        <v>1139</v>
      </c>
      <c r="E71" s="75" t="s">
        <v>1035</v>
      </c>
    </row>
    <row r="72" customFormat="false" ht="18" hidden="false" customHeight="true" outlineLevel="0" collapsed="false">
      <c r="A72" s="100" t="s">
        <v>1040</v>
      </c>
      <c r="B72" s="77" t="s">
        <v>690</v>
      </c>
      <c r="C72" s="101" t="s">
        <v>1099</v>
      </c>
      <c r="D72" s="79" t="s">
        <v>1042</v>
      </c>
      <c r="E72" s="80"/>
    </row>
    <row r="74" customFormat="false" ht="18" hidden="false" customHeight="true" outlineLevel="0" collapsed="false">
      <c r="A74" s="66" t="s">
        <v>1140</v>
      </c>
      <c r="B74" s="66"/>
      <c r="C74" s="66"/>
      <c r="D74" s="66"/>
      <c r="E74" s="66"/>
      <c r="F74" s="66"/>
      <c r="G74" s="66"/>
      <c r="H74" s="66"/>
    </row>
    <row r="75" customFormat="false" ht="19.5" hidden="false" customHeight="true" outlineLevel="0" collapsed="false">
      <c r="A75" s="102" t="s">
        <v>1141</v>
      </c>
      <c r="B75" s="102"/>
      <c r="C75" s="102"/>
      <c r="D75" s="102"/>
      <c r="E75" s="102"/>
      <c r="F75" s="102"/>
      <c r="G75" s="102"/>
      <c r="H75" s="102"/>
    </row>
    <row r="76" customFormat="false" ht="19.5" hidden="false" customHeight="true" outlineLevel="0" collapsed="false">
      <c r="A76" s="102"/>
      <c r="B76" s="102"/>
      <c r="C76" s="102"/>
      <c r="D76" s="102"/>
      <c r="E76" s="102"/>
      <c r="F76" s="102"/>
      <c r="G76" s="102"/>
      <c r="H76" s="102"/>
    </row>
    <row r="77" customFormat="false" ht="19.5" hidden="false" customHeight="true" outlineLevel="0" collapsed="false">
      <c r="A77" s="102"/>
      <c r="B77" s="102"/>
      <c r="C77" s="102"/>
      <c r="D77" s="102"/>
      <c r="E77" s="102"/>
      <c r="F77" s="102"/>
      <c r="G77" s="102"/>
      <c r="H77" s="102"/>
    </row>
  </sheetData>
  <mergeCells count="17">
    <mergeCell ref="A1:H1"/>
    <mergeCell ref="A2:H2"/>
    <mergeCell ref="A4:H4"/>
    <mergeCell ref="A10:H10"/>
    <mergeCell ref="A11:H11"/>
    <mergeCell ref="A19:H19"/>
    <mergeCell ref="A20:H20"/>
    <mergeCell ref="A29:H29"/>
    <mergeCell ref="A30:H30"/>
    <mergeCell ref="A39:H39"/>
    <mergeCell ref="A40:H40"/>
    <mergeCell ref="A50:H50"/>
    <mergeCell ref="A51:H51"/>
    <mergeCell ref="A63:H63"/>
    <mergeCell ref="A64:H64"/>
    <mergeCell ref="A74:H74"/>
    <mergeCell ref="A75:H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2026-04-15T09:55:39Z</dcterms:created>
  <dc:creator>openpyxl</dc:creator>
  <dc:description/>
  <dc:language>en-US</dc:language>
  <cp:lastModifiedBy/>
  <dcterms:modified xsi:type="dcterms:W3CDTF">2026-05-06T10:44:15Z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