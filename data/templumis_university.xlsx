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udents" sheetId="1" state="visible" r:id="rId1"/>
    <sheet name="Courses" sheetId="2" state="visible" r:id="rId2"/>
    <sheet name="Enrolments" sheetId="3" state="visible" r:id="rId3"/>
    <sheet name="Grades" sheetId="4" state="visible" r:id="rId4"/>
    <sheet name="Attendance" sheetId="5" state="visible" r:id="rId5"/>
    <sheet name="Fee Records" sheetId="6" state="visible" r:id="rId6"/>
    <sheet name="Payments" sheetId="7" state="visible" r:id="rId7"/>
    <sheet name="Scholarships" sheetId="8" state="visible" r:id="rId8"/>
    <sheet name="Scholarship Apps" sheetId="9" state="visible" r:id="rId9"/>
    <sheet name="Dashboard" sheetId="10" state="visible" r:id="rId10"/>
    <sheet name="Journey Tracker" sheetId="11" state="visible" r:id="rId11"/>
    <sheet name="Rankings Dashboard" sheetId="12" state="visible" r:id="rId12"/>
    <sheet name="PG Research Tracker" sheetId="13" state="visible" r:id="rId13"/>
    <sheet name="PG Academic Support" sheetId="14" state="visible" r:id="rId14"/>
    <sheet name="Library Resources"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4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color rgb="FF212121"/>
      <sz val="9"/>
    </font>
    <font>
      <name val="Arial"/>
      <charset val="1"/>
      <family val="0"/>
      <b val="1"/>
      <color rgb="FFFFFFFF"/>
      <sz val="11"/>
    </font>
    <font>
      <name val="Arial"/>
      <charset val="1"/>
      <family val="0"/>
      <sz val="10"/>
    </font>
    <font>
      <name val="Arial"/>
      <charset val="1"/>
      <family val="0"/>
      <b val="1"/>
      <color rgb="FF1B3A6B"/>
      <sz val="13"/>
    </font>
    <font>
      <name val="Arial"/>
      <charset val="1"/>
      <family val="0"/>
      <i val="1"/>
      <color rgb="FF666666"/>
      <sz val="10"/>
    </font>
    <font>
      <name val="Arial"/>
      <charset val="1"/>
      <family val="0"/>
      <color rgb="FF000000"/>
      <sz val="10"/>
    </font>
    <font>
      <name val="Arial"/>
      <charset val="1"/>
      <family val="0"/>
      <b val="1"/>
      <color rgb="FF2E7D32"/>
      <sz val="10"/>
    </font>
    <font>
      <name val="Arial"/>
      <charset val="1"/>
      <family val="0"/>
      <b val="1"/>
      <color rgb="FFE65100"/>
      <sz val="10"/>
    </font>
    <font>
      <name val="Arial"/>
      <charset val="1"/>
      <family val="0"/>
      <b val="1"/>
      <color rgb="FF4A148C"/>
      <sz val="10"/>
    </font>
    <font>
      <name val="Arial"/>
      <charset val="1"/>
      <family val="0"/>
      <b val="1"/>
      <color rgb="FFC62828"/>
      <sz val="10"/>
    </font>
    <font>
      <name val="Arial"/>
      <charset val="1"/>
      <family val="0"/>
      <b val="1"/>
      <color rgb="FF000000"/>
      <sz val="10"/>
    </font>
    <font>
      <name val="Arial"/>
      <charset val="1"/>
      <family val="0"/>
      <b val="1"/>
      <color rgb="FFFFFFFF"/>
      <sz val="15"/>
    </font>
    <font>
      <name val="Arial"/>
      <charset val="1"/>
      <family val="0"/>
      <color rgb="FF5A6A8A"/>
      <sz val="11"/>
    </font>
    <font>
      <name val="Arial"/>
      <charset val="1"/>
      <family val="0"/>
      <b val="1"/>
      <color rgb="FF1F3864"/>
      <sz val="11"/>
    </font>
    <font>
      <name val="Arial"/>
      <charset val="1"/>
      <family val="0"/>
      <b val="1"/>
      <color rgb="FF1F3864"/>
      <sz val="12"/>
    </font>
    <font>
      <name val="Arial"/>
      <charset val="1"/>
      <family val="0"/>
      <b val="1"/>
      <color rgb="FF212121"/>
      <sz val="10"/>
    </font>
    <font>
      <name val="Arial"/>
      <charset val="1"/>
      <family val="0"/>
      <b val="1"/>
      <color rgb="FF212121"/>
      <sz val="9"/>
    </font>
    <font>
      <name val="Arial"/>
      <charset val="1"/>
      <family val="0"/>
      <color rgb="FF5A6A8A"/>
      <sz val="10"/>
    </font>
    <font>
      <name val="Arial"/>
      <charset val="1"/>
      <family val="0"/>
      <b val="1"/>
      <sz val="11"/>
    </font>
    <font>
      <name val="Arial"/>
      <charset val="1"/>
      <family val="0"/>
      <b val="1"/>
      <color rgb="FFFFFFFF"/>
      <sz val="9"/>
    </font>
    <font>
      <name val="Arial"/>
      <charset val="1"/>
      <family val="0"/>
      <b val="1"/>
      <color rgb="FF1B3A6B"/>
      <sz val="14"/>
    </font>
    <font>
      <name val="Arial"/>
      <charset val="1"/>
      <family val="0"/>
      <color rgb="FF555555"/>
      <sz val="10"/>
    </font>
    <font>
      <name val="Arial"/>
      <charset val="1"/>
      <family val="0"/>
      <b val="1"/>
      <color rgb="FF1B3A6B"/>
      <sz val="11"/>
    </font>
    <font>
      <name val="Arial"/>
      <charset val="1"/>
      <family val="0"/>
      <b val="1"/>
      <color rgb="FFFFFFFF"/>
      <sz val="12"/>
    </font>
    <font>
      <name val="Arial"/>
      <charset val="1"/>
      <family val="0"/>
      <i val="1"/>
      <color rgb="FF1565C0"/>
      <sz val="10"/>
    </font>
    <font>
      <name val="Arial"/>
      <charset val="1"/>
      <family val="0"/>
      <b val="1"/>
      <color rgb="FFE65100"/>
      <sz val="12"/>
    </font>
    <font>
      <name val="Arial"/>
      <charset val="1"/>
      <family val="0"/>
      <b val="1"/>
      <color rgb="FFC62828"/>
      <sz val="12"/>
    </font>
    <font>
      <name val="Arial"/>
      <charset val="1"/>
      <family val="0"/>
      <b val="1"/>
      <color rgb="FF1565C0"/>
      <sz val="10"/>
    </font>
    <font>
      <name val="Arial"/>
      <charset val="1"/>
      <family val="0"/>
      <b val="1"/>
      <color rgb="FF1565C0"/>
      <sz val="11"/>
    </font>
    <font>
      <name val="Arial"/>
      <charset val="1"/>
      <family val="0"/>
      <i val="1"/>
      <color rgb="FF2E7D32"/>
      <sz val="10"/>
    </font>
    <font>
      <name val="Arial"/>
      <charset val="1"/>
      <family val="0"/>
      <b val="1"/>
      <color rgb="FF2E7D32"/>
      <sz val="12"/>
    </font>
    <font>
      <name val="Arial"/>
      <charset val="1"/>
      <family val="0"/>
      <b val="1"/>
      <color rgb="FF2E7D32"/>
      <sz val="11"/>
    </font>
    <font>
      <name val="Arial"/>
      <charset val="1"/>
      <family val="0"/>
      <i val="1"/>
      <color rgb="FF006064"/>
      <sz val="10"/>
    </font>
    <font>
      <name val="Arial"/>
      <charset val="1"/>
      <family val="0"/>
      <b val="1"/>
      <color rgb="FF006064"/>
      <sz val="10"/>
    </font>
    <font>
      <name val="Arial"/>
      <charset val="1"/>
      <family val="0"/>
      <b val="1"/>
      <color rgb="FF006064"/>
      <sz val="11"/>
    </font>
    <font>
      <name val="Arial"/>
      <charset val="1"/>
      <family val="0"/>
      <i val="1"/>
      <color rgb="FFE65100"/>
      <sz val="10"/>
    </font>
    <font>
      <name val="Arial"/>
      <charset val="1"/>
      <family val="0"/>
      <b val="1"/>
      <color rgb="FFE65100"/>
      <sz val="11"/>
    </font>
    <font>
      <name val="Arial"/>
      <charset val="1"/>
      <family val="0"/>
      <i val="1"/>
      <color rgb="FF4A148C"/>
      <sz val="10"/>
    </font>
    <font>
      <name val="Arial"/>
      <charset val="1"/>
      <family val="0"/>
      <b val="1"/>
      <color rgb="FF4A148C"/>
      <sz val="11"/>
    </font>
    <font>
      <name val="Arial"/>
      <charset val="1"/>
      <family val="0"/>
      <i val="1"/>
      <color rgb="FF880E4F"/>
      <sz val="10"/>
    </font>
    <font>
      <name val="Arial"/>
      <charset val="1"/>
      <family val="0"/>
      <b val="1"/>
      <color rgb="FF880E4F"/>
      <sz val="10"/>
    </font>
    <font>
      <name val="Arial"/>
      <charset val="1"/>
      <family val="0"/>
      <b val="1"/>
      <color rgb="FF880E4F"/>
      <sz val="11"/>
    </font>
    <font>
      <name val="Arial"/>
      <charset val="1"/>
      <family val="0"/>
      <i val="1"/>
      <color rgb="FF444444"/>
      <sz val="10"/>
    </font>
    <font>
      <b val="1"/>
      <color rgb="00FFFFFF"/>
      <sz val="10"/>
    </font>
  </fonts>
  <fills count="38">
    <fill>
      <patternFill/>
    </fill>
    <fill>
      <patternFill patternType="gray125"/>
    </fill>
    <fill>
      <patternFill patternType="solid">
        <fgColor rgb="FF1F4E79"/>
        <bgColor rgb="FF1B3A6B"/>
      </patternFill>
    </fill>
    <fill>
      <patternFill patternType="solid">
        <fgColor rgb="FF4A148C"/>
        <bgColor rgb="FF800080"/>
      </patternFill>
    </fill>
    <fill>
      <patternFill patternType="solid">
        <fgColor rgb="FFDEEAF1"/>
        <bgColor rgb="FFE8EAF6"/>
      </patternFill>
    </fill>
    <fill>
      <patternFill patternType="solid">
        <fgColor rgb="FFC6EFCE"/>
        <bgColor rgb="FFDEEAF1"/>
      </patternFill>
    </fill>
    <fill>
      <patternFill patternType="solid">
        <fgColor rgb="FFFFF2CC"/>
        <bgColor rgb="FFFFF9C4"/>
      </patternFill>
    </fill>
    <fill>
      <patternFill patternType="solid">
        <fgColor rgb="FFF5F5F5"/>
        <bgColor rgb="FFF7F9FC"/>
      </patternFill>
    </fill>
    <fill>
      <patternFill patternType="solid">
        <fgColor rgb="FFFFCDD2"/>
        <bgColor rgb="FFFCE4EC"/>
      </patternFill>
    </fill>
    <fill>
      <patternFill patternType="solid">
        <fgColor rgb="FFEDE7F6"/>
        <bgColor rgb="FFE8EAF6"/>
      </patternFill>
    </fill>
    <fill>
      <patternFill patternType="solid">
        <fgColor rgb="FFF3E5F5"/>
        <bgColor rgb="FFEDE7F6"/>
      </patternFill>
    </fill>
    <fill>
      <patternFill patternType="solid">
        <fgColor rgb="FF1F3864"/>
        <bgColor rgb="FF1B3A6B"/>
      </patternFill>
    </fill>
    <fill>
      <patternFill patternType="solid">
        <fgColor rgb="FFEBF0FA"/>
        <bgColor rgb="FFEEF4FB"/>
      </patternFill>
    </fill>
    <fill>
      <patternFill patternType="solid">
        <fgColor rgb="FFFFFFFF"/>
        <bgColor rgb="FFF7F9FC"/>
      </patternFill>
    </fill>
    <fill>
      <patternFill patternType="solid">
        <fgColor rgb="FF1B3A6B"/>
        <bgColor rgb="FF1F3864"/>
      </patternFill>
    </fill>
    <fill>
      <patternFill patternType="solid">
        <fgColor rgb="FFE8F5E9"/>
        <bgColor rgb="FFE0F2F1"/>
      </patternFill>
    </fill>
    <fill>
      <patternFill patternType="solid">
        <fgColor rgb="FFF7F9FC"/>
        <bgColor rgb="FFF5F5F5"/>
      </patternFill>
    </fill>
    <fill>
      <patternFill patternType="solid">
        <fgColor rgb="FFFFF8E1"/>
        <bgColor rgb="FFFFF3E0"/>
      </patternFill>
    </fill>
    <fill>
      <patternFill patternType="solid">
        <fgColor rgb="FFFFEBEE"/>
        <bgColor rgb="FFFCE4EC"/>
      </patternFill>
    </fill>
    <fill>
      <patternFill patternType="solid">
        <fgColor rgb="FFE8EAF6"/>
        <bgColor rgb="FFEDE7F6"/>
      </patternFill>
    </fill>
    <fill>
      <patternFill patternType="solid">
        <fgColor rgb="FF2E5EA8"/>
        <bgColor rgb="FF1565C0"/>
      </patternFill>
    </fill>
    <fill>
      <patternFill patternType="solid">
        <fgColor rgb="FFFFFDE7"/>
        <bgColor rgb="FFFFF8E1"/>
      </patternFill>
    </fill>
    <fill>
      <patternFill patternType="solid">
        <fgColor rgb="FFE3F2FD"/>
        <bgColor rgb="FFE0F7FA"/>
      </patternFill>
    </fill>
    <fill>
      <patternFill patternType="solid">
        <fgColor rgb="FFFFF3E0"/>
        <bgColor rgb="FFFFF8E1"/>
      </patternFill>
    </fill>
    <fill>
      <patternFill patternType="solid">
        <fgColor rgb="FFFCE4EC"/>
        <bgColor rgb="FFFFEBEE"/>
      </patternFill>
    </fill>
    <fill>
      <patternFill patternType="solid">
        <fgColor rgb="FFE0F2F1"/>
        <bgColor rgb="FFE3F2FD"/>
      </patternFill>
    </fill>
    <fill>
      <patternFill patternType="solid">
        <fgColor rgb="FF37474F"/>
        <bgColor rgb="FF374151"/>
      </patternFill>
    </fill>
    <fill>
      <patternFill patternType="solid">
        <fgColor rgb="FFFFF9C4"/>
        <bgColor rgb="FFFFF2CC"/>
      </patternFill>
    </fill>
    <fill>
      <patternFill patternType="solid">
        <fgColor rgb="FFEEEEEE"/>
        <bgColor rgb="FFEBF0FA"/>
      </patternFill>
    </fill>
    <fill>
      <patternFill patternType="solid">
        <fgColor rgb="FFEEF4FB"/>
        <bgColor rgb="FFEBF0FA"/>
      </patternFill>
    </fill>
    <fill>
      <patternFill patternType="solid">
        <fgColor rgb="FF1565C0"/>
        <bgColor rgb="FF2E5EA8"/>
      </patternFill>
    </fill>
    <fill>
      <patternFill patternType="solid">
        <fgColor rgb="FF374151"/>
        <bgColor rgb="FF37474F"/>
      </patternFill>
    </fill>
    <fill>
      <patternFill patternType="solid">
        <fgColor rgb="FF2E7D32"/>
        <bgColor rgb="FF008000"/>
      </patternFill>
    </fill>
    <fill>
      <patternFill patternType="solid">
        <fgColor rgb="FF006064"/>
        <bgColor rgb="FF1F4E79"/>
      </patternFill>
    </fill>
    <fill>
      <patternFill patternType="solid">
        <fgColor rgb="FFE0F7FA"/>
        <bgColor rgb="FFE3F2FD"/>
      </patternFill>
    </fill>
    <fill>
      <patternFill patternType="solid">
        <fgColor rgb="FFE65100"/>
        <bgColor rgb="FFC62828"/>
      </patternFill>
    </fill>
    <fill>
      <patternFill patternType="solid">
        <fgColor rgb="FF880E4F"/>
        <bgColor rgb="FF800080"/>
      </patternFill>
    </fill>
    <fill>
      <patternFill patternType="solid">
        <fgColor rgb="001E3A5F"/>
      </patternFill>
    </fill>
  </fills>
  <borders count="12">
    <border>
      <left/>
      <right/>
      <top/>
      <bottom/>
      <diagonal/>
    </border>
    <border>
      <left style="thin">
        <color rgb="FFBDBDBD"/>
      </left>
      <right style="thin">
        <color rgb="FFBDBDBD"/>
      </right>
      <top style="thin">
        <color rgb="FFBDBDBD"/>
      </top>
      <bottom style="thin">
        <color rgb="FFBDBDBD"/>
      </bottom>
      <diagonal/>
    </border>
    <border>
      <left style="thin">
        <color rgb="FFC9D4EA"/>
      </left>
      <right style="thin">
        <color rgb="FFC9D4EA"/>
      </right>
      <top style="thin">
        <color rgb="FFC9D4EA"/>
      </top>
      <bottom style="thin">
        <color rgb="FFC9D4EA"/>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BDBDBD"/>
      </top>
      <bottom/>
      <diagonal/>
    </border>
    <border>
      <left/>
      <right style="thin">
        <color rgb="FFBDBDBD"/>
      </right>
      <top style="thin">
        <color rgb="FFBDBDBD"/>
      </top>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1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1" borderId="2" applyAlignment="1" pivotButton="0" quotePrefix="0" xfId="0">
      <alignment horizontal="center" vertical="center" wrapText="1"/>
    </xf>
    <xf numFmtId="0" fontId="7" fillId="12" borderId="2" applyAlignment="1" pivotButton="0" quotePrefix="0" xfId="0">
      <alignment horizontal="general" vertical="center"/>
    </xf>
    <xf numFmtId="0" fontId="7" fillId="13" borderId="2" applyAlignment="1" pivotButton="0" quotePrefix="0" xfId="0">
      <alignment horizontal="general" vertical="center"/>
    </xf>
    <xf numFmtId="164" fontId="7" fillId="12" borderId="2" applyAlignment="1" pivotButton="0" quotePrefix="0" xfId="0">
      <alignment horizontal="general" vertical="center"/>
    </xf>
    <xf numFmtId="164" fontId="7" fillId="13" borderId="2" applyAlignment="1" pivotButton="0" quotePrefix="0" xfId="0">
      <alignment horizontal="general"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4" fillId="14" borderId="3" applyAlignment="1" pivotButton="0" quotePrefix="0" xfId="0">
      <alignment horizontal="center" vertical="center"/>
    </xf>
    <xf numFmtId="0" fontId="10" fillId="0" borderId="3" applyAlignment="1" pivotButton="0" quotePrefix="0" xfId="0">
      <alignment horizontal="center" vertical="center"/>
    </xf>
    <xf numFmtId="0" fontId="10" fillId="0" borderId="3" applyAlignment="1" pivotButton="0" quotePrefix="0" xfId="0">
      <alignment horizontal="left" vertical="center"/>
    </xf>
    <xf numFmtId="3" fontId="10" fillId="0" borderId="3" applyAlignment="1" pivotButton="0" quotePrefix="0" xfId="0">
      <alignment horizontal="center" vertical="center"/>
    </xf>
    <xf numFmtId="0" fontId="11" fillId="15" borderId="3" applyAlignment="1" pivotButton="0" quotePrefix="0" xfId="0">
      <alignment horizontal="center" vertical="center"/>
    </xf>
    <xf numFmtId="0" fontId="10" fillId="16" borderId="3" applyAlignment="1" pivotButton="0" quotePrefix="0" xfId="0">
      <alignment horizontal="center" vertical="center"/>
    </xf>
    <xf numFmtId="0" fontId="10" fillId="16" borderId="3" applyAlignment="1" pivotButton="0" quotePrefix="0" xfId="0">
      <alignment horizontal="left" vertical="center"/>
    </xf>
    <xf numFmtId="3" fontId="10" fillId="16" borderId="3" applyAlignment="1" pivotButton="0" quotePrefix="0" xfId="0">
      <alignment horizontal="center" vertical="center"/>
    </xf>
    <xf numFmtId="0" fontId="12" fillId="17" borderId="3" applyAlignment="1" pivotButton="0" quotePrefix="0" xfId="0">
      <alignment horizontal="center" vertical="center"/>
    </xf>
    <xf numFmtId="0" fontId="13" fillId="10" borderId="3" applyAlignment="1" pivotButton="0" quotePrefix="0" xfId="0">
      <alignment horizontal="center" vertical="center"/>
    </xf>
    <xf numFmtId="0" fontId="14" fillId="18" borderId="3" applyAlignment="1" pivotButton="0" quotePrefix="0" xfId="0">
      <alignment horizontal="center" vertical="center"/>
    </xf>
    <xf numFmtId="0" fontId="15" fillId="19" borderId="3" applyAlignment="1" pivotButton="0" quotePrefix="0" xfId="0">
      <alignment horizontal="general" vertical="bottom"/>
    </xf>
    <xf numFmtId="0" fontId="0" fillId="19" borderId="3" applyAlignment="1" pivotButton="0" quotePrefix="0" xfId="0">
      <alignment horizontal="general" vertical="bottom"/>
    </xf>
    <xf numFmtId="3" fontId="15" fillId="19" borderId="3" applyAlignment="1" pivotButton="0" quotePrefix="0" xfId="0">
      <alignment horizontal="center" vertical="center"/>
    </xf>
    <xf numFmtId="0" fontId="10" fillId="0" borderId="3" applyAlignment="1" pivotButton="0" quotePrefix="0" xfId="0">
      <alignment horizontal="left" vertical="center" wrapText="1"/>
    </xf>
    <xf numFmtId="0" fontId="10" fillId="16" borderId="3" applyAlignment="1" pivotButton="0" quotePrefix="0" xfId="0">
      <alignment horizontal="left" vertical="center" wrapText="1"/>
    </xf>
    <xf numFmtId="0" fontId="15" fillId="19" borderId="3" applyAlignment="1" pivotButton="0" quotePrefix="0" xfId="0">
      <alignment horizontal="center" vertical="center"/>
    </xf>
    <xf numFmtId="0" fontId="16" fillId="11" borderId="0" applyAlignment="1" pivotButton="0" quotePrefix="0" xfId="0">
      <alignment horizontal="center" vertical="center"/>
    </xf>
    <xf numFmtId="0" fontId="17" fillId="0" borderId="0" applyAlignment="1" pivotButton="0" quotePrefix="0" xfId="0">
      <alignment horizontal="center" vertical="bottom"/>
    </xf>
    <xf numFmtId="0" fontId="6" fillId="20" borderId="0" applyAlignment="1" pivotButton="0" quotePrefix="0" xfId="0">
      <alignment horizontal="center" vertical="center"/>
    </xf>
    <xf numFmtId="0" fontId="18" fillId="12" borderId="2" applyAlignment="1" pivotButton="0" quotePrefix="0" xfId="0">
      <alignment horizontal="left" vertical="center"/>
    </xf>
    <xf numFmtId="0" fontId="19" fillId="13" borderId="2" applyAlignment="1" pivotButton="0" quotePrefix="0" xfId="0">
      <alignment horizontal="center" vertical="center"/>
    </xf>
    <xf numFmtId="0" fontId="20" fillId="20" borderId="0" applyAlignment="1" pivotButton="0" quotePrefix="0" xfId="0">
      <alignment horizontal="center" vertical="center"/>
    </xf>
    <xf numFmtId="0" fontId="5" fillId="12" borderId="2" applyAlignment="1" pivotButton="0" quotePrefix="0" xfId="0">
      <alignment horizontal="left" vertical="center"/>
    </xf>
    <xf numFmtId="0" fontId="21" fillId="13" borderId="2" applyAlignment="1" pivotButton="0" quotePrefix="0" xfId="0">
      <alignment horizontal="center" vertical="center"/>
    </xf>
    <xf numFmtId="0" fontId="22" fillId="12" borderId="2" applyAlignment="1" pivotButton="0" quotePrefix="0" xfId="0">
      <alignment horizontal="left" vertical="center"/>
    </xf>
    <xf numFmtId="0" fontId="23" fillId="21" borderId="2" applyAlignment="1" pivotButton="0" quotePrefix="0" xfId="0">
      <alignment horizontal="general" vertical="bottom"/>
    </xf>
    <xf numFmtId="0" fontId="20" fillId="22" borderId="1" applyAlignment="1" pivotButton="0" quotePrefix="0" xfId="0">
      <alignment horizontal="center" vertical="center" wrapText="1"/>
    </xf>
    <xf numFmtId="0" fontId="20" fillId="15"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9" borderId="1" applyAlignment="1" pivotButton="0" quotePrefix="0" xfId="0">
      <alignment horizontal="center" vertical="center" wrapText="1"/>
    </xf>
    <xf numFmtId="0" fontId="20" fillId="25" borderId="1" applyAlignment="1" pivotButton="0" quotePrefix="0" xfId="0">
      <alignment horizontal="center" vertical="center" wrapText="1"/>
    </xf>
    <xf numFmtId="0" fontId="24" fillId="2" borderId="1" applyAlignment="1" pivotButton="0" quotePrefix="0" xfId="0">
      <alignment horizontal="center" vertical="center" wrapText="1"/>
    </xf>
    <xf numFmtId="0" fontId="24" fillId="26" borderId="1" applyAlignment="1" pivotButton="0" quotePrefix="0" xfId="0">
      <alignment horizontal="center" vertical="center" wrapText="1"/>
    </xf>
    <xf numFmtId="0" fontId="5" fillId="27" borderId="1" applyAlignment="1" pivotButton="0" quotePrefix="0" xfId="0">
      <alignment horizontal="center" vertical="center" wrapText="1"/>
    </xf>
    <xf numFmtId="0" fontId="5" fillId="28" borderId="1" applyAlignment="1" pivotButton="0" quotePrefix="0" xfId="0">
      <alignment horizontal="center" vertical="center" wrapText="1"/>
    </xf>
    <xf numFmtId="0" fontId="5" fillId="28" borderId="1" applyAlignment="1" pivotButton="0" quotePrefix="0" xfId="0">
      <alignment horizontal="left" vertical="center" wrapText="1"/>
    </xf>
    <xf numFmtId="0" fontId="5" fillId="27" borderId="1" applyAlignment="1" pivotButton="0" quotePrefix="0" xfId="0">
      <alignment horizontal="left" vertical="center" wrapText="1"/>
    </xf>
    <xf numFmtId="0" fontId="25"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6" fillId="14" borderId="0" applyAlignment="1" pivotButton="0" quotePrefix="0" xfId="0">
      <alignment horizontal="center" vertical="center" wrapText="1"/>
    </xf>
    <xf numFmtId="0" fontId="26" fillId="7" borderId="3" applyAlignment="1" pivotButton="0" quotePrefix="0" xfId="0">
      <alignment horizontal="center" vertical="center" wrapText="1"/>
    </xf>
    <xf numFmtId="0" fontId="27" fillId="29" borderId="3" applyAlignment="1" pivotButton="0" quotePrefix="0" xfId="0">
      <alignment horizontal="center" vertical="center" wrapText="1"/>
    </xf>
    <xf numFmtId="0" fontId="28" fillId="30" borderId="0" applyAlignment="1" pivotButton="0" quotePrefix="0" xfId="0">
      <alignment horizontal="left" vertical="center" wrapText="1"/>
    </xf>
    <xf numFmtId="0" fontId="29" fillId="22" borderId="0" applyAlignment="1" pivotButton="0" quotePrefix="0" xfId="0">
      <alignment horizontal="left" vertical="center" wrapText="1"/>
    </xf>
    <xf numFmtId="0" fontId="4" fillId="31" borderId="3" applyAlignment="1" pivotButton="0" quotePrefix="0" xfId="0">
      <alignment horizontal="center" vertical="center" wrapText="1"/>
    </xf>
    <xf numFmtId="0" fontId="7" fillId="0" borderId="3" applyAlignment="1" pivotButton="0" quotePrefix="0" xfId="0">
      <alignment horizontal="left" vertical="center" wrapText="1"/>
    </xf>
    <xf numFmtId="0" fontId="7" fillId="0" borderId="3" applyAlignment="1" pivotButton="0" quotePrefix="0" xfId="0">
      <alignment horizontal="center" vertical="center" wrapText="1"/>
    </xf>
    <xf numFmtId="0" fontId="30" fillId="0" borderId="3" applyAlignment="1" pivotButton="0" quotePrefix="0" xfId="0">
      <alignment horizontal="center" vertical="center" wrapText="1"/>
    </xf>
    <xf numFmtId="0" fontId="31" fillId="0" borderId="3" applyAlignment="1" pivotButton="0" quotePrefix="0" xfId="0">
      <alignment horizontal="center" vertical="center" wrapText="1"/>
    </xf>
    <xf numFmtId="0" fontId="32" fillId="22" borderId="3" applyAlignment="1" pivotButton="0" quotePrefix="0" xfId="0">
      <alignment horizontal="left" vertical="center" wrapText="1"/>
    </xf>
    <xf numFmtId="0" fontId="0" fillId="0" borderId="3" applyAlignment="1" pivotButton="0" quotePrefix="0" xfId="0">
      <alignment horizontal="center" vertical="center" wrapText="1"/>
    </xf>
    <xf numFmtId="0" fontId="33" fillId="22" borderId="3" applyAlignment="1" pivotButton="0" quotePrefix="0" xfId="0">
      <alignment horizontal="center" vertical="center" wrapText="1"/>
    </xf>
    <xf numFmtId="0" fontId="9" fillId="0" borderId="3" applyAlignment="1" pivotButton="0" quotePrefix="0" xfId="0">
      <alignment horizontal="general" vertical="bottom"/>
    </xf>
    <xf numFmtId="0" fontId="0" fillId="0" borderId="3" applyAlignment="1" pivotButton="0" quotePrefix="0" xfId="0">
      <alignment horizontal="general" vertical="bottom"/>
    </xf>
    <xf numFmtId="0" fontId="28" fillId="32" borderId="0" applyAlignment="1" pivotButton="0" quotePrefix="0" xfId="0">
      <alignment horizontal="left" vertical="center" wrapText="1"/>
    </xf>
    <xf numFmtId="0" fontId="34" fillId="15" borderId="0" applyAlignment="1" pivotButton="0" quotePrefix="0" xfId="0">
      <alignment horizontal="left" vertical="center" wrapText="1"/>
    </xf>
    <xf numFmtId="0" fontId="35" fillId="0" borderId="3" applyAlignment="1" pivotButton="0" quotePrefix="0" xfId="0">
      <alignment horizontal="center" vertical="center" wrapText="1"/>
    </xf>
    <xf numFmtId="0" fontId="11" fillId="15" borderId="3" applyAlignment="1" pivotButton="0" quotePrefix="0" xfId="0">
      <alignment horizontal="left" vertical="center" wrapText="1"/>
    </xf>
    <xf numFmtId="0" fontId="36" fillId="15" borderId="3" applyAlignment="1" pivotButton="0" quotePrefix="0" xfId="0">
      <alignment horizontal="center" vertical="center" wrapText="1"/>
    </xf>
    <xf numFmtId="0" fontId="28" fillId="33" borderId="0" applyAlignment="1" pivotButton="0" quotePrefix="0" xfId="0">
      <alignment horizontal="left" vertical="center" wrapText="1"/>
    </xf>
    <xf numFmtId="0" fontId="37" fillId="34" borderId="0" applyAlignment="1" pivotButton="0" quotePrefix="0" xfId="0">
      <alignment horizontal="left" vertical="center" wrapText="1"/>
    </xf>
    <xf numFmtId="0" fontId="38" fillId="34" borderId="3" applyAlignment="1" pivotButton="0" quotePrefix="0" xfId="0">
      <alignment horizontal="left" vertical="center" wrapText="1"/>
    </xf>
    <xf numFmtId="0" fontId="39" fillId="34" borderId="3" applyAlignment="1" pivotButton="0" quotePrefix="0" xfId="0">
      <alignment horizontal="center" vertical="center" wrapText="1"/>
    </xf>
    <xf numFmtId="0" fontId="28" fillId="35" borderId="0" applyAlignment="1" pivotButton="0" quotePrefix="0" xfId="0">
      <alignment horizontal="left" vertical="center" wrapText="1"/>
    </xf>
    <xf numFmtId="0" fontId="40" fillId="23" borderId="0" applyAlignment="1" pivotButton="0" quotePrefix="0" xfId="0">
      <alignment horizontal="left" vertical="center" wrapText="1"/>
    </xf>
    <xf numFmtId="0" fontId="12" fillId="23" borderId="3" applyAlignment="1" pivotButton="0" quotePrefix="0" xfId="0">
      <alignment horizontal="left" vertical="center" wrapText="1"/>
    </xf>
    <xf numFmtId="0" fontId="41" fillId="23" borderId="3" applyAlignment="1" pivotButton="0" quotePrefix="0" xfId="0">
      <alignment horizontal="center" vertical="center" wrapText="1"/>
    </xf>
    <xf numFmtId="0" fontId="28" fillId="3" borderId="0" applyAlignment="1" pivotButton="0" quotePrefix="0" xfId="0">
      <alignment horizontal="left" vertical="center" wrapText="1"/>
    </xf>
    <xf numFmtId="0" fontId="42" fillId="10" borderId="0" applyAlignment="1" pivotButton="0" quotePrefix="0" xfId="0">
      <alignment horizontal="left" vertical="center" wrapText="1"/>
    </xf>
    <xf numFmtId="0" fontId="13" fillId="10" borderId="3" applyAlignment="1" pivotButton="0" quotePrefix="0" xfId="0">
      <alignment horizontal="left" vertical="center" wrapText="1"/>
    </xf>
    <xf numFmtId="0" fontId="43" fillId="10" borderId="3" applyAlignment="1" pivotButton="0" quotePrefix="0" xfId="0">
      <alignment horizontal="center" vertical="center" wrapText="1"/>
    </xf>
    <xf numFmtId="0" fontId="28" fillId="36" borderId="0" applyAlignment="1" pivotButton="0" quotePrefix="0" xfId="0">
      <alignment horizontal="left" vertical="center" wrapText="1"/>
    </xf>
    <xf numFmtId="0" fontId="44" fillId="24" borderId="0" applyAlignment="1" pivotButton="0" quotePrefix="0" xfId="0">
      <alignment horizontal="left" vertical="center" wrapText="1"/>
    </xf>
    <xf numFmtId="0" fontId="45" fillId="24" borderId="3" applyAlignment="1" pivotButton="0" quotePrefix="0" xfId="0">
      <alignment horizontal="left" vertical="center" wrapText="1"/>
    </xf>
    <xf numFmtId="0" fontId="46" fillId="24" borderId="3" applyAlignment="1" pivotButton="0" quotePrefix="0" xfId="0">
      <alignment horizontal="center" vertical="center" wrapText="1"/>
    </xf>
    <xf numFmtId="0" fontId="47" fillId="21"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1" borderId="2" applyAlignment="1" pivotButton="0" quotePrefix="0" xfId="0">
      <alignment horizontal="center" vertical="center" wrapText="1"/>
    </xf>
    <xf numFmtId="0" fontId="7" fillId="12" borderId="2" applyAlignment="1" pivotButton="0" quotePrefix="0" xfId="0">
      <alignment horizontal="general" vertical="center"/>
    </xf>
    <xf numFmtId="0" fontId="7" fillId="13" borderId="2" applyAlignment="1" pivotButton="0" quotePrefix="0" xfId="0">
      <alignment horizontal="general" vertical="center"/>
    </xf>
    <xf numFmtId="164" fontId="7" fillId="12" borderId="2" applyAlignment="1" pivotButton="0" quotePrefix="0" xfId="0">
      <alignment horizontal="general" vertical="center"/>
    </xf>
    <xf numFmtId="164" fontId="7" fillId="13" borderId="2" applyAlignment="1" pivotButton="0" quotePrefix="0" xfId="0">
      <alignment horizontal="general"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4" fillId="14" borderId="3" applyAlignment="1" pivotButton="0" quotePrefix="0" xfId="0">
      <alignment horizontal="center" vertical="center"/>
    </xf>
    <xf numFmtId="0" fontId="10" fillId="0" borderId="3" applyAlignment="1" pivotButton="0" quotePrefix="0" xfId="0">
      <alignment horizontal="center" vertical="center"/>
    </xf>
    <xf numFmtId="0" fontId="10" fillId="0" borderId="3" applyAlignment="1" pivotButton="0" quotePrefix="0" xfId="0">
      <alignment horizontal="left" vertical="center"/>
    </xf>
    <xf numFmtId="3" fontId="10" fillId="0" borderId="3" applyAlignment="1" pivotButton="0" quotePrefix="0" xfId="0">
      <alignment horizontal="center" vertical="center"/>
    </xf>
    <xf numFmtId="0" fontId="11" fillId="15" borderId="3" applyAlignment="1" pivotButton="0" quotePrefix="0" xfId="0">
      <alignment horizontal="center" vertical="center"/>
    </xf>
    <xf numFmtId="0" fontId="10" fillId="16" borderId="3" applyAlignment="1" pivotButton="0" quotePrefix="0" xfId="0">
      <alignment horizontal="center" vertical="center"/>
    </xf>
    <xf numFmtId="0" fontId="10" fillId="16" borderId="3" applyAlignment="1" pivotButton="0" quotePrefix="0" xfId="0">
      <alignment horizontal="left" vertical="center"/>
    </xf>
    <xf numFmtId="3" fontId="10" fillId="16" borderId="3" applyAlignment="1" pivotButton="0" quotePrefix="0" xfId="0">
      <alignment horizontal="center" vertical="center"/>
    </xf>
    <xf numFmtId="0" fontId="12" fillId="17" borderId="3" applyAlignment="1" pivotButton="0" quotePrefix="0" xfId="0">
      <alignment horizontal="center" vertical="center"/>
    </xf>
    <xf numFmtId="0" fontId="13" fillId="10" borderId="3" applyAlignment="1" pivotButton="0" quotePrefix="0" xfId="0">
      <alignment horizontal="center" vertical="center"/>
    </xf>
    <xf numFmtId="0" fontId="14" fillId="18" borderId="3" applyAlignment="1" pivotButton="0" quotePrefix="0" xfId="0">
      <alignment horizontal="center" vertical="center"/>
    </xf>
    <xf numFmtId="0" fontId="15" fillId="19" borderId="3" applyAlignment="1" pivotButton="0" quotePrefix="0" xfId="0">
      <alignment horizontal="general" vertical="bottom"/>
    </xf>
    <xf numFmtId="0" fontId="0" fillId="19" borderId="3" applyAlignment="1" pivotButton="0" quotePrefix="0" xfId="0">
      <alignment horizontal="general" vertical="bottom"/>
    </xf>
    <xf numFmtId="3" fontId="15" fillId="19" borderId="3" applyAlignment="1" pivotButton="0" quotePrefix="0" xfId="0">
      <alignment horizontal="center" vertical="center"/>
    </xf>
    <xf numFmtId="0" fontId="10" fillId="0" borderId="3" applyAlignment="1" pivotButton="0" quotePrefix="0" xfId="0">
      <alignment horizontal="left" vertical="center" wrapText="1"/>
    </xf>
    <xf numFmtId="0" fontId="10" fillId="16" borderId="3" applyAlignment="1" pivotButton="0" quotePrefix="0" xfId="0">
      <alignment horizontal="left" vertical="center" wrapText="1"/>
    </xf>
    <xf numFmtId="0" fontId="15" fillId="19" borderId="3" applyAlignment="1" pivotButton="0" quotePrefix="0" xfId="0">
      <alignment horizontal="center" vertical="center"/>
    </xf>
    <xf numFmtId="0" fontId="0" fillId="0" borderId="6" pivotButton="0" quotePrefix="0" xfId="0"/>
    <xf numFmtId="0" fontId="0" fillId="0" borderId="7" pivotButton="0" quotePrefix="0" xfId="0"/>
    <xf numFmtId="0" fontId="16" fillId="11" borderId="0" applyAlignment="1" pivotButton="0" quotePrefix="0" xfId="0">
      <alignment horizontal="center" vertical="center"/>
    </xf>
    <xf numFmtId="0" fontId="17" fillId="0" borderId="0" applyAlignment="1" pivotButton="0" quotePrefix="0" xfId="0">
      <alignment horizontal="center" vertical="bottom"/>
    </xf>
    <xf numFmtId="0" fontId="6" fillId="20" borderId="0" applyAlignment="1" pivotButton="0" quotePrefix="0" xfId="0">
      <alignment horizontal="center" vertical="center"/>
    </xf>
    <xf numFmtId="0" fontId="18" fillId="12" borderId="2" applyAlignment="1" pivotButton="0" quotePrefix="0" xfId="0">
      <alignment horizontal="left" vertical="center"/>
    </xf>
    <xf numFmtId="0" fontId="19" fillId="13" borderId="2" applyAlignment="1" pivotButton="0" quotePrefix="0" xfId="0">
      <alignment horizontal="center" vertical="center"/>
    </xf>
    <xf numFmtId="0" fontId="20" fillId="20" borderId="0" applyAlignment="1" pivotButton="0" quotePrefix="0" xfId="0">
      <alignment horizontal="center" vertical="center"/>
    </xf>
    <xf numFmtId="0" fontId="5" fillId="12" borderId="2" applyAlignment="1" pivotButton="0" quotePrefix="0" xfId="0">
      <alignment horizontal="left" vertical="center"/>
    </xf>
    <xf numFmtId="0" fontId="21" fillId="13" borderId="2" applyAlignment="1" pivotButton="0" quotePrefix="0" xfId="0">
      <alignment horizontal="center" vertical="center"/>
    </xf>
    <xf numFmtId="0" fontId="22" fillId="12" borderId="2" applyAlignment="1" pivotButton="0" quotePrefix="0" xfId="0">
      <alignment horizontal="left" vertical="center"/>
    </xf>
    <xf numFmtId="0" fontId="23" fillId="21" borderId="2" applyAlignment="1" pivotButton="0" quotePrefix="0" xfId="0">
      <alignment horizontal="general" vertical="bottom"/>
    </xf>
    <xf numFmtId="0" fontId="20" fillId="22" borderId="1" applyAlignment="1" pivotButton="0" quotePrefix="0" xfId="0">
      <alignment horizontal="center" vertical="center" wrapText="1"/>
    </xf>
    <xf numFmtId="0" fontId="0" fillId="0" borderId="10" pivotButton="0" quotePrefix="0" xfId="0"/>
    <xf numFmtId="0" fontId="0" fillId="0" borderId="11" pivotButton="0" quotePrefix="0" xfId="0"/>
    <xf numFmtId="0" fontId="20" fillId="15"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9" borderId="1" applyAlignment="1" pivotButton="0" quotePrefix="0" xfId="0">
      <alignment horizontal="center" vertical="center" wrapText="1"/>
    </xf>
    <xf numFmtId="0" fontId="20" fillId="25" borderId="1" applyAlignment="1" pivotButton="0" quotePrefix="0" xfId="0">
      <alignment horizontal="center" vertical="center" wrapText="1"/>
    </xf>
    <xf numFmtId="0" fontId="24" fillId="2" borderId="1" applyAlignment="1" pivotButton="0" quotePrefix="0" xfId="0">
      <alignment horizontal="center" vertical="center" wrapText="1"/>
    </xf>
    <xf numFmtId="0" fontId="24" fillId="26" borderId="1" applyAlignment="1" pivotButton="0" quotePrefix="0" xfId="0">
      <alignment horizontal="center" vertical="center" wrapText="1"/>
    </xf>
    <xf numFmtId="0" fontId="5" fillId="27" borderId="1" applyAlignment="1" pivotButton="0" quotePrefix="0" xfId="0">
      <alignment horizontal="center" vertical="center" wrapText="1"/>
    </xf>
    <xf numFmtId="0" fontId="5" fillId="28" borderId="1" applyAlignment="1" pivotButton="0" quotePrefix="0" xfId="0">
      <alignment horizontal="center" vertical="center" wrapText="1"/>
    </xf>
    <xf numFmtId="0" fontId="5" fillId="28" borderId="1" applyAlignment="1" pivotButton="0" quotePrefix="0" xfId="0">
      <alignment horizontal="left" vertical="center" wrapText="1"/>
    </xf>
    <xf numFmtId="0" fontId="5" fillId="27" borderId="1" applyAlignment="1" pivotButton="0" quotePrefix="0" xfId="0">
      <alignment horizontal="left" vertical="center" wrapText="1"/>
    </xf>
    <xf numFmtId="0" fontId="25"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6" fillId="14" borderId="0" applyAlignment="1" pivotButton="0" quotePrefix="0" xfId="0">
      <alignment horizontal="center" vertical="center" wrapText="1"/>
    </xf>
    <xf numFmtId="0" fontId="26" fillId="7" borderId="3" applyAlignment="1" pivotButton="0" quotePrefix="0" xfId="0">
      <alignment horizontal="center" vertical="center" wrapText="1"/>
    </xf>
    <xf numFmtId="0" fontId="27" fillId="29" borderId="3" applyAlignment="1" pivotButton="0" quotePrefix="0" xfId="0">
      <alignment horizontal="center" vertical="center" wrapText="1"/>
    </xf>
    <xf numFmtId="0" fontId="28" fillId="30" borderId="0" applyAlignment="1" pivotButton="0" quotePrefix="0" xfId="0">
      <alignment horizontal="left" vertical="center" wrapText="1"/>
    </xf>
    <xf numFmtId="0" fontId="29" fillId="22" borderId="0" applyAlignment="1" pivotButton="0" quotePrefix="0" xfId="0">
      <alignment horizontal="left" vertical="center" wrapText="1"/>
    </xf>
    <xf numFmtId="0" fontId="4" fillId="31" borderId="3" applyAlignment="1" pivotButton="0" quotePrefix="0" xfId="0">
      <alignment horizontal="center" vertical="center" wrapText="1"/>
    </xf>
    <xf numFmtId="0" fontId="7" fillId="0" borderId="3" applyAlignment="1" pivotButton="0" quotePrefix="0" xfId="0">
      <alignment horizontal="left" vertical="center" wrapText="1"/>
    </xf>
    <xf numFmtId="0" fontId="7" fillId="0" borderId="3" applyAlignment="1" pivotButton="0" quotePrefix="0" xfId="0">
      <alignment horizontal="center" vertical="center" wrapText="1"/>
    </xf>
    <xf numFmtId="0" fontId="30" fillId="0" borderId="3" applyAlignment="1" pivotButton="0" quotePrefix="0" xfId="0">
      <alignment horizontal="center" vertical="center" wrapText="1"/>
    </xf>
    <xf numFmtId="0" fontId="31" fillId="0" borderId="3" applyAlignment="1" pivotButton="0" quotePrefix="0" xfId="0">
      <alignment horizontal="center" vertical="center" wrapText="1"/>
    </xf>
    <xf numFmtId="0" fontId="32" fillId="22" borderId="3" applyAlignment="1" pivotButton="0" quotePrefix="0" xfId="0">
      <alignment horizontal="left" vertical="center" wrapText="1"/>
    </xf>
    <xf numFmtId="0" fontId="0" fillId="0" borderId="3" applyAlignment="1" pivotButton="0" quotePrefix="0" xfId="0">
      <alignment horizontal="center" vertical="center" wrapText="1"/>
    </xf>
    <xf numFmtId="0" fontId="33" fillId="22" borderId="3" applyAlignment="1" pivotButton="0" quotePrefix="0" xfId="0">
      <alignment horizontal="center" vertical="center" wrapText="1"/>
    </xf>
    <xf numFmtId="0" fontId="9" fillId="0" borderId="3" applyAlignment="1" pivotButton="0" quotePrefix="0" xfId="0">
      <alignment horizontal="general" vertical="bottom"/>
    </xf>
    <xf numFmtId="0" fontId="0" fillId="0" borderId="3" applyAlignment="1" pivotButton="0" quotePrefix="0" xfId="0">
      <alignment horizontal="general" vertical="bottom"/>
    </xf>
    <xf numFmtId="0" fontId="28" fillId="32" borderId="0" applyAlignment="1" pivotButton="0" quotePrefix="0" xfId="0">
      <alignment horizontal="left" vertical="center" wrapText="1"/>
    </xf>
    <xf numFmtId="0" fontId="34" fillId="15" borderId="0" applyAlignment="1" pivotButton="0" quotePrefix="0" xfId="0">
      <alignment horizontal="left" vertical="center" wrapText="1"/>
    </xf>
    <xf numFmtId="0" fontId="35" fillId="0" borderId="3" applyAlignment="1" pivotButton="0" quotePrefix="0" xfId="0">
      <alignment horizontal="center" vertical="center" wrapText="1"/>
    </xf>
    <xf numFmtId="0" fontId="11" fillId="15" borderId="3" applyAlignment="1" pivotButton="0" quotePrefix="0" xfId="0">
      <alignment horizontal="left" vertical="center" wrapText="1"/>
    </xf>
    <xf numFmtId="0" fontId="36" fillId="15" borderId="3" applyAlignment="1" pivotButton="0" quotePrefix="0" xfId="0">
      <alignment horizontal="center" vertical="center" wrapText="1"/>
    </xf>
    <xf numFmtId="0" fontId="28" fillId="33" borderId="0" applyAlignment="1" pivotButton="0" quotePrefix="0" xfId="0">
      <alignment horizontal="left" vertical="center" wrapText="1"/>
    </xf>
    <xf numFmtId="0" fontId="37" fillId="34" borderId="0" applyAlignment="1" pivotButton="0" quotePrefix="0" xfId="0">
      <alignment horizontal="left" vertical="center" wrapText="1"/>
    </xf>
    <xf numFmtId="0" fontId="38" fillId="34" borderId="3" applyAlignment="1" pivotButton="0" quotePrefix="0" xfId="0">
      <alignment horizontal="left" vertical="center" wrapText="1"/>
    </xf>
    <xf numFmtId="0" fontId="39" fillId="34" borderId="3" applyAlignment="1" pivotButton="0" quotePrefix="0" xfId="0">
      <alignment horizontal="center" vertical="center" wrapText="1"/>
    </xf>
    <xf numFmtId="0" fontId="28" fillId="35" borderId="0" applyAlignment="1" pivotButton="0" quotePrefix="0" xfId="0">
      <alignment horizontal="left" vertical="center" wrapText="1"/>
    </xf>
    <xf numFmtId="0" fontId="40" fillId="23" borderId="0" applyAlignment="1" pivotButton="0" quotePrefix="0" xfId="0">
      <alignment horizontal="left" vertical="center" wrapText="1"/>
    </xf>
    <xf numFmtId="0" fontId="12" fillId="23" borderId="3" applyAlignment="1" pivotButton="0" quotePrefix="0" xfId="0">
      <alignment horizontal="left" vertical="center" wrapText="1"/>
    </xf>
    <xf numFmtId="0" fontId="41" fillId="23" borderId="3" applyAlignment="1" pivotButton="0" quotePrefix="0" xfId="0">
      <alignment horizontal="center" vertical="center" wrapText="1"/>
    </xf>
    <xf numFmtId="0" fontId="28" fillId="3" borderId="0" applyAlignment="1" pivotButton="0" quotePrefix="0" xfId="0">
      <alignment horizontal="left" vertical="center" wrapText="1"/>
    </xf>
    <xf numFmtId="0" fontId="42" fillId="10" borderId="0" applyAlignment="1" pivotButton="0" quotePrefix="0" xfId="0">
      <alignment horizontal="left" vertical="center" wrapText="1"/>
    </xf>
    <xf numFmtId="0" fontId="13" fillId="10" borderId="3" applyAlignment="1" pivotButton="0" quotePrefix="0" xfId="0">
      <alignment horizontal="left" vertical="center" wrapText="1"/>
    </xf>
    <xf numFmtId="0" fontId="43" fillId="10" borderId="3" applyAlignment="1" pivotButton="0" quotePrefix="0" xfId="0">
      <alignment horizontal="center" vertical="center" wrapText="1"/>
    </xf>
    <xf numFmtId="0" fontId="28" fillId="36" borderId="0" applyAlignment="1" pivotButton="0" quotePrefix="0" xfId="0">
      <alignment horizontal="left" vertical="center" wrapText="1"/>
    </xf>
    <xf numFmtId="0" fontId="44" fillId="24" borderId="0" applyAlignment="1" pivotButton="0" quotePrefix="0" xfId="0">
      <alignment horizontal="left" vertical="center" wrapText="1"/>
    </xf>
    <xf numFmtId="0" fontId="45" fillId="24" borderId="3" applyAlignment="1" pivotButton="0" quotePrefix="0" xfId="0">
      <alignment horizontal="left" vertical="center" wrapText="1"/>
    </xf>
    <xf numFmtId="0" fontId="46" fillId="24" borderId="3" applyAlignment="1" pivotButton="0" quotePrefix="0" xfId="0">
      <alignment horizontal="center" vertical="center" wrapText="1"/>
    </xf>
    <xf numFmtId="0" fontId="47" fillId="21" borderId="0" applyAlignment="1" pivotButton="0" quotePrefix="0" xfId="0">
      <alignment horizontal="left" vertical="top" wrapText="1"/>
    </xf>
    <xf numFmtId="0" fontId="48" fillId="37"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FFFDE7"/>
      <rgbColor rgb="FF0000FF"/>
      <rgbColor rgb="FFFFF8E1"/>
      <rgbColor rgb="FFFF00FF"/>
      <rgbColor rgb="FFEBF0FA"/>
      <rgbColor rgb="FF800000"/>
      <rgbColor rgb="FF008000"/>
      <rgbColor rgb="FF000080"/>
      <rgbColor rgb="FFF5F5F5"/>
      <rgbColor rgb="FF880E4F"/>
      <rgbColor rgb="FF006064"/>
      <rgbColor rgb="FFBDBDBD"/>
      <rgbColor rgb="FF666666"/>
      <rgbColor rgb="FFDEEAF1"/>
      <rgbColor rgb="FF555555"/>
      <rgbColor rgb="FFFFF9C4"/>
      <rgbColor rgb="FFE0F7FA"/>
      <rgbColor rgb="FF4A148C"/>
      <rgbColor rgb="FFE8EAF6"/>
      <rgbColor rgb="FF1565C0"/>
      <rgbColor rgb="FFC9D4EA"/>
      <rgbColor rgb="FF000080"/>
      <rgbColor rgb="FFFF00FF"/>
      <rgbColor rgb="FFFFF3E0"/>
      <rgbColor rgb="FFEEF4FB"/>
      <rgbColor rgb="FF800080"/>
      <rgbColor rgb="FF800000"/>
      <rgbColor rgb="FF1F4E79"/>
      <rgbColor rgb="FF0000FF"/>
      <rgbColor rgb="FFF7F9FC"/>
      <rgbColor rgb="FFE0F2F1"/>
      <rgbColor rgb="FFC6EFCE"/>
      <rgbColor rgb="FFFFF2CC"/>
      <rgbColor rgb="FFCCCCCC"/>
      <rgbColor rgb="FFFCE4EC"/>
      <rgbColor rgb="FFF3E5F5"/>
      <rgbColor rgb="FFFFCDD2"/>
      <rgbColor rgb="FF2E5EA8"/>
      <rgbColor rgb="FFE3F2FD"/>
      <rgbColor rgb="FFE8F5E9"/>
      <rgbColor rgb="FFFFEBEE"/>
      <rgbColor rgb="FFEEEEEE"/>
      <rgbColor rgb="FFE65100"/>
      <rgbColor rgb="FF5A6A8A"/>
      <rgbColor rgb="FFEDE7F6"/>
      <rgbColor rgb="FF1B3A6B"/>
      <rgbColor rgb="FF2E7D32"/>
      <rgbColor rgb="FF37474F"/>
      <rgbColor rgb="FF212121"/>
      <rgbColor rgb="FFC62828"/>
      <rgbColor rgb="FF444444"/>
      <rgbColor rgb="FF1F3864"/>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B38"/>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8" customWidth="1" style="103" min="1" max="1"/>
    <col width="22" customWidth="1" style="103" min="2" max="2"/>
    <col width="9" customWidth="1" style="103" min="3" max="3"/>
    <col width="13" customWidth="1" style="103" min="4" max="4"/>
    <col width="28" customWidth="1" style="103" min="5" max="5"/>
    <col width="16" customWidth="1" style="103" min="6" max="6"/>
    <col width="8" customWidth="1" style="103" min="7" max="7"/>
    <col width="22" customWidth="1" style="103" min="8" max="8"/>
    <col width="24" customWidth="1" style="103" min="9" max="9"/>
    <col width="10" customWidth="1" style="103" min="10" max="10"/>
    <col width="7" customWidth="1" style="103" min="11" max="11"/>
    <col width="8" customWidth="1" style="103" min="12" max="12"/>
    <col width="12" customWidth="1" style="103" min="13" max="13"/>
    <col width="14" customWidth="1" style="103" min="14" max="15"/>
    <col width="16" customWidth="1" style="103" min="16" max="16"/>
    <col width="14" customWidth="1" style="103" min="17" max="17"/>
    <col width="18" customWidth="1" style="103" min="18" max="18"/>
    <col width="32" customWidth="1" style="103" min="19" max="19"/>
    <col width="14" customWidth="1" style="103" min="20" max="20"/>
    <col width="12" customWidth="1" style="103" min="21" max="21"/>
    <col width="16" customWidth="1" style="103" min="22" max="22"/>
    <col width="14" customWidth="1" style="103" min="23" max="23"/>
    <col width="16" customWidth="1" style="103" min="24" max="24"/>
    <col width="40" customWidth="1" style="103" min="25" max="25"/>
    <col width="22" customWidth="1" style="103" min="26" max="26"/>
    <col width="18" customWidth="1" style="103" min="27" max="28"/>
  </cols>
  <sheetData>
    <row r="1" ht="30" customHeight="1" s="104">
      <c r="A1" s="105" t="inlineStr">
        <is>
          <t>student_id</t>
        </is>
      </c>
      <c r="B1" s="105" t="inlineStr">
        <is>
          <t>full_name</t>
        </is>
      </c>
      <c r="C1" s="105" t="inlineStr">
        <is>
          <t>gender</t>
        </is>
      </c>
      <c r="D1" s="105" t="inlineStr">
        <is>
          <t>date_of_birth</t>
        </is>
      </c>
      <c r="E1" s="105" t="inlineStr">
        <is>
          <t>email</t>
        </is>
      </c>
      <c r="F1" s="105" t="inlineStr">
        <is>
          <t>phone</t>
        </is>
      </c>
      <c r="G1" s="105" t="inlineStr">
        <is>
          <t>program</t>
        </is>
      </c>
      <c r="H1" s="105" t="inlineStr">
        <is>
          <t>major</t>
        </is>
      </c>
      <c r="I1" s="105" t="inlineStr">
        <is>
          <t>department</t>
        </is>
      </c>
      <c r="J1" s="105" t="inlineStr">
        <is>
          <t>year_of_study</t>
        </is>
      </c>
      <c r="K1" s="105" t="inlineStr">
        <is>
          <t>gpa</t>
        </is>
      </c>
      <c r="L1" s="105" t="inlineStr">
        <is>
          <t>credit_hours_earned</t>
        </is>
      </c>
      <c r="M1" s="105" t="inlineStr">
        <is>
          <t>status</t>
        </is>
      </c>
      <c r="N1" s="105" t="inlineStr">
        <is>
          <t>nationality</t>
        </is>
      </c>
      <c r="O1" s="105" t="inlineStr">
        <is>
          <t>enrollment_date</t>
        </is>
      </c>
      <c r="P1" s="105" t="inlineStr">
        <is>
          <t>expected_graduation</t>
        </is>
      </c>
      <c r="Q1" s="106" t="inlineStr">
        <is>
          <t>Student Type</t>
        </is>
      </c>
      <c r="R1" s="106" t="inlineStr">
        <is>
          <t>Programme Level</t>
        </is>
      </c>
      <c r="S1" s="106" t="inlineStr">
        <is>
          <t>Journey Stage</t>
        </is>
      </c>
      <c r="T1" s="106" t="inlineStr">
        <is>
          <t>Current Semester</t>
        </is>
      </c>
      <c r="U1" s="106" t="inlineStr">
        <is>
          <t>Fees Status</t>
        </is>
      </c>
      <c r="V1" s="106" t="inlineStr">
        <is>
          <t>Fees Balance (KES)</t>
        </is>
      </c>
      <c r="W1" s="106" t="inlineStr">
        <is>
          <t>Academic Standing</t>
        </is>
      </c>
      <c r="X1" s="106" t="inlineStr">
        <is>
          <t>Last Standing Review</t>
        </is>
      </c>
      <c r="Y1" s="106" t="inlineStr">
        <is>
          <t>Dissertation Title</t>
        </is>
      </c>
      <c r="Z1" s="106" t="inlineStr">
        <is>
          <t>Dissertation Status</t>
        </is>
      </c>
      <c r="AA1" s="106" t="inlineStr">
        <is>
          <t>Graduation Clearance</t>
        </is>
      </c>
      <c r="AB1" s="106" t="inlineStr">
        <is>
          <t>Actual Graduation Date</t>
        </is>
      </c>
    </row>
    <row r="2" ht="15" customHeight="1" s="104">
      <c r="A2" s="107" t="inlineStr">
        <is>
          <t>TU-2021-0001</t>
        </is>
      </c>
      <c r="B2" s="108" t="inlineStr">
        <is>
          <t>Amelia Odhiambo</t>
        </is>
      </c>
      <c r="C2" s="107" t="inlineStr">
        <is>
          <t>Female</t>
        </is>
      </c>
      <c r="D2" s="107" t="inlineStr">
        <is>
          <t>2001-03-12</t>
        </is>
      </c>
      <c r="E2" s="107" t="inlineStr">
        <is>
          <t>a.odhiambo@templumis.ac</t>
        </is>
      </c>
      <c r="F2" s="107" t="inlineStr">
        <is>
          <t>+254712345001</t>
        </is>
      </c>
      <c r="G2" s="107" t="inlineStr">
        <is>
          <t>BSc</t>
        </is>
      </c>
      <c r="H2" s="108" t="inlineStr">
        <is>
          <t>Computer Science</t>
        </is>
      </c>
      <c r="I2" s="107" t="inlineStr">
        <is>
          <t>School of Computing</t>
        </is>
      </c>
      <c r="J2" s="107" t="inlineStr">
        <is>
          <t>Year 3</t>
        </is>
      </c>
      <c r="K2" s="107" t="n">
        <v>3.78</v>
      </c>
      <c r="L2" s="107" t="n">
        <v>96</v>
      </c>
      <c r="M2" s="107" t="inlineStr">
        <is>
          <t>Active</t>
        </is>
      </c>
      <c r="N2" s="107" t="inlineStr">
        <is>
          <t>Kenyan</t>
        </is>
      </c>
      <c r="O2" s="107" t="inlineStr">
        <is>
          <t>2021-09-05</t>
        </is>
      </c>
      <c r="P2" s="107" t="inlineStr">
        <is>
          <t>2025-06-30</t>
        </is>
      </c>
      <c r="Q2" s="107" t="inlineStr">
        <is>
          <t>Undergraduate</t>
        </is>
      </c>
      <c r="R2" s="107" t="inlineStr">
        <is>
          <t>BSc</t>
        </is>
      </c>
      <c r="S2" s="108" t="inlineStr">
        <is>
          <t>3. Progressing — Year 3</t>
        </is>
      </c>
      <c r="T2" s="107" t="inlineStr">
        <is>
          <t>Sem 6</t>
        </is>
      </c>
      <c r="U2" s="107" t="inlineStr">
        <is>
          <t>Paid</t>
        </is>
      </c>
      <c r="V2" s="107" t="n">
        <v>0</v>
      </c>
      <c r="W2" s="107" t="inlineStr">
        <is>
          <t>Good Standing</t>
        </is>
      </c>
      <c r="X2" s="107" t="inlineStr">
        <is>
          <t>2024-01-15</t>
        </is>
      </c>
      <c r="Y2" s="108" t="inlineStr">
        <is>
          <t>N/A</t>
        </is>
      </c>
      <c r="Z2" s="108" t="inlineStr">
        <is>
          <t>N/A</t>
        </is>
      </c>
      <c r="AA2" s="107" t="inlineStr">
        <is>
          <t>Not Yet</t>
        </is>
      </c>
      <c r="AB2" s="107" t="n"/>
    </row>
    <row r="3" ht="15" customHeight="1" s="104">
      <c r="A3" s="107" t="inlineStr">
        <is>
          <t>TU-2022-0002</t>
        </is>
      </c>
      <c r="B3" s="108" t="inlineStr">
        <is>
          <t>Brian Mwangi</t>
        </is>
      </c>
      <c r="C3" s="107" t="inlineStr">
        <is>
          <t>Male</t>
        </is>
      </c>
      <c r="D3" s="107" t="inlineStr">
        <is>
          <t>2002-07-22</t>
        </is>
      </c>
      <c r="E3" s="107" t="inlineStr">
        <is>
          <t>b.mwangi@templumis.ac</t>
        </is>
      </c>
      <c r="F3" s="107" t="inlineStr">
        <is>
          <t>+254712345002</t>
        </is>
      </c>
      <c r="G3" s="107" t="inlineStr">
        <is>
          <t>BA</t>
        </is>
      </c>
      <c r="H3" s="108" t="inlineStr">
        <is>
          <t>Economics</t>
        </is>
      </c>
      <c r="I3" s="107" t="inlineStr">
        <is>
          <t>School of Business</t>
        </is>
      </c>
      <c r="J3" s="107" t="inlineStr">
        <is>
          <t>Year 2</t>
        </is>
      </c>
      <c r="K3" s="107" t="n">
        <v>3.12</v>
      </c>
      <c r="L3" s="107" t="n">
        <v>64</v>
      </c>
      <c r="M3" s="107" t="inlineStr">
        <is>
          <t>Active</t>
        </is>
      </c>
      <c r="N3" s="107" t="inlineStr">
        <is>
          <t>Kenyan</t>
        </is>
      </c>
      <c r="O3" s="107" t="inlineStr">
        <is>
          <t>2022-09-05</t>
        </is>
      </c>
      <c r="P3" s="107" t="inlineStr">
        <is>
          <t>2026-06-30</t>
        </is>
      </c>
      <c r="Q3" s="107" t="inlineStr">
        <is>
          <t>Undergraduate</t>
        </is>
      </c>
      <c r="R3" s="107" t="inlineStr">
        <is>
          <t>BA</t>
        </is>
      </c>
      <c r="S3" s="108" t="inlineStr">
        <is>
          <t>2. Progressing — Year 2</t>
        </is>
      </c>
      <c r="T3" s="107" t="inlineStr">
        <is>
          <t>Sem 4</t>
        </is>
      </c>
      <c r="U3" s="107" t="inlineStr">
        <is>
          <t>Paid</t>
        </is>
      </c>
      <c r="V3" s="107" t="n">
        <v>0</v>
      </c>
      <c r="W3" s="107" t="inlineStr">
        <is>
          <t>Good Standing</t>
        </is>
      </c>
      <c r="X3" s="107" t="inlineStr">
        <is>
          <t>2024-01-15</t>
        </is>
      </c>
      <c r="Y3" s="108" t="inlineStr">
        <is>
          <t>N/A</t>
        </is>
      </c>
      <c r="Z3" s="108" t="inlineStr">
        <is>
          <t>N/A</t>
        </is>
      </c>
      <c r="AA3" s="107" t="inlineStr">
        <is>
          <t>Not Yet</t>
        </is>
      </c>
      <c r="AB3" s="107" t="n"/>
    </row>
    <row r="4" ht="15" customHeight="1" s="104">
      <c r="A4" s="107" t="inlineStr">
        <is>
          <t>TU-2020-0003</t>
        </is>
      </c>
      <c r="B4" s="108" t="inlineStr">
        <is>
          <t>Claire Nakato</t>
        </is>
      </c>
      <c r="C4" s="107" t="inlineStr">
        <is>
          <t>Female</t>
        </is>
      </c>
      <c r="D4" s="107" t="inlineStr">
        <is>
          <t>2000-11-05</t>
        </is>
      </c>
      <c r="E4" s="107" t="inlineStr">
        <is>
          <t>c.nakato@templumis.ac</t>
        </is>
      </c>
      <c r="F4" s="107" t="inlineStr">
        <is>
          <t>+256712345003</t>
        </is>
      </c>
      <c r="G4" s="107" t="inlineStr">
        <is>
          <t>BSc</t>
        </is>
      </c>
      <c r="H4" s="108" t="inlineStr">
        <is>
          <t>Civil Engineering</t>
        </is>
      </c>
      <c r="I4" s="107" t="inlineStr">
        <is>
          <t>School of Engineering</t>
        </is>
      </c>
      <c r="J4" s="107" t="inlineStr">
        <is>
          <t>Year 4</t>
        </is>
      </c>
      <c r="K4" s="107" t="n">
        <v>3.55</v>
      </c>
      <c r="L4" s="107" t="n">
        <v>128</v>
      </c>
      <c r="M4" s="107" t="inlineStr">
        <is>
          <t>Active</t>
        </is>
      </c>
      <c r="N4" s="107" t="inlineStr">
        <is>
          <t>Ugandan</t>
        </is>
      </c>
      <c r="O4" s="107" t="inlineStr">
        <is>
          <t>2020-09-07</t>
        </is>
      </c>
      <c r="P4" s="107" t="inlineStr">
        <is>
          <t>2024-06-30</t>
        </is>
      </c>
      <c r="Q4" s="107" t="inlineStr">
        <is>
          <t>Undergraduate</t>
        </is>
      </c>
      <c r="R4" s="107" t="inlineStr">
        <is>
          <t>BSc</t>
        </is>
      </c>
      <c r="S4" s="108" t="inlineStr">
        <is>
          <t>4. Final Year — Pre-Clearance</t>
        </is>
      </c>
      <c r="T4" s="107" t="inlineStr">
        <is>
          <t>Sem 8</t>
        </is>
      </c>
      <c r="U4" s="107" t="inlineStr">
        <is>
          <t>Paid</t>
        </is>
      </c>
      <c r="V4" s="107" t="n">
        <v>0</v>
      </c>
      <c r="W4" s="107" t="inlineStr">
        <is>
          <t>Good Standing</t>
        </is>
      </c>
      <c r="X4" s="107" t="inlineStr">
        <is>
          <t>2024-01-15</t>
        </is>
      </c>
      <c r="Y4" s="108" t="inlineStr">
        <is>
          <t>N/A</t>
        </is>
      </c>
      <c r="Z4" s="108" t="inlineStr">
        <is>
          <t>N/A</t>
        </is>
      </c>
      <c r="AA4" s="107" t="inlineStr">
        <is>
          <t>In Progress</t>
        </is>
      </c>
      <c r="AB4" s="107" t="n"/>
    </row>
    <row r="5" ht="15" customHeight="1" s="104">
      <c r="A5" s="109" t="inlineStr">
        <is>
          <t>TU-2019-0004</t>
        </is>
      </c>
      <c r="B5" s="110" t="inlineStr">
        <is>
          <t>David Mensah</t>
        </is>
      </c>
      <c r="C5" s="109" t="inlineStr">
        <is>
          <t>Male</t>
        </is>
      </c>
      <c r="D5" s="109" t="inlineStr">
        <is>
          <t>1999-04-18</t>
        </is>
      </c>
      <c r="E5" s="109" t="inlineStr">
        <is>
          <t>d.mensah@templumis.ac</t>
        </is>
      </c>
      <c r="F5" s="109" t="inlineStr">
        <is>
          <t>+233712345004</t>
        </is>
      </c>
      <c r="G5" s="109" t="inlineStr">
        <is>
          <t>BSc</t>
        </is>
      </c>
      <c r="H5" s="110" t="inlineStr">
        <is>
          <t>Nursing</t>
        </is>
      </c>
      <c r="I5" s="109" t="inlineStr">
        <is>
          <t>School of Health Sciences</t>
        </is>
      </c>
      <c r="J5" s="109" t="inlineStr">
        <is>
          <t>Year 4</t>
        </is>
      </c>
      <c r="K5" s="109" t="n">
        <v>3.9</v>
      </c>
      <c r="L5" s="109" t="n">
        <v>132</v>
      </c>
      <c r="M5" s="109" t="inlineStr">
        <is>
          <t>Graduated</t>
        </is>
      </c>
      <c r="N5" s="109" t="inlineStr">
        <is>
          <t>Ghanaian</t>
        </is>
      </c>
      <c r="O5" s="109" t="inlineStr">
        <is>
          <t>2019-09-02</t>
        </is>
      </c>
      <c r="P5" s="109" t="n"/>
      <c r="Q5" s="109" t="inlineStr">
        <is>
          <t>Undergraduate</t>
        </is>
      </c>
      <c r="R5" s="109" t="inlineStr">
        <is>
          <t>BSc</t>
        </is>
      </c>
      <c r="S5" s="110" t="inlineStr">
        <is>
          <t>6. Graduated ✓</t>
        </is>
      </c>
      <c r="T5" s="109" t="inlineStr">
        <is>
          <t>Completed</t>
        </is>
      </c>
      <c r="U5" s="109" t="inlineStr">
        <is>
          <t>Cleared</t>
        </is>
      </c>
      <c r="V5" s="109" t="n">
        <v>0</v>
      </c>
      <c r="W5" s="109" t="inlineStr">
        <is>
          <t>Cleared</t>
        </is>
      </c>
      <c r="X5" s="109" t="inlineStr">
        <is>
          <t>2024-01-15</t>
        </is>
      </c>
      <c r="Y5" s="110" t="inlineStr">
        <is>
          <t>N/A</t>
        </is>
      </c>
      <c r="Z5" s="110" t="inlineStr">
        <is>
          <t>N/A</t>
        </is>
      </c>
      <c r="AA5" s="109" t="inlineStr">
        <is>
          <t>Approved</t>
        </is>
      </c>
      <c r="AB5" s="109" t="inlineStr">
        <is>
          <t>2023-11-10</t>
        </is>
      </c>
    </row>
    <row r="6" ht="15" customHeight="1" s="104">
      <c r="A6" s="111" t="inlineStr">
        <is>
          <t>TU-2023-0005</t>
        </is>
      </c>
      <c r="B6" s="112" t="inlineStr">
        <is>
          <t>Esther Wanjiku</t>
        </is>
      </c>
      <c r="C6" s="111" t="inlineStr">
        <is>
          <t>Female</t>
        </is>
      </c>
      <c r="D6" s="111" t="inlineStr">
        <is>
          <t>2003-09-30</t>
        </is>
      </c>
      <c r="E6" s="111" t="inlineStr">
        <is>
          <t>e.wanjiku@templumis.ac</t>
        </is>
      </c>
      <c r="F6" s="111" t="inlineStr">
        <is>
          <t>+254712345005</t>
        </is>
      </c>
      <c r="G6" s="111" t="inlineStr">
        <is>
          <t>BSc</t>
        </is>
      </c>
      <c r="H6" s="112" t="inlineStr">
        <is>
          <t>Mathematics</t>
        </is>
      </c>
      <c r="I6" s="111" t="inlineStr">
        <is>
          <t>School of Science</t>
        </is>
      </c>
      <c r="J6" s="111" t="inlineStr">
        <is>
          <t>Year 1</t>
        </is>
      </c>
      <c r="K6" s="111" t="n">
        <v>2.45</v>
      </c>
      <c r="L6" s="111" t="n">
        <v>32</v>
      </c>
      <c r="M6" s="111" t="inlineStr">
        <is>
          <t>Probation</t>
        </is>
      </c>
      <c r="N6" s="111" t="inlineStr">
        <is>
          <t>Kenyan</t>
        </is>
      </c>
      <c r="O6" s="111" t="inlineStr">
        <is>
          <t>2023-09-04</t>
        </is>
      </c>
      <c r="P6" s="111" t="inlineStr">
        <is>
          <t>2027-06-30</t>
        </is>
      </c>
      <c r="Q6" s="111" t="inlineStr">
        <is>
          <t>Undergraduate</t>
        </is>
      </c>
      <c r="R6" s="111" t="inlineStr">
        <is>
          <t>BSc</t>
        </is>
      </c>
      <c r="S6" s="112" t="inlineStr">
        <is>
          <t>⚠ Academic Review — Probation</t>
        </is>
      </c>
      <c r="T6" s="111" t="inlineStr">
        <is>
          <t>Sem 2</t>
        </is>
      </c>
      <c r="U6" s="111" t="inlineStr">
        <is>
          <t>Partial</t>
        </is>
      </c>
      <c r="V6" s="111" t="n">
        <v>35000</v>
      </c>
      <c r="W6" s="111" t="inlineStr">
        <is>
          <t>Probation</t>
        </is>
      </c>
      <c r="X6" s="111" t="inlineStr">
        <is>
          <t>2023-12-01</t>
        </is>
      </c>
      <c r="Y6" s="112" t="inlineStr">
        <is>
          <t>N/A</t>
        </is>
      </c>
      <c r="Z6" s="112" t="inlineStr">
        <is>
          <t>N/A</t>
        </is>
      </c>
      <c r="AA6" s="111" t="inlineStr">
        <is>
          <t>Blocked</t>
        </is>
      </c>
      <c r="AB6" s="111" t="n"/>
    </row>
    <row r="7" ht="15" customHeight="1" s="104">
      <c r="A7" s="107" t="inlineStr">
        <is>
          <t>TU-2021-0006</t>
        </is>
      </c>
      <c r="B7" s="108" t="inlineStr">
        <is>
          <t>Felix Otieno</t>
        </is>
      </c>
      <c r="C7" s="107" t="inlineStr">
        <is>
          <t>Male</t>
        </is>
      </c>
      <c r="D7" s="107" t="inlineStr">
        <is>
          <t>2001-01-14</t>
        </is>
      </c>
      <c r="E7" s="107" t="inlineStr">
        <is>
          <t>f.otieno@templumis.ac</t>
        </is>
      </c>
      <c r="F7" s="107" t="inlineStr">
        <is>
          <t>+254712345006</t>
        </is>
      </c>
      <c r="G7" s="107" t="inlineStr">
        <is>
          <t>BEd</t>
        </is>
      </c>
      <c r="H7" s="108" t="inlineStr">
        <is>
          <t>Education</t>
        </is>
      </c>
      <c r="I7" s="107" t="inlineStr">
        <is>
          <t>School of Education</t>
        </is>
      </c>
      <c r="J7" s="107" t="inlineStr">
        <is>
          <t>Year 3</t>
        </is>
      </c>
      <c r="K7" s="107" t="n">
        <v>3.22</v>
      </c>
      <c r="L7" s="107" t="n">
        <v>98</v>
      </c>
      <c r="M7" s="107" t="inlineStr">
        <is>
          <t>Active</t>
        </is>
      </c>
      <c r="N7" s="107" t="inlineStr">
        <is>
          <t>Kenyan</t>
        </is>
      </c>
      <c r="O7" s="107" t="inlineStr">
        <is>
          <t>2021-09-05</t>
        </is>
      </c>
      <c r="P7" s="107" t="inlineStr">
        <is>
          <t>2025-06-30</t>
        </is>
      </c>
      <c r="Q7" s="107" t="inlineStr">
        <is>
          <t>Undergraduate</t>
        </is>
      </c>
      <c r="R7" s="107" t="inlineStr">
        <is>
          <t>BEd</t>
        </is>
      </c>
      <c r="S7" s="108" t="inlineStr">
        <is>
          <t>3. Progressing — Year 3</t>
        </is>
      </c>
      <c r="T7" s="107" t="inlineStr">
        <is>
          <t>Sem 6</t>
        </is>
      </c>
      <c r="U7" s="107" t="inlineStr">
        <is>
          <t>Paid</t>
        </is>
      </c>
      <c r="V7" s="107" t="n">
        <v>0</v>
      </c>
      <c r="W7" s="107" t="inlineStr">
        <is>
          <t>Good Standing</t>
        </is>
      </c>
      <c r="X7" s="107" t="inlineStr">
        <is>
          <t>2024-01-15</t>
        </is>
      </c>
      <c r="Y7" s="108" t="inlineStr">
        <is>
          <t>N/A</t>
        </is>
      </c>
      <c r="Z7" s="108" t="inlineStr">
        <is>
          <t>N/A</t>
        </is>
      </c>
      <c r="AA7" s="107" t="inlineStr">
        <is>
          <t>Not Yet</t>
        </is>
      </c>
      <c r="AB7" s="107" t="n"/>
    </row>
    <row r="8" ht="15" customHeight="1" s="104">
      <c r="A8" s="107" t="inlineStr">
        <is>
          <t>TU-2022-0007</t>
        </is>
      </c>
      <c r="B8" s="108" t="inlineStr">
        <is>
          <t>Grace Auma</t>
        </is>
      </c>
      <c r="C8" s="107" t="inlineStr">
        <is>
          <t>Female</t>
        </is>
      </c>
      <c r="D8" s="107" t="inlineStr">
        <is>
          <t>2002-06-08</t>
        </is>
      </c>
      <c r="E8" s="107" t="inlineStr">
        <is>
          <t>g.auma@templumis.ac</t>
        </is>
      </c>
      <c r="F8" s="107" t="inlineStr">
        <is>
          <t>+254712345007</t>
        </is>
      </c>
      <c r="G8" s="107" t="inlineStr">
        <is>
          <t>BSc</t>
        </is>
      </c>
      <c r="H8" s="108" t="inlineStr">
        <is>
          <t>Biochemistry</t>
        </is>
      </c>
      <c r="I8" s="107" t="inlineStr">
        <is>
          <t>School of Science</t>
        </is>
      </c>
      <c r="J8" s="107" t="inlineStr">
        <is>
          <t>Year 2</t>
        </is>
      </c>
      <c r="K8" s="107" t="n">
        <v>3.68</v>
      </c>
      <c r="L8" s="107" t="n">
        <v>66</v>
      </c>
      <c r="M8" s="107" t="inlineStr">
        <is>
          <t>Active</t>
        </is>
      </c>
      <c r="N8" s="107" t="inlineStr">
        <is>
          <t>Kenyan</t>
        </is>
      </c>
      <c r="O8" s="107" t="inlineStr">
        <is>
          <t>2022-09-06</t>
        </is>
      </c>
      <c r="P8" s="107" t="inlineStr">
        <is>
          <t>2026-06-30</t>
        </is>
      </c>
      <c r="Q8" s="107" t="inlineStr">
        <is>
          <t>Undergraduate</t>
        </is>
      </c>
      <c r="R8" s="107" t="inlineStr">
        <is>
          <t>BSc</t>
        </is>
      </c>
      <c r="S8" s="108" t="inlineStr">
        <is>
          <t>2. Progressing — Year 2</t>
        </is>
      </c>
      <c r="T8" s="107" t="inlineStr">
        <is>
          <t>Sem 4</t>
        </is>
      </c>
      <c r="U8" s="107" t="inlineStr">
        <is>
          <t>Paid</t>
        </is>
      </c>
      <c r="V8" s="107" t="n">
        <v>0</v>
      </c>
      <c r="W8" s="107" t="inlineStr">
        <is>
          <t>Good Standing</t>
        </is>
      </c>
      <c r="X8" s="107" t="inlineStr">
        <is>
          <t>2024-01-15</t>
        </is>
      </c>
      <c r="Y8" s="108" t="inlineStr">
        <is>
          <t>N/A</t>
        </is>
      </c>
      <c r="Z8" s="108" t="inlineStr">
        <is>
          <t>N/A</t>
        </is>
      </c>
      <c r="AA8" s="107" t="inlineStr">
        <is>
          <t>Not Yet</t>
        </is>
      </c>
      <c r="AB8" s="107" t="n"/>
    </row>
    <row r="9" ht="15" customHeight="1" s="104">
      <c r="A9" s="107" t="inlineStr">
        <is>
          <t>TU-2020-0008</t>
        </is>
      </c>
      <c r="B9" s="108" t="inlineStr">
        <is>
          <t>Hassan Abdi</t>
        </is>
      </c>
      <c r="C9" s="107" t="inlineStr">
        <is>
          <t>Male</t>
        </is>
      </c>
      <c r="D9" s="107" t="inlineStr">
        <is>
          <t>2000-12-20</t>
        </is>
      </c>
      <c r="E9" s="107" t="inlineStr">
        <is>
          <t>h.abdi@templumis.ac</t>
        </is>
      </c>
      <c r="F9" s="107" t="inlineStr">
        <is>
          <t>+252712345008</t>
        </is>
      </c>
      <c r="G9" s="107" t="inlineStr">
        <is>
          <t>LLB</t>
        </is>
      </c>
      <c r="H9" s="108" t="inlineStr">
        <is>
          <t>Law</t>
        </is>
      </c>
      <c r="I9" s="107" t="inlineStr">
        <is>
          <t>School of Law</t>
        </is>
      </c>
      <c r="J9" s="107" t="inlineStr">
        <is>
          <t>Year 4</t>
        </is>
      </c>
      <c r="K9" s="107" t="n">
        <v>3.1</v>
      </c>
      <c r="L9" s="107" t="n">
        <v>120</v>
      </c>
      <c r="M9" s="107" t="inlineStr">
        <is>
          <t>Active</t>
        </is>
      </c>
      <c r="N9" s="107" t="inlineStr">
        <is>
          <t>Somali</t>
        </is>
      </c>
      <c r="O9" s="107" t="inlineStr">
        <is>
          <t>2020-09-07</t>
        </is>
      </c>
      <c r="P9" s="107" t="inlineStr">
        <is>
          <t>2024-06-30</t>
        </is>
      </c>
      <c r="Q9" s="107" t="inlineStr">
        <is>
          <t>Undergraduate</t>
        </is>
      </c>
      <c r="R9" s="107" t="inlineStr">
        <is>
          <t>LLB</t>
        </is>
      </c>
      <c r="S9" s="108" t="inlineStr">
        <is>
          <t>4. Final Year — Pre-Clearance</t>
        </is>
      </c>
      <c r="T9" s="107" t="inlineStr">
        <is>
          <t>Sem 8</t>
        </is>
      </c>
      <c r="U9" s="107" t="inlineStr">
        <is>
          <t>Paid</t>
        </is>
      </c>
      <c r="V9" s="107" t="n">
        <v>0</v>
      </c>
      <c r="W9" s="107" t="inlineStr">
        <is>
          <t>Good Standing</t>
        </is>
      </c>
      <c r="X9" s="107" t="inlineStr">
        <is>
          <t>2024-01-15</t>
        </is>
      </c>
      <c r="Y9" s="108" t="inlineStr">
        <is>
          <t>N/A</t>
        </is>
      </c>
      <c r="Z9" s="108" t="inlineStr">
        <is>
          <t>N/A</t>
        </is>
      </c>
      <c r="AA9" s="107" t="inlineStr">
        <is>
          <t>In Progress</t>
        </is>
      </c>
      <c r="AB9" s="107" t="n"/>
    </row>
    <row r="10" ht="15" customHeight="1" s="104">
      <c r="A10" s="113" t="inlineStr">
        <is>
          <t>TU-2021-0009</t>
        </is>
      </c>
      <c r="B10" s="114" t="inlineStr">
        <is>
          <t>Ivy Njeri</t>
        </is>
      </c>
      <c r="C10" s="113" t="inlineStr">
        <is>
          <t>Female</t>
        </is>
      </c>
      <c r="D10" s="113" t="inlineStr">
        <is>
          <t>2001-08-03</t>
        </is>
      </c>
      <c r="E10" s="113" t="inlineStr">
        <is>
          <t>i.njeri@templumis.ac</t>
        </is>
      </c>
      <c r="F10" s="113" t="inlineStr">
        <is>
          <t>+254712345009</t>
        </is>
      </c>
      <c r="G10" s="113" t="inlineStr">
        <is>
          <t>BComm</t>
        </is>
      </c>
      <c r="H10" s="114" t="inlineStr">
        <is>
          <t>Accounting</t>
        </is>
      </c>
      <c r="I10" s="113" t="inlineStr">
        <is>
          <t>School of Business</t>
        </is>
      </c>
      <c r="J10" s="113" t="inlineStr">
        <is>
          <t>Year 3</t>
        </is>
      </c>
      <c r="K10" s="113" t="n">
        <v>2.8</v>
      </c>
      <c r="L10" s="113" t="n">
        <v>90</v>
      </c>
      <c r="M10" s="113" t="inlineStr">
        <is>
          <t>On Leave</t>
        </is>
      </c>
      <c r="N10" s="113" t="inlineStr">
        <is>
          <t>Kenyan</t>
        </is>
      </c>
      <c r="O10" s="113" t="inlineStr">
        <is>
          <t>2021-09-05</t>
        </is>
      </c>
      <c r="P10" s="113" t="inlineStr">
        <is>
          <t>2025-06-30</t>
        </is>
      </c>
      <c r="Q10" s="113" t="inlineStr">
        <is>
          <t>Undergraduate</t>
        </is>
      </c>
      <c r="R10" s="113" t="inlineStr">
        <is>
          <t>BComm</t>
        </is>
      </c>
      <c r="S10" s="114" t="inlineStr">
        <is>
          <t>⏸ Deferred — On Leave</t>
        </is>
      </c>
      <c r="T10" s="113" t="inlineStr">
        <is>
          <t>Sem 6</t>
        </is>
      </c>
      <c r="U10" s="113" t="inlineStr">
        <is>
          <t>Deferred</t>
        </is>
      </c>
      <c r="V10" s="113" t="n">
        <v>0</v>
      </c>
      <c r="W10" s="113" t="inlineStr">
        <is>
          <t>Good Standing</t>
        </is>
      </c>
      <c r="X10" s="113" t="inlineStr">
        <is>
          <t>2024-01-15</t>
        </is>
      </c>
      <c r="Y10" s="114" t="inlineStr">
        <is>
          <t>N/A</t>
        </is>
      </c>
      <c r="Z10" s="114" t="inlineStr">
        <is>
          <t>N/A</t>
        </is>
      </c>
      <c r="AA10" s="113" t="inlineStr">
        <is>
          <t>Not Yet</t>
        </is>
      </c>
      <c r="AB10" s="113" t="n"/>
    </row>
    <row r="11" ht="15" customHeight="1" s="104">
      <c r="A11" s="107" t="inlineStr">
        <is>
          <t>TU-2023-0010</t>
        </is>
      </c>
      <c r="B11" s="108" t="inlineStr">
        <is>
          <t>James Kibaki</t>
        </is>
      </c>
      <c r="C11" s="107" t="inlineStr">
        <is>
          <t>Male</t>
        </is>
      </c>
      <c r="D11" s="107" t="inlineStr">
        <is>
          <t>2003-02-25</t>
        </is>
      </c>
      <c r="E11" s="107" t="inlineStr">
        <is>
          <t>j.kibaki@templumis.ac</t>
        </is>
      </c>
      <c r="F11" s="107" t="inlineStr">
        <is>
          <t>+254712345010</t>
        </is>
      </c>
      <c r="G11" s="107" t="inlineStr">
        <is>
          <t>BSc</t>
        </is>
      </c>
      <c r="H11" s="108" t="inlineStr">
        <is>
          <t>Information Technology</t>
        </is>
      </c>
      <c r="I11" s="107" t="inlineStr">
        <is>
          <t>School of Computing</t>
        </is>
      </c>
      <c r="J11" s="107" t="inlineStr">
        <is>
          <t>Year 1</t>
        </is>
      </c>
      <c r="K11" s="107" t="n">
        <v>3.4</v>
      </c>
      <c r="L11" s="107" t="n">
        <v>30</v>
      </c>
      <c r="M11" s="107" t="inlineStr">
        <is>
          <t>Active</t>
        </is>
      </c>
      <c r="N11" s="107" t="inlineStr">
        <is>
          <t>Kenyan</t>
        </is>
      </c>
      <c r="O11" s="107" t="inlineStr">
        <is>
          <t>2023-09-04</t>
        </is>
      </c>
      <c r="P11" s="107" t="inlineStr">
        <is>
          <t>2027-06-30</t>
        </is>
      </c>
      <c r="Q11" s="107" t="inlineStr">
        <is>
          <t>Undergraduate</t>
        </is>
      </c>
      <c r="R11" s="107" t="inlineStr">
        <is>
          <t>BSc</t>
        </is>
      </c>
      <c r="S11" s="108" t="inlineStr">
        <is>
          <t>1. Enrolled &amp; Orientated</t>
        </is>
      </c>
      <c r="T11" s="107" t="inlineStr">
        <is>
          <t>Sem 2</t>
        </is>
      </c>
      <c r="U11" s="107" t="inlineStr">
        <is>
          <t>Paid</t>
        </is>
      </c>
      <c r="V11" s="107" t="n">
        <v>0</v>
      </c>
      <c r="W11" s="107" t="inlineStr">
        <is>
          <t>Good Standing</t>
        </is>
      </c>
      <c r="X11" s="107" t="inlineStr">
        <is>
          <t>2024-01-15</t>
        </is>
      </c>
      <c r="Y11" s="108" t="inlineStr">
        <is>
          <t>N/A</t>
        </is>
      </c>
      <c r="Z11" s="108" t="inlineStr">
        <is>
          <t>N/A</t>
        </is>
      </c>
      <c r="AA11" s="107" t="inlineStr">
        <is>
          <t>Not Yet</t>
        </is>
      </c>
      <c r="AB11" s="107" t="n"/>
    </row>
    <row r="12" ht="15" customHeight="1" s="104">
      <c r="A12" s="107" t="inlineStr">
        <is>
          <t>TU-2022-0011</t>
        </is>
      </c>
      <c r="B12" s="108" t="inlineStr">
        <is>
          <t>Kezia Moraa</t>
        </is>
      </c>
      <c r="C12" s="107" t="inlineStr">
        <is>
          <t>Female</t>
        </is>
      </c>
      <c r="D12" s="107" t="inlineStr">
        <is>
          <t>2002-10-11</t>
        </is>
      </c>
      <c r="E12" s="107" t="inlineStr">
        <is>
          <t>k.moraa@templumis.ac</t>
        </is>
      </c>
      <c r="F12" s="107" t="inlineStr">
        <is>
          <t>+254712345011</t>
        </is>
      </c>
      <c r="G12" s="107" t="inlineStr">
        <is>
          <t>BSc</t>
        </is>
      </c>
      <c r="H12" s="108" t="inlineStr">
        <is>
          <t>Environmental Science</t>
        </is>
      </c>
      <c r="I12" s="107" t="inlineStr">
        <is>
          <t>School of Science</t>
        </is>
      </c>
      <c r="J12" s="107" t="inlineStr">
        <is>
          <t>Year 2</t>
        </is>
      </c>
      <c r="K12" s="107" t="n">
        <v>3.05</v>
      </c>
      <c r="L12" s="107" t="n">
        <v>60</v>
      </c>
      <c r="M12" s="107" t="inlineStr">
        <is>
          <t>Active</t>
        </is>
      </c>
      <c r="N12" s="107" t="inlineStr">
        <is>
          <t>Kenyan</t>
        </is>
      </c>
      <c r="O12" s="107" t="inlineStr">
        <is>
          <t>2022-09-06</t>
        </is>
      </c>
      <c r="P12" s="107" t="inlineStr">
        <is>
          <t>2026-06-30</t>
        </is>
      </c>
      <c r="Q12" s="107" t="inlineStr">
        <is>
          <t>Undergraduate</t>
        </is>
      </c>
      <c r="R12" s="107" t="inlineStr">
        <is>
          <t>BSc</t>
        </is>
      </c>
      <c r="S12" s="108" t="inlineStr">
        <is>
          <t>2. Progressing — Year 2</t>
        </is>
      </c>
      <c r="T12" s="107" t="inlineStr">
        <is>
          <t>Sem 4</t>
        </is>
      </c>
      <c r="U12" s="107" t="inlineStr">
        <is>
          <t>Paid</t>
        </is>
      </c>
      <c r="V12" s="107" t="n">
        <v>0</v>
      </c>
      <c r="W12" s="107" t="inlineStr">
        <is>
          <t>Good Standing</t>
        </is>
      </c>
      <c r="X12" s="107" t="inlineStr">
        <is>
          <t>2024-01-15</t>
        </is>
      </c>
      <c r="Y12" s="108" t="inlineStr">
        <is>
          <t>N/A</t>
        </is>
      </c>
      <c r="Z12" s="108" t="inlineStr">
        <is>
          <t>N/A</t>
        </is>
      </c>
      <c r="AA12" s="107" t="inlineStr">
        <is>
          <t>Not Yet</t>
        </is>
      </c>
      <c r="AB12" s="107" t="n"/>
    </row>
    <row r="13" ht="15" customHeight="1" s="104">
      <c r="A13" s="109" t="inlineStr">
        <is>
          <t>TU-2019-0012</t>
        </is>
      </c>
      <c r="B13" s="110" t="inlineStr">
        <is>
          <t>Liam Okonkwo</t>
        </is>
      </c>
      <c r="C13" s="109" t="inlineStr">
        <is>
          <t>Male</t>
        </is>
      </c>
      <c r="D13" s="109" t="inlineStr">
        <is>
          <t>1999-05-17</t>
        </is>
      </c>
      <c r="E13" s="109" t="inlineStr">
        <is>
          <t>l.okonkwo@templumis.ac</t>
        </is>
      </c>
      <c r="F13" s="109" t="inlineStr">
        <is>
          <t>+234712345012</t>
        </is>
      </c>
      <c r="G13" s="109" t="inlineStr">
        <is>
          <t>BSc</t>
        </is>
      </c>
      <c r="H13" s="110" t="inlineStr">
        <is>
          <t>Electrical Engineering</t>
        </is>
      </c>
      <c r="I13" s="109" t="inlineStr">
        <is>
          <t>School of Engineering</t>
        </is>
      </c>
      <c r="J13" s="109" t="inlineStr">
        <is>
          <t>Year 4</t>
        </is>
      </c>
      <c r="K13" s="109" t="n">
        <v>2.6</v>
      </c>
      <c r="L13" s="109" t="n">
        <v>124</v>
      </c>
      <c r="M13" s="109" t="inlineStr">
        <is>
          <t>Graduated</t>
        </is>
      </c>
      <c r="N13" s="109" t="inlineStr">
        <is>
          <t>Nigerian</t>
        </is>
      </c>
      <c r="O13" s="109" t="inlineStr">
        <is>
          <t>2019-09-02</t>
        </is>
      </c>
      <c r="P13" s="109" t="n"/>
      <c r="Q13" s="109" t="inlineStr">
        <is>
          <t>Undergraduate</t>
        </is>
      </c>
      <c r="R13" s="109" t="inlineStr">
        <is>
          <t>BSc</t>
        </is>
      </c>
      <c r="S13" s="110" t="inlineStr">
        <is>
          <t>6. Graduated ✓</t>
        </is>
      </c>
      <c r="T13" s="109" t="inlineStr">
        <is>
          <t>Completed</t>
        </is>
      </c>
      <c r="U13" s="109" t="inlineStr">
        <is>
          <t>Cleared</t>
        </is>
      </c>
      <c r="V13" s="109" t="n">
        <v>0</v>
      </c>
      <c r="W13" s="109" t="inlineStr">
        <is>
          <t>Cleared</t>
        </is>
      </c>
      <c r="X13" s="109" t="inlineStr">
        <is>
          <t>2024-01-15</t>
        </is>
      </c>
      <c r="Y13" s="110" t="inlineStr">
        <is>
          <t>N/A</t>
        </is>
      </c>
      <c r="Z13" s="110" t="inlineStr">
        <is>
          <t>N/A</t>
        </is>
      </c>
      <c r="AA13" s="109" t="inlineStr">
        <is>
          <t>Approved</t>
        </is>
      </c>
      <c r="AB13" s="109" t="inlineStr">
        <is>
          <t>2023-11-10</t>
        </is>
      </c>
    </row>
    <row r="14" ht="15" customHeight="1" s="104">
      <c r="A14" s="107" t="inlineStr">
        <is>
          <t>TU-2021-0013</t>
        </is>
      </c>
      <c r="B14" s="108" t="inlineStr">
        <is>
          <t>Mary Adhiambo</t>
        </is>
      </c>
      <c r="C14" s="107" t="inlineStr">
        <is>
          <t>Female</t>
        </is>
      </c>
      <c r="D14" s="107" t="inlineStr">
        <is>
          <t>2001-07-29</t>
        </is>
      </c>
      <c r="E14" s="107" t="inlineStr">
        <is>
          <t>m.adhiambo@templumis.ac</t>
        </is>
      </c>
      <c r="F14" s="107" t="inlineStr">
        <is>
          <t>+254712345013</t>
        </is>
      </c>
      <c r="G14" s="107" t="inlineStr">
        <is>
          <t>BA</t>
        </is>
      </c>
      <c r="H14" s="108" t="inlineStr">
        <is>
          <t>Sociology</t>
        </is>
      </c>
      <c r="I14" s="107" t="inlineStr">
        <is>
          <t>School of Social Sciences</t>
        </is>
      </c>
      <c r="J14" s="107" t="inlineStr">
        <is>
          <t>Year 3</t>
        </is>
      </c>
      <c r="K14" s="107" t="n">
        <v>3.5</v>
      </c>
      <c r="L14" s="107" t="n">
        <v>94</v>
      </c>
      <c r="M14" s="107" t="inlineStr">
        <is>
          <t>Active</t>
        </is>
      </c>
      <c r="N14" s="107" t="inlineStr">
        <is>
          <t>Kenyan</t>
        </is>
      </c>
      <c r="O14" s="107" t="inlineStr">
        <is>
          <t>2021-09-05</t>
        </is>
      </c>
      <c r="P14" s="107" t="inlineStr">
        <is>
          <t>2025-06-30</t>
        </is>
      </c>
      <c r="Q14" s="107" t="inlineStr">
        <is>
          <t>Undergraduate</t>
        </is>
      </c>
      <c r="R14" s="107" t="inlineStr">
        <is>
          <t>BA</t>
        </is>
      </c>
      <c r="S14" s="108" t="inlineStr">
        <is>
          <t>3. Progressing — Year 3</t>
        </is>
      </c>
      <c r="T14" s="107" t="inlineStr">
        <is>
          <t>Sem 6</t>
        </is>
      </c>
      <c r="U14" s="107" t="inlineStr">
        <is>
          <t>Paid</t>
        </is>
      </c>
      <c r="V14" s="107" t="n">
        <v>0</v>
      </c>
      <c r="W14" s="107" t="inlineStr">
        <is>
          <t>Good Standing</t>
        </is>
      </c>
      <c r="X14" s="107" t="inlineStr">
        <is>
          <t>2024-01-15</t>
        </is>
      </c>
      <c r="Y14" s="108" t="inlineStr">
        <is>
          <t>N/A</t>
        </is>
      </c>
      <c r="Z14" s="108" t="inlineStr">
        <is>
          <t>N/A</t>
        </is>
      </c>
      <c r="AA14" s="107" t="inlineStr">
        <is>
          <t>Not Yet</t>
        </is>
      </c>
      <c r="AB14" s="107" t="n"/>
    </row>
    <row r="15" ht="15" customHeight="1" s="104">
      <c r="A15" s="115" t="inlineStr">
        <is>
          <t>TU-2020-0014</t>
        </is>
      </c>
      <c r="B15" s="116" t="inlineStr">
        <is>
          <t>Noel Kiprotich</t>
        </is>
      </c>
      <c r="C15" s="115" t="inlineStr">
        <is>
          <t>Male</t>
        </is>
      </c>
      <c r="D15" s="115" t="inlineStr">
        <is>
          <t>2000-03-06</t>
        </is>
      </c>
      <c r="E15" s="115" t="inlineStr">
        <is>
          <t>n.kiprotich@templumis.ac</t>
        </is>
      </c>
      <c r="F15" s="115" t="inlineStr">
        <is>
          <t>+254712345014</t>
        </is>
      </c>
      <c r="G15" s="115" t="inlineStr">
        <is>
          <t>BPharm</t>
        </is>
      </c>
      <c r="H15" s="116" t="inlineStr">
        <is>
          <t>Pharmacy</t>
        </is>
      </c>
      <c r="I15" s="115" t="inlineStr">
        <is>
          <t>School of Health Sciences</t>
        </is>
      </c>
      <c r="J15" s="115" t="inlineStr">
        <is>
          <t>Year 4</t>
        </is>
      </c>
      <c r="K15" s="115" t="n">
        <v>1.9</v>
      </c>
      <c r="L15" s="115" t="n">
        <v>112</v>
      </c>
      <c r="M15" s="115" t="inlineStr">
        <is>
          <t>Suspended</t>
        </is>
      </c>
      <c r="N15" s="115" t="inlineStr">
        <is>
          <t>Kenyan</t>
        </is>
      </c>
      <c r="O15" s="115" t="inlineStr">
        <is>
          <t>2020-09-07</t>
        </is>
      </c>
      <c r="P15" s="115" t="inlineStr">
        <is>
          <t>2024-06-30</t>
        </is>
      </c>
      <c r="Q15" s="115" t="inlineStr">
        <is>
          <t>Undergraduate</t>
        </is>
      </c>
      <c r="R15" s="115" t="inlineStr">
        <is>
          <t>BPharm</t>
        </is>
      </c>
      <c r="S15" s="116" t="inlineStr">
        <is>
          <t>⚠ Academic Hold — Suspended</t>
        </is>
      </c>
      <c r="T15" s="115" t="inlineStr">
        <is>
          <t>Sem 8</t>
        </is>
      </c>
      <c r="U15" s="115" t="inlineStr">
        <is>
          <t>Overdue</t>
        </is>
      </c>
      <c r="V15" s="115" t="n">
        <v>75000</v>
      </c>
      <c r="W15" s="115" t="inlineStr">
        <is>
          <t>Suspended</t>
        </is>
      </c>
      <c r="X15" s="115" t="inlineStr">
        <is>
          <t>2023-12-01</t>
        </is>
      </c>
      <c r="Y15" s="116" t="inlineStr">
        <is>
          <t>N/A</t>
        </is>
      </c>
      <c r="Z15" s="116" t="inlineStr">
        <is>
          <t>N/A</t>
        </is>
      </c>
      <c r="AA15" s="115" t="inlineStr">
        <is>
          <t>Blocked</t>
        </is>
      </c>
      <c r="AB15" s="115" t="n"/>
    </row>
    <row r="16" ht="15" customHeight="1" s="104">
      <c r="A16" s="107" t="inlineStr">
        <is>
          <t>TU-2023-0015</t>
        </is>
      </c>
      <c r="B16" s="108" t="inlineStr">
        <is>
          <t>Olivia Achieng</t>
        </is>
      </c>
      <c r="C16" s="107" t="inlineStr">
        <is>
          <t>Female</t>
        </is>
      </c>
      <c r="D16" s="107" t="inlineStr">
        <is>
          <t>2003-11-15</t>
        </is>
      </c>
      <c r="E16" s="107" t="inlineStr">
        <is>
          <t>o.achieng@templumis.ac</t>
        </is>
      </c>
      <c r="F16" s="107" t="inlineStr">
        <is>
          <t>+254712345015</t>
        </is>
      </c>
      <c r="G16" s="107" t="inlineStr">
        <is>
          <t>BA</t>
        </is>
      </c>
      <c r="H16" s="108" t="inlineStr">
        <is>
          <t>Communication</t>
        </is>
      </c>
      <c r="I16" s="107" t="inlineStr">
        <is>
          <t>School of Arts</t>
        </is>
      </c>
      <c r="J16" s="107" t="inlineStr">
        <is>
          <t>Year 1</t>
        </is>
      </c>
      <c r="K16" s="107" t="n">
        <v>3.82</v>
      </c>
      <c r="L16" s="107" t="n">
        <v>34</v>
      </c>
      <c r="M16" s="107" t="inlineStr">
        <is>
          <t>Active</t>
        </is>
      </c>
      <c r="N16" s="107" t="inlineStr">
        <is>
          <t>Kenyan</t>
        </is>
      </c>
      <c r="O16" s="107" t="inlineStr">
        <is>
          <t>2023-09-04</t>
        </is>
      </c>
      <c r="P16" s="107" t="inlineStr">
        <is>
          <t>2027-06-30</t>
        </is>
      </c>
      <c r="Q16" s="107" t="inlineStr">
        <is>
          <t>Undergraduate</t>
        </is>
      </c>
      <c r="R16" s="107" t="inlineStr">
        <is>
          <t>BA</t>
        </is>
      </c>
      <c r="S16" s="108" t="inlineStr">
        <is>
          <t>1. Enrolled &amp; Orientated</t>
        </is>
      </c>
      <c r="T16" s="107" t="inlineStr">
        <is>
          <t>Sem 2</t>
        </is>
      </c>
      <c r="U16" s="107" t="inlineStr">
        <is>
          <t>Paid</t>
        </is>
      </c>
      <c r="V16" s="107" t="n">
        <v>0</v>
      </c>
      <c r="W16" s="107" t="inlineStr">
        <is>
          <t>Good Standing</t>
        </is>
      </c>
      <c r="X16" s="107" t="inlineStr">
        <is>
          <t>2024-01-15</t>
        </is>
      </c>
      <c r="Y16" s="108" t="inlineStr">
        <is>
          <t>N/A</t>
        </is>
      </c>
      <c r="Z16" s="108" t="inlineStr">
        <is>
          <t>N/A</t>
        </is>
      </c>
      <c r="AA16" s="107" t="inlineStr">
        <is>
          <t>Not Yet</t>
        </is>
      </c>
      <c r="AB16" s="107" t="n"/>
    </row>
    <row r="17" ht="15" customHeight="1" s="104">
      <c r="A17" s="107" t="inlineStr">
        <is>
          <t>TU-2022-0016</t>
        </is>
      </c>
      <c r="B17" s="108" t="inlineStr">
        <is>
          <t>Patrick Owino</t>
        </is>
      </c>
      <c r="C17" s="107" t="inlineStr">
        <is>
          <t>Male</t>
        </is>
      </c>
      <c r="D17" s="107" t="inlineStr">
        <is>
          <t>2002-04-02</t>
        </is>
      </c>
      <c r="E17" s="107" t="inlineStr">
        <is>
          <t>p.owino@templumis.ac</t>
        </is>
      </c>
      <c r="F17" s="107" t="inlineStr">
        <is>
          <t>+254712345016</t>
        </is>
      </c>
      <c r="G17" s="107" t="inlineStr">
        <is>
          <t>BSc</t>
        </is>
      </c>
      <c r="H17" s="108" t="inlineStr">
        <is>
          <t>Statistics</t>
        </is>
      </c>
      <c r="I17" s="107" t="inlineStr">
        <is>
          <t>School of Science</t>
        </is>
      </c>
      <c r="J17" s="107" t="inlineStr">
        <is>
          <t>Year 2</t>
        </is>
      </c>
      <c r="K17" s="107" t="n">
        <v>2.95</v>
      </c>
      <c r="L17" s="107" t="n">
        <v>58</v>
      </c>
      <c r="M17" s="107" t="inlineStr">
        <is>
          <t>Active</t>
        </is>
      </c>
      <c r="N17" s="107" t="inlineStr">
        <is>
          <t>Kenyan</t>
        </is>
      </c>
      <c r="O17" s="107" t="inlineStr">
        <is>
          <t>2022-09-06</t>
        </is>
      </c>
      <c r="P17" s="107" t="inlineStr">
        <is>
          <t>2026-06-30</t>
        </is>
      </c>
      <c r="Q17" s="107" t="inlineStr">
        <is>
          <t>Undergraduate</t>
        </is>
      </c>
      <c r="R17" s="107" t="inlineStr">
        <is>
          <t>BSc</t>
        </is>
      </c>
      <c r="S17" s="108" t="inlineStr">
        <is>
          <t>2. Progressing — Year 2</t>
        </is>
      </c>
      <c r="T17" s="107" t="inlineStr">
        <is>
          <t>Sem 4</t>
        </is>
      </c>
      <c r="U17" s="107" t="inlineStr">
        <is>
          <t>Paid</t>
        </is>
      </c>
      <c r="V17" s="107" t="n">
        <v>0</v>
      </c>
      <c r="W17" s="107" t="inlineStr">
        <is>
          <t>Good Standing</t>
        </is>
      </c>
      <c r="X17" s="107" t="inlineStr">
        <is>
          <t>2024-01-15</t>
        </is>
      </c>
      <c r="Y17" s="108" t="inlineStr">
        <is>
          <t>N/A</t>
        </is>
      </c>
      <c r="Z17" s="108" t="inlineStr">
        <is>
          <t>N/A</t>
        </is>
      </c>
      <c r="AA17" s="107" t="inlineStr">
        <is>
          <t>Not Yet</t>
        </is>
      </c>
      <c r="AB17" s="107" t="n"/>
    </row>
    <row r="18" ht="15" customHeight="1" s="104">
      <c r="A18" s="107" t="inlineStr">
        <is>
          <t>TU-2021-0017</t>
        </is>
      </c>
      <c r="B18" s="108" t="inlineStr">
        <is>
          <t>Queenie Mugo</t>
        </is>
      </c>
      <c r="C18" s="107" t="inlineStr">
        <is>
          <t>Female</t>
        </is>
      </c>
      <c r="D18" s="107" t="inlineStr">
        <is>
          <t>2001-09-19</t>
        </is>
      </c>
      <c r="E18" s="107" t="inlineStr">
        <is>
          <t>q.mugo@templumis.ac</t>
        </is>
      </c>
      <c r="F18" s="107" t="inlineStr">
        <is>
          <t>+254712345017</t>
        </is>
      </c>
      <c r="G18" s="107" t="inlineStr">
        <is>
          <t>BSc</t>
        </is>
      </c>
      <c r="H18" s="108" t="inlineStr">
        <is>
          <t>Computer Science</t>
        </is>
      </c>
      <c r="I18" s="107" t="inlineStr">
        <is>
          <t>School of Computing</t>
        </is>
      </c>
      <c r="J18" s="107" t="inlineStr">
        <is>
          <t>Year 3</t>
        </is>
      </c>
      <c r="K18" s="107" t="n">
        <v>3.95</v>
      </c>
      <c r="L18" s="107" t="n">
        <v>100</v>
      </c>
      <c r="M18" s="107" t="inlineStr">
        <is>
          <t>Active</t>
        </is>
      </c>
      <c r="N18" s="107" t="inlineStr">
        <is>
          <t>Kenyan</t>
        </is>
      </c>
      <c r="O18" s="107" t="inlineStr">
        <is>
          <t>2021-09-05</t>
        </is>
      </c>
      <c r="P18" s="107" t="inlineStr">
        <is>
          <t>2025-06-30</t>
        </is>
      </c>
      <c r="Q18" s="107" t="inlineStr">
        <is>
          <t>Undergraduate</t>
        </is>
      </c>
      <c r="R18" s="107" t="inlineStr">
        <is>
          <t>BSc</t>
        </is>
      </c>
      <c r="S18" s="108" t="inlineStr">
        <is>
          <t>3. Progressing — Year 3</t>
        </is>
      </c>
      <c r="T18" s="107" t="inlineStr">
        <is>
          <t>Sem 6</t>
        </is>
      </c>
      <c r="U18" s="107" t="inlineStr">
        <is>
          <t>Paid</t>
        </is>
      </c>
      <c r="V18" s="107" t="n">
        <v>0</v>
      </c>
      <c r="W18" s="107" t="inlineStr">
        <is>
          <t>Good Standing</t>
        </is>
      </c>
      <c r="X18" s="107" t="inlineStr">
        <is>
          <t>2024-01-15</t>
        </is>
      </c>
      <c r="Y18" s="108" t="inlineStr">
        <is>
          <t>N/A</t>
        </is>
      </c>
      <c r="Z18" s="108" t="inlineStr">
        <is>
          <t>N/A</t>
        </is>
      </c>
      <c r="AA18" s="107" t="inlineStr">
        <is>
          <t>Not Yet</t>
        </is>
      </c>
      <c r="AB18" s="107" t="n"/>
    </row>
    <row r="19" ht="15" customHeight="1" s="104">
      <c r="A19" s="107" t="inlineStr">
        <is>
          <t>TU-2020-0018</t>
        </is>
      </c>
      <c r="B19" s="108" t="inlineStr">
        <is>
          <t>Robert Dlamini</t>
        </is>
      </c>
      <c r="C19" s="107" t="inlineStr">
        <is>
          <t>Male</t>
        </is>
      </c>
      <c r="D19" s="107" t="inlineStr">
        <is>
          <t>2000-06-23</t>
        </is>
      </c>
      <c r="E19" s="107" t="inlineStr">
        <is>
          <t>r.dlamini@templumis.ac</t>
        </is>
      </c>
      <c r="F19" s="107" t="inlineStr">
        <is>
          <t>+268712345018</t>
        </is>
      </c>
      <c r="G19" s="107" t="inlineStr">
        <is>
          <t>BEd</t>
        </is>
      </c>
      <c r="H19" s="108" t="inlineStr">
        <is>
          <t>Science Education</t>
        </is>
      </c>
      <c r="I19" s="107" t="inlineStr">
        <is>
          <t>School of Education</t>
        </is>
      </c>
      <c r="J19" s="107" t="inlineStr">
        <is>
          <t>Year 4</t>
        </is>
      </c>
      <c r="K19" s="107" t="n">
        <v>3.3</v>
      </c>
      <c r="L19" s="107" t="n">
        <v>118</v>
      </c>
      <c r="M19" s="107" t="inlineStr">
        <is>
          <t>Active</t>
        </is>
      </c>
      <c r="N19" s="107" t="inlineStr">
        <is>
          <t>Swazi</t>
        </is>
      </c>
      <c r="O19" s="107" t="inlineStr">
        <is>
          <t>2020-09-07</t>
        </is>
      </c>
      <c r="P19" s="107" t="inlineStr">
        <is>
          <t>2024-06-30</t>
        </is>
      </c>
      <c r="Q19" s="107" t="inlineStr">
        <is>
          <t>Undergraduate</t>
        </is>
      </c>
      <c r="R19" s="107" t="inlineStr">
        <is>
          <t>BEd</t>
        </is>
      </c>
      <c r="S19" s="108" t="inlineStr">
        <is>
          <t>4. Final Year — Pre-Clearance</t>
        </is>
      </c>
      <c r="T19" s="107" t="inlineStr">
        <is>
          <t>Sem 8</t>
        </is>
      </c>
      <c r="U19" s="107" t="inlineStr">
        <is>
          <t>Paid</t>
        </is>
      </c>
      <c r="V19" s="107" t="n">
        <v>0</v>
      </c>
      <c r="W19" s="107" t="inlineStr">
        <is>
          <t>Good Standing</t>
        </is>
      </c>
      <c r="X19" s="107" t="inlineStr">
        <is>
          <t>2024-01-15</t>
        </is>
      </c>
      <c r="Y19" s="108" t="inlineStr">
        <is>
          <t>N/A</t>
        </is>
      </c>
      <c r="Z19" s="108" t="inlineStr">
        <is>
          <t>N/A</t>
        </is>
      </c>
      <c r="AA19" s="107" t="inlineStr">
        <is>
          <t>In Progress</t>
        </is>
      </c>
      <c r="AB19" s="107" t="n"/>
    </row>
    <row r="20" ht="15" customHeight="1" s="104">
      <c r="A20" s="107" t="inlineStr">
        <is>
          <t>TU-2023-0019</t>
        </is>
      </c>
      <c r="B20" s="108" t="inlineStr">
        <is>
          <t>Sandra Chebet</t>
        </is>
      </c>
      <c r="C20" s="107" t="inlineStr">
        <is>
          <t>Female</t>
        </is>
      </c>
      <c r="D20" s="107" t="inlineStr">
        <is>
          <t>2003-01-08</t>
        </is>
      </c>
      <c r="E20" s="107" t="inlineStr">
        <is>
          <t>s.chebet@templumis.ac</t>
        </is>
      </c>
      <c r="F20" s="107" t="inlineStr">
        <is>
          <t>+254712345019</t>
        </is>
      </c>
      <c r="G20" s="107" t="inlineStr">
        <is>
          <t>BSc</t>
        </is>
      </c>
      <c r="H20" s="108" t="inlineStr">
        <is>
          <t>Nutrition</t>
        </is>
      </c>
      <c r="I20" s="107" t="inlineStr">
        <is>
          <t>School of Health Sciences</t>
        </is>
      </c>
      <c r="J20" s="107" t="inlineStr">
        <is>
          <t>Year 1</t>
        </is>
      </c>
      <c r="K20" s="107" t="n">
        <v>3.15</v>
      </c>
      <c r="L20" s="107" t="n">
        <v>28</v>
      </c>
      <c r="M20" s="107" t="inlineStr">
        <is>
          <t>Active</t>
        </is>
      </c>
      <c r="N20" s="107" t="inlineStr">
        <is>
          <t>Kenyan</t>
        </is>
      </c>
      <c r="O20" s="107" t="inlineStr">
        <is>
          <t>2023-09-04</t>
        </is>
      </c>
      <c r="P20" s="107" t="inlineStr">
        <is>
          <t>2027-06-30</t>
        </is>
      </c>
      <c r="Q20" s="107" t="inlineStr">
        <is>
          <t>Undergraduate</t>
        </is>
      </c>
      <c r="R20" s="107" t="inlineStr">
        <is>
          <t>BSc</t>
        </is>
      </c>
      <c r="S20" s="108" t="inlineStr">
        <is>
          <t>1. Enrolled &amp; Orientated</t>
        </is>
      </c>
      <c r="T20" s="107" t="inlineStr">
        <is>
          <t>Sem 2</t>
        </is>
      </c>
      <c r="U20" s="107" t="inlineStr">
        <is>
          <t>Paid</t>
        </is>
      </c>
      <c r="V20" s="107" t="n">
        <v>0</v>
      </c>
      <c r="W20" s="107" t="inlineStr">
        <is>
          <t>Good Standing</t>
        </is>
      </c>
      <c r="X20" s="107" t="inlineStr">
        <is>
          <t>2024-01-15</t>
        </is>
      </c>
      <c r="Y20" s="108" t="inlineStr">
        <is>
          <t>N/A</t>
        </is>
      </c>
      <c r="Z20" s="108" t="inlineStr">
        <is>
          <t>N/A</t>
        </is>
      </c>
      <c r="AA20" s="107" t="inlineStr">
        <is>
          <t>Not Yet</t>
        </is>
      </c>
      <c r="AB20" s="107" t="n"/>
    </row>
    <row r="21" ht="15" customHeight="1" s="104">
      <c r="A21" s="107" t="inlineStr">
        <is>
          <t>TU-2022-0020</t>
        </is>
      </c>
      <c r="B21" s="108" t="inlineStr">
        <is>
          <t>Tunde Adeyemi</t>
        </is>
      </c>
      <c r="C21" s="107" t="inlineStr">
        <is>
          <t>Male</t>
        </is>
      </c>
      <c r="D21" s="107" t="inlineStr">
        <is>
          <t>2002-08-14</t>
        </is>
      </c>
      <c r="E21" s="107" t="inlineStr">
        <is>
          <t>t.adeyemi@templumis.ac</t>
        </is>
      </c>
      <c r="F21" s="107" t="inlineStr">
        <is>
          <t>+234712345020</t>
        </is>
      </c>
      <c r="G21" s="107" t="inlineStr">
        <is>
          <t>LLB</t>
        </is>
      </c>
      <c r="H21" s="108" t="inlineStr">
        <is>
          <t>Law</t>
        </is>
      </c>
      <c r="I21" s="107" t="inlineStr">
        <is>
          <t>School of Law</t>
        </is>
      </c>
      <c r="J21" s="107" t="inlineStr">
        <is>
          <t>Year 2</t>
        </is>
      </c>
      <c r="K21" s="107" t="n">
        <v>3.6</v>
      </c>
      <c r="L21" s="107" t="n">
        <v>62</v>
      </c>
      <c r="M21" s="107" t="inlineStr">
        <is>
          <t>Active</t>
        </is>
      </c>
      <c r="N21" s="107" t="inlineStr">
        <is>
          <t>Nigerian</t>
        </is>
      </c>
      <c r="O21" s="107" t="inlineStr">
        <is>
          <t>2022-09-06</t>
        </is>
      </c>
      <c r="P21" s="107" t="inlineStr">
        <is>
          <t>2026-06-30</t>
        </is>
      </c>
      <c r="Q21" s="107" t="inlineStr">
        <is>
          <t>Undergraduate</t>
        </is>
      </c>
      <c r="R21" s="107" t="inlineStr">
        <is>
          <t>LLB</t>
        </is>
      </c>
      <c r="S21" s="108" t="inlineStr">
        <is>
          <t>2. Progressing — Year 2</t>
        </is>
      </c>
      <c r="T21" s="107" t="inlineStr">
        <is>
          <t>Sem 4</t>
        </is>
      </c>
      <c r="U21" s="107" t="inlineStr">
        <is>
          <t>Paid</t>
        </is>
      </c>
      <c r="V21" s="107" t="n">
        <v>0</v>
      </c>
      <c r="W21" s="107" t="inlineStr">
        <is>
          <t>Good Standing</t>
        </is>
      </c>
      <c r="X21" s="107" t="inlineStr">
        <is>
          <t>2024-01-15</t>
        </is>
      </c>
      <c r="Y21" s="108" t="inlineStr">
        <is>
          <t>N/A</t>
        </is>
      </c>
      <c r="Z21" s="108" t="inlineStr">
        <is>
          <t>N/A</t>
        </is>
      </c>
      <c r="AA21" s="107" t="inlineStr">
        <is>
          <t>Not Yet</t>
        </is>
      </c>
      <c r="AB21" s="107" t="n"/>
    </row>
    <row r="22" ht="15" customHeight="1" s="104">
      <c r="A22" s="113" t="inlineStr">
        <is>
          <t>TU-2021-0021</t>
        </is>
      </c>
      <c r="B22" s="114" t="inlineStr">
        <is>
          <t>Uchenna Eze</t>
        </is>
      </c>
      <c r="C22" s="113" t="inlineStr">
        <is>
          <t>Male</t>
        </is>
      </c>
      <c r="D22" s="113" t="inlineStr">
        <is>
          <t>2001-12-01</t>
        </is>
      </c>
      <c r="E22" s="113" t="inlineStr">
        <is>
          <t>u.eze@templumis.ac</t>
        </is>
      </c>
      <c r="F22" s="113" t="inlineStr">
        <is>
          <t>+234712345021</t>
        </is>
      </c>
      <c r="G22" s="113" t="inlineStr">
        <is>
          <t>BA</t>
        </is>
      </c>
      <c r="H22" s="114" t="inlineStr">
        <is>
          <t>Political Science</t>
        </is>
      </c>
      <c r="I22" s="113" t="inlineStr">
        <is>
          <t>School of Social Sciences</t>
        </is>
      </c>
      <c r="J22" s="113" t="inlineStr">
        <is>
          <t>Year 3</t>
        </is>
      </c>
      <c r="K22" s="113" t="n">
        <v>2.75</v>
      </c>
      <c r="L22" s="113" t="n">
        <v>88</v>
      </c>
      <c r="M22" s="113" t="inlineStr">
        <is>
          <t>On Leave</t>
        </is>
      </c>
      <c r="N22" s="113" t="inlineStr">
        <is>
          <t>Nigerian</t>
        </is>
      </c>
      <c r="O22" s="113" t="inlineStr">
        <is>
          <t>2021-09-05</t>
        </is>
      </c>
      <c r="P22" s="113" t="inlineStr">
        <is>
          <t>2025-06-30</t>
        </is>
      </c>
      <c r="Q22" s="113" t="inlineStr">
        <is>
          <t>Undergraduate</t>
        </is>
      </c>
      <c r="R22" s="113" t="inlineStr">
        <is>
          <t>BA</t>
        </is>
      </c>
      <c r="S22" s="114" t="inlineStr">
        <is>
          <t>⏸ Deferred — On Leave</t>
        </is>
      </c>
      <c r="T22" s="113" t="inlineStr">
        <is>
          <t>Sem 6</t>
        </is>
      </c>
      <c r="U22" s="113" t="inlineStr">
        <is>
          <t>Deferred</t>
        </is>
      </c>
      <c r="V22" s="113" t="n">
        <v>0</v>
      </c>
      <c r="W22" s="113" t="inlineStr">
        <is>
          <t>Good Standing</t>
        </is>
      </c>
      <c r="X22" s="113" t="inlineStr">
        <is>
          <t>2024-01-15</t>
        </is>
      </c>
      <c r="Y22" s="114" t="inlineStr">
        <is>
          <t>N/A</t>
        </is>
      </c>
      <c r="Z22" s="114" t="inlineStr">
        <is>
          <t>N/A</t>
        </is>
      </c>
      <c r="AA22" s="113" t="inlineStr">
        <is>
          <t>Not Yet</t>
        </is>
      </c>
      <c r="AB22" s="113" t="n"/>
    </row>
    <row r="23" ht="15" customHeight="1" s="104">
      <c r="A23" s="109" t="inlineStr">
        <is>
          <t>TU-2019-0022</t>
        </is>
      </c>
      <c r="B23" s="110" t="inlineStr">
        <is>
          <t>Vivian Kamau</t>
        </is>
      </c>
      <c r="C23" s="109" t="inlineStr">
        <is>
          <t>Female</t>
        </is>
      </c>
      <c r="D23" s="109" t="inlineStr">
        <is>
          <t>1999-07-27</t>
        </is>
      </c>
      <c r="E23" s="109" t="inlineStr">
        <is>
          <t>v.kamau@templumis.ac</t>
        </is>
      </c>
      <c r="F23" s="109" t="inlineStr">
        <is>
          <t>+254712345022</t>
        </is>
      </c>
      <c r="G23" s="109" t="inlineStr">
        <is>
          <t>BSc</t>
        </is>
      </c>
      <c r="H23" s="110" t="inlineStr">
        <is>
          <t>Biochemistry</t>
        </is>
      </c>
      <c r="I23" s="109" t="inlineStr">
        <is>
          <t>School of Science</t>
        </is>
      </c>
      <c r="J23" s="109" t="inlineStr">
        <is>
          <t>Year 4</t>
        </is>
      </c>
      <c r="K23" s="109" t="n">
        <v>3.88</v>
      </c>
      <c r="L23" s="109" t="n">
        <v>134</v>
      </c>
      <c r="M23" s="109" t="inlineStr">
        <is>
          <t>Graduated</t>
        </is>
      </c>
      <c r="N23" s="109" t="inlineStr">
        <is>
          <t>Kenyan</t>
        </is>
      </c>
      <c r="O23" s="109" t="inlineStr">
        <is>
          <t>2019-09-02</t>
        </is>
      </c>
      <c r="P23" s="109" t="n"/>
      <c r="Q23" s="109" t="inlineStr">
        <is>
          <t>Undergraduate</t>
        </is>
      </c>
      <c r="R23" s="109" t="inlineStr">
        <is>
          <t>BSc</t>
        </is>
      </c>
      <c r="S23" s="110" t="inlineStr">
        <is>
          <t>6. Graduated ✓</t>
        </is>
      </c>
      <c r="T23" s="109" t="inlineStr">
        <is>
          <t>Completed</t>
        </is>
      </c>
      <c r="U23" s="109" t="inlineStr">
        <is>
          <t>Cleared</t>
        </is>
      </c>
      <c r="V23" s="109" t="n">
        <v>0</v>
      </c>
      <c r="W23" s="109" t="inlineStr">
        <is>
          <t>Cleared</t>
        </is>
      </c>
      <c r="X23" s="109" t="inlineStr">
        <is>
          <t>2024-01-15</t>
        </is>
      </c>
      <c r="Y23" s="110" t="inlineStr">
        <is>
          <t>N/A</t>
        </is>
      </c>
      <c r="Z23" s="110" t="inlineStr">
        <is>
          <t>N/A</t>
        </is>
      </c>
      <c r="AA23" s="109" t="inlineStr">
        <is>
          <t>Approved</t>
        </is>
      </c>
      <c r="AB23" s="109" t="inlineStr">
        <is>
          <t>2023-11-10</t>
        </is>
      </c>
    </row>
    <row r="24" ht="15" customHeight="1" s="104">
      <c r="A24" s="111" t="inlineStr">
        <is>
          <t>TU-2023-0023</t>
        </is>
      </c>
      <c r="B24" s="112" t="inlineStr">
        <is>
          <t>William Barasa</t>
        </is>
      </c>
      <c r="C24" s="111" t="inlineStr">
        <is>
          <t>Male</t>
        </is>
      </c>
      <c r="D24" s="111" t="inlineStr">
        <is>
          <t>2003-05-10</t>
        </is>
      </c>
      <c r="E24" s="111" t="inlineStr">
        <is>
          <t>w.barasa@templumis.ac</t>
        </is>
      </c>
      <c r="F24" s="111" t="inlineStr">
        <is>
          <t>+254712345023</t>
        </is>
      </c>
      <c r="G24" s="111" t="inlineStr">
        <is>
          <t>BComm</t>
        </is>
      </c>
      <c r="H24" s="112" t="inlineStr">
        <is>
          <t>Finance</t>
        </is>
      </c>
      <c r="I24" s="111" t="inlineStr">
        <is>
          <t>School of Business</t>
        </is>
      </c>
      <c r="J24" s="111" t="inlineStr">
        <is>
          <t>Year 1</t>
        </is>
      </c>
      <c r="K24" s="111" t="n">
        <v>2.2</v>
      </c>
      <c r="L24" s="111" t="n">
        <v>26</v>
      </c>
      <c r="M24" s="111" t="inlineStr">
        <is>
          <t>Probation</t>
        </is>
      </c>
      <c r="N24" s="111" t="inlineStr">
        <is>
          <t>Kenyan</t>
        </is>
      </c>
      <c r="O24" s="111" t="inlineStr">
        <is>
          <t>2023-09-04</t>
        </is>
      </c>
      <c r="P24" s="111" t="inlineStr">
        <is>
          <t>2027-06-30</t>
        </is>
      </c>
      <c r="Q24" s="111" t="inlineStr">
        <is>
          <t>Undergraduate</t>
        </is>
      </c>
      <c r="R24" s="111" t="inlineStr">
        <is>
          <t>BComm</t>
        </is>
      </c>
      <c r="S24" s="112" t="inlineStr">
        <is>
          <t>⚠ Academic Review — Probation</t>
        </is>
      </c>
      <c r="T24" s="111" t="inlineStr">
        <is>
          <t>Sem 2</t>
        </is>
      </c>
      <c r="U24" s="111" t="inlineStr">
        <is>
          <t>Partial</t>
        </is>
      </c>
      <c r="V24" s="111" t="n">
        <v>35000</v>
      </c>
      <c r="W24" s="111" t="inlineStr">
        <is>
          <t>Probation</t>
        </is>
      </c>
      <c r="X24" s="111" t="inlineStr">
        <is>
          <t>2023-12-01</t>
        </is>
      </c>
      <c r="Y24" s="112" t="inlineStr">
        <is>
          <t>N/A</t>
        </is>
      </c>
      <c r="Z24" s="112" t="inlineStr">
        <is>
          <t>N/A</t>
        </is>
      </c>
      <c r="AA24" s="111" t="inlineStr">
        <is>
          <t>Blocked</t>
        </is>
      </c>
      <c r="AB24" s="111" t="n"/>
    </row>
    <row r="25" ht="15" customHeight="1" s="104">
      <c r="A25" s="107" t="inlineStr">
        <is>
          <t>TU-2022-0024</t>
        </is>
      </c>
      <c r="B25" s="108" t="inlineStr">
        <is>
          <t>Xena Mutua</t>
        </is>
      </c>
      <c r="C25" s="107" t="inlineStr">
        <is>
          <t>Female</t>
        </is>
      </c>
      <c r="D25" s="107" t="inlineStr">
        <is>
          <t>2002-02-18</t>
        </is>
      </c>
      <c r="E25" s="107" t="inlineStr">
        <is>
          <t>x.mutua@templumis.ac</t>
        </is>
      </c>
      <c r="F25" s="107" t="inlineStr">
        <is>
          <t>+254712345024</t>
        </is>
      </c>
      <c r="G25" s="107" t="inlineStr">
        <is>
          <t>BSc</t>
        </is>
      </c>
      <c r="H25" s="108" t="inlineStr">
        <is>
          <t>Information Technology</t>
        </is>
      </c>
      <c r="I25" s="107" t="inlineStr">
        <is>
          <t>School of Computing</t>
        </is>
      </c>
      <c r="J25" s="107" t="inlineStr">
        <is>
          <t>Year 2</t>
        </is>
      </c>
      <c r="K25" s="107" t="n">
        <v>3.42</v>
      </c>
      <c r="L25" s="107" t="n">
        <v>68</v>
      </c>
      <c r="M25" s="107" t="inlineStr">
        <is>
          <t>Active</t>
        </is>
      </c>
      <c r="N25" s="107" t="inlineStr">
        <is>
          <t>Kenyan</t>
        </is>
      </c>
      <c r="O25" s="107" t="inlineStr">
        <is>
          <t>2022-09-06</t>
        </is>
      </c>
      <c r="P25" s="107" t="inlineStr">
        <is>
          <t>2026-06-30</t>
        </is>
      </c>
      <c r="Q25" s="107" t="inlineStr">
        <is>
          <t>Undergraduate</t>
        </is>
      </c>
      <c r="R25" s="107" t="inlineStr">
        <is>
          <t>BSc</t>
        </is>
      </c>
      <c r="S25" s="108" t="inlineStr">
        <is>
          <t>2. Progressing — Year 2</t>
        </is>
      </c>
      <c r="T25" s="107" t="inlineStr">
        <is>
          <t>Sem 4</t>
        </is>
      </c>
      <c r="U25" s="107" t="inlineStr">
        <is>
          <t>Paid</t>
        </is>
      </c>
      <c r="V25" s="107" t="n">
        <v>0</v>
      </c>
      <c r="W25" s="107" t="inlineStr">
        <is>
          <t>Good Standing</t>
        </is>
      </c>
      <c r="X25" s="107" t="inlineStr">
        <is>
          <t>2024-01-15</t>
        </is>
      </c>
      <c r="Y25" s="108" t="inlineStr">
        <is>
          <t>N/A</t>
        </is>
      </c>
      <c r="Z25" s="108" t="inlineStr">
        <is>
          <t>N/A</t>
        </is>
      </c>
      <c r="AA25" s="107" t="inlineStr">
        <is>
          <t>Not Yet</t>
        </is>
      </c>
      <c r="AB25" s="107" t="n"/>
    </row>
    <row r="26" ht="15" customHeight="1" s="104">
      <c r="A26" s="107" t="inlineStr">
        <is>
          <t>TU-2023-0025</t>
        </is>
      </c>
      <c r="B26" s="108" t="inlineStr">
        <is>
          <t>Stephen Gaita Gaikia</t>
        </is>
      </c>
      <c r="C26" s="107" t="inlineStr">
        <is>
          <t>Male</t>
        </is>
      </c>
      <c r="D26" s="107" t="inlineStr">
        <is>
          <t>2003-06-17</t>
        </is>
      </c>
      <c r="E26" s="107" t="inlineStr">
        <is>
          <t>s.gaikia@templumis.ac</t>
        </is>
      </c>
      <c r="F26" s="107" t="inlineStr">
        <is>
          <t>+254712345025</t>
        </is>
      </c>
      <c r="G26" s="107" t="inlineStr">
        <is>
          <t>BSc</t>
        </is>
      </c>
      <c r="H26" s="108" t="inlineStr">
        <is>
          <t>Computer Science</t>
        </is>
      </c>
      <c r="I26" s="107" t="inlineStr">
        <is>
          <t>School of Computing</t>
        </is>
      </c>
      <c r="J26" s="107" t="inlineStr">
        <is>
          <t>Year 1</t>
        </is>
      </c>
      <c r="K26" s="107" t="n">
        <v>3.65</v>
      </c>
      <c r="L26" s="107" t="n">
        <v>32</v>
      </c>
      <c r="M26" s="107" t="inlineStr">
        <is>
          <t>Active</t>
        </is>
      </c>
      <c r="N26" s="107" t="inlineStr">
        <is>
          <t>Kenyan</t>
        </is>
      </c>
      <c r="O26" s="107" t="inlineStr">
        <is>
          <t>2023-09-04</t>
        </is>
      </c>
      <c r="P26" s="107" t="inlineStr">
        <is>
          <t>2027-06-30</t>
        </is>
      </c>
      <c r="Q26" s="107" t="inlineStr">
        <is>
          <t>Undergraduate</t>
        </is>
      </c>
      <c r="R26" s="107" t="inlineStr">
        <is>
          <t>BSc</t>
        </is>
      </c>
      <c r="S26" s="108" t="inlineStr">
        <is>
          <t>1. Enrolled &amp; Orientated</t>
        </is>
      </c>
      <c r="T26" s="107" t="inlineStr">
        <is>
          <t>Sem 2</t>
        </is>
      </c>
      <c r="U26" s="107" t="inlineStr">
        <is>
          <t>Paid</t>
        </is>
      </c>
      <c r="V26" s="107" t="n">
        <v>0</v>
      </c>
      <c r="W26" s="107" t="inlineStr">
        <is>
          <t>Good Standing</t>
        </is>
      </c>
      <c r="X26" s="107" t="inlineStr">
        <is>
          <t>2024-01-15</t>
        </is>
      </c>
      <c r="Y26" s="108" t="inlineStr">
        <is>
          <t>N/A</t>
        </is>
      </c>
      <c r="Z26" s="108" t="inlineStr">
        <is>
          <t>N/A</t>
        </is>
      </c>
      <c r="AA26" s="107" t="inlineStr">
        <is>
          <t>Not Yet</t>
        </is>
      </c>
      <c r="AB26" s="107" t="n"/>
    </row>
    <row r="27" ht="15" customHeight="1" s="104">
      <c r="A27" s="117" t="inlineStr">
        <is>
          <t>TU-PG-2022-0026</t>
        </is>
      </c>
      <c r="B27" s="118" t="inlineStr">
        <is>
          <t>Amara Diallo</t>
        </is>
      </c>
      <c r="C27" s="117" t="inlineStr">
        <is>
          <t>Female</t>
        </is>
      </c>
      <c r="D27" s="117" t="inlineStr">
        <is>
          <t>1996-03-15</t>
        </is>
      </c>
      <c r="E27" s="117" t="inlineStr">
        <is>
          <t>a.diallo@templumis.ac</t>
        </is>
      </c>
      <c r="F27" s="117" t="inlineStr">
        <is>
          <t>+221712345026</t>
        </is>
      </c>
      <c r="G27" s="117" t="inlineStr">
        <is>
          <t>MSc</t>
        </is>
      </c>
      <c r="H27" s="118" t="inlineStr">
        <is>
          <t>Data Science</t>
        </is>
      </c>
      <c r="I27" s="117" t="inlineStr">
        <is>
          <t>School of Computing</t>
        </is>
      </c>
      <c r="J27" s="117" t="inlineStr">
        <is>
          <t>Year 2</t>
        </is>
      </c>
      <c r="K27" s="117" t="n">
        <v>3.72</v>
      </c>
      <c r="L27" s="117" t="n">
        <v>48</v>
      </c>
      <c r="M27" s="117" t="inlineStr">
        <is>
          <t>Active</t>
        </is>
      </c>
      <c r="N27" s="117" t="inlineStr">
        <is>
          <t>Senegalese</t>
        </is>
      </c>
      <c r="O27" s="117" t="inlineStr">
        <is>
          <t>2022-09-05</t>
        </is>
      </c>
      <c r="P27" s="117" t="inlineStr">
        <is>
          <t>2024-06-30</t>
        </is>
      </c>
      <c r="Q27" s="117" t="inlineStr">
        <is>
          <t>Postgraduate</t>
        </is>
      </c>
      <c r="R27" s="118" t="inlineStr">
        <is>
          <t>MSc (Coursework)</t>
        </is>
      </c>
      <c r="S27" s="117" t="inlineStr">
        <is>
          <t>3. PG Final Semester — Pre-Graduation</t>
        </is>
      </c>
      <c r="T27" s="117" t="inlineStr">
        <is>
          <t>Sem 4</t>
        </is>
      </c>
      <c r="U27" s="117" t="inlineStr">
        <is>
          <t>Paid</t>
        </is>
      </c>
      <c r="V27" s="117" t="n">
        <v>0</v>
      </c>
      <c r="W27" s="117" t="inlineStr">
        <is>
          <t>Good Standing</t>
        </is>
      </c>
      <c r="X27" s="117" t="inlineStr">
        <is>
          <t>2024-01-15</t>
        </is>
      </c>
      <c r="Y27" s="117" t="inlineStr">
        <is>
          <t>N/A</t>
        </is>
      </c>
      <c r="Z27" s="118" t="inlineStr">
        <is>
          <t>N/A</t>
        </is>
      </c>
      <c r="AA27" s="118" t="inlineStr">
        <is>
          <t>In Progress</t>
        </is>
      </c>
      <c r="AB27" s="117" t="n"/>
    </row>
    <row r="28" ht="15" customHeight="1" s="104">
      <c r="A28" s="117" t="inlineStr">
        <is>
          <t>TU-PG-2023-0027</t>
        </is>
      </c>
      <c r="B28" s="118" t="inlineStr">
        <is>
          <t>Benjamin Kamto</t>
        </is>
      </c>
      <c r="C28" s="117" t="inlineStr">
        <is>
          <t>Male</t>
        </is>
      </c>
      <c r="D28" s="117" t="inlineStr">
        <is>
          <t>1994-07-22</t>
        </is>
      </c>
      <c r="E28" s="117" t="inlineStr">
        <is>
          <t>b.kamto@templumis.ac</t>
        </is>
      </c>
      <c r="F28" s="117" t="inlineStr">
        <is>
          <t>+237712345027</t>
        </is>
      </c>
      <c r="G28" s="117" t="inlineStr">
        <is>
          <t>MBA</t>
        </is>
      </c>
      <c r="H28" s="118" t="inlineStr">
        <is>
          <t>Business Administration</t>
        </is>
      </c>
      <c r="I28" s="117" t="inlineStr">
        <is>
          <t>School of Business</t>
        </is>
      </c>
      <c r="J28" s="117" t="inlineStr">
        <is>
          <t>Year 1</t>
        </is>
      </c>
      <c r="K28" s="117" t="n">
        <v>3.41</v>
      </c>
      <c r="L28" s="117" t="n">
        <v>24</v>
      </c>
      <c r="M28" s="117" t="inlineStr">
        <is>
          <t>Active</t>
        </is>
      </c>
      <c r="N28" s="117" t="inlineStr">
        <is>
          <t>Cameroonian</t>
        </is>
      </c>
      <c r="O28" s="117" t="inlineStr">
        <is>
          <t>2023-09-04</t>
        </is>
      </c>
      <c r="P28" s="117" t="inlineStr">
        <is>
          <t>2025-06-30</t>
        </is>
      </c>
      <c r="Q28" s="117" t="inlineStr">
        <is>
          <t>Postgraduate</t>
        </is>
      </c>
      <c r="R28" s="118" t="inlineStr">
        <is>
          <t>MBA (Coursework)</t>
        </is>
      </c>
      <c r="S28" s="117" t="inlineStr">
        <is>
          <t>1. PG Enrolled — Coursework Phase</t>
        </is>
      </c>
      <c r="T28" s="117" t="inlineStr">
        <is>
          <t>Sem 2</t>
        </is>
      </c>
      <c r="U28" s="117" t="inlineStr">
        <is>
          <t>Paid</t>
        </is>
      </c>
      <c r="V28" s="117" t="n">
        <v>0</v>
      </c>
      <c r="W28" s="117" t="inlineStr">
        <is>
          <t>Good Standing</t>
        </is>
      </c>
      <c r="X28" s="117" t="inlineStr">
        <is>
          <t>2024-01-15</t>
        </is>
      </c>
      <c r="Y28" s="117" t="inlineStr">
        <is>
          <t>N/A</t>
        </is>
      </c>
      <c r="Z28" s="118" t="inlineStr">
        <is>
          <t>N/A</t>
        </is>
      </c>
      <c r="AA28" s="118" t="inlineStr">
        <is>
          <t>Not Yet</t>
        </is>
      </c>
      <c r="AB28" s="117" t="n"/>
    </row>
    <row r="29" ht="15" customHeight="1" s="104">
      <c r="A29" s="109" t="inlineStr">
        <is>
          <t>TU-PG-2022-0028</t>
        </is>
      </c>
      <c r="B29" s="110" t="inlineStr">
        <is>
          <t>Celestine Awino</t>
        </is>
      </c>
      <c r="C29" s="109" t="inlineStr">
        <is>
          <t>Female</t>
        </is>
      </c>
      <c r="D29" s="109" t="inlineStr">
        <is>
          <t>1995-11-05</t>
        </is>
      </c>
      <c r="E29" s="109" t="inlineStr">
        <is>
          <t>c.awino@templumis.ac</t>
        </is>
      </c>
      <c r="F29" s="109" t="inlineStr">
        <is>
          <t>+254712345028</t>
        </is>
      </c>
      <c r="G29" s="109" t="inlineStr">
        <is>
          <t>MA</t>
        </is>
      </c>
      <c r="H29" s="110" t="inlineStr">
        <is>
          <t>Economics</t>
        </is>
      </c>
      <c r="I29" s="109" t="inlineStr">
        <is>
          <t>School of Business</t>
        </is>
      </c>
      <c r="J29" s="109" t="inlineStr">
        <is>
          <t>Year 2</t>
        </is>
      </c>
      <c r="K29" s="109" t="n">
        <v>3.55</v>
      </c>
      <c r="L29" s="109" t="n">
        <v>52</v>
      </c>
      <c r="M29" s="109" t="inlineStr">
        <is>
          <t>Graduated</t>
        </is>
      </c>
      <c r="N29" s="109" t="inlineStr">
        <is>
          <t>Kenyan</t>
        </is>
      </c>
      <c r="O29" s="109" t="inlineStr">
        <is>
          <t>2022-09-05</t>
        </is>
      </c>
      <c r="P29" s="109" t="n"/>
      <c r="Q29" s="109" t="inlineStr">
        <is>
          <t>Postgraduate</t>
        </is>
      </c>
      <c r="R29" s="110" t="inlineStr">
        <is>
          <t>MA (Coursework)</t>
        </is>
      </c>
      <c r="S29" s="109" t="inlineStr">
        <is>
          <t>4. Graduated ✓</t>
        </is>
      </c>
      <c r="T29" s="109" t="inlineStr">
        <is>
          <t>Completed</t>
        </is>
      </c>
      <c r="U29" s="109" t="inlineStr">
        <is>
          <t>Cleared</t>
        </is>
      </c>
      <c r="V29" s="109" t="n">
        <v>0</v>
      </c>
      <c r="W29" s="109" t="inlineStr">
        <is>
          <t>Cleared</t>
        </is>
      </c>
      <c r="X29" s="109" t="inlineStr">
        <is>
          <t>2023-11-01</t>
        </is>
      </c>
      <c r="Y29" s="109" t="inlineStr">
        <is>
          <t>N/A</t>
        </is>
      </c>
      <c r="Z29" s="110" t="inlineStr">
        <is>
          <t>N/A</t>
        </is>
      </c>
      <c r="AA29" s="110" t="inlineStr">
        <is>
          <t>Approved</t>
        </is>
      </c>
      <c r="AB29" s="109" t="inlineStr">
        <is>
          <t>2023-11-10</t>
        </is>
      </c>
    </row>
    <row r="30" ht="15" customHeight="1" s="104">
      <c r="A30" s="111" t="inlineStr">
        <is>
          <t>TU-PG-2023-0029</t>
        </is>
      </c>
      <c r="B30" s="112" t="inlineStr">
        <is>
          <t>Derrick Ssempa</t>
        </is>
      </c>
      <c r="C30" s="111" t="inlineStr">
        <is>
          <t>Male</t>
        </is>
      </c>
      <c r="D30" s="111" t="inlineStr">
        <is>
          <t>1997-04-18</t>
        </is>
      </c>
      <c r="E30" s="111" t="inlineStr">
        <is>
          <t>d.ssempa@templumis.ac</t>
        </is>
      </c>
      <c r="F30" s="111" t="inlineStr">
        <is>
          <t>+256712345029</t>
        </is>
      </c>
      <c r="G30" s="111" t="inlineStr">
        <is>
          <t>MSc</t>
        </is>
      </c>
      <c r="H30" s="112" t="inlineStr">
        <is>
          <t>Environmental Science</t>
        </is>
      </c>
      <c r="I30" s="111" t="inlineStr">
        <is>
          <t>School of Science</t>
        </is>
      </c>
      <c r="J30" s="111" t="inlineStr">
        <is>
          <t>Year 1</t>
        </is>
      </c>
      <c r="K30" s="111" t="n">
        <v>2.81</v>
      </c>
      <c r="L30" s="111" t="n">
        <v>20</v>
      </c>
      <c r="M30" s="111" t="inlineStr">
        <is>
          <t>Probation</t>
        </is>
      </c>
      <c r="N30" s="111" t="inlineStr">
        <is>
          <t>Ugandan</t>
        </is>
      </c>
      <c r="O30" s="111" t="inlineStr">
        <is>
          <t>2023-09-04</t>
        </is>
      </c>
      <c r="P30" s="111" t="inlineStr">
        <is>
          <t>2025-06-30</t>
        </is>
      </c>
      <c r="Q30" s="111" t="inlineStr">
        <is>
          <t>Postgraduate</t>
        </is>
      </c>
      <c r="R30" s="112" t="inlineStr">
        <is>
          <t>MSc (Coursework)</t>
        </is>
      </c>
      <c r="S30" s="111" t="inlineStr">
        <is>
          <t>⚠ Academic Review — Probation</t>
        </is>
      </c>
      <c r="T30" s="111" t="inlineStr">
        <is>
          <t>Sem 2</t>
        </is>
      </c>
      <c r="U30" s="111" t="inlineStr">
        <is>
          <t>Partial</t>
        </is>
      </c>
      <c r="V30" s="111" t="n">
        <v>35000</v>
      </c>
      <c r="W30" s="111" t="inlineStr">
        <is>
          <t>Probation</t>
        </is>
      </c>
      <c r="X30" s="111" t="inlineStr">
        <is>
          <t>2023-12-01</t>
        </is>
      </c>
      <c r="Y30" s="111" t="inlineStr">
        <is>
          <t>N/A</t>
        </is>
      </c>
      <c r="Z30" s="112" t="inlineStr">
        <is>
          <t>N/A</t>
        </is>
      </c>
      <c r="AA30" s="112" t="inlineStr">
        <is>
          <t>Blocked</t>
        </is>
      </c>
      <c r="AB30" s="111" t="n"/>
    </row>
    <row r="31" ht="15" customHeight="1" s="104">
      <c r="A31" s="117" t="inlineStr">
        <is>
          <t>TU-PG-2022-0030</t>
        </is>
      </c>
      <c r="B31" s="118" t="inlineStr">
        <is>
          <t>Faith Onyango</t>
        </is>
      </c>
      <c r="C31" s="117" t="inlineStr">
        <is>
          <t>Female</t>
        </is>
      </c>
      <c r="D31" s="117" t="inlineStr">
        <is>
          <t>1996-09-30</t>
        </is>
      </c>
      <c r="E31" s="117" t="inlineStr">
        <is>
          <t>f.onyango@templumis.ac</t>
        </is>
      </c>
      <c r="F31" s="117" t="inlineStr">
        <is>
          <t>+254712345030</t>
        </is>
      </c>
      <c r="G31" s="117" t="inlineStr">
        <is>
          <t>MA</t>
        </is>
      </c>
      <c r="H31" s="118" t="inlineStr">
        <is>
          <t>Communication</t>
        </is>
      </c>
      <c r="I31" s="117" t="inlineStr">
        <is>
          <t>School of Arts</t>
        </is>
      </c>
      <c r="J31" s="117" t="inlineStr">
        <is>
          <t>Year 2</t>
        </is>
      </c>
      <c r="K31" s="117" t="n">
        <v>3.65</v>
      </c>
      <c r="L31" s="117" t="n">
        <v>46</v>
      </c>
      <c r="M31" s="117" t="inlineStr">
        <is>
          <t>Active</t>
        </is>
      </c>
      <c r="N31" s="117" t="inlineStr">
        <is>
          <t>Kenyan</t>
        </is>
      </c>
      <c r="O31" s="117" t="inlineStr">
        <is>
          <t>2022-09-05</t>
        </is>
      </c>
      <c r="P31" s="117" t="inlineStr">
        <is>
          <t>2024-06-30</t>
        </is>
      </c>
      <c r="Q31" s="117" t="inlineStr">
        <is>
          <t>Postgraduate</t>
        </is>
      </c>
      <c r="R31" s="118" t="inlineStr">
        <is>
          <t>MA (Coursework)</t>
        </is>
      </c>
      <c r="S31" s="117" t="inlineStr">
        <is>
          <t>3. PG Final Semester — Pre-Graduation</t>
        </is>
      </c>
      <c r="T31" s="117" t="inlineStr">
        <is>
          <t>Sem 4</t>
        </is>
      </c>
      <c r="U31" s="117" t="inlineStr">
        <is>
          <t>Paid</t>
        </is>
      </c>
      <c r="V31" s="117" t="n">
        <v>0</v>
      </c>
      <c r="W31" s="117" t="inlineStr">
        <is>
          <t>Good Standing</t>
        </is>
      </c>
      <c r="X31" s="117" t="inlineStr">
        <is>
          <t>2024-01-15</t>
        </is>
      </c>
      <c r="Y31" s="117" t="inlineStr">
        <is>
          <t>N/A</t>
        </is>
      </c>
      <c r="Z31" s="118" t="inlineStr">
        <is>
          <t>N/A</t>
        </is>
      </c>
      <c r="AA31" s="118" t="inlineStr">
        <is>
          <t>In Progress</t>
        </is>
      </c>
      <c r="AB31" s="117" t="n"/>
    </row>
    <row r="32" ht="15" customHeight="1" s="104">
      <c r="A32" s="117" t="inlineStr">
        <is>
          <t>TU-PG-2023-0031</t>
        </is>
      </c>
      <c r="B32" s="118" t="inlineStr">
        <is>
          <t>George Nkosi</t>
        </is>
      </c>
      <c r="C32" s="117" t="inlineStr">
        <is>
          <t>Male</t>
        </is>
      </c>
      <c r="D32" s="117" t="inlineStr">
        <is>
          <t>1993-02-14</t>
        </is>
      </c>
      <c r="E32" s="117" t="inlineStr">
        <is>
          <t>g.nkosi@templumis.ac</t>
        </is>
      </c>
      <c r="F32" s="117" t="inlineStr">
        <is>
          <t>+27712345031</t>
        </is>
      </c>
      <c r="G32" s="117" t="inlineStr">
        <is>
          <t>MBA</t>
        </is>
      </c>
      <c r="H32" s="118" t="inlineStr">
        <is>
          <t>Strategic Management</t>
        </is>
      </c>
      <c r="I32" s="117" t="inlineStr">
        <is>
          <t>School of Business</t>
        </is>
      </c>
      <c r="J32" s="117" t="inlineStr">
        <is>
          <t>Year 1</t>
        </is>
      </c>
      <c r="K32" s="117" t="n">
        <v>3.22</v>
      </c>
      <c r="L32" s="117" t="n">
        <v>24</v>
      </c>
      <c r="M32" s="117" t="inlineStr">
        <is>
          <t>Active</t>
        </is>
      </c>
      <c r="N32" s="117" t="inlineStr">
        <is>
          <t>South African</t>
        </is>
      </c>
      <c r="O32" s="117" t="inlineStr">
        <is>
          <t>2023-09-04</t>
        </is>
      </c>
      <c r="P32" s="117" t="inlineStr">
        <is>
          <t>2025-06-30</t>
        </is>
      </c>
      <c r="Q32" s="117" t="inlineStr">
        <is>
          <t>Postgraduate</t>
        </is>
      </c>
      <c r="R32" s="118" t="inlineStr">
        <is>
          <t>MBA (Coursework)</t>
        </is>
      </c>
      <c r="S32" s="117" t="inlineStr">
        <is>
          <t>1. PG Enrolled — Coursework Phase</t>
        </is>
      </c>
      <c r="T32" s="117" t="inlineStr">
        <is>
          <t>Sem 2</t>
        </is>
      </c>
      <c r="U32" s="117" t="inlineStr">
        <is>
          <t>Paid</t>
        </is>
      </c>
      <c r="V32" s="117" t="n">
        <v>0</v>
      </c>
      <c r="W32" s="117" t="inlineStr">
        <is>
          <t>Good Standing</t>
        </is>
      </c>
      <c r="X32" s="117" t="inlineStr">
        <is>
          <t>2024-01-15</t>
        </is>
      </c>
      <c r="Y32" s="117" t="inlineStr">
        <is>
          <t>N/A</t>
        </is>
      </c>
      <c r="Z32" s="118" t="inlineStr">
        <is>
          <t>N/A</t>
        </is>
      </c>
      <c r="AA32" s="118" t="inlineStr">
        <is>
          <t>Not Yet</t>
        </is>
      </c>
      <c r="AB32" s="117" t="n"/>
    </row>
    <row r="33" ht="21.75" customHeight="1" s="104">
      <c r="A33" s="119" t="inlineStr">
        <is>
          <t>TU-PG-2021-0032</t>
        </is>
      </c>
      <c r="B33" s="120" t="inlineStr">
        <is>
          <t>Helen Mutuku</t>
        </is>
      </c>
      <c r="C33" s="119" t="inlineStr">
        <is>
          <t>Female</t>
        </is>
      </c>
      <c r="D33" s="119" t="inlineStr">
        <is>
          <t>1995-07-03</t>
        </is>
      </c>
      <c r="E33" s="119" t="inlineStr">
        <is>
          <t>h.mutuku@templumis.ac</t>
        </is>
      </c>
      <c r="F33" s="119" t="inlineStr">
        <is>
          <t>+254712345032</t>
        </is>
      </c>
      <c r="G33" s="119" t="inlineStr">
        <is>
          <t>MSc by Research</t>
        </is>
      </c>
      <c r="H33" s="120" t="inlineStr">
        <is>
          <t>Biochemistry</t>
        </is>
      </c>
      <c r="I33" s="119" t="inlineStr">
        <is>
          <t>School of Science</t>
        </is>
      </c>
      <c r="J33" s="119" t="inlineStr">
        <is>
          <t>Year 3</t>
        </is>
      </c>
      <c r="K33" s="119" t="n">
        <v>3.82</v>
      </c>
      <c r="L33" s="119" t="n">
        <v>36</v>
      </c>
      <c r="M33" s="119" t="inlineStr">
        <is>
          <t>Active</t>
        </is>
      </c>
      <c r="N33" s="119" t="inlineStr">
        <is>
          <t>Kenyan</t>
        </is>
      </c>
      <c r="O33" s="119" t="inlineStr">
        <is>
          <t>2021-09-06</t>
        </is>
      </c>
      <c r="P33" s="119" t="inlineStr">
        <is>
          <t>2024-06-30</t>
        </is>
      </c>
      <c r="Q33" s="119" t="inlineStr">
        <is>
          <t>Postgraduate</t>
        </is>
      </c>
      <c r="R33" s="120" t="inlineStr">
        <is>
          <t>MSc by Research</t>
        </is>
      </c>
      <c r="S33" s="119" t="inlineStr">
        <is>
          <t>4. Thesis Writing Phase</t>
        </is>
      </c>
      <c r="T33" s="119" t="inlineStr">
        <is>
          <t>Research Year 3</t>
        </is>
      </c>
      <c r="U33" s="119" t="inlineStr">
        <is>
          <t>Paid</t>
        </is>
      </c>
      <c r="V33" s="119" t="n">
        <v>0</v>
      </c>
      <c r="W33" s="119" t="inlineStr">
        <is>
          <t>Good Standing</t>
        </is>
      </c>
      <c r="X33" s="119" t="inlineStr">
        <is>
          <t>2024-01-15</t>
        </is>
      </c>
      <c r="Y33" s="119" t="inlineStr">
        <is>
          <t>Novel Enzyme Inhibitors in Malaria Parasite Metabolism</t>
        </is>
      </c>
      <c r="Z33" s="120" t="inlineStr">
        <is>
          <t>Writing</t>
        </is>
      </c>
      <c r="AA33" s="120" t="inlineStr">
        <is>
          <t>Not Yet</t>
        </is>
      </c>
      <c r="AB33" s="119" t="n"/>
    </row>
    <row r="34" ht="21.75" customHeight="1" s="104">
      <c r="A34" s="119" t="inlineStr">
        <is>
          <t>TU-PG-2022-0033</t>
        </is>
      </c>
      <c r="B34" s="120" t="inlineStr">
        <is>
          <t>Ibrahim Hassan</t>
        </is>
      </c>
      <c r="C34" s="119" t="inlineStr">
        <is>
          <t>Male</t>
        </is>
      </c>
      <c r="D34" s="119" t="inlineStr">
        <is>
          <t>1996-12-20</t>
        </is>
      </c>
      <c r="E34" s="119" t="inlineStr">
        <is>
          <t>i.hassan@templumis.ac</t>
        </is>
      </c>
      <c r="F34" s="119" t="inlineStr">
        <is>
          <t>+251712345033</t>
        </is>
      </c>
      <c r="G34" s="119" t="inlineStr">
        <is>
          <t>MSc by Research</t>
        </is>
      </c>
      <c r="H34" s="120" t="inlineStr">
        <is>
          <t>Computer Science</t>
        </is>
      </c>
      <c r="I34" s="119" t="inlineStr">
        <is>
          <t>School of Computing</t>
        </is>
      </c>
      <c r="J34" s="119" t="inlineStr">
        <is>
          <t>Year 2</t>
        </is>
      </c>
      <c r="K34" s="119" t="n">
        <v>3.61</v>
      </c>
      <c r="L34" s="119" t="n">
        <v>24</v>
      </c>
      <c r="M34" s="119" t="inlineStr">
        <is>
          <t>Active</t>
        </is>
      </c>
      <c r="N34" s="119" t="inlineStr">
        <is>
          <t>Ethiopian</t>
        </is>
      </c>
      <c r="O34" s="119" t="inlineStr">
        <is>
          <t>2022-09-05</t>
        </is>
      </c>
      <c r="P34" s="119" t="inlineStr">
        <is>
          <t>2025-06-30</t>
        </is>
      </c>
      <c r="Q34" s="119" t="inlineStr">
        <is>
          <t>Postgraduate</t>
        </is>
      </c>
      <c r="R34" s="120" t="inlineStr">
        <is>
          <t>MSc by Research</t>
        </is>
      </c>
      <c r="S34" s="119" t="inlineStr">
        <is>
          <t>3. Data Collection &amp; Analysis Phase</t>
        </is>
      </c>
      <c r="T34" s="119" t="inlineStr">
        <is>
          <t>Research Year 2</t>
        </is>
      </c>
      <c r="U34" s="119" t="inlineStr">
        <is>
          <t>Paid</t>
        </is>
      </c>
      <c r="V34" s="119" t="n">
        <v>0</v>
      </c>
      <c r="W34" s="119" t="inlineStr">
        <is>
          <t>Good Standing</t>
        </is>
      </c>
      <c r="X34" s="119" t="inlineStr">
        <is>
          <t>2024-01-15</t>
        </is>
      </c>
      <c r="Y34" s="119" t="inlineStr">
        <is>
          <t>AI-Based Crop Disease Detection Using UAV Imagery</t>
        </is>
      </c>
      <c r="Z34" s="120" t="inlineStr">
        <is>
          <t>Data Collection</t>
        </is>
      </c>
      <c r="AA34" s="120" t="inlineStr">
        <is>
          <t>Not Yet</t>
        </is>
      </c>
      <c r="AB34" s="119" t="n"/>
    </row>
    <row r="35" ht="21.75" customHeight="1" s="104">
      <c r="A35" s="119" t="inlineStr">
        <is>
          <t>TU-PG-2021-0034</t>
        </is>
      </c>
      <c r="B35" s="120" t="inlineStr">
        <is>
          <t>Janet Akinyi</t>
        </is>
      </c>
      <c r="C35" s="119" t="inlineStr">
        <is>
          <t>Female</t>
        </is>
      </c>
      <c r="D35" s="119" t="inlineStr">
        <is>
          <t>1994-08-11</t>
        </is>
      </c>
      <c r="E35" s="119" t="inlineStr">
        <is>
          <t>j.akinyi@templumis.ac</t>
        </is>
      </c>
      <c r="F35" s="119" t="inlineStr">
        <is>
          <t>+254712345034</t>
        </is>
      </c>
      <c r="G35" s="119" t="inlineStr">
        <is>
          <t>MA by Research</t>
        </is>
      </c>
      <c r="H35" s="120" t="inlineStr">
        <is>
          <t>Education</t>
        </is>
      </c>
      <c r="I35" s="119" t="inlineStr">
        <is>
          <t>School of Education</t>
        </is>
      </c>
      <c r="J35" s="119" t="inlineStr">
        <is>
          <t>Year 3</t>
        </is>
      </c>
      <c r="K35" s="119" t="n">
        <v>3.48</v>
      </c>
      <c r="L35" s="119" t="n">
        <v>36</v>
      </c>
      <c r="M35" s="119" t="inlineStr">
        <is>
          <t>Active</t>
        </is>
      </c>
      <c r="N35" s="119" t="inlineStr">
        <is>
          <t>Kenyan</t>
        </is>
      </c>
      <c r="O35" s="119" t="inlineStr">
        <is>
          <t>2021-09-06</t>
        </is>
      </c>
      <c r="P35" s="119" t="inlineStr">
        <is>
          <t>2024-06-30</t>
        </is>
      </c>
      <c r="Q35" s="119" t="inlineStr">
        <is>
          <t>Postgraduate</t>
        </is>
      </c>
      <c r="R35" s="120" t="inlineStr">
        <is>
          <t>MA by Research</t>
        </is>
      </c>
      <c r="S35" s="119" t="inlineStr">
        <is>
          <t>4. Thesis Writing Phase</t>
        </is>
      </c>
      <c r="T35" s="119" t="inlineStr">
        <is>
          <t>Research Year 3</t>
        </is>
      </c>
      <c r="U35" s="119" t="inlineStr">
        <is>
          <t>Paid</t>
        </is>
      </c>
      <c r="V35" s="119" t="n">
        <v>0</v>
      </c>
      <c r="W35" s="119" t="inlineStr">
        <is>
          <t>Good Standing</t>
        </is>
      </c>
      <c r="X35" s="119" t="inlineStr">
        <is>
          <t>2024-01-15</t>
        </is>
      </c>
      <c r="Y35" s="119" t="inlineStr">
        <is>
          <t>Digital Pedagogy &amp; Learning Outcomes in Kenyan Secondary Schools</t>
        </is>
      </c>
      <c r="Z35" s="120" t="inlineStr">
        <is>
          <t>Writing</t>
        </is>
      </c>
      <c r="AA35" s="120" t="inlineStr">
        <is>
          <t>Not Yet</t>
        </is>
      </c>
      <c r="AB35" s="119" t="n"/>
    </row>
    <row r="36" ht="21.75" customHeight="1" s="104">
      <c r="A36" s="113" t="inlineStr">
        <is>
          <t>TU-PG-2022-0035</t>
        </is>
      </c>
      <c r="B36" s="114" t="inlineStr">
        <is>
          <t>Kenneth Osei</t>
        </is>
      </c>
      <c r="C36" s="113" t="inlineStr">
        <is>
          <t>Male</t>
        </is>
      </c>
      <c r="D36" s="113" t="inlineStr">
        <is>
          <t>1995-05-17</t>
        </is>
      </c>
      <c r="E36" s="113" t="inlineStr">
        <is>
          <t>k.osei@templumis.ac</t>
        </is>
      </c>
      <c r="F36" s="113" t="inlineStr">
        <is>
          <t>+233712345035</t>
        </is>
      </c>
      <c r="G36" s="113" t="inlineStr">
        <is>
          <t>MSc by Research</t>
        </is>
      </c>
      <c r="H36" s="114" t="inlineStr">
        <is>
          <t>Mechanical Engineering</t>
        </is>
      </c>
      <c r="I36" s="113" t="inlineStr">
        <is>
          <t>School of Engineering</t>
        </is>
      </c>
      <c r="J36" s="113" t="inlineStr">
        <is>
          <t>Year 2</t>
        </is>
      </c>
      <c r="K36" s="113" t="n">
        <v>3.31</v>
      </c>
      <c r="L36" s="113" t="n">
        <v>18</v>
      </c>
      <c r="M36" s="113" t="inlineStr">
        <is>
          <t>On Leave</t>
        </is>
      </c>
      <c r="N36" s="113" t="inlineStr">
        <is>
          <t>Ghanaian</t>
        </is>
      </c>
      <c r="O36" s="113" t="inlineStr">
        <is>
          <t>2022-09-05</t>
        </is>
      </c>
      <c r="P36" s="113" t="inlineStr">
        <is>
          <t>2026-06-30</t>
        </is>
      </c>
      <c r="Q36" s="113" t="inlineStr">
        <is>
          <t>Postgraduate</t>
        </is>
      </c>
      <c r="R36" s="114" t="inlineStr">
        <is>
          <t>MSc by Research</t>
        </is>
      </c>
      <c r="S36" s="113" t="inlineStr">
        <is>
          <t>⏸ Deferred — On Leave (Research)</t>
        </is>
      </c>
      <c r="T36" s="113" t="inlineStr">
        <is>
          <t>Research Year 2</t>
        </is>
      </c>
      <c r="U36" s="113" t="inlineStr">
        <is>
          <t>Deferred</t>
        </is>
      </c>
      <c r="V36" s="113" t="n">
        <v>0</v>
      </c>
      <c r="W36" s="113" t="inlineStr">
        <is>
          <t>Good Standing</t>
        </is>
      </c>
      <c r="X36" s="113" t="inlineStr">
        <is>
          <t>2024-01-15</t>
        </is>
      </c>
      <c r="Y36" s="113" t="inlineStr">
        <is>
          <t>Low-Cost Solar Desalination for Rural East Africa</t>
        </is>
      </c>
      <c r="Z36" s="114" t="inlineStr">
        <is>
          <t>Proposal Approved</t>
        </is>
      </c>
      <c r="AA36" s="114" t="inlineStr">
        <is>
          <t>Not Yet</t>
        </is>
      </c>
      <c r="AB36" s="113" t="n"/>
    </row>
    <row r="37" ht="21.75" customHeight="1" s="104">
      <c r="A37" s="109" t="inlineStr">
        <is>
          <t>TU-PG-2020-0036</t>
        </is>
      </c>
      <c r="B37" s="110" t="inlineStr">
        <is>
          <t>Lydia Cheptoo</t>
        </is>
      </c>
      <c r="C37" s="109" t="inlineStr">
        <is>
          <t>Female</t>
        </is>
      </c>
      <c r="D37" s="109" t="inlineStr">
        <is>
          <t>1993-06-23</t>
        </is>
      </c>
      <c r="E37" s="109" t="inlineStr">
        <is>
          <t>l.cheptoo@templumis.ac</t>
        </is>
      </c>
      <c r="F37" s="109" t="inlineStr">
        <is>
          <t>+254712345036</t>
        </is>
      </c>
      <c r="G37" s="109" t="inlineStr">
        <is>
          <t>MSc by Research</t>
        </is>
      </c>
      <c r="H37" s="110" t="inlineStr">
        <is>
          <t>Public Health</t>
        </is>
      </c>
      <c r="I37" s="109" t="inlineStr">
        <is>
          <t>School of Health Sciences</t>
        </is>
      </c>
      <c r="J37" s="109" t="inlineStr">
        <is>
          <t>Year 4</t>
        </is>
      </c>
      <c r="K37" s="109" t="n">
        <v>3.91</v>
      </c>
      <c r="L37" s="109" t="n">
        <v>48</v>
      </c>
      <c r="M37" s="109" t="inlineStr">
        <is>
          <t>Graduated</t>
        </is>
      </c>
      <c r="N37" s="109" t="inlineStr">
        <is>
          <t>Kenyan</t>
        </is>
      </c>
      <c r="O37" s="109" t="inlineStr">
        <is>
          <t>2020-09-07</t>
        </is>
      </c>
      <c r="P37" s="109" t="n"/>
      <c r="Q37" s="109" t="inlineStr">
        <is>
          <t>Postgraduate</t>
        </is>
      </c>
      <c r="R37" s="110" t="inlineStr">
        <is>
          <t>MSc by Research</t>
        </is>
      </c>
      <c r="S37" s="109" t="inlineStr">
        <is>
          <t>6. Graduated ✓ (Research)</t>
        </is>
      </c>
      <c r="T37" s="109" t="inlineStr">
        <is>
          <t>Completed</t>
        </is>
      </c>
      <c r="U37" s="109" t="inlineStr">
        <is>
          <t>Cleared</t>
        </is>
      </c>
      <c r="V37" s="109" t="n">
        <v>0</v>
      </c>
      <c r="W37" s="109" t="inlineStr">
        <is>
          <t>Cleared</t>
        </is>
      </c>
      <c r="X37" s="109" t="inlineStr">
        <is>
          <t>2023-11-01</t>
        </is>
      </c>
      <c r="Y37" s="109" t="inlineStr">
        <is>
          <t>Community-Based Interventions for Maternal Health in Western Kenya</t>
        </is>
      </c>
      <c r="Z37" s="110" t="inlineStr">
        <is>
          <t>Defended &amp; Approved</t>
        </is>
      </c>
      <c r="AA37" s="110" t="inlineStr">
        <is>
          <t>Approved</t>
        </is>
      </c>
      <c r="AB37" s="109" t="inlineStr">
        <is>
          <t>2023-11-10</t>
        </is>
      </c>
    </row>
    <row r="38" ht="21.75" customHeight="1" s="104">
      <c r="A38" s="119" t="inlineStr">
        <is>
          <t>TU-PG-2023-0037</t>
        </is>
      </c>
      <c r="B38" s="120" t="inlineStr">
        <is>
          <t>Moses Waweru</t>
        </is>
      </c>
      <c r="C38" s="119" t="inlineStr">
        <is>
          <t>Male</t>
        </is>
      </c>
      <c r="D38" s="119" t="inlineStr">
        <is>
          <t>1997-01-08</t>
        </is>
      </c>
      <c r="E38" s="119" t="inlineStr">
        <is>
          <t>m.waweru@templumis.ac</t>
        </is>
      </c>
      <c r="F38" s="119" t="inlineStr">
        <is>
          <t>+254712345037</t>
        </is>
      </c>
      <c r="G38" s="119" t="inlineStr">
        <is>
          <t>MSc by Research</t>
        </is>
      </c>
      <c r="H38" s="120" t="inlineStr">
        <is>
          <t>Computer Science</t>
        </is>
      </c>
      <c r="I38" s="119" t="inlineStr">
        <is>
          <t>School of Computing</t>
        </is>
      </c>
      <c r="J38" s="119" t="inlineStr">
        <is>
          <t>Year 1</t>
        </is>
      </c>
      <c r="K38" s="119" t="n">
        <v>3.52</v>
      </c>
      <c r="L38" s="119" t="n">
        <v>12</v>
      </c>
      <c r="M38" s="119" t="inlineStr">
        <is>
          <t>Active</t>
        </is>
      </c>
      <c r="N38" s="119" t="inlineStr">
        <is>
          <t>Kenyan</t>
        </is>
      </c>
      <c r="O38" s="119" t="inlineStr">
        <is>
          <t>2023-09-04</t>
        </is>
      </c>
      <c r="P38" s="119" t="inlineStr">
        <is>
          <t>2026-06-30</t>
        </is>
      </c>
      <c r="Q38" s="119" t="inlineStr">
        <is>
          <t>Postgraduate</t>
        </is>
      </c>
      <c r="R38" s="120" t="inlineStr">
        <is>
          <t>MSc by Research</t>
        </is>
      </c>
      <c r="S38" s="119" t="inlineStr">
        <is>
          <t>2. Research Proposal Phase</t>
        </is>
      </c>
      <c r="T38" s="119" t="inlineStr">
        <is>
          <t>Research Year 1</t>
        </is>
      </c>
      <c r="U38" s="119" t="inlineStr">
        <is>
          <t>Paid</t>
        </is>
      </c>
      <c r="V38" s="119" t="n">
        <v>0</v>
      </c>
      <c r="W38" s="119" t="inlineStr">
        <is>
          <t>Good Standing</t>
        </is>
      </c>
      <c r="X38" s="119" t="inlineStr">
        <is>
          <t>2024-01-15</t>
        </is>
      </c>
      <c r="Y38" s="119" t="inlineStr">
        <is>
          <t>Machine Learning for Swahili NLP Applications</t>
        </is>
      </c>
      <c r="Z38" s="120" t="inlineStr">
        <is>
          <t>Proposal Submitted</t>
        </is>
      </c>
      <c r="AA38" s="120" t="inlineStr">
        <is>
          <t>Not Yet</t>
        </is>
      </c>
      <c r="AB38" s="1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3" min="1" max="1"/>
    <col width="30" customWidth="1" style="103" min="2" max="2"/>
    <col width="24" customWidth="1" style="103" min="3" max="3"/>
    <col width="22" customWidth="1" style="103" min="4" max="4"/>
    <col width="8" customWidth="1" style="103" min="5" max="5"/>
    <col width="10" customWidth="1" style="103" min="6" max="7"/>
    <col width="18" customWidth="1" style="103" min="8" max="8"/>
    <col width="8" customWidth="1" style="103" min="9" max="9"/>
    <col width="10" customWidth="1" style="103" min="10" max="10"/>
  </cols>
  <sheetData>
    <row r="1" ht="30" customHeight="1" s="104">
      <c r="A1" s="121" t="inlineStr">
        <is>
          <t>course_code</t>
        </is>
      </c>
      <c r="B1" s="121" t="inlineStr">
        <is>
          <t>title</t>
        </is>
      </c>
      <c r="C1" s="121" t="inlineStr">
        <is>
          <t>department</t>
        </is>
      </c>
      <c r="D1" s="121" t="inlineStr">
        <is>
          <t>instructor</t>
        </is>
      </c>
      <c r="E1" s="121" t="inlineStr">
        <is>
          <t>credits</t>
        </is>
      </c>
      <c r="F1" s="121" t="inlineStr">
        <is>
          <t>enrolled_count</t>
        </is>
      </c>
      <c r="G1" s="121" t="inlineStr">
        <is>
          <t>type</t>
        </is>
      </c>
      <c r="H1" s="121" t="inlineStr">
        <is>
          <t>schedule</t>
        </is>
      </c>
      <c r="I1" s="121" t="inlineStr">
        <is>
          <t>room</t>
        </is>
      </c>
      <c r="J1" s="121" t="inlineStr">
        <is>
          <t>status</t>
        </is>
      </c>
    </row>
    <row r="2" ht="15" customHeight="1" s="104">
      <c r="A2" s="122" t="inlineStr">
        <is>
          <t>CS301</t>
        </is>
      </c>
      <c r="B2" s="122" t="inlineStr">
        <is>
          <t>Data Structures &amp; Algorithms</t>
        </is>
      </c>
      <c r="C2" s="122" t="inlineStr">
        <is>
          <t>School of Computing</t>
        </is>
      </c>
      <c r="D2" s="122" t="inlineStr">
        <is>
          <t>Dr. Kamande Njoroge</t>
        </is>
      </c>
      <c r="E2" s="122" t="n">
        <v>4</v>
      </c>
      <c r="F2" s="122" t="n">
        <v>18</v>
      </c>
      <c r="G2" s="122" t="inlineStr">
        <is>
          <t>Core</t>
        </is>
      </c>
      <c r="H2" s="122" t="inlineStr">
        <is>
          <t>Mon/Wed 8–10am</t>
        </is>
      </c>
      <c r="I2" s="122" t="inlineStr">
        <is>
          <t>LH-201</t>
        </is>
      </c>
      <c r="J2" s="122" t="inlineStr">
        <is>
          <t>Active</t>
        </is>
      </c>
    </row>
    <row r="3" ht="15" customHeight="1" s="104">
      <c r="A3" s="123" t="inlineStr">
        <is>
          <t>CS201</t>
        </is>
      </c>
      <c r="B3" s="123" t="inlineStr">
        <is>
          <t>Object-Oriented Programming</t>
        </is>
      </c>
      <c r="C3" s="123" t="inlineStr">
        <is>
          <t>School of Computing</t>
        </is>
      </c>
      <c r="D3" s="123" t="inlineStr">
        <is>
          <t>Dr. Kamande Njoroge</t>
        </is>
      </c>
      <c r="E3" s="123" t="n">
        <v>3</v>
      </c>
      <c r="F3" s="123" t="n">
        <v>22</v>
      </c>
      <c r="G3" s="123" t="inlineStr">
        <is>
          <t>Core</t>
        </is>
      </c>
      <c r="H3" s="123" t="inlineStr">
        <is>
          <t>Tue/Thu 10–12pm</t>
        </is>
      </c>
      <c r="I3" s="123" t="inlineStr">
        <is>
          <t>LH-202</t>
        </is>
      </c>
      <c r="J3" s="123" t="inlineStr">
        <is>
          <t>Active</t>
        </is>
      </c>
    </row>
    <row r="4" ht="15" customHeight="1" s="104">
      <c r="A4" s="122" t="inlineStr">
        <is>
          <t>ECO201</t>
        </is>
      </c>
      <c r="B4" s="122" t="inlineStr">
        <is>
          <t>Microeconomics</t>
        </is>
      </c>
      <c r="C4" s="122" t="inlineStr">
        <is>
          <t>School of Business</t>
        </is>
      </c>
      <c r="D4" s="122" t="inlineStr">
        <is>
          <t>Prof. Wambua Simiyu</t>
        </is>
      </c>
      <c r="E4" s="122" t="n">
        <v>3</v>
      </c>
      <c r="F4" s="122" t="n">
        <v>35</v>
      </c>
      <c r="G4" s="122" t="inlineStr">
        <is>
          <t>Core</t>
        </is>
      </c>
      <c r="H4" s="122" t="inlineStr">
        <is>
          <t>Mon/Wed 2–4pm</t>
        </is>
      </c>
      <c r="I4" s="122" t="inlineStr">
        <is>
          <t>BH-101</t>
        </is>
      </c>
      <c r="J4" s="122" t="inlineStr">
        <is>
          <t>Active</t>
        </is>
      </c>
    </row>
    <row r="5" ht="15" customHeight="1" s="104">
      <c r="A5" s="123" t="inlineStr">
        <is>
          <t>ACC301</t>
        </is>
      </c>
      <c r="B5" s="123" t="inlineStr">
        <is>
          <t>Intermediate Accounting</t>
        </is>
      </c>
      <c r="C5" s="123" t="inlineStr">
        <is>
          <t>School of Business</t>
        </is>
      </c>
      <c r="D5" s="123" t="inlineStr">
        <is>
          <t>Ms. Ruth Kariuki</t>
        </is>
      </c>
      <c r="E5" s="123" t="n">
        <v>4</v>
      </c>
      <c r="F5" s="123" t="n">
        <v>28</v>
      </c>
      <c r="G5" s="123" t="inlineStr">
        <is>
          <t>Core</t>
        </is>
      </c>
      <c r="H5" s="123" t="inlineStr">
        <is>
          <t>Tue/Thu 8–10am</t>
        </is>
      </c>
      <c r="I5" s="123" t="inlineStr">
        <is>
          <t>BH-102</t>
        </is>
      </c>
      <c r="J5" s="123" t="inlineStr">
        <is>
          <t>Active</t>
        </is>
      </c>
    </row>
    <row r="6" ht="15" customHeight="1" s="104">
      <c r="A6" s="122" t="inlineStr">
        <is>
          <t>CE401</t>
        </is>
      </c>
      <c r="B6" s="122" t="inlineStr">
        <is>
          <t>Structural Engineering</t>
        </is>
      </c>
      <c r="C6" s="122" t="inlineStr">
        <is>
          <t>School of Engineering</t>
        </is>
      </c>
      <c r="D6" s="122" t="inlineStr">
        <is>
          <t>Dr. Oloo Otiende</t>
        </is>
      </c>
      <c r="E6" s="122" t="n">
        <v>4</v>
      </c>
      <c r="F6" s="122" t="n">
        <v>15</v>
      </c>
      <c r="G6" s="122" t="inlineStr">
        <is>
          <t>Core</t>
        </is>
      </c>
      <c r="H6" s="122" t="inlineStr">
        <is>
          <t>Mon 8–12pm</t>
        </is>
      </c>
      <c r="I6" s="122" t="inlineStr">
        <is>
          <t>EH-301</t>
        </is>
      </c>
      <c r="J6" s="122" t="inlineStr">
        <is>
          <t>Active</t>
        </is>
      </c>
    </row>
    <row r="7" ht="15" customHeight="1" s="104">
      <c r="A7" s="123" t="inlineStr">
        <is>
          <t>EE401</t>
        </is>
      </c>
      <c r="B7" s="123" t="inlineStr">
        <is>
          <t>Power Systems</t>
        </is>
      </c>
      <c r="C7" s="123" t="inlineStr">
        <is>
          <t>School of Engineering</t>
        </is>
      </c>
      <c r="D7" s="123" t="inlineStr">
        <is>
          <t>Prof. James Mwema</t>
        </is>
      </c>
      <c r="E7" s="123" t="n">
        <v>4</v>
      </c>
      <c r="F7" s="123" t="n">
        <v>12</v>
      </c>
      <c r="G7" s="123" t="inlineStr">
        <is>
          <t>Core</t>
        </is>
      </c>
      <c r="H7" s="123" t="inlineStr">
        <is>
          <t>Wed 8–12pm</t>
        </is>
      </c>
      <c r="I7" s="123" t="inlineStr">
        <is>
          <t>EH-302</t>
        </is>
      </c>
      <c r="J7" s="123" t="inlineStr">
        <is>
          <t>Active</t>
        </is>
      </c>
    </row>
    <row r="8" ht="15" customHeight="1" s="104">
      <c r="A8" s="122" t="inlineStr">
        <is>
          <t>LAW301</t>
        </is>
      </c>
      <c r="B8" s="122" t="inlineStr">
        <is>
          <t>Contract Law</t>
        </is>
      </c>
      <c r="C8" s="122" t="inlineStr">
        <is>
          <t>School of Law</t>
        </is>
      </c>
      <c r="D8" s="122" t="inlineStr">
        <is>
          <t>Prof. Adhiambo Orengo</t>
        </is>
      </c>
      <c r="E8" s="122" t="n">
        <v>4</v>
      </c>
      <c r="F8" s="122" t="n">
        <v>20</v>
      </c>
      <c r="G8" s="122" t="inlineStr">
        <is>
          <t>Core</t>
        </is>
      </c>
      <c r="H8" s="122" t="inlineStr">
        <is>
          <t>Tue/Thu 2–4pm</t>
        </is>
      </c>
      <c r="I8" s="122" t="inlineStr">
        <is>
          <t>LW-101</t>
        </is>
      </c>
      <c r="J8" s="122" t="inlineStr">
        <is>
          <t>Active</t>
        </is>
      </c>
    </row>
    <row r="9" ht="15" customHeight="1" s="104">
      <c r="A9" s="123" t="inlineStr">
        <is>
          <t>BCH201</t>
        </is>
      </c>
      <c r="B9" s="123" t="inlineStr">
        <is>
          <t>Biochemistry I</t>
        </is>
      </c>
      <c r="C9" s="123" t="inlineStr">
        <is>
          <t>School of Science</t>
        </is>
      </c>
      <c r="D9" s="123" t="inlineStr">
        <is>
          <t>Dr. Mwangi Kiarie</t>
        </is>
      </c>
      <c r="E9" s="123" t="n">
        <v>3</v>
      </c>
      <c r="F9" s="123" t="n">
        <v>24</v>
      </c>
      <c r="G9" s="123" t="inlineStr">
        <is>
          <t>Core</t>
        </is>
      </c>
      <c r="H9" s="123" t="inlineStr">
        <is>
          <t>Mon/Wed 10–12pm</t>
        </is>
      </c>
      <c r="I9" s="123" t="inlineStr">
        <is>
          <t>SC-201</t>
        </is>
      </c>
      <c r="J9" s="123" t="inlineStr">
        <is>
          <t>Active</t>
        </is>
      </c>
    </row>
    <row r="10" ht="15" customHeight="1" s="104">
      <c r="A10" s="122" t="inlineStr">
        <is>
          <t>NUR301</t>
        </is>
      </c>
      <c r="B10" s="122" t="inlineStr">
        <is>
          <t>Clinical Nursing Practice</t>
        </is>
      </c>
      <c r="C10" s="122" t="inlineStr">
        <is>
          <t>School of Health Sciences</t>
        </is>
      </c>
      <c r="D10" s="122" t="inlineStr">
        <is>
          <t>Dr. Atieno Ouma</t>
        </is>
      </c>
      <c r="E10" s="122" t="n">
        <v>5</v>
      </c>
      <c r="F10" s="122" t="n">
        <v>18</v>
      </c>
      <c r="G10" s="122" t="inlineStr">
        <is>
          <t>Core</t>
        </is>
      </c>
      <c r="H10" s="122" t="inlineStr">
        <is>
          <t>Fri 8am–2pm</t>
        </is>
      </c>
      <c r="I10" s="122" t="inlineStr">
        <is>
          <t>HS-401</t>
        </is>
      </c>
      <c r="J10" s="122" t="inlineStr">
        <is>
          <t>Active</t>
        </is>
      </c>
    </row>
    <row r="11" ht="15" customHeight="1" s="104">
      <c r="A11" s="123" t="inlineStr">
        <is>
          <t>EDU201</t>
        </is>
      </c>
      <c r="B11" s="123" t="inlineStr">
        <is>
          <t>Curriculum Development</t>
        </is>
      </c>
      <c r="C11" s="123" t="inlineStr">
        <is>
          <t>School of Education</t>
        </is>
      </c>
      <c r="D11" s="123" t="inlineStr">
        <is>
          <t>Mr. Barasa Wekesa</t>
        </is>
      </c>
      <c r="E11" s="123" t="n">
        <v>3</v>
      </c>
      <c r="F11" s="123" t="n">
        <v>20</v>
      </c>
      <c r="G11" s="123" t="inlineStr">
        <is>
          <t>Core</t>
        </is>
      </c>
      <c r="H11" s="123" t="inlineStr">
        <is>
          <t>Tue/Thu 12–2pm</t>
        </is>
      </c>
      <c r="I11" s="123" t="inlineStr">
        <is>
          <t>ED-101</t>
        </is>
      </c>
      <c r="J11" s="123" t="inlineStr">
        <is>
          <t>Active</t>
        </is>
      </c>
    </row>
    <row r="12" ht="15" customHeight="1" s="104">
      <c r="A12" s="122" t="inlineStr">
        <is>
          <t>SOC201</t>
        </is>
      </c>
      <c r="B12" s="122" t="inlineStr">
        <is>
          <t>Sociological Theory</t>
        </is>
      </c>
      <c r="C12" s="122" t="inlineStr">
        <is>
          <t>School of Social Sciences</t>
        </is>
      </c>
      <c r="D12" s="122" t="inlineStr">
        <is>
          <t>Dr. Zawadi Amani</t>
        </is>
      </c>
      <c r="E12" s="122" t="n">
        <v>3</v>
      </c>
      <c r="F12" s="122" t="n">
        <v>26</v>
      </c>
      <c r="G12" s="122" t="inlineStr">
        <is>
          <t>Core</t>
        </is>
      </c>
      <c r="H12" s="122" t="inlineStr">
        <is>
          <t>Mon/Wed 12–2pm</t>
        </is>
      </c>
      <c r="I12" s="122" t="inlineStr">
        <is>
          <t>SS-101</t>
        </is>
      </c>
      <c r="J12" s="122" t="inlineStr">
        <is>
          <t>Active</t>
        </is>
      </c>
    </row>
    <row r="13" ht="15" customHeight="1" s="104">
      <c r="A13" s="123" t="inlineStr">
        <is>
          <t>COM101</t>
        </is>
      </c>
      <c r="B13" s="123" t="inlineStr">
        <is>
          <t>Introduction to Mass Media</t>
        </is>
      </c>
      <c r="C13" s="123" t="inlineStr">
        <is>
          <t>School of Arts</t>
        </is>
      </c>
      <c r="D13" s="123" t="inlineStr">
        <is>
          <t>Ms. Abigael Ndungu</t>
        </is>
      </c>
      <c r="E13" s="123" t="n">
        <v>3</v>
      </c>
      <c r="F13" s="123" t="n">
        <v>30</v>
      </c>
      <c r="G13" s="123" t="inlineStr">
        <is>
          <t>Core</t>
        </is>
      </c>
      <c r="H13" s="123" t="inlineStr">
        <is>
          <t>Mon/Wed 4–6pm</t>
        </is>
      </c>
      <c r="I13" s="123" t="inlineStr">
        <is>
          <t>AR-101</t>
        </is>
      </c>
      <c r="J13" s="123" t="inlineStr">
        <is>
          <t>Active</t>
        </is>
      </c>
    </row>
    <row r="14" ht="15" customHeight="1" s="104">
      <c r="A14" s="122" t="inlineStr">
        <is>
          <t>MATH201</t>
        </is>
      </c>
      <c r="B14" s="122" t="inlineStr">
        <is>
          <t>Calculus II</t>
        </is>
      </c>
      <c r="C14" s="122" t="inlineStr">
        <is>
          <t>School of Science</t>
        </is>
      </c>
      <c r="D14" s="122" t="inlineStr">
        <is>
          <t>Prof. Kipkemoi Ruto</t>
        </is>
      </c>
      <c r="E14" s="122" t="n">
        <v>4</v>
      </c>
      <c r="F14" s="122" t="n">
        <v>40</v>
      </c>
      <c r="G14" s="122" t="inlineStr">
        <is>
          <t>Core</t>
        </is>
      </c>
      <c r="H14" s="122" t="inlineStr">
        <is>
          <t>Mon–Thu 7–8am</t>
        </is>
      </c>
      <c r="I14" s="122" t="inlineStr">
        <is>
          <t>SC-101</t>
        </is>
      </c>
      <c r="J14" s="122" t="inlineStr">
        <is>
          <t>Active</t>
        </is>
      </c>
    </row>
    <row r="15" ht="15" customHeight="1" s="104">
      <c r="A15" s="123" t="inlineStr">
        <is>
          <t>STAT201</t>
        </is>
      </c>
      <c r="B15" s="123" t="inlineStr">
        <is>
          <t>Probability &amp; Statistics</t>
        </is>
      </c>
      <c r="C15" s="123" t="inlineStr">
        <is>
          <t>School of Science</t>
        </is>
      </c>
      <c r="D15" s="123" t="inlineStr">
        <is>
          <t>Prof. Kipkemoi Ruto</t>
        </is>
      </c>
      <c r="E15" s="123" t="n">
        <v>3</v>
      </c>
      <c r="F15" s="123" t="n">
        <v>32</v>
      </c>
      <c r="G15" s="123" t="inlineStr">
        <is>
          <t>Core</t>
        </is>
      </c>
      <c r="H15" s="123" t="inlineStr">
        <is>
          <t>Tue/Thu 4–6pm</t>
        </is>
      </c>
      <c r="I15" s="123" t="inlineStr">
        <is>
          <t>SC-102</t>
        </is>
      </c>
      <c r="J15" s="123" t="inlineStr">
        <is>
          <t>Active</t>
        </is>
      </c>
    </row>
    <row r="16" ht="15" customHeight="1" s="104">
      <c r="A16" s="122" t="inlineStr">
        <is>
          <t>IT201</t>
        </is>
      </c>
      <c r="B16" s="122" t="inlineStr">
        <is>
          <t>Database Management Systems</t>
        </is>
      </c>
      <c r="C16" s="122" t="inlineStr">
        <is>
          <t>School of Computing</t>
        </is>
      </c>
      <c r="D16" s="122" t="inlineStr">
        <is>
          <t>Ms. Cynthia Aluoch</t>
        </is>
      </c>
      <c r="E16" s="122" t="n">
        <v>3</v>
      </c>
      <c r="F16" s="122" t="n">
        <v>26</v>
      </c>
      <c r="G16" s="122" t="inlineStr">
        <is>
          <t>Core</t>
        </is>
      </c>
      <c r="H16" s="122" t="inlineStr">
        <is>
          <t>Wed/Fri 10–12pm</t>
        </is>
      </c>
      <c r="I16" s="122" t="inlineStr">
        <is>
          <t>LH-203</t>
        </is>
      </c>
      <c r="J16" s="122" t="inlineStr">
        <is>
          <t>Active</t>
        </is>
      </c>
    </row>
    <row r="17" ht="15" customHeight="1" s="104">
      <c r="A17" s="123" t="inlineStr">
        <is>
          <t>ENV201</t>
        </is>
      </c>
      <c r="B17" s="123" t="inlineStr">
        <is>
          <t>Environmental Ecology</t>
        </is>
      </c>
      <c r="C17" s="123" t="inlineStr">
        <is>
          <t>School of Science</t>
        </is>
      </c>
      <c r="D17" s="123" t="inlineStr">
        <is>
          <t>Dr. Sasha Mutinda</t>
        </is>
      </c>
      <c r="E17" s="123" t="n">
        <v>3</v>
      </c>
      <c r="F17" s="123" t="n">
        <v>22</v>
      </c>
      <c r="G17" s="123" t="inlineStr">
        <is>
          <t>Elective</t>
        </is>
      </c>
      <c r="H17" s="123" t="inlineStr">
        <is>
          <t>Fri 10am–1pm</t>
        </is>
      </c>
      <c r="I17" s="123" t="inlineStr">
        <is>
          <t>SC-301</t>
        </is>
      </c>
      <c r="J17" s="123" t="inlineStr">
        <is>
          <t>Active</t>
        </is>
      </c>
    </row>
    <row r="18" ht="15" customHeight="1" s="104">
      <c r="A18" s="122" t="inlineStr">
        <is>
          <t>FIN201</t>
        </is>
      </c>
      <c r="B18" s="122" t="inlineStr">
        <is>
          <t>Principles of Finance</t>
        </is>
      </c>
      <c r="C18" s="122" t="inlineStr">
        <is>
          <t>School of Business</t>
        </is>
      </c>
      <c r="D18" s="122" t="inlineStr">
        <is>
          <t>Mr. Odhiambo Yusuf</t>
        </is>
      </c>
      <c r="E18" s="122" t="n">
        <v>3</v>
      </c>
      <c r="F18" s="122" t="n">
        <v>34</v>
      </c>
      <c r="G18" s="122" t="inlineStr">
        <is>
          <t>Core</t>
        </is>
      </c>
      <c r="H18" s="122" t="inlineStr">
        <is>
          <t>Mon/Wed 8–10am</t>
        </is>
      </c>
      <c r="I18" s="122" t="inlineStr">
        <is>
          <t>BH-103</t>
        </is>
      </c>
      <c r="J18" s="122" t="inlineStr">
        <is>
          <t>Active</t>
        </is>
      </c>
    </row>
    <row r="19" ht="15" customHeight="1" s="104">
      <c r="A19" s="123" t="inlineStr">
        <is>
          <t>PHAR301</t>
        </is>
      </c>
      <c r="B19" s="123" t="inlineStr">
        <is>
          <t>Pharmacology I</t>
        </is>
      </c>
      <c r="C19" s="123" t="inlineStr">
        <is>
          <t>School of Health Sciences</t>
        </is>
      </c>
      <c r="D19" s="123" t="inlineStr">
        <is>
          <t>Dr. Atieno Ouma</t>
        </is>
      </c>
      <c r="E19" s="123" t="n">
        <v>4</v>
      </c>
      <c r="F19" s="123" t="n">
        <v>14</v>
      </c>
      <c r="G19" s="123" t="inlineStr">
        <is>
          <t>Core</t>
        </is>
      </c>
      <c r="H19" s="123" t="inlineStr">
        <is>
          <t>Tue/Thu 8–10am</t>
        </is>
      </c>
      <c r="I19" s="123" t="inlineStr">
        <is>
          <t>HS-201</t>
        </is>
      </c>
      <c r="J19" s="123" t="inlineStr">
        <is>
          <t>Suspended</t>
        </is>
      </c>
    </row>
    <row r="20" ht="15" customHeight="1" s="104">
      <c r="A20" s="122" t="inlineStr">
        <is>
          <t>CS101</t>
        </is>
      </c>
      <c r="B20" s="122" t="inlineStr">
        <is>
          <t>Introduction to Programming</t>
        </is>
      </c>
      <c r="C20" s="122" t="inlineStr">
        <is>
          <t>School of Computing</t>
        </is>
      </c>
      <c r="D20" s="122" t="inlineStr">
        <is>
          <t>Ms. Cynthia Aluoch</t>
        </is>
      </c>
      <c r="E20" s="122" t="n">
        <v>3</v>
      </c>
      <c r="F20" s="122" t="n">
        <v>45</v>
      </c>
      <c r="G20" s="122" t="inlineStr">
        <is>
          <t>Core</t>
        </is>
      </c>
      <c r="H20" s="122" t="inlineStr">
        <is>
          <t>Mon/Wed 2–4pm</t>
        </is>
      </c>
      <c r="I20" s="122" t="inlineStr">
        <is>
          <t>LH-101</t>
        </is>
      </c>
      <c r="J20" s="122" t="inlineStr">
        <is>
          <t>Active</t>
        </is>
      </c>
    </row>
    <row r="21" ht="15" customHeight="1" s="104">
      <c r="A21" s="123" t="inlineStr">
        <is>
          <t>GEN101</t>
        </is>
      </c>
      <c r="B21" s="123" t="inlineStr">
        <is>
          <t>Communication Skills</t>
        </is>
      </c>
      <c r="C21" s="123" t="inlineStr">
        <is>
          <t>School of Arts</t>
        </is>
      </c>
      <c r="D21" s="123" t="inlineStr">
        <is>
          <t>Ms. Abigael Ndungu</t>
        </is>
      </c>
      <c r="E21" s="123" t="n">
        <v>2</v>
      </c>
      <c r="F21" s="123" t="n">
        <v>80</v>
      </c>
      <c r="G21" s="123" t="inlineStr">
        <is>
          <t>Core</t>
        </is>
      </c>
      <c r="H21" s="123" t="inlineStr">
        <is>
          <t>Fri 2–4pm</t>
        </is>
      </c>
      <c r="I21" s="123" t="inlineStr">
        <is>
          <t>AR-201</t>
        </is>
      </c>
      <c r="J21" s="123" t="inlineStr">
        <is>
          <t>Active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8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3" min="1" max="1"/>
    <col width="16" customWidth="1" style="103" min="2" max="2"/>
    <col width="22" customWidth="1" style="103" min="3" max="3"/>
    <col width="10" customWidth="1" style="103" min="4" max="4"/>
    <col width="28" customWidth="1" style="103" min="5" max="5"/>
    <col width="12" customWidth="1" style="103" min="6" max="7"/>
    <col width="10" customWidth="1" style="103" min="8" max="8"/>
    <col width="14" customWidth="1" style="103" min="9" max="9"/>
  </cols>
  <sheetData>
    <row r="1" ht="30" customHeight="1" s="104">
      <c r="A1" s="121" t="inlineStr">
        <is>
          <t>enrolment_id</t>
        </is>
      </c>
      <c r="B1" s="121" t="inlineStr">
        <is>
          <t>student_id</t>
        </is>
      </c>
      <c r="C1" s="121" t="inlineStr">
        <is>
          <t>student_name</t>
        </is>
      </c>
      <c r="D1" s="121" t="inlineStr">
        <is>
          <t>course_code</t>
        </is>
      </c>
      <c r="E1" s="121" t="inlineStr">
        <is>
          <t>course_title</t>
        </is>
      </c>
      <c r="F1" s="121" t="inlineStr">
        <is>
          <t>enrol_date</t>
        </is>
      </c>
      <c r="G1" s="121" t="inlineStr">
        <is>
          <t>status</t>
        </is>
      </c>
      <c r="H1" s="121" t="inlineStr">
        <is>
          <t>midterm_score</t>
        </is>
      </c>
      <c r="I1" s="121" t="inlineStr">
        <is>
          <t>current_grade</t>
        </is>
      </c>
    </row>
    <row r="2" ht="15" customHeight="1" s="104">
      <c r="A2" s="122" t="inlineStr">
        <is>
          <t>ENR-0001</t>
        </is>
      </c>
      <c r="B2" s="122" t="inlineStr">
        <is>
          <t>TU-2021-0001</t>
        </is>
      </c>
      <c r="C2" s="122" t="inlineStr">
        <is>
          <t>Amelia Odhiambo</t>
        </is>
      </c>
      <c r="D2" s="122" t="inlineStr">
        <is>
          <t>CS301</t>
        </is>
      </c>
      <c r="E2" s="122" t="inlineStr">
        <is>
          <t>Data Structures &amp; Algorithms</t>
        </is>
      </c>
      <c r="F2" s="122" t="inlineStr">
        <is>
          <t>2023-09-05</t>
        </is>
      </c>
      <c r="G2" s="122" t="inlineStr">
        <is>
          <t>Enrolled</t>
        </is>
      </c>
      <c r="H2" s="122" t="n">
        <v>82</v>
      </c>
      <c r="I2" s="124" t="n">
        <v>85</v>
      </c>
    </row>
    <row r="3" ht="15" customHeight="1" s="104">
      <c r="A3" s="123" t="inlineStr">
        <is>
          <t>ENR-0002</t>
        </is>
      </c>
      <c r="B3" s="123" t="inlineStr">
        <is>
          <t>TU-2021-0001</t>
        </is>
      </c>
      <c r="C3" s="123" t="inlineStr">
        <is>
          <t>Amelia Odhiambo</t>
        </is>
      </c>
      <c r="D3" s="123" t="inlineStr">
        <is>
          <t>CS201</t>
        </is>
      </c>
      <c r="E3" s="123" t="inlineStr">
        <is>
          <t>Object-Oriented Programming</t>
        </is>
      </c>
      <c r="F3" s="123" t="inlineStr">
        <is>
          <t>2023-09-05</t>
        </is>
      </c>
      <c r="G3" s="123" t="inlineStr">
        <is>
          <t>Enrolled</t>
        </is>
      </c>
      <c r="H3" s="123" t="n">
        <v>88</v>
      </c>
      <c r="I3" s="125" t="n">
        <v>87</v>
      </c>
    </row>
    <row r="4" ht="15" customHeight="1" s="104">
      <c r="A4" s="122" t="inlineStr">
        <is>
          <t>ENR-0003</t>
        </is>
      </c>
      <c r="B4" s="122" t="inlineStr">
        <is>
          <t>TU-2021-0001</t>
        </is>
      </c>
      <c r="C4" s="122" t="inlineStr">
        <is>
          <t>Amelia Odhiambo</t>
        </is>
      </c>
      <c r="D4" s="122" t="inlineStr">
        <is>
          <t>MATH201</t>
        </is>
      </c>
      <c r="E4" s="122" t="inlineStr">
        <is>
          <t>Calculus II</t>
        </is>
      </c>
      <c r="F4" s="122" t="inlineStr">
        <is>
          <t>2023-09-05</t>
        </is>
      </c>
      <c r="G4" s="122" t="inlineStr">
        <is>
          <t>Enrolled</t>
        </is>
      </c>
      <c r="H4" s="122" t="n">
        <v>75</v>
      </c>
      <c r="I4" s="124" t="n">
        <v>78</v>
      </c>
    </row>
    <row r="5" ht="15" customHeight="1" s="104">
      <c r="A5" s="123" t="inlineStr">
        <is>
          <t>ENR-0004</t>
        </is>
      </c>
      <c r="B5" s="123" t="inlineStr">
        <is>
          <t>TU-2021-0001</t>
        </is>
      </c>
      <c r="C5" s="123" t="inlineStr">
        <is>
          <t>Amelia Odhiambo</t>
        </is>
      </c>
      <c r="D5" s="123" t="inlineStr">
        <is>
          <t>GEN101</t>
        </is>
      </c>
      <c r="E5" s="123" t="inlineStr">
        <is>
          <t>Communication Skills</t>
        </is>
      </c>
      <c r="F5" s="123" t="inlineStr">
        <is>
          <t>2023-09-05</t>
        </is>
      </c>
      <c r="G5" s="123" t="inlineStr">
        <is>
          <t>Enrolled</t>
        </is>
      </c>
      <c r="H5" s="123" t="n">
        <v>90</v>
      </c>
      <c r="I5" s="125" t="n">
        <v>91</v>
      </c>
    </row>
    <row r="6" ht="15" customHeight="1" s="104">
      <c r="A6" s="122" t="inlineStr">
        <is>
          <t>ENR-0005</t>
        </is>
      </c>
      <c r="B6" s="122" t="inlineStr">
        <is>
          <t>TU-2022-0002</t>
        </is>
      </c>
      <c r="C6" s="122" t="inlineStr">
        <is>
          <t>Brian Mwangi</t>
        </is>
      </c>
      <c r="D6" s="122" t="inlineStr">
        <is>
          <t>ECO201</t>
        </is>
      </c>
      <c r="E6" s="122" t="inlineStr">
        <is>
          <t>Microeconomics</t>
        </is>
      </c>
      <c r="F6" s="122" t="inlineStr">
        <is>
          <t>2023-09-05</t>
        </is>
      </c>
      <c r="G6" s="122" t="inlineStr">
        <is>
          <t>Enrolled</t>
        </is>
      </c>
      <c r="H6" s="122" t="n">
        <v>72</v>
      </c>
      <c r="I6" s="124" t="n">
        <v>74</v>
      </c>
    </row>
    <row r="7" ht="15" customHeight="1" s="104">
      <c r="A7" s="123" t="inlineStr">
        <is>
          <t>ENR-0006</t>
        </is>
      </c>
      <c r="B7" s="123" t="inlineStr">
        <is>
          <t>TU-2022-0002</t>
        </is>
      </c>
      <c r="C7" s="123" t="inlineStr">
        <is>
          <t>Brian Mwangi</t>
        </is>
      </c>
      <c r="D7" s="123" t="inlineStr">
        <is>
          <t>FIN201</t>
        </is>
      </c>
      <c r="E7" s="123" t="inlineStr">
        <is>
          <t>Principles of Finance</t>
        </is>
      </c>
      <c r="F7" s="123" t="inlineStr">
        <is>
          <t>2023-09-05</t>
        </is>
      </c>
      <c r="G7" s="123" t="inlineStr">
        <is>
          <t>Enrolled</t>
        </is>
      </c>
      <c r="H7" s="123" t="n">
        <v>68</v>
      </c>
      <c r="I7" s="125" t="n">
        <v>70</v>
      </c>
    </row>
    <row r="8" ht="15" customHeight="1" s="104">
      <c r="A8" s="122" t="inlineStr">
        <is>
          <t>ENR-0007</t>
        </is>
      </c>
      <c r="B8" s="122" t="inlineStr">
        <is>
          <t>TU-2022-0002</t>
        </is>
      </c>
      <c r="C8" s="122" t="inlineStr">
        <is>
          <t>Brian Mwangi</t>
        </is>
      </c>
      <c r="D8" s="122" t="inlineStr">
        <is>
          <t>MATH201</t>
        </is>
      </c>
      <c r="E8" s="122" t="inlineStr">
        <is>
          <t>Calculus II</t>
        </is>
      </c>
      <c r="F8" s="122" t="inlineStr">
        <is>
          <t>2023-09-05</t>
        </is>
      </c>
      <c r="G8" s="122" t="inlineStr">
        <is>
          <t>Enrolled</t>
        </is>
      </c>
      <c r="H8" s="122" t="n">
        <v>65</v>
      </c>
      <c r="I8" s="124" t="n">
        <v>67</v>
      </c>
    </row>
    <row r="9" ht="15" customHeight="1" s="104">
      <c r="A9" s="123" t="inlineStr">
        <is>
          <t>ENR-0008</t>
        </is>
      </c>
      <c r="B9" s="123" t="inlineStr">
        <is>
          <t>TU-2022-0002</t>
        </is>
      </c>
      <c r="C9" s="123" t="inlineStr">
        <is>
          <t>Brian Mwangi</t>
        </is>
      </c>
      <c r="D9" s="123" t="inlineStr">
        <is>
          <t>GEN101</t>
        </is>
      </c>
      <c r="E9" s="123" t="inlineStr">
        <is>
          <t>Communication Skills</t>
        </is>
      </c>
      <c r="F9" s="123" t="inlineStr">
        <is>
          <t>2023-09-05</t>
        </is>
      </c>
      <c r="G9" s="123" t="inlineStr">
        <is>
          <t>Enrolled</t>
        </is>
      </c>
      <c r="H9" s="123" t="n">
        <v>78</v>
      </c>
      <c r="I9" s="125" t="n">
        <v>77</v>
      </c>
    </row>
    <row r="10" ht="15" customHeight="1" s="104">
      <c r="A10" s="122" t="inlineStr">
        <is>
          <t>ENR-0009</t>
        </is>
      </c>
      <c r="B10" s="122" t="inlineStr">
        <is>
          <t>TU-2020-0003</t>
        </is>
      </c>
      <c r="C10" s="122" t="inlineStr">
        <is>
          <t>Claire Nakato</t>
        </is>
      </c>
      <c r="D10" s="122" t="inlineStr">
        <is>
          <t>CE401</t>
        </is>
      </c>
      <c r="E10" s="122" t="inlineStr">
        <is>
          <t>Structural Engineering</t>
        </is>
      </c>
      <c r="F10" s="122" t="inlineStr">
        <is>
          <t>2023-09-07</t>
        </is>
      </c>
      <c r="G10" s="122" t="inlineStr">
        <is>
          <t>Enrolled</t>
        </is>
      </c>
      <c r="H10" s="122" t="n">
        <v>80</v>
      </c>
      <c r="I10" s="124" t="n">
        <v>82</v>
      </c>
    </row>
    <row r="11" ht="15" customHeight="1" s="104">
      <c r="A11" s="123" t="inlineStr">
        <is>
          <t>ENR-0010</t>
        </is>
      </c>
      <c r="B11" s="123" t="inlineStr">
        <is>
          <t>TU-2020-0003</t>
        </is>
      </c>
      <c r="C11" s="123" t="inlineStr">
        <is>
          <t>Claire Nakato</t>
        </is>
      </c>
      <c r="D11" s="123" t="inlineStr">
        <is>
          <t>MATH201</t>
        </is>
      </c>
      <c r="E11" s="123" t="inlineStr">
        <is>
          <t>Calculus II</t>
        </is>
      </c>
      <c r="F11" s="123" t="inlineStr">
        <is>
          <t>2023-09-07</t>
        </is>
      </c>
      <c r="G11" s="123" t="inlineStr">
        <is>
          <t>Enrolled</t>
        </is>
      </c>
      <c r="H11" s="123" t="n">
        <v>76</v>
      </c>
      <c r="I11" s="125" t="n">
        <v>78</v>
      </c>
    </row>
    <row r="12" ht="15" customHeight="1" s="104">
      <c r="A12" s="122" t="inlineStr">
        <is>
          <t>ENR-0011</t>
        </is>
      </c>
      <c r="B12" s="122" t="inlineStr">
        <is>
          <t>TU-2020-0003</t>
        </is>
      </c>
      <c r="C12" s="122" t="inlineStr">
        <is>
          <t>Claire Nakato</t>
        </is>
      </c>
      <c r="D12" s="122" t="inlineStr">
        <is>
          <t>ENV201</t>
        </is>
      </c>
      <c r="E12" s="122" t="inlineStr">
        <is>
          <t>Environmental Ecology</t>
        </is>
      </c>
      <c r="F12" s="122" t="inlineStr">
        <is>
          <t>2023-09-07</t>
        </is>
      </c>
      <c r="G12" s="122" t="inlineStr">
        <is>
          <t>Enrolled</t>
        </is>
      </c>
      <c r="H12" s="122" t="n">
        <v>83</v>
      </c>
      <c r="I12" s="124" t="n">
        <v>84</v>
      </c>
    </row>
    <row r="13" ht="15" customHeight="1" s="104">
      <c r="A13" s="123" t="inlineStr">
        <is>
          <t>ENR-0012</t>
        </is>
      </c>
      <c r="B13" s="123" t="inlineStr">
        <is>
          <t>TU-2020-0003</t>
        </is>
      </c>
      <c r="C13" s="123" t="inlineStr">
        <is>
          <t>Claire Nakato</t>
        </is>
      </c>
      <c r="D13" s="123" t="inlineStr">
        <is>
          <t>GEN101</t>
        </is>
      </c>
      <c r="E13" s="123" t="inlineStr">
        <is>
          <t>Communication Skills</t>
        </is>
      </c>
      <c r="F13" s="123" t="inlineStr">
        <is>
          <t>2023-09-07</t>
        </is>
      </c>
      <c r="G13" s="123" t="inlineStr">
        <is>
          <t>Enrolled</t>
        </is>
      </c>
      <c r="H13" s="123" t="n">
        <v>88</v>
      </c>
      <c r="I13" s="125" t="n">
        <v>89</v>
      </c>
    </row>
    <row r="14" ht="15" customHeight="1" s="104">
      <c r="A14" s="122" t="inlineStr">
        <is>
          <t>ENR-0013</t>
        </is>
      </c>
      <c r="B14" s="122" t="inlineStr">
        <is>
          <t>TU-2019-0004</t>
        </is>
      </c>
      <c r="C14" s="122" t="inlineStr">
        <is>
          <t>David Mensah</t>
        </is>
      </c>
      <c r="D14" s="122" t="inlineStr">
        <is>
          <t>NUR301</t>
        </is>
      </c>
      <c r="E14" s="122" t="inlineStr">
        <is>
          <t>Clinical Nursing Practice</t>
        </is>
      </c>
      <c r="F14" s="122" t="inlineStr">
        <is>
          <t>2023-09-02</t>
        </is>
      </c>
      <c r="G14" s="122" t="inlineStr">
        <is>
          <t>Completed</t>
        </is>
      </c>
      <c r="H14" s="122" t="n">
        <v>91</v>
      </c>
      <c r="I14" s="124" t="n">
        <v>93</v>
      </c>
    </row>
    <row r="15" ht="15" customHeight="1" s="104">
      <c r="A15" s="123" t="inlineStr">
        <is>
          <t>ENR-0014</t>
        </is>
      </c>
      <c r="B15" s="123" t="inlineStr">
        <is>
          <t>TU-2019-0004</t>
        </is>
      </c>
      <c r="C15" s="123" t="inlineStr">
        <is>
          <t>David Mensah</t>
        </is>
      </c>
      <c r="D15" s="123" t="inlineStr">
        <is>
          <t>BCH201</t>
        </is>
      </c>
      <c r="E15" s="123" t="inlineStr">
        <is>
          <t>Biochemistry I</t>
        </is>
      </c>
      <c r="F15" s="123" t="inlineStr">
        <is>
          <t>2023-09-02</t>
        </is>
      </c>
      <c r="G15" s="123" t="inlineStr">
        <is>
          <t>Completed</t>
        </is>
      </c>
      <c r="H15" s="123" t="n">
        <v>88</v>
      </c>
      <c r="I15" s="125" t="n">
        <v>90</v>
      </c>
    </row>
    <row r="16" ht="15" customHeight="1" s="104">
      <c r="A16" s="122" t="inlineStr">
        <is>
          <t>ENR-0015</t>
        </is>
      </c>
      <c r="B16" s="122" t="inlineStr">
        <is>
          <t>TU-2019-0004</t>
        </is>
      </c>
      <c r="C16" s="122" t="inlineStr">
        <is>
          <t>David Mensah</t>
        </is>
      </c>
      <c r="D16" s="122" t="inlineStr">
        <is>
          <t>GEN101</t>
        </is>
      </c>
      <c r="E16" s="122" t="inlineStr">
        <is>
          <t>Communication Skills</t>
        </is>
      </c>
      <c r="F16" s="122" t="inlineStr">
        <is>
          <t>2023-09-02</t>
        </is>
      </c>
      <c r="G16" s="122" t="inlineStr">
        <is>
          <t>Completed</t>
        </is>
      </c>
      <c r="H16" s="122" t="n">
        <v>92</v>
      </c>
      <c r="I16" s="124" t="n">
        <v>94</v>
      </c>
    </row>
    <row r="17" ht="15" customHeight="1" s="104">
      <c r="A17" s="123" t="inlineStr">
        <is>
          <t>ENR-0016</t>
        </is>
      </c>
      <c r="B17" s="123" t="inlineStr">
        <is>
          <t>TU-2023-0005</t>
        </is>
      </c>
      <c r="C17" s="123" t="inlineStr">
        <is>
          <t>Esther Wanjiku</t>
        </is>
      </c>
      <c r="D17" s="123" t="inlineStr">
        <is>
          <t>MATH201</t>
        </is>
      </c>
      <c r="E17" s="123" t="inlineStr">
        <is>
          <t>Calculus II</t>
        </is>
      </c>
      <c r="F17" s="123" t="inlineStr">
        <is>
          <t>2023-09-04</t>
        </is>
      </c>
      <c r="G17" s="123" t="inlineStr">
        <is>
          <t>Enrolled</t>
        </is>
      </c>
      <c r="H17" s="123" t="n">
        <v>48</v>
      </c>
      <c r="I17" s="125" t="n">
        <v>52</v>
      </c>
    </row>
    <row r="18" ht="15" customHeight="1" s="104">
      <c r="A18" s="122" t="inlineStr">
        <is>
          <t>ENR-0017</t>
        </is>
      </c>
      <c r="B18" s="122" t="inlineStr">
        <is>
          <t>TU-2023-0005</t>
        </is>
      </c>
      <c r="C18" s="122" t="inlineStr">
        <is>
          <t>Esther Wanjiku</t>
        </is>
      </c>
      <c r="D18" s="122" t="inlineStr">
        <is>
          <t>STAT201</t>
        </is>
      </c>
      <c r="E18" s="122" t="inlineStr">
        <is>
          <t>Probability &amp; Statistics</t>
        </is>
      </c>
      <c r="F18" s="122" t="inlineStr">
        <is>
          <t>2023-09-04</t>
        </is>
      </c>
      <c r="G18" s="122" t="inlineStr">
        <is>
          <t>Enrolled</t>
        </is>
      </c>
      <c r="H18" s="122" t="n">
        <v>55</v>
      </c>
      <c r="I18" s="124" t="n">
        <v>57</v>
      </c>
    </row>
    <row r="19" ht="15" customHeight="1" s="104">
      <c r="A19" s="123" t="inlineStr">
        <is>
          <t>ENR-0018</t>
        </is>
      </c>
      <c r="B19" s="123" t="inlineStr">
        <is>
          <t>TU-2023-0005</t>
        </is>
      </c>
      <c r="C19" s="123" t="inlineStr">
        <is>
          <t>Esther Wanjiku</t>
        </is>
      </c>
      <c r="D19" s="123" t="inlineStr">
        <is>
          <t>GEN101</t>
        </is>
      </c>
      <c r="E19" s="123" t="inlineStr">
        <is>
          <t>Communication Skills</t>
        </is>
      </c>
      <c r="F19" s="123" t="inlineStr">
        <is>
          <t>2023-09-04</t>
        </is>
      </c>
      <c r="G19" s="123" t="inlineStr">
        <is>
          <t>Enrolled</t>
        </is>
      </c>
      <c r="H19" s="123" t="n">
        <v>60</v>
      </c>
      <c r="I19" s="125" t="n">
        <v>62</v>
      </c>
    </row>
    <row r="20" ht="15" customHeight="1" s="104">
      <c r="A20" s="122" t="inlineStr">
        <is>
          <t>ENR-0019</t>
        </is>
      </c>
      <c r="B20" s="122" t="inlineStr">
        <is>
          <t>TU-2021-0006</t>
        </is>
      </c>
      <c r="C20" s="122" t="inlineStr">
        <is>
          <t>Felix Otieno</t>
        </is>
      </c>
      <c r="D20" s="122" t="inlineStr">
        <is>
          <t>EDU201</t>
        </is>
      </c>
      <c r="E20" s="122" t="inlineStr">
        <is>
          <t>Curriculum Development</t>
        </is>
      </c>
      <c r="F20" s="122" t="inlineStr">
        <is>
          <t>2023-09-05</t>
        </is>
      </c>
      <c r="G20" s="122" t="inlineStr">
        <is>
          <t>Enrolled</t>
        </is>
      </c>
      <c r="H20" s="122" t="n">
        <v>74</v>
      </c>
      <c r="I20" s="124" t="n">
        <v>76</v>
      </c>
    </row>
    <row r="21" ht="15" customHeight="1" s="104">
      <c r="A21" s="123" t="inlineStr">
        <is>
          <t>ENR-0020</t>
        </is>
      </c>
      <c r="B21" s="123" t="inlineStr">
        <is>
          <t>TU-2021-0006</t>
        </is>
      </c>
      <c r="C21" s="123" t="inlineStr">
        <is>
          <t>Felix Otieno</t>
        </is>
      </c>
      <c r="D21" s="123" t="inlineStr">
        <is>
          <t>SOC201</t>
        </is>
      </c>
      <c r="E21" s="123" t="inlineStr">
        <is>
          <t>Sociological Theory</t>
        </is>
      </c>
      <c r="F21" s="123" t="inlineStr">
        <is>
          <t>2023-09-05</t>
        </is>
      </c>
      <c r="G21" s="123" t="inlineStr">
        <is>
          <t>Enrolled</t>
        </is>
      </c>
      <c r="H21" s="123" t="n">
        <v>71</v>
      </c>
      <c r="I21" s="125" t="n">
        <v>73</v>
      </c>
    </row>
    <row r="22" ht="15" customHeight="1" s="104">
      <c r="A22" s="122" t="inlineStr">
        <is>
          <t>ENR-0021</t>
        </is>
      </c>
      <c r="B22" s="122" t="inlineStr">
        <is>
          <t>TU-2021-0006</t>
        </is>
      </c>
      <c r="C22" s="122" t="inlineStr">
        <is>
          <t>Felix Otieno</t>
        </is>
      </c>
      <c r="D22" s="122" t="inlineStr">
        <is>
          <t>GEN101</t>
        </is>
      </c>
      <c r="E22" s="122" t="inlineStr">
        <is>
          <t>Communication Skills</t>
        </is>
      </c>
      <c r="F22" s="122" t="inlineStr">
        <is>
          <t>2023-09-05</t>
        </is>
      </c>
      <c r="G22" s="122" t="inlineStr">
        <is>
          <t>Enrolled</t>
        </is>
      </c>
      <c r="H22" s="122" t="n">
        <v>79</v>
      </c>
      <c r="I22" s="124" t="n">
        <v>80</v>
      </c>
    </row>
    <row r="23" ht="15" customHeight="1" s="104">
      <c r="A23" s="123" t="inlineStr">
        <is>
          <t>ENR-0022</t>
        </is>
      </c>
      <c r="B23" s="123" t="inlineStr">
        <is>
          <t>TU-2022-0007</t>
        </is>
      </c>
      <c r="C23" s="123" t="inlineStr">
        <is>
          <t>Grace Auma</t>
        </is>
      </c>
      <c r="D23" s="123" t="inlineStr">
        <is>
          <t>BCH201</t>
        </is>
      </c>
      <c r="E23" s="123" t="inlineStr">
        <is>
          <t>Biochemistry I</t>
        </is>
      </c>
      <c r="F23" s="123" t="inlineStr">
        <is>
          <t>2023-09-06</t>
        </is>
      </c>
      <c r="G23" s="123" t="inlineStr">
        <is>
          <t>Enrolled</t>
        </is>
      </c>
      <c r="H23" s="123" t="n">
        <v>84</v>
      </c>
      <c r="I23" s="125" t="n">
        <v>86</v>
      </c>
    </row>
    <row r="24" ht="15" customHeight="1" s="104">
      <c r="A24" s="122" t="inlineStr">
        <is>
          <t>ENR-0023</t>
        </is>
      </c>
      <c r="B24" s="122" t="inlineStr">
        <is>
          <t>TU-2022-0007</t>
        </is>
      </c>
      <c r="C24" s="122" t="inlineStr">
        <is>
          <t>Grace Auma</t>
        </is>
      </c>
      <c r="D24" s="122" t="inlineStr">
        <is>
          <t>ENV201</t>
        </is>
      </c>
      <c r="E24" s="122" t="inlineStr">
        <is>
          <t>Environmental Ecology</t>
        </is>
      </c>
      <c r="F24" s="122" t="inlineStr">
        <is>
          <t>2023-09-06</t>
        </is>
      </c>
      <c r="G24" s="122" t="inlineStr">
        <is>
          <t>Enrolled</t>
        </is>
      </c>
      <c r="H24" s="122" t="n">
        <v>80</v>
      </c>
      <c r="I24" s="124" t="n">
        <v>82</v>
      </c>
    </row>
    <row r="25" ht="15" customHeight="1" s="104">
      <c r="A25" s="123" t="inlineStr">
        <is>
          <t>ENR-0024</t>
        </is>
      </c>
      <c r="B25" s="123" t="inlineStr">
        <is>
          <t>TU-2022-0007</t>
        </is>
      </c>
      <c r="C25" s="123" t="inlineStr">
        <is>
          <t>Grace Auma</t>
        </is>
      </c>
      <c r="D25" s="123" t="inlineStr">
        <is>
          <t>MATH201</t>
        </is>
      </c>
      <c r="E25" s="123" t="inlineStr">
        <is>
          <t>Calculus II</t>
        </is>
      </c>
      <c r="F25" s="123" t="inlineStr">
        <is>
          <t>2023-09-06</t>
        </is>
      </c>
      <c r="G25" s="123" t="inlineStr">
        <is>
          <t>Enrolled</t>
        </is>
      </c>
      <c r="H25" s="123" t="n">
        <v>77</v>
      </c>
      <c r="I25" s="125" t="n">
        <v>79</v>
      </c>
    </row>
    <row r="26" ht="15" customHeight="1" s="104">
      <c r="A26" s="122" t="inlineStr">
        <is>
          <t>ENR-0025</t>
        </is>
      </c>
      <c r="B26" s="122" t="inlineStr">
        <is>
          <t>TU-2022-0007</t>
        </is>
      </c>
      <c r="C26" s="122" t="inlineStr">
        <is>
          <t>Grace Auma</t>
        </is>
      </c>
      <c r="D26" s="122" t="inlineStr">
        <is>
          <t>GEN101</t>
        </is>
      </c>
      <c r="E26" s="122" t="inlineStr">
        <is>
          <t>Communication Skills</t>
        </is>
      </c>
      <c r="F26" s="122" t="inlineStr">
        <is>
          <t>2023-09-06</t>
        </is>
      </c>
      <c r="G26" s="122" t="inlineStr">
        <is>
          <t>Enrolled</t>
        </is>
      </c>
      <c r="H26" s="122" t="n">
        <v>88</v>
      </c>
      <c r="I26" s="124" t="n">
        <v>89</v>
      </c>
    </row>
    <row r="27" ht="15" customHeight="1" s="104">
      <c r="A27" s="123" t="inlineStr">
        <is>
          <t>ENR-0026</t>
        </is>
      </c>
      <c r="B27" s="123" t="inlineStr">
        <is>
          <t>TU-2020-0008</t>
        </is>
      </c>
      <c r="C27" s="123" t="inlineStr">
        <is>
          <t>Hassan Abdi</t>
        </is>
      </c>
      <c r="D27" s="123" t="inlineStr">
        <is>
          <t>LAW301</t>
        </is>
      </c>
      <c r="E27" s="123" t="inlineStr">
        <is>
          <t>Contract Law</t>
        </is>
      </c>
      <c r="F27" s="123" t="inlineStr">
        <is>
          <t>2023-09-07</t>
        </is>
      </c>
      <c r="G27" s="123" t="inlineStr">
        <is>
          <t>Enrolled</t>
        </is>
      </c>
      <c r="H27" s="123" t="n">
        <v>73</v>
      </c>
      <c r="I27" s="125" t="n">
        <v>74</v>
      </c>
    </row>
    <row r="28" ht="15" customHeight="1" s="104">
      <c r="A28" s="122" t="inlineStr">
        <is>
          <t>ENR-0027</t>
        </is>
      </c>
      <c r="B28" s="122" t="inlineStr">
        <is>
          <t>TU-2020-0008</t>
        </is>
      </c>
      <c r="C28" s="122" t="inlineStr">
        <is>
          <t>Hassan Abdi</t>
        </is>
      </c>
      <c r="D28" s="122" t="inlineStr">
        <is>
          <t>SOC201</t>
        </is>
      </c>
      <c r="E28" s="122" t="inlineStr">
        <is>
          <t>Sociological Theory</t>
        </is>
      </c>
      <c r="F28" s="122" t="inlineStr">
        <is>
          <t>2023-09-07</t>
        </is>
      </c>
      <c r="G28" s="122" t="inlineStr">
        <is>
          <t>Enrolled</t>
        </is>
      </c>
      <c r="H28" s="122" t="n">
        <v>70</v>
      </c>
      <c r="I28" s="124" t="n">
        <v>72</v>
      </c>
    </row>
    <row r="29" ht="15" customHeight="1" s="104">
      <c r="A29" s="123" t="inlineStr">
        <is>
          <t>ENR-0028</t>
        </is>
      </c>
      <c r="B29" s="123" t="inlineStr">
        <is>
          <t>TU-2020-0008</t>
        </is>
      </c>
      <c r="C29" s="123" t="inlineStr">
        <is>
          <t>Hassan Abdi</t>
        </is>
      </c>
      <c r="D29" s="123" t="inlineStr">
        <is>
          <t>GEN101</t>
        </is>
      </c>
      <c r="E29" s="123" t="inlineStr">
        <is>
          <t>Communication Skills</t>
        </is>
      </c>
      <c r="F29" s="123" t="inlineStr">
        <is>
          <t>2023-09-07</t>
        </is>
      </c>
      <c r="G29" s="123" t="inlineStr">
        <is>
          <t>Enrolled</t>
        </is>
      </c>
      <c r="H29" s="123" t="n">
        <v>75</v>
      </c>
      <c r="I29" s="125" t="n">
        <v>76</v>
      </c>
    </row>
    <row r="30" ht="15" customHeight="1" s="104">
      <c r="A30" s="122" t="inlineStr">
        <is>
          <t>ENR-0029</t>
        </is>
      </c>
      <c r="B30" s="122" t="inlineStr">
        <is>
          <t>TU-2021-0009</t>
        </is>
      </c>
      <c r="C30" s="122" t="inlineStr">
        <is>
          <t>Ivy Njeri</t>
        </is>
      </c>
      <c r="D30" s="122" t="inlineStr">
        <is>
          <t>ACC301</t>
        </is>
      </c>
      <c r="E30" s="122" t="inlineStr">
        <is>
          <t>Intermediate Accounting</t>
        </is>
      </c>
      <c r="F30" s="122" t="inlineStr">
        <is>
          <t>2023-09-05</t>
        </is>
      </c>
      <c r="G30" s="122" t="inlineStr">
        <is>
          <t>Enrolled</t>
        </is>
      </c>
      <c r="H30" s="122" t="n">
        <v>66</v>
      </c>
      <c r="I30" s="124" t="n">
        <v>68</v>
      </c>
    </row>
    <row r="31" ht="15" customHeight="1" s="104">
      <c r="A31" s="123" t="inlineStr">
        <is>
          <t>ENR-0030</t>
        </is>
      </c>
      <c r="B31" s="123" t="inlineStr">
        <is>
          <t>TU-2021-0009</t>
        </is>
      </c>
      <c r="C31" s="123" t="inlineStr">
        <is>
          <t>Ivy Njeri</t>
        </is>
      </c>
      <c r="D31" s="123" t="inlineStr">
        <is>
          <t>ECO201</t>
        </is>
      </c>
      <c r="E31" s="123" t="inlineStr">
        <is>
          <t>Microeconomics</t>
        </is>
      </c>
      <c r="F31" s="123" t="inlineStr">
        <is>
          <t>2023-09-05</t>
        </is>
      </c>
      <c r="G31" s="123" t="inlineStr">
        <is>
          <t>Enrolled</t>
        </is>
      </c>
      <c r="H31" s="123" t="n">
        <v>63</v>
      </c>
      <c r="I31" s="125" t="n">
        <v>65</v>
      </c>
    </row>
    <row r="32" ht="15" customHeight="1" s="104">
      <c r="A32" s="122" t="inlineStr">
        <is>
          <t>ENR-0031</t>
        </is>
      </c>
      <c r="B32" s="122" t="inlineStr">
        <is>
          <t>TU-2021-0009</t>
        </is>
      </c>
      <c r="C32" s="122" t="inlineStr">
        <is>
          <t>Ivy Njeri</t>
        </is>
      </c>
      <c r="D32" s="122" t="inlineStr">
        <is>
          <t>GEN101</t>
        </is>
      </c>
      <c r="E32" s="122" t="inlineStr">
        <is>
          <t>Communication Skills</t>
        </is>
      </c>
      <c r="F32" s="122" t="inlineStr">
        <is>
          <t>2023-09-05</t>
        </is>
      </c>
      <c r="G32" s="122" t="inlineStr">
        <is>
          <t>Enrolled</t>
        </is>
      </c>
      <c r="H32" s="122" t="n">
        <v>70</v>
      </c>
      <c r="I32" s="124" t="n">
        <v>71</v>
      </c>
    </row>
    <row r="33" ht="15" customHeight="1" s="104">
      <c r="A33" s="123" t="inlineStr">
        <is>
          <t>ENR-0032</t>
        </is>
      </c>
      <c r="B33" s="123" t="inlineStr">
        <is>
          <t>TU-2023-0010</t>
        </is>
      </c>
      <c r="C33" s="123" t="inlineStr">
        <is>
          <t>James Kibaki</t>
        </is>
      </c>
      <c r="D33" s="123" t="inlineStr">
        <is>
          <t>CS101</t>
        </is>
      </c>
      <c r="E33" s="123" t="inlineStr">
        <is>
          <t>Introduction to Programming</t>
        </is>
      </c>
      <c r="F33" s="123" t="inlineStr">
        <is>
          <t>2023-09-04</t>
        </is>
      </c>
      <c r="G33" s="123" t="inlineStr">
        <is>
          <t>Enrolled</t>
        </is>
      </c>
      <c r="H33" s="123" t="n">
        <v>79</v>
      </c>
      <c r="I33" s="125" t="n">
        <v>81</v>
      </c>
    </row>
    <row r="34" ht="15" customHeight="1" s="104">
      <c r="A34" s="122" t="inlineStr">
        <is>
          <t>ENR-0033</t>
        </is>
      </c>
      <c r="B34" s="122" t="inlineStr">
        <is>
          <t>TU-2023-0010</t>
        </is>
      </c>
      <c r="C34" s="122" t="inlineStr">
        <is>
          <t>James Kibaki</t>
        </is>
      </c>
      <c r="D34" s="122" t="inlineStr">
        <is>
          <t>IT201</t>
        </is>
      </c>
      <c r="E34" s="122" t="inlineStr">
        <is>
          <t>Database Management Systems</t>
        </is>
      </c>
      <c r="F34" s="122" t="inlineStr">
        <is>
          <t>2023-09-04</t>
        </is>
      </c>
      <c r="G34" s="122" t="inlineStr">
        <is>
          <t>Enrolled</t>
        </is>
      </c>
      <c r="H34" s="122" t="n">
        <v>76</v>
      </c>
      <c r="I34" s="124" t="n">
        <v>78</v>
      </c>
    </row>
    <row r="35" ht="15" customHeight="1" s="104">
      <c r="A35" s="123" t="inlineStr">
        <is>
          <t>ENR-0034</t>
        </is>
      </c>
      <c r="B35" s="123" t="inlineStr">
        <is>
          <t>TU-2023-0010</t>
        </is>
      </c>
      <c r="C35" s="123" t="inlineStr">
        <is>
          <t>James Kibaki</t>
        </is>
      </c>
      <c r="D35" s="123" t="inlineStr">
        <is>
          <t>GEN101</t>
        </is>
      </c>
      <c r="E35" s="123" t="inlineStr">
        <is>
          <t>Communication Skills</t>
        </is>
      </c>
      <c r="F35" s="123" t="inlineStr">
        <is>
          <t>2023-09-04</t>
        </is>
      </c>
      <c r="G35" s="123" t="inlineStr">
        <is>
          <t>Enrolled</t>
        </is>
      </c>
      <c r="H35" s="123" t="n">
        <v>83</v>
      </c>
      <c r="I35" s="125" t="n">
        <v>84</v>
      </c>
    </row>
    <row r="36" ht="15" customHeight="1" s="104">
      <c r="A36" s="122" t="inlineStr">
        <is>
          <t>ENR-0035</t>
        </is>
      </c>
      <c r="B36" s="122" t="inlineStr">
        <is>
          <t>TU-2022-0011</t>
        </is>
      </c>
      <c r="C36" s="122" t="inlineStr">
        <is>
          <t>Kezia Moraa</t>
        </is>
      </c>
      <c r="D36" s="122" t="inlineStr">
        <is>
          <t>ENV201</t>
        </is>
      </c>
      <c r="E36" s="122" t="inlineStr">
        <is>
          <t>Environmental Ecology</t>
        </is>
      </c>
      <c r="F36" s="122" t="inlineStr">
        <is>
          <t>2023-09-06</t>
        </is>
      </c>
      <c r="G36" s="122" t="inlineStr">
        <is>
          <t>Enrolled</t>
        </is>
      </c>
      <c r="H36" s="122" t="n">
        <v>74</v>
      </c>
      <c r="I36" s="124" t="n">
        <v>75</v>
      </c>
    </row>
    <row r="37" ht="15" customHeight="1" s="104">
      <c r="A37" s="123" t="inlineStr">
        <is>
          <t>ENR-0036</t>
        </is>
      </c>
      <c r="B37" s="123" t="inlineStr">
        <is>
          <t>TU-2022-0011</t>
        </is>
      </c>
      <c r="C37" s="123" t="inlineStr">
        <is>
          <t>Kezia Moraa</t>
        </is>
      </c>
      <c r="D37" s="123" t="inlineStr">
        <is>
          <t>STAT201</t>
        </is>
      </c>
      <c r="E37" s="123" t="inlineStr">
        <is>
          <t>Probability &amp; Statistics</t>
        </is>
      </c>
      <c r="F37" s="123" t="inlineStr">
        <is>
          <t>2023-09-06</t>
        </is>
      </c>
      <c r="G37" s="123" t="inlineStr">
        <is>
          <t>Enrolled</t>
        </is>
      </c>
      <c r="H37" s="123" t="n">
        <v>70</v>
      </c>
      <c r="I37" s="125" t="n">
        <v>72</v>
      </c>
    </row>
    <row r="38" ht="15" customHeight="1" s="104">
      <c r="A38" s="122" t="inlineStr">
        <is>
          <t>ENR-0037</t>
        </is>
      </c>
      <c r="B38" s="122" t="inlineStr">
        <is>
          <t>TU-2022-0011</t>
        </is>
      </c>
      <c r="C38" s="122" t="inlineStr">
        <is>
          <t>Kezia Moraa</t>
        </is>
      </c>
      <c r="D38" s="122" t="inlineStr">
        <is>
          <t>GEN101</t>
        </is>
      </c>
      <c r="E38" s="122" t="inlineStr">
        <is>
          <t>Communication Skills</t>
        </is>
      </c>
      <c r="F38" s="122" t="inlineStr">
        <is>
          <t>2023-09-06</t>
        </is>
      </c>
      <c r="G38" s="122" t="inlineStr">
        <is>
          <t>Enrolled</t>
        </is>
      </c>
      <c r="H38" s="122" t="n">
        <v>77</v>
      </c>
      <c r="I38" s="124" t="n">
        <v>78</v>
      </c>
    </row>
    <row r="39" ht="15" customHeight="1" s="104">
      <c r="A39" s="123" t="inlineStr">
        <is>
          <t>ENR-0038</t>
        </is>
      </c>
      <c r="B39" s="123" t="inlineStr">
        <is>
          <t>TU-2019-0012</t>
        </is>
      </c>
      <c r="C39" s="123" t="inlineStr">
        <is>
          <t>Liam Okonkwo</t>
        </is>
      </c>
      <c r="D39" s="123" t="inlineStr">
        <is>
          <t>EE401</t>
        </is>
      </c>
      <c r="E39" s="123" t="inlineStr">
        <is>
          <t>Power Systems</t>
        </is>
      </c>
      <c r="F39" s="123" t="inlineStr">
        <is>
          <t>2023-09-02</t>
        </is>
      </c>
      <c r="G39" s="123" t="inlineStr">
        <is>
          <t>Completed</t>
        </is>
      </c>
      <c r="H39" s="123" t="n">
        <v>65</v>
      </c>
      <c r="I39" s="125" t="n">
        <v>67</v>
      </c>
    </row>
    <row r="40" ht="15" customHeight="1" s="104">
      <c r="A40" s="122" t="inlineStr">
        <is>
          <t>ENR-0039</t>
        </is>
      </c>
      <c r="B40" s="122" t="inlineStr">
        <is>
          <t>TU-2019-0012</t>
        </is>
      </c>
      <c r="C40" s="122" t="inlineStr">
        <is>
          <t>Liam Okonkwo</t>
        </is>
      </c>
      <c r="D40" s="122" t="inlineStr">
        <is>
          <t>MATH201</t>
        </is>
      </c>
      <c r="E40" s="122" t="inlineStr">
        <is>
          <t>Calculus II</t>
        </is>
      </c>
      <c r="F40" s="122" t="inlineStr">
        <is>
          <t>2023-09-02</t>
        </is>
      </c>
      <c r="G40" s="122" t="inlineStr">
        <is>
          <t>Completed</t>
        </is>
      </c>
      <c r="H40" s="122" t="n">
        <v>60</v>
      </c>
      <c r="I40" s="124" t="n">
        <v>62</v>
      </c>
    </row>
    <row r="41" ht="15" customHeight="1" s="104">
      <c r="A41" s="123" t="inlineStr">
        <is>
          <t>ENR-0040</t>
        </is>
      </c>
      <c r="B41" s="123" t="inlineStr">
        <is>
          <t>TU-2019-0012</t>
        </is>
      </c>
      <c r="C41" s="123" t="inlineStr">
        <is>
          <t>Liam Okonkwo</t>
        </is>
      </c>
      <c r="D41" s="123" t="inlineStr">
        <is>
          <t>GEN101</t>
        </is>
      </c>
      <c r="E41" s="123" t="inlineStr">
        <is>
          <t>Communication Skills</t>
        </is>
      </c>
      <c r="F41" s="123" t="inlineStr">
        <is>
          <t>2023-09-02</t>
        </is>
      </c>
      <c r="G41" s="123" t="inlineStr">
        <is>
          <t>Completed</t>
        </is>
      </c>
      <c r="H41" s="123" t="n">
        <v>68</v>
      </c>
      <c r="I41" s="125" t="n">
        <v>70</v>
      </c>
    </row>
    <row r="42" ht="15" customHeight="1" s="104">
      <c r="A42" s="122" t="inlineStr">
        <is>
          <t>ENR-0041</t>
        </is>
      </c>
      <c r="B42" s="122" t="inlineStr">
        <is>
          <t>TU-2021-0013</t>
        </is>
      </c>
      <c r="C42" s="122" t="inlineStr">
        <is>
          <t>Mary Adhiambo</t>
        </is>
      </c>
      <c r="D42" s="122" t="inlineStr">
        <is>
          <t>SOC201</t>
        </is>
      </c>
      <c r="E42" s="122" t="inlineStr">
        <is>
          <t>Sociological Theory</t>
        </is>
      </c>
      <c r="F42" s="122" t="inlineStr">
        <is>
          <t>2023-09-05</t>
        </is>
      </c>
      <c r="G42" s="122" t="inlineStr">
        <is>
          <t>Enrolled</t>
        </is>
      </c>
      <c r="H42" s="122" t="n">
        <v>82</v>
      </c>
      <c r="I42" s="124" t="n">
        <v>84</v>
      </c>
    </row>
    <row r="43" ht="15" customHeight="1" s="104">
      <c r="A43" s="123" t="inlineStr">
        <is>
          <t>ENR-0042</t>
        </is>
      </c>
      <c r="B43" s="123" t="inlineStr">
        <is>
          <t>TU-2021-0013</t>
        </is>
      </c>
      <c r="C43" s="123" t="inlineStr">
        <is>
          <t>Mary Adhiambo</t>
        </is>
      </c>
      <c r="D43" s="123" t="inlineStr">
        <is>
          <t>COM101</t>
        </is>
      </c>
      <c r="E43" s="123" t="inlineStr">
        <is>
          <t>Introduction to Mass Media</t>
        </is>
      </c>
      <c r="F43" s="123" t="inlineStr">
        <is>
          <t>2023-09-05</t>
        </is>
      </c>
      <c r="G43" s="123" t="inlineStr">
        <is>
          <t>Enrolled</t>
        </is>
      </c>
      <c r="H43" s="123" t="n">
        <v>85</v>
      </c>
      <c r="I43" s="125" t="n">
        <v>86</v>
      </c>
    </row>
    <row r="44" ht="15" customHeight="1" s="104">
      <c r="A44" s="122" t="inlineStr">
        <is>
          <t>ENR-0043</t>
        </is>
      </c>
      <c r="B44" s="122" t="inlineStr">
        <is>
          <t>TU-2021-0013</t>
        </is>
      </c>
      <c r="C44" s="122" t="inlineStr">
        <is>
          <t>Mary Adhiambo</t>
        </is>
      </c>
      <c r="D44" s="122" t="inlineStr">
        <is>
          <t>GEN101</t>
        </is>
      </c>
      <c r="E44" s="122" t="inlineStr">
        <is>
          <t>Communication Skills</t>
        </is>
      </c>
      <c r="F44" s="122" t="inlineStr">
        <is>
          <t>2023-09-05</t>
        </is>
      </c>
      <c r="G44" s="122" t="inlineStr">
        <is>
          <t>Enrolled</t>
        </is>
      </c>
      <c r="H44" s="122" t="n">
        <v>88</v>
      </c>
      <c r="I44" s="124" t="n">
        <v>89</v>
      </c>
    </row>
    <row r="45" ht="15" customHeight="1" s="104">
      <c r="A45" s="123" t="inlineStr">
        <is>
          <t>ENR-0044</t>
        </is>
      </c>
      <c r="B45" s="123" t="inlineStr">
        <is>
          <t>TU-2020-0014</t>
        </is>
      </c>
      <c r="C45" s="123" t="inlineStr">
        <is>
          <t>Noel Kiprotich</t>
        </is>
      </c>
      <c r="D45" s="123" t="inlineStr">
        <is>
          <t>PHAR301</t>
        </is>
      </c>
      <c r="E45" s="123" t="inlineStr">
        <is>
          <t>Pharmacology I</t>
        </is>
      </c>
      <c r="F45" s="123" t="inlineStr">
        <is>
          <t>2023-09-07</t>
        </is>
      </c>
      <c r="G45" s="123" t="inlineStr">
        <is>
          <t>Dropped</t>
        </is>
      </c>
      <c r="H45" s="123" t="n">
        <v>40</v>
      </c>
      <c r="I45" s="125" t="n">
        <v>42</v>
      </c>
    </row>
    <row r="46" ht="15" customHeight="1" s="104">
      <c r="A46" s="122" t="inlineStr">
        <is>
          <t>ENR-0045</t>
        </is>
      </c>
      <c r="B46" s="122" t="inlineStr">
        <is>
          <t>TU-2020-0014</t>
        </is>
      </c>
      <c r="C46" s="122" t="inlineStr">
        <is>
          <t>Noel Kiprotich</t>
        </is>
      </c>
      <c r="D46" s="122" t="inlineStr">
        <is>
          <t>BCH201</t>
        </is>
      </c>
      <c r="E46" s="122" t="inlineStr">
        <is>
          <t>Biochemistry I</t>
        </is>
      </c>
      <c r="F46" s="122" t="inlineStr">
        <is>
          <t>2023-09-07</t>
        </is>
      </c>
      <c r="G46" s="122" t="inlineStr">
        <is>
          <t>Enrolled</t>
        </is>
      </c>
      <c r="H46" s="122" t="n">
        <v>45</v>
      </c>
      <c r="I46" s="124" t="n">
        <v>47</v>
      </c>
    </row>
    <row r="47" ht="15" customHeight="1" s="104">
      <c r="A47" s="123" t="inlineStr">
        <is>
          <t>ENR-0046</t>
        </is>
      </c>
      <c r="B47" s="123" t="inlineStr">
        <is>
          <t>TU-2020-0014</t>
        </is>
      </c>
      <c r="C47" s="123" t="inlineStr">
        <is>
          <t>Noel Kiprotich</t>
        </is>
      </c>
      <c r="D47" s="123" t="inlineStr">
        <is>
          <t>GEN101</t>
        </is>
      </c>
      <c r="E47" s="123" t="inlineStr">
        <is>
          <t>Communication Skills</t>
        </is>
      </c>
      <c r="F47" s="123" t="inlineStr">
        <is>
          <t>2023-09-07</t>
        </is>
      </c>
      <c r="G47" s="123" t="inlineStr">
        <is>
          <t>Enrolled</t>
        </is>
      </c>
      <c r="H47" s="123" t="n">
        <v>50</v>
      </c>
      <c r="I47" s="125" t="n">
        <v>52</v>
      </c>
    </row>
    <row r="48" ht="15" customHeight="1" s="104">
      <c r="A48" s="122" t="inlineStr">
        <is>
          <t>ENR-0047</t>
        </is>
      </c>
      <c r="B48" s="122" t="inlineStr">
        <is>
          <t>TU-2023-0015</t>
        </is>
      </c>
      <c r="C48" s="122" t="inlineStr">
        <is>
          <t>Olivia Achieng</t>
        </is>
      </c>
      <c r="D48" s="122" t="inlineStr">
        <is>
          <t>COM101</t>
        </is>
      </c>
      <c r="E48" s="122" t="inlineStr">
        <is>
          <t>Introduction to Mass Media</t>
        </is>
      </c>
      <c r="F48" s="122" t="inlineStr">
        <is>
          <t>2023-09-04</t>
        </is>
      </c>
      <c r="G48" s="122" t="inlineStr">
        <is>
          <t>Enrolled</t>
        </is>
      </c>
      <c r="H48" s="122" t="n">
        <v>89</v>
      </c>
      <c r="I48" s="124" t="n">
        <v>91</v>
      </c>
    </row>
    <row r="49" ht="15" customHeight="1" s="104">
      <c r="A49" s="123" t="inlineStr">
        <is>
          <t>ENR-0048</t>
        </is>
      </c>
      <c r="B49" s="123" t="inlineStr">
        <is>
          <t>TU-2023-0015</t>
        </is>
      </c>
      <c r="C49" s="123" t="inlineStr">
        <is>
          <t>Olivia Achieng</t>
        </is>
      </c>
      <c r="D49" s="123" t="inlineStr">
        <is>
          <t>GEN101</t>
        </is>
      </c>
      <c r="E49" s="123" t="inlineStr">
        <is>
          <t>Communication Skills</t>
        </is>
      </c>
      <c r="F49" s="123" t="inlineStr">
        <is>
          <t>2023-09-04</t>
        </is>
      </c>
      <c r="G49" s="123" t="inlineStr">
        <is>
          <t>Enrolled</t>
        </is>
      </c>
      <c r="H49" s="123" t="n">
        <v>92</v>
      </c>
      <c r="I49" s="125" t="n">
        <v>93</v>
      </c>
    </row>
    <row r="50" ht="15" customHeight="1" s="104">
      <c r="A50" s="122" t="inlineStr">
        <is>
          <t>ENR-0049</t>
        </is>
      </c>
      <c r="B50" s="122" t="inlineStr">
        <is>
          <t>TU-2023-0015</t>
        </is>
      </c>
      <c r="C50" s="122" t="inlineStr">
        <is>
          <t>Olivia Achieng</t>
        </is>
      </c>
      <c r="D50" s="122" t="inlineStr">
        <is>
          <t>SOC201</t>
        </is>
      </c>
      <c r="E50" s="122" t="inlineStr">
        <is>
          <t>Sociological Theory</t>
        </is>
      </c>
      <c r="F50" s="122" t="inlineStr">
        <is>
          <t>2023-09-04</t>
        </is>
      </c>
      <c r="G50" s="122" t="inlineStr">
        <is>
          <t>Enrolled</t>
        </is>
      </c>
      <c r="H50" s="122" t="n">
        <v>86</v>
      </c>
      <c r="I50" s="124" t="n">
        <v>87</v>
      </c>
    </row>
    <row r="51" ht="15" customHeight="1" s="104">
      <c r="A51" s="123" t="inlineStr">
        <is>
          <t>ENR-0050</t>
        </is>
      </c>
      <c r="B51" s="123" t="inlineStr">
        <is>
          <t>TU-2022-0016</t>
        </is>
      </c>
      <c r="C51" s="123" t="inlineStr">
        <is>
          <t>Patrick Owino</t>
        </is>
      </c>
      <c r="D51" s="123" t="inlineStr">
        <is>
          <t>STAT201</t>
        </is>
      </c>
      <c r="E51" s="123" t="inlineStr">
        <is>
          <t>Probability &amp; Statistics</t>
        </is>
      </c>
      <c r="F51" s="123" t="inlineStr">
        <is>
          <t>2023-09-06</t>
        </is>
      </c>
      <c r="G51" s="123" t="inlineStr">
        <is>
          <t>Enrolled</t>
        </is>
      </c>
      <c r="H51" s="123" t="n">
        <v>69</v>
      </c>
      <c r="I51" s="125" t="n">
        <v>71</v>
      </c>
    </row>
    <row r="52" ht="15" customHeight="1" s="104">
      <c r="A52" s="122" t="inlineStr">
        <is>
          <t>ENR-0051</t>
        </is>
      </c>
      <c r="B52" s="122" t="inlineStr">
        <is>
          <t>TU-2022-0016</t>
        </is>
      </c>
      <c r="C52" s="122" t="inlineStr">
        <is>
          <t>Patrick Owino</t>
        </is>
      </c>
      <c r="D52" s="122" t="inlineStr">
        <is>
          <t>MATH201</t>
        </is>
      </c>
      <c r="E52" s="122" t="inlineStr">
        <is>
          <t>Calculus II</t>
        </is>
      </c>
      <c r="F52" s="122" t="inlineStr">
        <is>
          <t>2023-09-06</t>
        </is>
      </c>
      <c r="G52" s="122" t="inlineStr">
        <is>
          <t>Enrolled</t>
        </is>
      </c>
      <c r="H52" s="122" t="n">
        <v>66</v>
      </c>
      <c r="I52" s="124" t="n">
        <v>68</v>
      </c>
    </row>
    <row r="53" ht="15" customHeight="1" s="104">
      <c r="A53" s="123" t="inlineStr">
        <is>
          <t>ENR-0052</t>
        </is>
      </c>
      <c r="B53" s="123" t="inlineStr">
        <is>
          <t>TU-2022-0016</t>
        </is>
      </c>
      <c r="C53" s="123" t="inlineStr">
        <is>
          <t>Patrick Owino</t>
        </is>
      </c>
      <c r="D53" s="123" t="inlineStr">
        <is>
          <t>GEN101</t>
        </is>
      </c>
      <c r="E53" s="123" t="inlineStr">
        <is>
          <t>Communication Skills</t>
        </is>
      </c>
      <c r="F53" s="123" t="inlineStr">
        <is>
          <t>2023-09-06</t>
        </is>
      </c>
      <c r="G53" s="123" t="inlineStr">
        <is>
          <t>Enrolled</t>
        </is>
      </c>
      <c r="H53" s="123" t="n">
        <v>72</v>
      </c>
      <c r="I53" s="125" t="n">
        <v>73</v>
      </c>
    </row>
    <row r="54" ht="15" customHeight="1" s="104">
      <c r="A54" s="122" t="inlineStr">
        <is>
          <t>ENR-0053</t>
        </is>
      </c>
      <c r="B54" s="122" t="inlineStr">
        <is>
          <t>TU-2021-0017</t>
        </is>
      </c>
      <c r="C54" s="122" t="inlineStr">
        <is>
          <t>Queenie Mugo</t>
        </is>
      </c>
      <c r="D54" s="122" t="inlineStr">
        <is>
          <t>CS301</t>
        </is>
      </c>
      <c r="E54" s="122" t="inlineStr">
        <is>
          <t>Data Structures &amp; Algorithms</t>
        </is>
      </c>
      <c r="F54" s="122" t="inlineStr">
        <is>
          <t>2023-09-05</t>
        </is>
      </c>
      <c r="G54" s="122" t="inlineStr">
        <is>
          <t>Enrolled</t>
        </is>
      </c>
      <c r="H54" s="122" t="n">
        <v>95</v>
      </c>
      <c r="I54" s="124" t="n">
        <v>96</v>
      </c>
    </row>
    <row r="55" ht="15" customHeight="1" s="104">
      <c r="A55" s="123" t="inlineStr">
        <is>
          <t>ENR-0054</t>
        </is>
      </c>
      <c r="B55" s="123" t="inlineStr">
        <is>
          <t>TU-2021-0017</t>
        </is>
      </c>
      <c r="C55" s="123" t="inlineStr">
        <is>
          <t>Queenie Mugo</t>
        </is>
      </c>
      <c r="D55" s="123" t="inlineStr">
        <is>
          <t>IT201</t>
        </is>
      </c>
      <c r="E55" s="123" t="inlineStr">
        <is>
          <t>Database Management Systems</t>
        </is>
      </c>
      <c r="F55" s="123" t="inlineStr">
        <is>
          <t>2023-09-05</t>
        </is>
      </c>
      <c r="G55" s="123" t="inlineStr">
        <is>
          <t>Enrolled</t>
        </is>
      </c>
      <c r="H55" s="123" t="n">
        <v>92</v>
      </c>
      <c r="I55" s="125" t="n">
        <v>93</v>
      </c>
    </row>
    <row r="56" ht="15" customHeight="1" s="104">
      <c r="A56" s="122" t="inlineStr">
        <is>
          <t>ENR-0055</t>
        </is>
      </c>
      <c r="B56" s="122" t="inlineStr">
        <is>
          <t>TU-2021-0017</t>
        </is>
      </c>
      <c r="C56" s="122" t="inlineStr">
        <is>
          <t>Queenie Mugo</t>
        </is>
      </c>
      <c r="D56" s="122" t="inlineStr">
        <is>
          <t>CS201</t>
        </is>
      </c>
      <c r="E56" s="122" t="inlineStr">
        <is>
          <t>Object-Oriented Programming</t>
        </is>
      </c>
      <c r="F56" s="122" t="inlineStr">
        <is>
          <t>2023-09-05</t>
        </is>
      </c>
      <c r="G56" s="122" t="inlineStr">
        <is>
          <t>Enrolled</t>
        </is>
      </c>
      <c r="H56" s="122" t="n">
        <v>94</v>
      </c>
      <c r="I56" s="124" t="n">
        <v>95</v>
      </c>
    </row>
    <row r="57" ht="15" customHeight="1" s="104">
      <c r="A57" s="123" t="inlineStr">
        <is>
          <t>ENR-0056</t>
        </is>
      </c>
      <c r="B57" s="123" t="inlineStr">
        <is>
          <t>TU-2021-0017</t>
        </is>
      </c>
      <c r="C57" s="123" t="inlineStr">
        <is>
          <t>Queenie Mugo</t>
        </is>
      </c>
      <c r="D57" s="123" t="inlineStr">
        <is>
          <t>GEN101</t>
        </is>
      </c>
      <c r="E57" s="123" t="inlineStr">
        <is>
          <t>Communication Skills</t>
        </is>
      </c>
      <c r="F57" s="123" t="inlineStr">
        <is>
          <t>2023-09-05</t>
        </is>
      </c>
      <c r="G57" s="123" t="inlineStr">
        <is>
          <t>Enrolled</t>
        </is>
      </c>
      <c r="H57" s="123" t="n">
        <v>96</v>
      </c>
      <c r="I57" s="125" t="n">
        <v>97</v>
      </c>
    </row>
    <row r="58" ht="15" customHeight="1" s="104">
      <c r="A58" s="122" t="inlineStr">
        <is>
          <t>ENR-0057</t>
        </is>
      </c>
      <c r="B58" s="122" t="inlineStr">
        <is>
          <t>TU-2020-0018</t>
        </is>
      </c>
      <c r="C58" s="122" t="inlineStr">
        <is>
          <t>Robert Dlamini</t>
        </is>
      </c>
      <c r="D58" s="122" t="inlineStr">
        <is>
          <t>EDU201</t>
        </is>
      </c>
      <c r="E58" s="122" t="inlineStr">
        <is>
          <t>Curriculum Development</t>
        </is>
      </c>
      <c r="F58" s="122" t="inlineStr">
        <is>
          <t>2023-09-07</t>
        </is>
      </c>
      <c r="G58" s="122" t="inlineStr">
        <is>
          <t>Enrolled</t>
        </is>
      </c>
      <c r="H58" s="122" t="n">
        <v>78</v>
      </c>
      <c r="I58" s="124" t="n">
        <v>80</v>
      </c>
    </row>
    <row r="59" ht="15" customHeight="1" s="104">
      <c r="A59" s="123" t="inlineStr">
        <is>
          <t>ENR-0058</t>
        </is>
      </c>
      <c r="B59" s="123" t="inlineStr">
        <is>
          <t>TU-2020-0018</t>
        </is>
      </c>
      <c r="C59" s="123" t="inlineStr">
        <is>
          <t>Robert Dlamini</t>
        </is>
      </c>
      <c r="D59" s="123" t="inlineStr">
        <is>
          <t>SOC201</t>
        </is>
      </c>
      <c r="E59" s="123" t="inlineStr">
        <is>
          <t>Sociological Theory</t>
        </is>
      </c>
      <c r="F59" s="123" t="inlineStr">
        <is>
          <t>2023-09-07</t>
        </is>
      </c>
      <c r="G59" s="123" t="inlineStr">
        <is>
          <t>Enrolled</t>
        </is>
      </c>
      <c r="H59" s="123" t="n">
        <v>75</v>
      </c>
      <c r="I59" s="125" t="n">
        <v>77</v>
      </c>
    </row>
    <row r="60" ht="15" customHeight="1" s="104">
      <c r="A60" s="122" t="inlineStr">
        <is>
          <t>ENR-0059</t>
        </is>
      </c>
      <c r="B60" s="122" t="inlineStr">
        <is>
          <t>TU-2020-0018</t>
        </is>
      </c>
      <c r="C60" s="122" t="inlineStr">
        <is>
          <t>Robert Dlamini</t>
        </is>
      </c>
      <c r="D60" s="122" t="inlineStr">
        <is>
          <t>GEN101</t>
        </is>
      </c>
      <c r="E60" s="122" t="inlineStr">
        <is>
          <t>Communication Skills</t>
        </is>
      </c>
      <c r="F60" s="122" t="inlineStr">
        <is>
          <t>2023-09-07</t>
        </is>
      </c>
      <c r="G60" s="122" t="inlineStr">
        <is>
          <t>Enrolled</t>
        </is>
      </c>
      <c r="H60" s="122" t="n">
        <v>82</v>
      </c>
      <c r="I60" s="124" t="n">
        <v>83</v>
      </c>
    </row>
    <row r="61" ht="15" customHeight="1" s="104">
      <c r="A61" s="123" t="inlineStr">
        <is>
          <t>ENR-0060</t>
        </is>
      </c>
      <c r="B61" s="123" t="inlineStr">
        <is>
          <t>TU-2023-0019</t>
        </is>
      </c>
      <c r="C61" s="123" t="inlineStr">
        <is>
          <t>Sandra Chebet</t>
        </is>
      </c>
      <c r="D61" s="123" t="inlineStr">
        <is>
          <t>NUR301</t>
        </is>
      </c>
      <c r="E61" s="123" t="inlineStr">
        <is>
          <t>Clinical Nursing Practice</t>
        </is>
      </c>
      <c r="F61" s="123" t="inlineStr">
        <is>
          <t>2023-09-04</t>
        </is>
      </c>
      <c r="G61" s="123" t="inlineStr">
        <is>
          <t>Enrolled</t>
        </is>
      </c>
      <c r="H61" s="123" t="n">
        <v>77</v>
      </c>
      <c r="I61" s="125" t="n">
        <v>79</v>
      </c>
    </row>
    <row r="62" ht="15" customHeight="1" s="104">
      <c r="A62" s="122" t="inlineStr">
        <is>
          <t>ENR-0061</t>
        </is>
      </c>
      <c r="B62" s="122" t="inlineStr">
        <is>
          <t>TU-2023-0019</t>
        </is>
      </c>
      <c r="C62" s="122" t="inlineStr">
        <is>
          <t>Sandra Chebet</t>
        </is>
      </c>
      <c r="D62" s="122" t="inlineStr">
        <is>
          <t>BCH201</t>
        </is>
      </c>
      <c r="E62" s="122" t="inlineStr">
        <is>
          <t>Biochemistry I</t>
        </is>
      </c>
      <c r="F62" s="122" t="inlineStr">
        <is>
          <t>2023-09-04</t>
        </is>
      </c>
      <c r="G62" s="122" t="inlineStr">
        <is>
          <t>Enrolled</t>
        </is>
      </c>
      <c r="H62" s="122" t="n">
        <v>74</v>
      </c>
      <c r="I62" s="124" t="n">
        <v>76</v>
      </c>
    </row>
    <row r="63" ht="15" customHeight="1" s="104">
      <c r="A63" s="123" t="inlineStr">
        <is>
          <t>ENR-0062</t>
        </is>
      </c>
      <c r="B63" s="123" t="inlineStr">
        <is>
          <t>TU-2023-0019</t>
        </is>
      </c>
      <c r="C63" s="123" t="inlineStr">
        <is>
          <t>Sandra Chebet</t>
        </is>
      </c>
      <c r="D63" s="123" t="inlineStr">
        <is>
          <t>GEN101</t>
        </is>
      </c>
      <c r="E63" s="123" t="inlineStr">
        <is>
          <t>Communication Skills</t>
        </is>
      </c>
      <c r="F63" s="123" t="inlineStr">
        <is>
          <t>2023-09-04</t>
        </is>
      </c>
      <c r="G63" s="123" t="inlineStr">
        <is>
          <t>Enrolled</t>
        </is>
      </c>
      <c r="H63" s="123" t="n">
        <v>80</v>
      </c>
      <c r="I63" s="125" t="n">
        <v>81</v>
      </c>
    </row>
    <row r="64" ht="15" customHeight="1" s="104">
      <c r="A64" s="122" t="inlineStr">
        <is>
          <t>ENR-0063</t>
        </is>
      </c>
      <c r="B64" s="122" t="inlineStr">
        <is>
          <t>TU-2022-0020</t>
        </is>
      </c>
      <c r="C64" s="122" t="inlineStr">
        <is>
          <t>Tunde Adeyemi</t>
        </is>
      </c>
      <c r="D64" s="122" t="inlineStr">
        <is>
          <t>LAW301</t>
        </is>
      </c>
      <c r="E64" s="122" t="inlineStr">
        <is>
          <t>Contract Law</t>
        </is>
      </c>
      <c r="F64" s="122" t="inlineStr">
        <is>
          <t>2023-09-06</t>
        </is>
      </c>
      <c r="G64" s="122" t="inlineStr">
        <is>
          <t>Enrolled</t>
        </is>
      </c>
      <c r="H64" s="122" t="n">
        <v>84</v>
      </c>
      <c r="I64" s="124" t="n">
        <v>86</v>
      </c>
    </row>
    <row r="65" ht="15" customHeight="1" s="104">
      <c r="A65" s="123" t="inlineStr">
        <is>
          <t>ENR-0064</t>
        </is>
      </c>
      <c r="B65" s="123" t="inlineStr">
        <is>
          <t>TU-2022-0020</t>
        </is>
      </c>
      <c r="C65" s="123" t="inlineStr">
        <is>
          <t>Tunde Adeyemi</t>
        </is>
      </c>
      <c r="D65" s="123" t="inlineStr">
        <is>
          <t>SOC201</t>
        </is>
      </c>
      <c r="E65" s="123" t="inlineStr">
        <is>
          <t>Sociological Theory</t>
        </is>
      </c>
      <c r="F65" s="123" t="inlineStr">
        <is>
          <t>2023-09-06</t>
        </is>
      </c>
      <c r="G65" s="123" t="inlineStr">
        <is>
          <t>Enrolled</t>
        </is>
      </c>
      <c r="H65" s="123" t="n">
        <v>81</v>
      </c>
      <c r="I65" s="125" t="n">
        <v>83</v>
      </c>
    </row>
    <row r="66" ht="15" customHeight="1" s="104">
      <c r="A66" s="122" t="inlineStr">
        <is>
          <t>ENR-0065</t>
        </is>
      </c>
      <c r="B66" s="122" t="inlineStr">
        <is>
          <t>TU-2022-0020</t>
        </is>
      </c>
      <c r="C66" s="122" t="inlineStr">
        <is>
          <t>Tunde Adeyemi</t>
        </is>
      </c>
      <c r="D66" s="122" t="inlineStr">
        <is>
          <t>GEN101</t>
        </is>
      </c>
      <c r="E66" s="122" t="inlineStr">
        <is>
          <t>Communication Skills</t>
        </is>
      </c>
      <c r="F66" s="122" t="inlineStr">
        <is>
          <t>2023-09-06</t>
        </is>
      </c>
      <c r="G66" s="122" t="inlineStr">
        <is>
          <t>Enrolled</t>
        </is>
      </c>
      <c r="H66" s="122" t="n">
        <v>87</v>
      </c>
      <c r="I66" s="124" t="n">
        <v>88</v>
      </c>
    </row>
    <row r="67" ht="15" customHeight="1" s="104">
      <c r="A67" s="123" t="inlineStr">
        <is>
          <t>ENR-0066</t>
        </is>
      </c>
      <c r="B67" s="123" t="inlineStr">
        <is>
          <t>TU-2021-0021</t>
        </is>
      </c>
      <c r="C67" s="123" t="inlineStr">
        <is>
          <t>Uchenna Eze</t>
        </is>
      </c>
      <c r="D67" s="123" t="inlineStr">
        <is>
          <t>SOC201</t>
        </is>
      </c>
      <c r="E67" s="123" t="inlineStr">
        <is>
          <t>Sociological Theory</t>
        </is>
      </c>
      <c r="F67" s="123" t="inlineStr">
        <is>
          <t>2023-09-05</t>
        </is>
      </c>
      <c r="G67" s="123" t="inlineStr">
        <is>
          <t>Enrolled</t>
        </is>
      </c>
      <c r="H67" s="123" t="n">
        <v>64</v>
      </c>
      <c r="I67" s="125" t="n">
        <v>66</v>
      </c>
    </row>
    <row r="68" ht="15" customHeight="1" s="104">
      <c r="A68" s="122" t="inlineStr">
        <is>
          <t>ENR-0067</t>
        </is>
      </c>
      <c r="B68" s="122" t="inlineStr">
        <is>
          <t>TU-2021-0021</t>
        </is>
      </c>
      <c r="C68" s="122" t="inlineStr">
        <is>
          <t>Uchenna Eze</t>
        </is>
      </c>
      <c r="D68" s="122" t="inlineStr">
        <is>
          <t>COM101</t>
        </is>
      </c>
      <c r="E68" s="122" t="inlineStr">
        <is>
          <t>Introduction to Mass Media</t>
        </is>
      </c>
      <c r="F68" s="122" t="inlineStr">
        <is>
          <t>2023-09-05</t>
        </is>
      </c>
      <c r="G68" s="122" t="inlineStr">
        <is>
          <t>Enrolled</t>
        </is>
      </c>
      <c r="H68" s="122" t="n">
        <v>61</v>
      </c>
      <c r="I68" s="124" t="n">
        <v>63</v>
      </c>
    </row>
    <row r="69" ht="15" customHeight="1" s="104">
      <c r="A69" s="123" t="inlineStr">
        <is>
          <t>ENR-0068</t>
        </is>
      </c>
      <c r="B69" s="123" t="inlineStr">
        <is>
          <t>TU-2021-0021</t>
        </is>
      </c>
      <c r="C69" s="123" t="inlineStr">
        <is>
          <t>Uchenna Eze</t>
        </is>
      </c>
      <c r="D69" s="123" t="inlineStr">
        <is>
          <t>GEN101</t>
        </is>
      </c>
      <c r="E69" s="123" t="inlineStr">
        <is>
          <t>Communication Skills</t>
        </is>
      </c>
      <c r="F69" s="123" t="inlineStr">
        <is>
          <t>2023-09-05</t>
        </is>
      </c>
      <c r="G69" s="123" t="inlineStr">
        <is>
          <t>Enrolled</t>
        </is>
      </c>
      <c r="H69" s="123" t="n">
        <v>67</v>
      </c>
      <c r="I69" s="125" t="n">
        <v>69</v>
      </c>
    </row>
    <row r="70" ht="15" customHeight="1" s="104">
      <c r="A70" s="122" t="inlineStr">
        <is>
          <t>ENR-0069</t>
        </is>
      </c>
      <c r="B70" s="122" t="inlineStr">
        <is>
          <t>TU-2019-0022</t>
        </is>
      </c>
      <c r="C70" s="122" t="inlineStr">
        <is>
          <t>Vivian Kamau</t>
        </is>
      </c>
      <c r="D70" s="122" t="inlineStr">
        <is>
          <t>BCH201</t>
        </is>
      </c>
      <c r="E70" s="122" t="inlineStr">
        <is>
          <t>Biochemistry I</t>
        </is>
      </c>
      <c r="F70" s="122" t="inlineStr">
        <is>
          <t>2023-09-02</t>
        </is>
      </c>
      <c r="G70" s="122" t="inlineStr">
        <is>
          <t>Completed</t>
        </is>
      </c>
      <c r="H70" s="122" t="n">
        <v>90</v>
      </c>
      <c r="I70" s="124" t="n">
        <v>92</v>
      </c>
    </row>
    <row r="71" ht="15" customHeight="1" s="104">
      <c r="A71" s="123" t="inlineStr">
        <is>
          <t>ENR-0070</t>
        </is>
      </c>
      <c r="B71" s="123" t="inlineStr">
        <is>
          <t>TU-2019-0022</t>
        </is>
      </c>
      <c r="C71" s="123" t="inlineStr">
        <is>
          <t>Vivian Kamau</t>
        </is>
      </c>
      <c r="D71" s="123" t="inlineStr">
        <is>
          <t>ENV201</t>
        </is>
      </c>
      <c r="E71" s="123" t="inlineStr">
        <is>
          <t>Environmental Ecology</t>
        </is>
      </c>
      <c r="F71" s="123" t="inlineStr">
        <is>
          <t>2023-09-02</t>
        </is>
      </c>
      <c r="G71" s="123" t="inlineStr">
        <is>
          <t>Completed</t>
        </is>
      </c>
      <c r="H71" s="123" t="n">
        <v>87</v>
      </c>
      <c r="I71" s="125" t="n">
        <v>89</v>
      </c>
    </row>
    <row r="72" ht="15" customHeight="1" s="104">
      <c r="A72" s="122" t="inlineStr">
        <is>
          <t>ENR-0071</t>
        </is>
      </c>
      <c r="B72" s="122" t="inlineStr">
        <is>
          <t>TU-2019-0022</t>
        </is>
      </c>
      <c r="C72" s="122" t="inlineStr">
        <is>
          <t>Vivian Kamau</t>
        </is>
      </c>
      <c r="D72" s="122" t="inlineStr">
        <is>
          <t>GEN101</t>
        </is>
      </c>
      <c r="E72" s="122" t="inlineStr">
        <is>
          <t>Communication Skills</t>
        </is>
      </c>
      <c r="F72" s="122" t="inlineStr">
        <is>
          <t>2023-09-02</t>
        </is>
      </c>
      <c r="G72" s="122" t="inlineStr">
        <is>
          <t>Completed</t>
        </is>
      </c>
      <c r="H72" s="122" t="n">
        <v>93</v>
      </c>
      <c r="I72" s="124" t="n">
        <v>94</v>
      </c>
    </row>
    <row r="73" ht="15" customHeight="1" s="104">
      <c r="A73" s="123" t="inlineStr">
        <is>
          <t>ENR-0072</t>
        </is>
      </c>
      <c r="B73" s="123" t="inlineStr">
        <is>
          <t>TU-2023-0023</t>
        </is>
      </c>
      <c r="C73" s="123" t="inlineStr">
        <is>
          <t>William Barasa</t>
        </is>
      </c>
      <c r="D73" s="123" t="inlineStr">
        <is>
          <t>FIN201</t>
        </is>
      </c>
      <c r="E73" s="123" t="inlineStr">
        <is>
          <t>Principles of Finance</t>
        </is>
      </c>
      <c r="F73" s="123" t="inlineStr">
        <is>
          <t>2023-09-04</t>
        </is>
      </c>
      <c r="G73" s="123" t="inlineStr">
        <is>
          <t>Enrolled</t>
        </is>
      </c>
      <c r="H73" s="123" t="n">
        <v>53</v>
      </c>
      <c r="I73" s="125" t="n">
        <v>55</v>
      </c>
    </row>
    <row r="74" ht="15" customHeight="1" s="104">
      <c r="A74" s="122" t="inlineStr">
        <is>
          <t>ENR-0073</t>
        </is>
      </c>
      <c r="B74" s="122" t="inlineStr">
        <is>
          <t>TU-2023-0023</t>
        </is>
      </c>
      <c r="C74" s="122" t="inlineStr">
        <is>
          <t>William Barasa</t>
        </is>
      </c>
      <c r="D74" s="122" t="inlineStr">
        <is>
          <t>ECO201</t>
        </is>
      </c>
      <c r="E74" s="122" t="inlineStr">
        <is>
          <t>Microeconomics</t>
        </is>
      </c>
      <c r="F74" s="122" t="inlineStr">
        <is>
          <t>2023-09-04</t>
        </is>
      </c>
      <c r="G74" s="122" t="inlineStr">
        <is>
          <t>Enrolled</t>
        </is>
      </c>
      <c r="H74" s="122" t="n">
        <v>50</v>
      </c>
      <c r="I74" s="124" t="n">
        <v>52</v>
      </c>
    </row>
    <row r="75" ht="15" customHeight="1" s="104">
      <c r="A75" s="123" t="inlineStr">
        <is>
          <t>ENR-0074</t>
        </is>
      </c>
      <c r="B75" s="123" t="inlineStr">
        <is>
          <t>TU-2023-0023</t>
        </is>
      </c>
      <c r="C75" s="123" t="inlineStr">
        <is>
          <t>William Barasa</t>
        </is>
      </c>
      <c r="D75" s="123" t="inlineStr">
        <is>
          <t>GEN101</t>
        </is>
      </c>
      <c r="E75" s="123" t="inlineStr">
        <is>
          <t>Communication Skills</t>
        </is>
      </c>
      <c r="F75" s="123" t="inlineStr">
        <is>
          <t>2023-09-04</t>
        </is>
      </c>
      <c r="G75" s="123" t="inlineStr">
        <is>
          <t>Enrolled</t>
        </is>
      </c>
      <c r="H75" s="123" t="n">
        <v>58</v>
      </c>
      <c r="I75" s="125" t="n">
        <v>60</v>
      </c>
    </row>
    <row r="76" ht="15" customHeight="1" s="104">
      <c r="A76" s="122" t="inlineStr">
        <is>
          <t>ENR-0075</t>
        </is>
      </c>
      <c r="B76" s="122" t="inlineStr">
        <is>
          <t>TU-2022-0024</t>
        </is>
      </c>
      <c r="C76" s="122" t="inlineStr">
        <is>
          <t>Xena Mutua</t>
        </is>
      </c>
      <c r="D76" s="122" t="inlineStr">
        <is>
          <t>IT201</t>
        </is>
      </c>
      <c r="E76" s="122" t="inlineStr">
        <is>
          <t>Database Management Systems</t>
        </is>
      </c>
      <c r="F76" s="122" t="inlineStr">
        <is>
          <t>2023-09-06</t>
        </is>
      </c>
      <c r="G76" s="122" t="inlineStr">
        <is>
          <t>Enrolled</t>
        </is>
      </c>
      <c r="H76" s="122" t="n">
        <v>80</v>
      </c>
      <c r="I76" s="124" t="n">
        <v>82</v>
      </c>
    </row>
    <row r="77" ht="15" customHeight="1" s="104">
      <c r="A77" s="123" t="inlineStr">
        <is>
          <t>ENR-0076</t>
        </is>
      </c>
      <c r="B77" s="123" t="inlineStr">
        <is>
          <t>TU-2022-0024</t>
        </is>
      </c>
      <c r="C77" s="123" t="inlineStr">
        <is>
          <t>Xena Mutua</t>
        </is>
      </c>
      <c r="D77" s="123" t="inlineStr">
        <is>
          <t>CS201</t>
        </is>
      </c>
      <c r="E77" s="123" t="inlineStr">
        <is>
          <t>Object-Oriented Programming</t>
        </is>
      </c>
      <c r="F77" s="123" t="inlineStr">
        <is>
          <t>2023-09-06</t>
        </is>
      </c>
      <c r="G77" s="123" t="inlineStr">
        <is>
          <t>Enrolled</t>
        </is>
      </c>
      <c r="H77" s="123" t="n">
        <v>77</v>
      </c>
      <c r="I77" s="125" t="n">
        <v>79</v>
      </c>
    </row>
    <row r="78" ht="15" customHeight="1" s="104">
      <c r="A78" s="122" t="inlineStr">
        <is>
          <t>ENR-0077</t>
        </is>
      </c>
      <c r="B78" s="122" t="inlineStr">
        <is>
          <t>TU-2022-0024</t>
        </is>
      </c>
      <c r="C78" s="122" t="inlineStr">
        <is>
          <t>Xena Mutua</t>
        </is>
      </c>
      <c r="D78" s="122" t="inlineStr">
        <is>
          <t>GEN101</t>
        </is>
      </c>
      <c r="E78" s="122" t="inlineStr">
        <is>
          <t>Communication Skills</t>
        </is>
      </c>
      <c r="F78" s="122" t="inlineStr">
        <is>
          <t>2023-09-06</t>
        </is>
      </c>
      <c r="G78" s="122" t="inlineStr">
        <is>
          <t>Enrolled</t>
        </is>
      </c>
      <c r="H78" s="122" t="n">
        <v>83</v>
      </c>
      <c r="I78" s="124" t="n">
        <v>85</v>
      </c>
    </row>
    <row r="79" ht="15" customHeight="1" s="104">
      <c r="A79" s="123" t="inlineStr">
        <is>
          <t>ENR-0078</t>
        </is>
      </c>
      <c r="B79" s="123" t="inlineStr">
        <is>
          <t>TU-2023-0025</t>
        </is>
      </c>
      <c r="C79" s="123" t="inlineStr">
        <is>
          <t>Stephen Gaita Gaikia</t>
        </is>
      </c>
      <c r="D79" s="123" t="inlineStr">
        <is>
          <t>CS101</t>
        </is>
      </c>
      <c r="E79" s="123" t="inlineStr">
        <is>
          <t>Introduction to Programming</t>
        </is>
      </c>
      <c r="F79" s="123" t="inlineStr">
        <is>
          <t>2023-09-04</t>
        </is>
      </c>
      <c r="G79" s="123" t="inlineStr">
        <is>
          <t>Enrolled</t>
        </is>
      </c>
      <c r="H79" s="123" t="n">
        <v>84</v>
      </c>
      <c r="I79" s="125" t="n">
        <v>86</v>
      </c>
    </row>
    <row r="80" ht="15" customHeight="1" s="104">
      <c r="A80" s="122" t="inlineStr">
        <is>
          <t>ENR-0079</t>
        </is>
      </c>
      <c r="B80" s="122" t="inlineStr">
        <is>
          <t>TU-2023-0025</t>
        </is>
      </c>
      <c r="C80" s="122" t="inlineStr">
        <is>
          <t>Stephen Gaita Gaikia</t>
        </is>
      </c>
      <c r="D80" s="122" t="inlineStr">
        <is>
          <t>IT201</t>
        </is>
      </c>
      <c r="E80" s="122" t="inlineStr">
        <is>
          <t>Database Management Systems</t>
        </is>
      </c>
      <c r="F80" s="122" t="inlineStr">
        <is>
          <t>2023-09-04</t>
        </is>
      </c>
      <c r="G80" s="122" t="inlineStr">
        <is>
          <t>Enrolled</t>
        </is>
      </c>
      <c r="H80" s="122" t="n">
        <v>78</v>
      </c>
      <c r="I80" s="124" t="n">
        <v>80</v>
      </c>
    </row>
    <row r="81" ht="15" customHeight="1" s="104">
      <c r="A81" s="123" t="inlineStr">
        <is>
          <t>ENR-0080</t>
        </is>
      </c>
      <c r="B81" s="123" t="inlineStr">
        <is>
          <t>TU-2023-0025</t>
        </is>
      </c>
      <c r="C81" s="123" t="inlineStr">
        <is>
          <t>Stephen Gaita Gaikia</t>
        </is>
      </c>
      <c r="D81" s="123" t="inlineStr">
        <is>
          <t>MATH201</t>
        </is>
      </c>
      <c r="E81" s="123" t="inlineStr">
        <is>
          <t>Calculus II</t>
        </is>
      </c>
      <c r="F81" s="123" t="inlineStr">
        <is>
          <t>2023-09-04</t>
        </is>
      </c>
      <c r="G81" s="123" t="inlineStr">
        <is>
          <t>Enrolled</t>
        </is>
      </c>
      <c r="H81" s="123" t="n">
        <v>81</v>
      </c>
      <c r="I81" s="125" t="n">
        <v>83</v>
      </c>
    </row>
    <row r="82" ht="15" customHeight="1" s="104">
      <c r="A82" s="122" t="inlineStr">
        <is>
          <t>ENR-0081</t>
        </is>
      </c>
      <c r="B82" s="122" t="inlineStr">
        <is>
          <t>TU-2023-0025</t>
        </is>
      </c>
      <c r="C82" s="122" t="inlineStr">
        <is>
          <t>Stephen Gaita Gaikia</t>
        </is>
      </c>
      <c r="D82" s="122" t="inlineStr">
        <is>
          <t>GEN101</t>
        </is>
      </c>
      <c r="E82" s="122" t="inlineStr">
        <is>
          <t>Communication Skills</t>
        </is>
      </c>
      <c r="F82" s="122" t="inlineStr">
        <is>
          <t>2023-09-04</t>
        </is>
      </c>
      <c r="G82" s="122" t="inlineStr">
        <is>
          <t>Enrolled</t>
        </is>
      </c>
      <c r="H82" s="122" t="n">
        <v>87</v>
      </c>
      <c r="I82" s="124" t="n">
        <v>88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03" min="1" max="1"/>
    <col width="16" customWidth="1" style="103" min="2" max="2"/>
    <col width="22" customWidth="1" style="103" min="3" max="3"/>
    <col width="10" customWidth="1" style="103" min="4" max="9"/>
    <col width="12" customWidth="1" style="103" min="10" max="10"/>
  </cols>
  <sheetData>
    <row r="1" ht="30" customHeight="1" s="104">
      <c r="A1" s="121" t="inlineStr">
        <is>
          <t>grade_id</t>
        </is>
      </c>
      <c r="B1" s="121" t="inlineStr">
        <is>
          <t>student_id</t>
        </is>
      </c>
      <c r="C1" s="121" t="inlineStr">
        <is>
          <t>student_name</t>
        </is>
      </c>
      <c r="D1" s="121" t="inlineStr">
        <is>
          <t>course_code</t>
        </is>
      </c>
      <c r="E1" s="121" t="inlineStr">
        <is>
          <t>assignment_1</t>
        </is>
      </c>
      <c r="F1" s="121" t="inlineStr">
        <is>
          <t>assignment_2</t>
        </is>
      </c>
      <c r="G1" s="121" t="inlineStr">
        <is>
          <t>midterm</t>
        </is>
      </c>
      <c r="H1" s="121" t="inlineStr">
        <is>
          <t>final</t>
        </is>
      </c>
      <c r="I1" s="121" t="inlineStr">
        <is>
          <t>total</t>
        </is>
      </c>
      <c r="J1" s="121" t="inlineStr">
        <is>
          <t>letter_grade</t>
        </is>
      </c>
    </row>
    <row r="2" ht="15" customHeight="1" s="104">
      <c r="A2" s="122" t="inlineStr">
        <is>
          <t>GRD-0001</t>
        </is>
      </c>
      <c r="B2" s="122" t="inlineStr">
        <is>
          <t>TU-2021-0001</t>
        </is>
      </c>
      <c r="C2" s="122" t="inlineStr">
        <is>
          <t>Amelia Odhiambo</t>
        </is>
      </c>
      <c r="D2" s="122" t="inlineStr">
        <is>
          <t>CS301</t>
        </is>
      </c>
      <c r="E2" s="122" t="n">
        <v>85</v>
      </c>
      <c r="F2" s="122" t="n">
        <v>88</v>
      </c>
      <c r="G2" s="122" t="n">
        <v>82</v>
      </c>
      <c r="H2" s="122" t="n"/>
      <c r="I2" s="122" t="n"/>
      <c r="J2" s="122" t="inlineStr">
        <is>
          <t>B</t>
        </is>
      </c>
    </row>
    <row r="3" ht="15" customHeight="1" s="104">
      <c r="A3" s="123" t="inlineStr">
        <is>
          <t>GRD-0002</t>
        </is>
      </c>
      <c r="B3" s="123" t="inlineStr">
        <is>
          <t>TU-2021-0001</t>
        </is>
      </c>
      <c r="C3" s="123" t="inlineStr">
        <is>
          <t>Amelia Odhiambo</t>
        </is>
      </c>
      <c r="D3" s="123" t="inlineStr">
        <is>
          <t>CS201</t>
        </is>
      </c>
      <c r="E3" s="123" t="n">
        <v>90</v>
      </c>
      <c r="F3" s="123" t="n">
        <v>87</v>
      </c>
      <c r="G3" s="123" t="n">
        <v>88</v>
      </c>
      <c r="H3" s="123" t="n"/>
      <c r="I3" s="123" t="n"/>
      <c r="J3" s="123" t="inlineStr">
        <is>
          <t>B</t>
        </is>
      </c>
    </row>
    <row r="4" ht="15" customHeight="1" s="104">
      <c r="A4" s="122" t="inlineStr">
        <is>
          <t>GRD-0003</t>
        </is>
      </c>
      <c r="B4" s="122" t="inlineStr">
        <is>
          <t>TU-2021-0001</t>
        </is>
      </c>
      <c r="C4" s="122" t="inlineStr">
        <is>
          <t>Amelia Odhiambo</t>
        </is>
      </c>
      <c r="D4" s="122" t="inlineStr">
        <is>
          <t>MATH201</t>
        </is>
      </c>
      <c r="E4" s="122" t="n">
        <v>78</v>
      </c>
      <c r="F4" s="122" t="n">
        <v>80</v>
      </c>
      <c r="G4" s="122" t="n">
        <v>75</v>
      </c>
      <c r="H4" s="122" t="n"/>
      <c r="I4" s="122" t="n"/>
      <c r="J4" s="122" t="inlineStr">
        <is>
          <t>B</t>
        </is>
      </c>
    </row>
    <row r="5" ht="15" customHeight="1" s="104">
      <c r="A5" s="123" t="inlineStr">
        <is>
          <t>GRD-0004</t>
        </is>
      </c>
      <c r="B5" s="123" t="inlineStr">
        <is>
          <t>TU-2021-0001</t>
        </is>
      </c>
      <c r="C5" s="123" t="inlineStr">
        <is>
          <t>Amelia Odhiambo</t>
        </is>
      </c>
      <c r="D5" s="123" t="inlineStr">
        <is>
          <t>GEN101</t>
        </is>
      </c>
      <c r="E5" s="123" t="n">
        <v>92</v>
      </c>
      <c r="F5" s="123" t="n">
        <v>91</v>
      </c>
      <c r="G5" s="123" t="n">
        <v>90</v>
      </c>
      <c r="H5" s="123" t="n"/>
      <c r="I5" s="123" t="n"/>
      <c r="J5" s="123" t="inlineStr">
        <is>
          <t>A</t>
        </is>
      </c>
    </row>
    <row r="6" ht="15" customHeight="1" s="104">
      <c r="A6" s="122" t="inlineStr">
        <is>
          <t>GRD-0005</t>
        </is>
      </c>
      <c r="B6" s="122" t="inlineStr">
        <is>
          <t>TU-2019-0004</t>
        </is>
      </c>
      <c r="C6" s="122" t="inlineStr">
        <is>
          <t>David Mensah</t>
        </is>
      </c>
      <c r="D6" s="122" t="inlineStr">
        <is>
          <t>NUR301</t>
        </is>
      </c>
      <c r="E6" s="122" t="n">
        <v>94</v>
      </c>
      <c r="F6" s="122" t="n">
        <v>93</v>
      </c>
      <c r="G6" s="122" t="n">
        <v>91</v>
      </c>
      <c r="H6" s="122" t="n">
        <v>95</v>
      </c>
      <c r="I6" s="122" t="n">
        <v>93</v>
      </c>
      <c r="J6" s="122" t="inlineStr">
        <is>
          <t>A</t>
        </is>
      </c>
    </row>
    <row r="7" ht="15" customHeight="1" s="104">
      <c r="A7" s="123" t="inlineStr">
        <is>
          <t>GRD-0006</t>
        </is>
      </c>
      <c r="B7" s="123" t="inlineStr">
        <is>
          <t>TU-2019-0004</t>
        </is>
      </c>
      <c r="C7" s="123" t="inlineStr">
        <is>
          <t>David Mensah</t>
        </is>
      </c>
      <c r="D7" s="123" t="inlineStr">
        <is>
          <t>BCH201</t>
        </is>
      </c>
      <c r="E7" s="123" t="n">
        <v>91</v>
      </c>
      <c r="F7" s="123" t="n">
        <v>90</v>
      </c>
      <c r="G7" s="123" t="n">
        <v>88</v>
      </c>
      <c r="H7" s="123" t="n">
        <v>91</v>
      </c>
      <c r="I7" s="123" t="n">
        <v>90</v>
      </c>
      <c r="J7" s="123" t="inlineStr">
        <is>
          <t>A</t>
        </is>
      </c>
    </row>
    <row r="8" ht="15" customHeight="1" s="104">
      <c r="A8" s="122" t="inlineStr">
        <is>
          <t>GRD-0007</t>
        </is>
      </c>
      <c r="B8" s="122" t="inlineStr">
        <is>
          <t>TU-2023-0005</t>
        </is>
      </c>
      <c r="C8" s="122" t="inlineStr">
        <is>
          <t>Esther Wanjiku</t>
        </is>
      </c>
      <c r="D8" s="122" t="inlineStr">
        <is>
          <t>MATH201</t>
        </is>
      </c>
      <c r="E8" s="122" t="n">
        <v>52</v>
      </c>
      <c r="F8" s="122" t="n">
        <v>55</v>
      </c>
      <c r="G8" s="122" t="n">
        <v>48</v>
      </c>
      <c r="H8" s="122" t="n"/>
      <c r="I8" s="122" t="n"/>
      <c r="J8" s="122" t="inlineStr">
        <is>
          <t>D</t>
        </is>
      </c>
    </row>
    <row r="9" ht="15" customHeight="1" s="104">
      <c r="A9" s="123" t="inlineStr">
        <is>
          <t>GRD-0008</t>
        </is>
      </c>
      <c r="B9" s="123" t="inlineStr">
        <is>
          <t>TU-2021-0017</t>
        </is>
      </c>
      <c r="C9" s="123" t="inlineStr">
        <is>
          <t>Queenie Mugo</t>
        </is>
      </c>
      <c r="D9" s="123" t="inlineStr">
        <is>
          <t>CS301</t>
        </is>
      </c>
      <c r="E9" s="123" t="n">
        <v>97</v>
      </c>
      <c r="F9" s="123" t="n">
        <v>96</v>
      </c>
      <c r="G9" s="123" t="n">
        <v>95</v>
      </c>
      <c r="H9" s="123" t="n"/>
      <c r="I9" s="123" t="n"/>
      <c r="J9" s="123" t="inlineStr">
        <is>
          <t>A</t>
        </is>
      </c>
    </row>
    <row r="10" ht="15" customHeight="1" s="104">
      <c r="A10" s="122" t="inlineStr">
        <is>
          <t>GRD-0009</t>
        </is>
      </c>
      <c r="B10" s="122" t="inlineStr">
        <is>
          <t>TU-2020-0014</t>
        </is>
      </c>
      <c r="C10" s="122" t="inlineStr">
        <is>
          <t>Noel Kiprotich</t>
        </is>
      </c>
      <c r="D10" s="122" t="inlineStr">
        <is>
          <t>BCH201</t>
        </is>
      </c>
      <c r="E10" s="122" t="n">
        <v>48</v>
      </c>
      <c r="F10" s="122" t="n">
        <v>46</v>
      </c>
      <c r="G10" s="122" t="n">
        <v>45</v>
      </c>
      <c r="H10" s="122" t="n"/>
      <c r="I10" s="122" t="n"/>
      <c r="J10" s="122" t="inlineStr">
        <is>
          <t>F</t>
        </is>
      </c>
    </row>
    <row r="11" ht="15" customHeight="1" s="104">
      <c r="A11" s="123" t="inlineStr">
        <is>
          <t>GRD-0010</t>
        </is>
      </c>
      <c r="B11" s="123" t="inlineStr">
        <is>
          <t>TU-2022-0020</t>
        </is>
      </c>
      <c r="C11" s="123" t="inlineStr">
        <is>
          <t>Tunde Adeyemi</t>
        </is>
      </c>
      <c r="D11" s="123" t="inlineStr">
        <is>
          <t>LAW301</t>
        </is>
      </c>
      <c r="E11" s="123" t="n">
        <v>86</v>
      </c>
      <c r="F11" s="123" t="n">
        <v>85</v>
      </c>
      <c r="G11" s="123" t="n">
        <v>84</v>
      </c>
      <c r="H11" s="123" t="n"/>
      <c r="I11" s="123" t="n"/>
      <c r="J11" s="123" t="inlineStr">
        <is>
          <t>B</t>
        </is>
      </c>
    </row>
    <row r="12" ht="15" customHeight="1" s="104">
      <c r="A12" s="122" t="inlineStr">
        <is>
          <t>GRD-0011</t>
        </is>
      </c>
      <c r="B12" s="122" t="inlineStr">
        <is>
          <t>TU-2023-0015</t>
        </is>
      </c>
      <c r="C12" s="122" t="inlineStr">
        <is>
          <t>Olivia Achieng</t>
        </is>
      </c>
      <c r="D12" s="122" t="inlineStr">
        <is>
          <t>COM101</t>
        </is>
      </c>
      <c r="E12" s="122" t="n">
        <v>91</v>
      </c>
      <c r="F12" s="122" t="n">
        <v>90</v>
      </c>
      <c r="G12" s="122" t="n">
        <v>89</v>
      </c>
      <c r="H12" s="122" t="n"/>
      <c r="I12" s="122" t="n"/>
      <c r="J12" s="122" t="inlineStr">
        <is>
          <t>A</t>
        </is>
      </c>
    </row>
    <row r="13" ht="15" customHeight="1" s="104">
      <c r="A13" s="123" t="inlineStr">
        <is>
          <t>GRD-0012</t>
        </is>
      </c>
      <c r="B13" s="123" t="inlineStr">
        <is>
          <t>TU-2019-0022</t>
        </is>
      </c>
      <c r="C13" s="123" t="inlineStr">
        <is>
          <t>Vivian Kamau</t>
        </is>
      </c>
      <c r="D13" s="123" t="inlineStr">
        <is>
          <t>BCH201</t>
        </is>
      </c>
      <c r="E13" s="123" t="n">
        <v>93</v>
      </c>
      <c r="F13" s="123" t="n">
        <v>92</v>
      </c>
      <c r="G13" s="123" t="n">
        <v>90</v>
      </c>
      <c r="H13" s="123" t="n">
        <v>94</v>
      </c>
      <c r="I13" s="123" t="n">
        <v>93</v>
      </c>
      <c r="J13" s="123" t="inlineStr">
        <is>
          <t>A</t>
        </is>
      </c>
    </row>
    <row r="14" ht="15" customHeight="1" s="104">
      <c r="A14" s="122" t="inlineStr">
        <is>
          <t>GRD-0013</t>
        </is>
      </c>
      <c r="B14" s="122" t="inlineStr">
        <is>
          <t>TU-2023-0025</t>
        </is>
      </c>
      <c r="C14" s="122" t="inlineStr">
        <is>
          <t>Stephen Gaita Gaikia</t>
        </is>
      </c>
      <c r="D14" s="122" t="inlineStr">
        <is>
          <t>CS101</t>
        </is>
      </c>
      <c r="E14" s="122" t="n">
        <v>88</v>
      </c>
      <c r="F14" s="122" t="n">
        <v>85</v>
      </c>
      <c r="G14" s="122" t="n">
        <v>84</v>
      </c>
      <c r="H14" s="122" t="n"/>
      <c r="I14" s="122" t="n"/>
      <c r="J14" s="122" t="inlineStr">
        <is>
          <t>B</t>
        </is>
      </c>
    </row>
    <row r="15" ht="15" customHeight="1" s="104">
      <c r="A15" s="123" t="inlineStr">
        <is>
          <t>GRD-0014</t>
        </is>
      </c>
      <c r="B15" s="123" t="inlineStr">
        <is>
          <t>TU-2023-0025</t>
        </is>
      </c>
      <c r="C15" s="123" t="inlineStr">
        <is>
          <t>Stephen Gaita Gaikia</t>
        </is>
      </c>
      <c r="D15" s="123" t="inlineStr">
        <is>
          <t>IT201</t>
        </is>
      </c>
      <c r="E15" s="123" t="n">
        <v>80</v>
      </c>
      <c r="F15" s="123" t="n">
        <v>79</v>
      </c>
      <c r="G15" s="123" t="n">
        <v>78</v>
      </c>
      <c r="H15" s="123" t="n"/>
      <c r="I15" s="123" t="n"/>
      <c r="J15" s="123" t="inlineStr">
        <is>
          <t>B</t>
        </is>
      </c>
    </row>
    <row r="16" ht="15" customHeight="1" s="104">
      <c r="A16" s="122" t="inlineStr">
        <is>
          <t>GRD-0015</t>
        </is>
      </c>
      <c r="B16" s="122" t="inlineStr">
        <is>
          <t>TU-2023-0025</t>
        </is>
      </c>
      <c r="C16" s="122" t="inlineStr">
        <is>
          <t>Stephen Gaita Gaikia</t>
        </is>
      </c>
      <c r="D16" s="122" t="inlineStr">
        <is>
          <t>MATH201</t>
        </is>
      </c>
      <c r="E16" s="122" t="n">
        <v>83</v>
      </c>
      <c r="F16" s="122" t="n">
        <v>82</v>
      </c>
      <c r="G16" s="122" t="n">
        <v>81</v>
      </c>
      <c r="H16" s="122" t="n"/>
      <c r="I16" s="122" t="n"/>
      <c r="J16" s="122" t="inlineStr">
        <is>
          <t>B</t>
        </is>
      </c>
    </row>
    <row r="17" ht="15" customHeight="1" s="104">
      <c r="A17" s="123" t="inlineStr">
        <is>
          <t>GRD-0016</t>
        </is>
      </c>
      <c r="B17" s="123" t="inlineStr">
        <is>
          <t>TU-2023-0025</t>
        </is>
      </c>
      <c r="C17" s="123" t="inlineStr">
        <is>
          <t>Stephen Gaita Gaikia</t>
        </is>
      </c>
      <c r="D17" s="123" t="inlineStr">
        <is>
          <t>GEN101</t>
        </is>
      </c>
      <c r="E17" s="123" t="n">
        <v>89</v>
      </c>
      <c r="F17" s="123" t="n">
        <v>88</v>
      </c>
      <c r="G17" s="123" t="n">
        <v>87</v>
      </c>
      <c r="H17" s="123" t="n"/>
      <c r="I17" s="123" t="n"/>
      <c r="J17" s="123" t="inlineStr">
        <is>
          <t>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03" min="1" max="1"/>
    <col width="16" customWidth="1" style="103" min="2" max="2"/>
    <col width="22" customWidth="1" style="103" min="3" max="3"/>
    <col width="10" customWidth="1" style="103" min="4" max="4"/>
    <col width="28" customWidth="1" style="103" min="5" max="5"/>
    <col width="10" customWidth="1" style="103" min="6" max="8"/>
    <col width="8" customWidth="1" style="103" min="9" max="9"/>
    <col width="10" customWidth="1" style="103" min="10" max="11"/>
  </cols>
  <sheetData>
    <row r="1" ht="30" customHeight="1" s="104">
      <c r="A1" s="121" t="inlineStr">
        <is>
          <t>attendance_id</t>
        </is>
      </c>
      <c r="B1" s="121" t="inlineStr">
        <is>
          <t>student_id</t>
        </is>
      </c>
      <c r="C1" s="121" t="inlineStr">
        <is>
          <t>student_name</t>
        </is>
      </c>
      <c r="D1" s="121" t="inlineStr">
        <is>
          <t>course_code</t>
        </is>
      </c>
      <c r="E1" s="121" t="inlineStr">
        <is>
          <t>course_title</t>
        </is>
      </c>
      <c r="F1" s="121" t="inlineStr">
        <is>
          <t>total_sessions</t>
        </is>
      </c>
      <c r="G1" s="121" t="inlineStr">
        <is>
          <t>present</t>
        </is>
      </c>
      <c r="H1" s="121" t="inlineStr">
        <is>
          <t>absent</t>
        </is>
      </c>
      <c r="I1" s="121" t="inlineStr">
        <is>
          <t>late</t>
        </is>
      </c>
      <c r="J1" s="121" t="inlineStr">
        <is>
          <t>attendance_pct</t>
        </is>
      </c>
      <c r="K1" s="121" t="inlineStr">
        <is>
          <t>risk_level</t>
        </is>
      </c>
    </row>
    <row r="2" ht="15" customHeight="1" s="104">
      <c r="A2" s="122" t="inlineStr">
        <is>
          <t>ATT-0001</t>
        </is>
      </c>
      <c r="B2" s="122" t="inlineStr">
        <is>
          <t>TU-2021-0001</t>
        </is>
      </c>
      <c r="C2" s="122" t="inlineStr">
        <is>
          <t>Amelia Odhiambo</t>
        </is>
      </c>
      <c r="D2" s="122" t="inlineStr">
        <is>
          <t>CS301</t>
        </is>
      </c>
      <c r="E2" s="122" t="inlineStr">
        <is>
          <t>Data Structures &amp; Algorithms</t>
        </is>
      </c>
      <c r="F2" s="122" t="n">
        <v>28</v>
      </c>
      <c r="G2" s="122" t="n">
        <v>26</v>
      </c>
      <c r="H2" s="122" t="n">
        <v>2</v>
      </c>
      <c r="I2" s="122" t="n">
        <v>1</v>
      </c>
      <c r="J2" s="124">
        <f>ROUND(G2/F2*100,0)</f>
        <v/>
      </c>
      <c r="K2" s="122" t="inlineStr">
        <is>
          <t>Good</t>
        </is>
      </c>
    </row>
    <row r="3" ht="15" customHeight="1" s="104">
      <c r="A3" s="123" t="inlineStr">
        <is>
          <t>ATT-0002</t>
        </is>
      </c>
      <c r="B3" s="123" t="inlineStr">
        <is>
          <t>TU-2021-0001</t>
        </is>
      </c>
      <c r="C3" s="123" t="inlineStr">
        <is>
          <t>Amelia Odhiambo</t>
        </is>
      </c>
      <c r="D3" s="123" t="inlineStr">
        <is>
          <t>CS201</t>
        </is>
      </c>
      <c r="E3" s="123" t="inlineStr">
        <is>
          <t>Object-Oriented Programming</t>
        </is>
      </c>
      <c r="F3" s="123" t="n">
        <v>26</v>
      </c>
      <c r="G3" s="123" t="n">
        <v>25</v>
      </c>
      <c r="H3" s="123" t="n">
        <v>1</v>
      </c>
      <c r="I3" s="123" t="n">
        <v>2</v>
      </c>
      <c r="J3" s="125">
        <f>ROUND(G3/F3*100,0)</f>
        <v/>
      </c>
      <c r="K3" s="123" t="inlineStr">
        <is>
          <t>Good</t>
        </is>
      </c>
    </row>
    <row r="4" ht="15" customHeight="1" s="104">
      <c r="A4" s="122" t="inlineStr">
        <is>
          <t>ATT-0003</t>
        </is>
      </c>
      <c r="B4" s="122" t="inlineStr">
        <is>
          <t>TU-2023-0005</t>
        </is>
      </c>
      <c r="C4" s="122" t="inlineStr">
        <is>
          <t>Esther Wanjiku</t>
        </is>
      </c>
      <c r="D4" s="122" t="inlineStr">
        <is>
          <t>MATH201</t>
        </is>
      </c>
      <c r="E4" s="122" t="inlineStr">
        <is>
          <t>Calculus II</t>
        </is>
      </c>
      <c r="F4" s="122" t="n">
        <v>30</v>
      </c>
      <c r="G4" s="122" t="n">
        <v>17</v>
      </c>
      <c r="H4" s="122" t="n">
        <v>13</v>
      </c>
      <c r="I4" s="122" t="n">
        <v>3</v>
      </c>
      <c r="J4" s="124">
        <f>ROUND(G4/F4*100,0)</f>
        <v/>
      </c>
      <c r="K4" s="122" t="inlineStr">
        <is>
          <t>At Risk</t>
        </is>
      </c>
    </row>
    <row r="5" ht="15" customHeight="1" s="104">
      <c r="A5" s="123" t="inlineStr">
        <is>
          <t>ATT-0004</t>
        </is>
      </c>
      <c r="B5" s="123" t="inlineStr">
        <is>
          <t>TU-2020-0014</t>
        </is>
      </c>
      <c r="C5" s="123" t="inlineStr">
        <is>
          <t>Noel Kiprotich</t>
        </is>
      </c>
      <c r="D5" s="123" t="inlineStr">
        <is>
          <t>BCH201</t>
        </is>
      </c>
      <c r="E5" s="123" t="inlineStr">
        <is>
          <t>Biochemistry I</t>
        </is>
      </c>
      <c r="F5" s="123" t="n">
        <v>26</v>
      </c>
      <c r="G5" s="123" t="n">
        <v>14</v>
      </c>
      <c r="H5" s="123" t="n">
        <v>12</v>
      </c>
      <c r="I5" s="123" t="n">
        <v>2</v>
      </c>
      <c r="J5" s="125">
        <f>ROUND(G5/F5*100,0)</f>
        <v/>
      </c>
      <c r="K5" s="123" t="inlineStr">
        <is>
          <t>At Risk</t>
        </is>
      </c>
    </row>
    <row r="6" ht="15" customHeight="1" s="104">
      <c r="A6" s="122" t="inlineStr">
        <is>
          <t>ATT-0005</t>
        </is>
      </c>
      <c r="B6" s="122" t="inlineStr">
        <is>
          <t>TU-2021-0017</t>
        </is>
      </c>
      <c r="C6" s="122" t="inlineStr">
        <is>
          <t>Queenie Mugo</t>
        </is>
      </c>
      <c r="D6" s="122" t="inlineStr">
        <is>
          <t>CS301</t>
        </is>
      </c>
      <c r="E6" s="122" t="inlineStr">
        <is>
          <t>Data Structures &amp; Algorithms</t>
        </is>
      </c>
      <c r="F6" s="122" t="n">
        <v>28</v>
      </c>
      <c r="G6" s="122" t="n">
        <v>28</v>
      </c>
      <c r="H6" s="122" t="n">
        <v>0</v>
      </c>
      <c r="I6" s="122" t="n">
        <v>0</v>
      </c>
      <c r="J6" s="124">
        <f>ROUND(G6/F6*100,0)</f>
        <v/>
      </c>
      <c r="K6" s="122" t="inlineStr">
        <is>
          <t>Good</t>
        </is>
      </c>
    </row>
    <row r="7" ht="15" customHeight="1" s="104">
      <c r="A7" s="123" t="inlineStr">
        <is>
          <t>ATT-0006</t>
        </is>
      </c>
      <c r="B7" s="123" t="inlineStr">
        <is>
          <t>TU-2022-0002</t>
        </is>
      </c>
      <c r="C7" s="123" t="inlineStr">
        <is>
          <t>Brian Mwangi</t>
        </is>
      </c>
      <c r="D7" s="123" t="inlineStr">
        <is>
          <t>ECO201</t>
        </is>
      </c>
      <c r="E7" s="123" t="inlineStr">
        <is>
          <t>Microeconomics</t>
        </is>
      </c>
      <c r="F7" s="123" t="n">
        <v>26</v>
      </c>
      <c r="G7" s="123" t="n">
        <v>21</v>
      </c>
      <c r="H7" s="123" t="n">
        <v>5</v>
      </c>
      <c r="I7" s="123" t="n">
        <v>2</v>
      </c>
      <c r="J7" s="125">
        <f>ROUND(G7/F7*100,0)</f>
        <v/>
      </c>
      <c r="K7" s="123" t="inlineStr">
        <is>
          <t>Good</t>
        </is>
      </c>
    </row>
    <row r="8" ht="15" customHeight="1" s="104">
      <c r="A8" s="122" t="inlineStr">
        <is>
          <t>ATT-0007</t>
        </is>
      </c>
      <c r="B8" s="122" t="inlineStr">
        <is>
          <t>TU-2023-0023</t>
        </is>
      </c>
      <c r="C8" s="122" t="inlineStr">
        <is>
          <t>William Barasa</t>
        </is>
      </c>
      <c r="D8" s="122" t="inlineStr">
        <is>
          <t>FIN201</t>
        </is>
      </c>
      <c r="E8" s="122" t="inlineStr">
        <is>
          <t>Principles of Finance</t>
        </is>
      </c>
      <c r="F8" s="122" t="n">
        <v>26</v>
      </c>
      <c r="G8" s="122" t="n">
        <v>16</v>
      </c>
      <c r="H8" s="122" t="n">
        <v>10</v>
      </c>
      <c r="I8" s="122" t="n">
        <v>3</v>
      </c>
      <c r="J8" s="124">
        <f>ROUND(G8/F8*100,0)</f>
        <v/>
      </c>
      <c r="K8" s="122" t="inlineStr">
        <is>
          <t>Warning</t>
        </is>
      </c>
    </row>
    <row r="9" ht="15" customHeight="1" s="104">
      <c r="A9" s="123" t="inlineStr">
        <is>
          <t>ATT-0008</t>
        </is>
      </c>
      <c r="B9" s="123" t="inlineStr">
        <is>
          <t>TU-2023-0015</t>
        </is>
      </c>
      <c r="C9" s="123" t="inlineStr">
        <is>
          <t>Olivia Achieng</t>
        </is>
      </c>
      <c r="D9" s="123" t="inlineStr">
        <is>
          <t>COM101</t>
        </is>
      </c>
      <c r="E9" s="123" t="inlineStr">
        <is>
          <t>Introduction to Mass Media</t>
        </is>
      </c>
      <c r="F9" s="123" t="n">
        <v>24</v>
      </c>
      <c r="G9" s="123" t="n">
        <v>24</v>
      </c>
      <c r="H9" s="123" t="n">
        <v>0</v>
      </c>
      <c r="I9" s="123" t="n">
        <v>1</v>
      </c>
      <c r="J9" s="125">
        <f>ROUND(G9/F9*100,0)</f>
        <v/>
      </c>
      <c r="K9" s="123" t="inlineStr">
        <is>
          <t>Good</t>
        </is>
      </c>
    </row>
    <row r="10" ht="15" customHeight="1" s="104">
      <c r="A10" s="122" t="inlineStr">
        <is>
          <t>ATT-0009</t>
        </is>
      </c>
      <c r="B10" s="122" t="inlineStr">
        <is>
          <t>TU-2020-0008</t>
        </is>
      </c>
      <c r="C10" s="122" t="inlineStr">
        <is>
          <t>Hassan Abdi</t>
        </is>
      </c>
      <c r="D10" s="122" t="inlineStr">
        <is>
          <t>LAW301</t>
        </is>
      </c>
      <c r="E10" s="122" t="inlineStr">
        <is>
          <t>Contract Law</t>
        </is>
      </c>
      <c r="F10" s="122" t="n">
        <v>26</v>
      </c>
      <c r="G10" s="122" t="n">
        <v>22</v>
      </c>
      <c r="H10" s="122" t="n">
        <v>4</v>
      </c>
      <c r="I10" s="122" t="n">
        <v>1</v>
      </c>
      <c r="J10" s="124">
        <f>ROUND(G10/F10*100,0)</f>
        <v/>
      </c>
      <c r="K10" s="122" t="inlineStr">
        <is>
          <t>Good</t>
        </is>
      </c>
    </row>
    <row r="11" ht="15" customHeight="1" s="104">
      <c r="A11" s="123" t="inlineStr">
        <is>
          <t>ATT-0010</t>
        </is>
      </c>
      <c r="B11" s="123" t="inlineStr">
        <is>
          <t>TU-2021-0009</t>
        </is>
      </c>
      <c r="C11" s="123" t="inlineStr">
        <is>
          <t>Ivy Njeri</t>
        </is>
      </c>
      <c r="D11" s="123" t="inlineStr">
        <is>
          <t>ACC301</t>
        </is>
      </c>
      <c r="E11" s="123" t="inlineStr">
        <is>
          <t>Intermediate Accounting</t>
        </is>
      </c>
      <c r="F11" s="123" t="n">
        <v>26</v>
      </c>
      <c r="G11" s="123" t="n">
        <v>16</v>
      </c>
      <c r="H11" s="123" t="n">
        <v>10</v>
      </c>
      <c r="I11" s="123" t="n">
        <v>2</v>
      </c>
      <c r="J11" s="125">
        <f>ROUND(G11/F11*100,0)</f>
        <v/>
      </c>
      <c r="K11" s="123" t="inlineStr">
        <is>
          <t>Warning</t>
        </is>
      </c>
    </row>
    <row r="12" ht="15" customHeight="1" s="104">
      <c r="A12" s="122" t="inlineStr">
        <is>
          <t>ATT-0011</t>
        </is>
      </c>
      <c r="B12" s="122" t="inlineStr">
        <is>
          <t>TU-2021-0021</t>
        </is>
      </c>
      <c r="C12" s="122" t="inlineStr">
        <is>
          <t>Uchenna Eze</t>
        </is>
      </c>
      <c r="D12" s="122" t="inlineStr">
        <is>
          <t>SOC201</t>
        </is>
      </c>
      <c r="E12" s="122" t="inlineStr">
        <is>
          <t>Sociological Theory</t>
        </is>
      </c>
      <c r="F12" s="122" t="n">
        <v>24</v>
      </c>
      <c r="G12" s="122" t="n">
        <v>15</v>
      </c>
      <c r="H12" s="122" t="n">
        <v>9</v>
      </c>
      <c r="I12" s="122" t="n">
        <v>2</v>
      </c>
      <c r="J12" s="124">
        <f>ROUND(G12/F12*100,0)</f>
        <v/>
      </c>
      <c r="K12" s="122" t="inlineStr">
        <is>
          <t>Warning</t>
        </is>
      </c>
    </row>
    <row r="13" ht="15" customHeight="1" s="104">
      <c r="A13" s="123" t="inlineStr">
        <is>
          <t>ATT-0012</t>
        </is>
      </c>
      <c r="B13" s="123" t="inlineStr">
        <is>
          <t>TU-2022-0024</t>
        </is>
      </c>
      <c r="C13" s="123" t="inlineStr">
        <is>
          <t>Xena Mutua</t>
        </is>
      </c>
      <c r="D13" s="123" t="inlineStr">
        <is>
          <t>IT201</t>
        </is>
      </c>
      <c r="E13" s="123" t="inlineStr">
        <is>
          <t>Database Management Systems</t>
        </is>
      </c>
      <c r="F13" s="123" t="n">
        <v>24</v>
      </c>
      <c r="G13" s="123" t="n">
        <v>22</v>
      </c>
      <c r="H13" s="123" t="n">
        <v>2</v>
      </c>
      <c r="I13" s="123" t="n">
        <v>1</v>
      </c>
      <c r="J13" s="125">
        <f>ROUND(G13/F13*100,0)</f>
        <v/>
      </c>
      <c r="K13" s="123" t="inlineStr">
        <is>
          <t>Good</t>
        </is>
      </c>
    </row>
    <row r="14" ht="15" customHeight="1" s="104">
      <c r="A14" s="122" t="inlineStr">
        <is>
          <t>ATT-0013</t>
        </is>
      </c>
      <c r="B14" s="122" t="inlineStr">
        <is>
          <t>TU-2023-0025</t>
        </is>
      </c>
      <c r="C14" s="122" t="inlineStr">
        <is>
          <t>Stephen Gaita Gaikia</t>
        </is>
      </c>
      <c r="D14" s="122" t="inlineStr">
        <is>
          <t>CS101</t>
        </is>
      </c>
      <c r="E14" s="122" t="inlineStr">
        <is>
          <t>Introduction to Programming</t>
        </is>
      </c>
      <c r="F14" s="122" t="n">
        <v>26</v>
      </c>
      <c r="G14" s="122" t="n">
        <v>25</v>
      </c>
      <c r="H14" s="122" t="n">
        <v>1</v>
      </c>
      <c r="I14" s="122" t="n">
        <v>1</v>
      </c>
      <c r="J14" s="124">
        <f>ROUND(G14/F14*100,0)</f>
        <v/>
      </c>
      <c r="K14" s="122" t="inlineStr">
        <is>
          <t>Good</t>
        </is>
      </c>
    </row>
    <row r="15" ht="15" customHeight="1" s="104">
      <c r="A15" s="123" t="inlineStr">
        <is>
          <t>ATT-0014</t>
        </is>
      </c>
      <c r="B15" s="123" t="inlineStr">
        <is>
          <t>TU-2023-0025</t>
        </is>
      </c>
      <c r="C15" s="123" t="inlineStr">
        <is>
          <t>Stephen Gaita Gaikia</t>
        </is>
      </c>
      <c r="D15" s="123" t="inlineStr">
        <is>
          <t>IT201</t>
        </is>
      </c>
      <c r="E15" s="123" t="inlineStr">
        <is>
          <t>Database Management Systems</t>
        </is>
      </c>
      <c r="F15" s="123" t="n">
        <v>24</v>
      </c>
      <c r="G15" s="123" t="n">
        <v>22</v>
      </c>
      <c r="H15" s="123" t="n">
        <v>2</v>
      </c>
      <c r="I15" s="123" t="n">
        <v>0</v>
      </c>
      <c r="J15" s="125">
        <f>ROUND(G15/F15*100,0)</f>
        <v/>
      </c>
      <c r="K15" s="123" t="inlineStr">
        <is>
          <t>Good</t>
        </is>
      </c>
    </row>
    <row r="16" ht="15" customHeight="1" s="104">
      <c r="A16" s="122" t="inlineStr">
        <is>
          <t>ATT-0015</t>
        </is>
      </c>
      <c r="B16" s="122" t="inlineStr">
        <is>
          <t>TU-2023-0025</t>
        </is>
      </c>
      <c r="C16" s="122" t="inlineStr">
        <is>
          <t>Stephen Gaita Gaikia</t>
        </is>
      </c>
      <c r="D16" s="122" t="inlineStr">
        <is>
          <t>MATH201</t>
        </is>
      </c>
      <c r="E16" s="122" t="inlineStr">
        <is>
          <t>Calculus II</t>
        </is>
      </c>
      <c r="F16" s="122" t="n">
        <v>30</v>
      </c>
      <c r="G16" s="122" t="n">
        <v>28</v>
      </c>
      <c r="H16" s="122" t="n">
        <v>2</v>
      </c>
      <c r="I16" s="122" t="n">
        <v>1</v>
      </c>
      <c r="J16" s="124">
        <f>ROUND(G16/F16*100,0)</f>
        <v/>
      </c>
      <c r="K16" s="122" t="inlineStr">
        <is>
          <t>Good</t>
        </is>
      </c>
    </row>
    <row r="17" ht="15" customHeight="1" s="104">
      <c r="A17" s="123" t="inlineStr">
        <is>
          <t>ATT-0016</t>
        </is>
      </c>
      <c r="B17" s="123" t="inlineStr">
        <is>
          <t>TU-2023-0025</t>
        </is>
      </c>
      <c r="C17" s="123" t="inlineStr">
        <is>
          <t>Stephen Gaita Gaikia</t>
        </is>
      </c>
      <c r="D17" s="123" t="inlineStr">
        <is>
          <t>GEN101</t>
        </is>
      </c>
      <c r="E17" s="123" t="inlineStr">
        <is>
          <t>Communication Skills</t>
        </is>
      </c>
      <c r="F17" s="123" t="n">
        <v>24</v>
      </c>
      <c r="G17" s="123" t="n">
        <v>23</v>
      </c>
      <c r="H17" s="123" t="n">
        <v>1</v>
      </c>
      <c r="I17" s="123" t="n">
        <v>0</v>
      </c>
      <c r="J17" s="125">
        <f>ROUND(G17/F17*100,0)</f>
        <v/>
      </c>
      <c r="K17" s="123" t="inlineStr">
        <is>
          <t>Good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4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03" min="1" max="1"/>
    <col width="18" customWidth="1" style="103" min="2" max="2"/>
    <col width="24" customWidth="1" style="103" min="3" max="3"/>
    <col width="20" customWidth="1" style="103" min="4" max="4"/>
    <col width="28" customWidth="1" style="103" min="5" max="5"/>
    <col width="14" customWidth="1" style="103" min="6" max="6"/>
    <col width="16" customWidth="1" style="103" min="7" max="8"/>
    <col width="14" customWidth="1" style="103" min="9" max="9"/>
    <col width="18" customWidth="1" style="103" min="10" max="11"/>
    <col width="14" customWidth="1" style="103" min="12" max="13"/>
  </cols>
  <sheetData>
    <row r="1" ht="25.5" customHeight="1" s="104">
      <c r="A1" s="126" t="inlineStr">
        <is>
          <t>Templumis University — Student Fee Records</t>
        </is>
      </c>
    </row>
    <row r="2" ht="15.75" customHeight="1" s="104">
      <c r="A2" s="127" t="inlineStr">
        <is>
          <t>Academic Year 2023/24 · Semester 1  |  All amounts in KES</t>
        </is>
      </c>
    </row>
    <row r="4" ht="18" customHeight="1" s="104">
      <c r="A4" s="128" t="inlineStr">
        <is>
          <t>Fee Record ID</t>
        </is>
      </c>
      <c r="B4" s="128" t="inlineStr">
        <is>
          <t>Student ID</t>
        </is>
      </c>
      <c r="C4" s="128" t="inlineStr">
        <is>
          <t>Student Name</t>
        </is>
      </c>
      <c r="D4" s="128" t="inlineStr">
        <is>
          <t>Programme</t>
        </is>
      </c>
      <c r="E4" s="128" t="inlineStr">
        <is>
          <t>Department</t>
        </is>
      </c>
      <c r="F4" s="128" t="inlineStr">
        <is>
          <t>Student Type</t>
        </is>
      </c>
      <c r="G4" s="128" t="inlineStr">
        <is>
          <t>Current Semester</t>
        </is>
      </c>
      <c r="H4" s="128" t="inlineStr">
        <is>
          <t>Sem Fee (KES)</t>
        </is>
      </c>
      <c r="I4" s="128" t="inlineStr">
        <is>
          <t>Reg Fee (KES)</t>
        </is>
      </c>
      <c r="J4" s="128" t="inlineStr">
        <is>
          <t>Total Billed (KES)</t>
        </is>
      </c>
      <c r="K4" s="128" t="inlineStr">
        <is>
          <t>Amount Paid (KES)</t>
        </is>
      </c>
      <c r="L4" s="128" t="inlineStr">
        <is>
          <t>Balance (KES)</t>
        </is>
      </c>
      <c r="M4" s="128" t="inlineStr">
        <is>
          <t>Fee Status</t>
        </is>
      </c>
    </row>
    <row r="5" ht="15.75" customHeight="1" s="104">
      <c r="A5" s="129" t="inlineStr">
        <is>
          <t>FR-0001</t>
        </is>
      </c>
      <c r="B5" s="129" t="inlineStr">
        <is>
          <t>TU-2021-0001</t>
        </is>
      </c>
      <c r="C5" s="130" t="inlineStr">
        <is>
          <t>Amelia Odhiambo</t>
        </is>
      </c>
      <c r="D5" s="129" t="inlineStr">
        <is>
          <t>BSc</t>
        </is>
      </c>
      <c r="E5" s="130" t="inlineStr">
        <is>
          <t>School of Computing</t>
        </is>
      </c>
      <c r="F5" s="129" t="inlineStr">
        <is>
          <t>Undergraduate</t>
        </is>
      </c>
      <c r="G5" s="129" t="inlineStr">
        <is>
          <t>Sem 6</t>
        </is>
      </c>
      <c r="H5" s="131" t="n">
        <v>75000</v>
      </c>
      <c r="I5" s="131" t="n">
        <v>5000</v>
      </c>
      <c r="J5" s="129">
        <f>H5+I5</f>
        <v/>
      </c>
      <c r="K5" s="131" t="n">
        <v>80000</v>
      </c>
      <c r="L5" s="129">
        <f>J5-K5</f>
        <v/>
      </c>
      <c r="M5" s="132" t="inlineStr">
        <is>
          <t>Paid</t>
        </is>
      </c>
    </row>
    <row r="6" ht="15.75" customHeight="1" s="104">
      <c r="A6" s="133" t="inlineStr">
        <is>
          <t>FR-0002</t>
        </is>
      </c>
      <c r="B6" s="133" t="inlineStr">
        <is>
          <t>TU-2022-0002</t>
        </is>
      </c>
      <c r="C6" s="134" t="inlineStr">
        <is>
          <t>Brian Mwangi</t>
        </is>
      </c>
      <c r="D6" s="133" t="inlineStr">
        <is>
          <t>BA</t>
        </is>
      </c>
      <c r="E6" s="134" t="inlineStr">
        <is>
          <t>School of Business</t>
        </is>
      </c>
      <c r="F6" s="133" t="inlineStr">
        <is>
          <t>Undergraduate</t>
        </is>
      </c>
      <c r="G6" s="133" t="inlineStr">
        <is>
          <t>Sem 4</t>
        </is>
      </c>
      <c r="H6" s="135" t="n">
        <v>65000</v>
      </c>
      <c r="I6" s="135" t="n">
        <v>5000</v>
      </c>
      <c r="J6" s="133">
        <f>H6+I6</f>
        <v/>
      </c>
      <c r="K6" s="135" t="n">
        <v>70000</v>
      </c>
      <c r="L6" s="133">
        <f>J6-K6</f>
        <v/>
      </c>
      <c r="M6" s="132" t="inlineStr">
        <is>
          <t>Paid</t>
        </is>
      </c>
    </row>
    <row r="7" ht="15.75" customHeight="1" s="104">
      <c r="A7" s="129" t="inlineStr">
        <is>
          <t>FR-0003</t>
        </is>
      </c>
      <c r="B7" s="129" t="inlineStr">
        <is>
          <t>TU-2020-0003</t>
        </is>
      </c>
      <c r="C7" s="130" t="inlineStr">
        <is>
          <t>Claire Nakato</t>
        </is>
      </c>
      <c r="D7" s="129" t="inlineStr">
        <is>
          <t>BSc</t>
        </is>
      </c>
      <c r="E7" s="130" t="inlineStr">
        <is>
          <t>School of Engineering</t>
        </is>
      </c>
      <c r="F7" s="129" t="inlineStr">
        <is>
          <t>Undergraduate</t>
        </is>
      </c>
      <c r="G7" s="129" t="inlineStr">
        <is>
          <t>Sem 8</t>
        </is>
      </c>
      <c r="H7" s="131" t="n">
        <v>75000</v>
      </c>
      <c r="I7" s="131" t="n">
        <v>5000</v>
      </c>
      <c r="J7" s="129">
        <f>H7+I7</f>
        <v/>
      </c>
      <c r="K7" s="131" t="n">
        <v>80000</v>
      </c>
      <c r="L7" s="129">
        <f>J7-K7</f>
        <v/>
      </c>
      <c r="M7" s="132" t="inlineStr">
        <is>
          <t>Paid</t>
        </is>
      </c>
    </row>
    <row r="8" ht="15.75" customHeight="1" s="104">
      <c r="A8" s="133" t="inlineStr">
        <is>
          <t>FR-0004</t>
        </is>
      </c>
      <c r="B8" s="133" t="inlineStr">
        <is>
          <t>TU-2019-0004</t>
        </is>
      </c>
      <c r="C8" s="134" t="inlineStr">
        <is>
          <t>David Mensah</t>
        </is>
      </c>
      <c r="D8" s="133" t="inlineStr">
        <is>
          <t>BSc</t>
        </is>
      </c>
      <c r="E8" s="134" t="inlineStr">
        <is>
          <t>School of Health Sciences</t>
        </is>
      </c>
      <c r="F8" s="133" t="inlineStr">
        <is>
          <t>Undergraduate</t>
        </is>
      </c>
      <c r="G8" s="133" t="inlineStr">
        <is>
          <t>Completed</t>
        </is>
      </c>
      <c r="H8" s="135" t="n">
        <v>75000</v>
      </c>
      <c r="I8" s="135" t="n">
        <v>5000</v>
      </c>
      <c r="J8" s="133">
        <f>H8+I8</f>
        <v/>
      </c>
      <c r="K8" s="135" t="n">
        <v>80000</v>
      </c>
      <c r="L8" s="133">
        <f>J8-K8</f>
        <v/>
      </c>
      <c r="M8" s="132" t="inlineStr">
        <is>
          <t>Paid</t>
        </is>
      </c>
    </row>
    <row r="9" ht="15.75" customHeight="1" s="104">
      <c r="A9" s="129" t="inlineStr">
        <is>
          <t>FR-0005</t>
        </is>
      </c>
      <c r="B9" s="129" t="inlineStr">
        <is>
          <t>TU-2023-0005</t>
        </is>
      </c>
      <c r="C9" s="130" t="inlineStr">
        <is>
          <t>Esther Wanjiku</t>
        </is>
      </c>
      <c r="D9" s="129" t="inlineStr">
        <is>
          <t>BSc</t>
        </is>
      </c>
      <c r="E9" s="130" t="inlineStr">
        <is>
          <t>School of Science</t>
        </is>
      </c>
      <c r="F9" s="129" t="inlineStr">
        <is>
          <t>Undergraduate</t>
        </is>
      </c>
      <c r="G9" s="129" t="inlineStr">
        <is>
          <t>Sem 2</t>
        </is>
      </c>
      <c r="H9" s="131" t="n">
        <v>75000</v>
      </c>
      <c r="I9" s="131" t="n">
        <v>5000</v>
      </c>
      <c r="J9" s="129">
        <f>H9+I9</f>
        <v/>
      </c>
      <c r="K9" s="131" t="n">
        <v>45000</v>
      </c>
      <c r="L9" s="129">
        <f>J9-K9</f>
        <v/>
      </c>
      <c r="M9" s="136" t="inlineStr">
        <is>
          <t>Partial</t>
        </is>
      </c>
    </row>
    <row r="10" ht="15.75" customHeight="1" s="104">
      <c r="A10" s="133" t="inlineStr">
        <is>
          <t>FR-0006</t>
        </is>
      </c>
      <c r="B10" s="133" t="inlineStr">
        <is>
          <t>TU-2021-0006</t>
        </is>
      </c>
      <c r="C10" s="134" t="inlineStr">
        <is>
          <t>Felix Otieno</t>
        </is>
      </c>
      <c r="D10" s="133" t="inlineStr">
        <is>
          <t>BEd</t>
        </is>
      </c>
      <c r="E10" s="134" t="inlineStr">
        <is>
          <t>School of Education</t>
        </is>
      </c>
      <c r="F10" s="133" t="inlineStr">
        <is>
          <t>Undergraduate</t>
        </is>
      </c>
      <c r="G10" s="133" t="inlineStr">
        <is>
          <t>Sem 6</t>
        </is>
      </c>
      <c r="H10" s="135" t="n">
        <v>60000</v>
      </c>
      <c r="I10" s="135" t="n">
        <v>5000</v>
      </c>
      <c r="J10" s="133">
        <f>H10+I10</f>
        <v/>
      </c>
      <c r="K10" s="135" t="n">
        <v>65000</v>
      </c>
      <c r="L10" s="133">
        <f>J10-K10</f>
        <v/>
      </c>
      <c r="M10" s="132" t="inlineStr">
        <is>
          <t>Paid</t>
        </is>
      </c>
    </row>
    <row r="11" ht="15.75" customHeight="1" s="104">
      <c r="A11" s="129" t="inlineStr">
        <is>
          <t>FR-0007</t>
        </is>
      </c>
      <c r="B11" s="129" t="inlineStr">
        <is>
          <t>TU-2022-0007</t>
        </is>
      </c>
      <c r="C11" s="130" t="inlineStr">
        <is>
          <t>Grace Auma</t>
        </is>
      </c>
      <c r="D11" s="129" t="inlineStr">
        <is>
          <t>BSc</t>
        </is>
      </c>
      <c r="E11" s="130" t="inlineStr">
        <is>
          <t>School of Science</t>
        </is>
      </c>
      <c r="F11" s="129" t="inlineStr">
        <is>
          <t>Undergraduate</t>
        </is>
      </c>
      <c r="G11" s="129" t="inlineStr">
        <is>
          <t>Sem 4</t>
        </is>
      </c>
      <c r="H11" s="131" t="n">
        <v>75000</v>
      </c>
      <c r="I11" s="131" t="n">
        <v>5000</v>
      </c>
      <c r="J11" s="129">
        <f>H11+I11</f>
        <v/>
      </c>
      <c r="K11" s="131" t="n">
        <v>80000</v>
      </c>
      <c r="L11" s="129">
        <f>J11-K11</f>
        <v/>
      </c>
      <c r="M11" s="132" t="inlineStr">
        <is>
          <t>Paid</t>
        </is>
      </c>
    </row>
    <row r="12" ht="15.75" customHeight="1" s="104">
      <c r="A12" s="133" t="inlineStr">
        <is>
          <t>FR-0008</t>
        </is>
      </c>
      <c r="B12" s="133" t="inlineStr">
        <is>
          <t>TU-2020-0008</t>
        </is>
      </c>
      <c r="C12" s="134" t="inlineStr">
        <is>
          <t>Hassan Abdi</t>
        </is>
      </c>
      <c r="D12" s="133" t="inlineStr">
        <is>
          <t>LLB</t>
        </is>
      </c>
      <c r="E12" s="134" t="inlineStr">
        <is>
          <t>School of Law</t>
        </is>
      </c>
      <c r="F12" s="133" t="inlineStr">
        <is>
          <t>Undergraduate</t>
        </is>
      </c>
      <c r="G12" s="133" t="inlineStr">
        <is>
          <t>Sem 8</t>
        </is>
      </c>
      <c r="H12" s="135" t="n">
        <v>70000</v>
      </c>
      <c r="I12" s="135" t="n">
        <v>5000</v>
      </c>
      <c r="J12" s="133">
        <f>H12+I12</f>
        <v/>
      </c>
      <c r="K12" s="135" t="n">
        <v>75000</v>
      </c>
      <c r="L12" s="133">
        <f>J12-K12</f>
        <v/>
      </c>
      <c r="M12" s="132" t="inlineStr">
        <is>
          <t>Paid</t>
        </is>
      </c>
    </row>
    <row r="13" ht="15.75" customHeight="1" s="104">
      <c r="A13" s="129" t="inlineStr">
        <is>
          <t>FR-0009</t>
        </is>
      </c>
      <c r="B13" s="129" t="inlineStr">
        <is>
          <t>TU-2021-0009</t>
        </is>
      </c>
      <c r="C13" s="130" t="inlineStr">
        <is>
          <t>Ivy Njeri</t>
        </is>
      </c>
      <c r="D13" s="129" t="inlineStr">
        <is>
          <t>BComm</t>
        </is>
      </c>
      <c r="E13" s="130" t="inlineStr">
        <is>
          <t>School of Business</t>
        </is>
      </c>
      <c r="F13" s="129" t="inlineStr">
        <is>
          <t>Undergraduate</t>
        </is>
      </c>
      <c r="G13" s="129" t="inlineStr">
        <is>
          <t>Sem 6</t>
        </is>
      </c>
      <c r="H13" s="131" t="n">
        <v>65000</v>
      </c>
      <c r="I13" s="131" t="n">
        <v>5000</v>
      </c>
      <c r="J13" s="129">
        <f>H13+I13</f>
        <v/>
      </c>
      <c r="K13" s="131" t="n">
        <v>0</v>
      </c>
      <c r="L13" s="129">
        <f>J13-K13</f>
        <v/>
      </c>
      <c r="M13" s="137" t="inlineStr">
        <is>
          <t>Deferred</t>
        </is>
      </c>
    </row>
    <row r="14" ht="15.75" customHeight="1" s="104">
      <c r="A14" s="133" t="inlineStr">
        <is>
          <t>FR-0010</t>
        </is>
      </c>
      <c r="B14" s="133" t="inlineStr">
        <is>
          <t>TU-2023-0010</t>
        </is>
      </c>
      <c r="C14" s="134" t="inlineStr">
        <is>
          <t>James Kibaki</t>
        </is>
      </c>
      <c r="D14" s="133" t="inlineStr">
        <is>
          <t>BSc</t>
        </is>
      </c>
      <c r="E14" s="134" t="inlineStr">
        <is>
          <t>School of Computing</t>
        </is>
      </c>
      <c r="F14" s="133" t="inlineStr">
        <is>
          <t>Undergraduate</t>
        </is>
      </c>
      <c r="G14" s="133" t="inlineStr">
        <is>
          <t>Sem 2</t>
        </is>
      </c>
      <c r="H14" s="135" t="n">
        <v>75000</v>
      </c>
      <c r="I14" s="135" t="n">
        <v>5000</v>
      </c>
      <c r="J14" s="133">
        <f>H14+I14</f>
        <v/>
      </c>
      <c r="K14" s="135" t="n">
        <v>80000</v>
      </c>
      <c r="L14" s="133">
        <f>J14-K14</f>
        <v/>
      </c>
      <c r="M14" s="132" t="inlineStr">
        <is>
          <t>Paid</t>
        </is>
      </c>
    </row>
    <row r="15" ht="15.75" customHeight="1" s="104">
      <c r="A15" s="129" t="inlineStr">
        <is>
          <t>FR-0011</t>
        </is>
      </c>
      <c r="B15" s="129" t="inlineStr">
        <is>
          <t>TU-2022-0011</t>
        </is>
      </c>
      <c r="C15" s="130" t="inlineStr">
        <is>
          <t>Kezia Moraa</t>
        </is>
      </c>
      <c r="D15" s="129" t="inlineStr">
        <is>
          <t>BSc</t>
        </is>
      </c>
      <c r="E15" s="130" t="inlineStr">
        <is>
          <t>School of Science</t>
        </is>
      </c>
      <c r="F15" s="129" t="inlineStr">
        <is>
          <t>Undergraduate</t>
        </is>
      </c>
      <c r="G15" s="129" t="inlineStr">
        <is>
          <t>Sem 4</t>
        </is>
      </c>
      <c r="H15" s="131" t="n">
        <v>75000</v>
      </c>
      <c r="I15" s="131" t="n">
        <v>5000</v>
      </c>
      <c r="J15" s="129">
        <f>H15+I15</f>
        <v/>
      </c>
      <c r="K15" s="131" t="n">
        <v>80000</v>
      </c>
      <c r="L15" s="129">
        <f>J15-K15</f>
        <v/>
      </c>
      <c r="M15" s="132" t="inlineStr">
        <is>
          <t>Paid</t>
        </is>
      </c>
    </row>
    <row r="16" ht="15.75" customHeight="1" s="104">
      <c r="A16" s="133" t="inlineStr">
        <is>
          <t>FR-0012</t>
        </is>
      </c>
      <c r="B16" s="133" t="inlineStr">
        <is>
          <t>TU-2019-0012</t>
        </is>
      </c>
      <c r="C16" s="134" t="inlineStr">
        <is>
          <t>Liam Okonkwo</t>
        </is>
      </c>
      <c r="D16" s="133" t="inlineStr">
        <is>
          <t>BSc</t>
        </is>
      </c>
      <c r="E16" s="134" t="inlineStr">
        <is>
          <t>School of Engineering</t>
        </is>
      </c>
      <c r="F16" s="133" t="inlineStr">
        <is>
          <t>Undergraduate</t>
        </is>
      </c>
      <c r="G16" s="133" t="inlineStr">
        <is>
          <t>Completed</t>
        </is>
      </c>
      <c r="H16" s="135" t="n">
        <v>75000</v>
      </c>
      <c r="I16" s="135" t="n">
        <v>5000</v>
      </c>
      <c r="J16" s="133">
        <f>H16+I16</f>
        <v/>
      </c>
      <c r="K16" s="135" t="n">
        <v>80000</v>
      </c>
      <c r="L16" s="133">
        <f>J16-K16</f>
        <v/>
      </c>
      <c r="M16" s="132" t="inlineStr">
        <is>
          <t>Paid</t>
        </is>
      </c>
    </row>
    <row r="17" ht="15.75" customHeight="1" s="104">
      <c r="A17" s="129" t="inlineStr">
        <is>
          <t>FR-0013</t>
        </is>
      </c>
      <c r="B17" s="129" t="inlineStr">
        <is>
          <t>TU-2021-0013</t>
        </is>
      </c>
      <c r="C17" s="130" t="inlineStr">
        <is>
          <t>Mary Adhiambo</t>
        </is>
      </c>
      <c r="D17" s="129" t="inlineStr">
        <is>
          <t>BA</t>
        </is>
      </c>
      <c r="E17" s="130" t="inlineStr">
        <is>
          <t>School of Social Sciences</t>
        </is>
      </c>
      <c r="F17" s="129" t="inlineStr">
        <is>
          <t>Undergraduate</t>
        </is>
      </c>
      <c r="G17" s="129" t="inlineStr">
        <is>
          <t>Sem 6</t>
        </is>
      </c>
      <c r="H17" s="131" t="n">
        <v>65000</v>
      </c>
      <c r="I17" s="131" t="n">
        <v>5000</v>
      </c>
      <c r="J17" s="129">
        <f>H17+I17</f>
        <v/>
      </c>
      <c r="K17" s="131" t="n">
        <v>70000</v>
      </c>
      <c r="L17" s="129">
        <f>J17-K17</f>
        <v/>
      </c>
      <c r="M17" s="132" t="inlineStr">
        <is>
          <t>Paid</t>
        </is>
      </c>
    </row>
    <row r="18" ht="15.75" customHeight="1" s="104">
      <c r="A18" s="133" t="inlineStr">
        <is>
          <t>FR-0014</t>
        </is>
      </c>
      <c r="B18" s="133" t="inlineStr">
        <is>
          <t>TU-2020-0014</t>
        </is>
      </c>
      <c r="C18" s="134" t="inlineStr">
        <is>
          <t>Noel Kiprotich</t>
        </is>
      </c>
      <c r="D18" s="133" t="inlineStr">
        <is>
          <t>BPharm</t>
        </is>
      </c>
      <c r="E18" s="134" t="inlineStr">
        <is>
          <t>School of Health Sciences</t>
        </is>
      </c>
      <c r="F18" s="133" t="inlineStr">
        <is>
          <t>Undergraduate</t>
        </is>
      </c>
      <c r="G18" s="133" t="inlineStr">
        <is>
          <t>Sem 8</t>
        </is>
      </c>
      <c r="H18" s="135" t="n">
        <v>80000</v>
      </c>
      <c r="I18" s="135" t="n">
        <v>5000</v>
      </c>
      <c r="J18" s="133">
        <f>H18+I18</f>
        <v/>
      </c>
      <c r="K18" s="135" t="n">
        <v>10000</v>
      </c>
      <c r="L18" s="133">
        <f>J18-K18</f>
        <v/>
      </c>
      <c r="M18" s="138" t="inlineStr">
        <is>
          <t>Overdue</t>
        </is>
      </c>
    </row>
    <row r="19" ht="15.75" customHeight="1" s="104">
      <c r="A19" s="129" t="inlineStr">
        <is>
          <t>FR-0015</t>
        </is>
      </c>
      <c r="B19" s="129" t="inlineStr">
        <is>
          <t>TU-2023-0015</t>
        </is>
      </c>
      <c r="C19" s="130" t="inlineStr">
        <is>
          <t>Olivia Achieng</t>
        </is>
      </c>
      <c r="D19" s="129" t="inlineStr">
        <is>
          <t>BA</t>
        </is>
      </c>
      <c r="E19" s="130" t="inlineStr">
        <is>
          <t>School of Arts</t>
        </is>
      </c>
      <c r="F19" s="129" t="inlineStr">
        <is>
          <t>Undergraduate</t>
        </is>
      </c>
      <c r="G19" s="129" t="inlineStr">
        <is>
          <t>Sem 2</t>
        </is>
      </c>
      <c r="H19" s="131" t="n">
        <v>65000</v>
      </c>
      <c r="I19" s="131" t="n">
        <v>5000</v>
      </c>
      <c r="J19" s="129">
        <f>H19+I19</f>
        <v/>
      </c>
      <c r="K19" s="131" t="n">
        <v>70000</v>
      </c>
      <c r="L19" s="129">
        <f>J19-K19</f>
        <v/>
      </c>
      <c r="M19" s="132" t="inlineStr">
        <is>
          <t>Paid</t>
        </is>
      </c>
    </row>
    <row r="20" ht="15.75" customHeight="1" s="104">
      <c r="A20" s="133" t="inlineStr">
        <is>
          <t>FR-0016</t>
        </is>
      </c>
      <c r="B20" s="133" t="inlineStr">
        <is>
          <t>TU-2022-0016</t>
        </is>
      </c>
      <c r="C20" s="134" t="inlineStr">
        <is>
          <t>Patrick Owino</t>
        </is>
      </c>
      <c r="D20" s="133" t="inlineStr">
        <is>
          <t>BSc</t>
        </is>
      </c>
      <c r="E20" s="134" t="inlineStr">
        <is>
          <t>School of Science</t>
        </is>
      </c>
      <c r="F20" s="133" t="inlineStr">
        <is>
          <t>Undergraduate</t>
        </is>
      </c>
      <c r="G20" s="133" t="inlineStr">
        <is>
          <t>Sem 4</t>
        </is>
      </c>
      <c r="H20" s="135" t="n">
        <v>75000</v>
      </c>
      <c r="I20" s="135" t="n">
        <v>5000</v>
      </c>
      <c r="J20" s="133">
        <f>H20+I20</f>
        <v/>
      </c>
      <c r="K20" s="135" t="n">
        <v>80000</v>
      </c>
      <c r="L20" s="133">
        <f>J20-K20</f>
        <v/>
      </c>
      <c r="M20" s="132" t="inlineStr">
        <is>
          <t>Paid</t>
        </is>
      </c>
    </row>
    <row r="21" ht="15.75" customHeight="1" s="104">
      <c r="A21" s="129" t="inlineStr">
        <is>
          <t>FR-0017</t>
        </is>
      </c>
      <c r="B21" s="129" t="inlineStr">
        <is>
          <t>TU-2021-0017</t>
        </is>
      </c>
      <c r="C21" s="130" t="inlineStr">
        <is>
          <t>Queenie Mugo</t>
        </is>
      </c>
      <c r="D21" s="129" t="inlineStr">
        <is>
          <t>BSc</t>
        </is>
      </c>
      <c r="E21" s="130" t="inlineStr">
        <is>
          <t>School of Computing</t>
        </is>
      </c>
      <c r="F21" s="129" t="inlineStr">
        <is>
          <t>Undergraduate</t>
        </is>
      </c>
      <c r="G21" s="129" t="inlineStr">
        <is>
          <t>Sem 6</t>
        </is>
      </c>
      <c r="H21" s="131" t="n">
        <v>75000</v>
      </c>
      <c r="I21" s="131" t="n">
        <v>5000</v>
      </c>
      <c r="J21" s="129">
        <f>H21+I21</f>
        <v/>
      </c>
      <c r="K21" s="131" t="n">
        <v>80000</v>
      </c>
      <c r="L21" s="129">
        <f>J21-K21</f>
        <v/>
      </c>
      <c r="M21" s="132" t="inlineStr">
        <is>
          <t>Paid</t>
        </is>
      </c>
    </row>
    <row r="22" ht="15.75" customHeight="1" s="104">
      <c r="A22" s="133" t="inlineStr">
        <is>
          <t>FR-0018</t>
        </is>
      </c>
      <c r="B22" s="133" t="inlineStr">
        <is>
          <t>TU-2020-0018</t>
        </is>
      </c>
      <c r="C22" s="134" t="inlineStr">
        <is>
          <t>Robert Dlamini</t>
        </is>
      </c>
      <c r="D22" s="133" t="inlineStr">
        <is>
          <t>BEd</t>
        </is>
      </c>
      <c r="E22" s="134" t="inlineStr">
        <is>
          <t>School of Education</t>
        </is>
      </c>
      <c r="F22" s="133" t="inlineStr">
        <is>
          <t>Undergraduate</t>
        </is>
      </c>
      <c r="G22" s="133" t="inlineStr">
        <is>
          <t>Sem 8</t>
        </is>
      </c>
      <c r="H22" s="135" t="n">
        <v>60000</v>
      </c>
      <c r="I22" s="135" t="n">
        <v>5000</v>
      </c>
      <c r="J22" s="133">
        <f>H22+I22</f>
        <v/>
      </c>
      <c r="K22" s="135" t="n">
        <v>65000</v>
      </c>
      <c r="L22" s="133">
        <f>J22-K22</f>
        <v/>
      </c>
      <c r="M22" s="132" t="inlineStr">
        <is>
          <t>Paid</t>
        </is>
      </c>
    </row>
    <row r="23" ht="15.75" customHeight="1" s="104">
      <c r="A23" s="129" t="inlineStr">
        <is>
          <t>FR-0019</t>
        </is>
      </c>
      <c r="B23" s="129" t="inlineStr">
        <is>
          <t>TU-2023-0019</t>
        </is>
      </c>
      <c r="C23" s="130" t="inlineStr">
        <is>
          <t>Sandra Chebet</t>
        </is>
      </c>
      <c r="D23" s="129" t="inlineStr">
        <is>
          <t>BSc</t>
        </is>
      </c>
      <c r="E23" s="130" t="inlineStr">
        <is>
          <t>School of Health Sciences</t>
        </is>
      </c>
      <c r="F23" s="129" t="inlineStr">
        <is>
          <t>Undergraduate</t>
        </is>
      </c>
      <c r="G23" s="129" t="inlineStr">
        <is>
          <t>Sem 2</t>
        </is>
      </c>
      <c r="H23" s="131" t="n">
        <v>75000</v>
      </c>
      <c r="I23" s="131" t="n">
        <v>5000</v>
      </c>
      <c r="J23" s="129">
        <f>H23+I23</f>
        <v/>
      </c>
      <c r="K23" s="131" t="n">
        <v>80000</v>
      </c>
      <c r="L23" s="129">
        <f>J23-K23</f>
        <v/>
      </c>
      <c r="M23" s="132" t="inlineStr">
        <is>
          <t>Paid</t>
        </is>
      </c>
    </row>
    <row r="24" ht="15.75" customHeight="1" s="104">
      <c r="A24" s="133" t="inlineStr">
        <is>
          <t>FR-0020</t>
        </is>
      </c>
      <c r="B24" s="133" t="inlineStr">
        <is>
          <t>TU-2022-0020</t>
        </is>
      </c>
      <c r="C24" s="134" t="inlineStr">
        <is>
          <t>Tunde Adeyemi</t>
        </is>
      </c>
      <c r="D24" s="133" t="inlineStr">
        <is>
          <t>LLB</t>
        </is>
      </c>
      <c r="E24" s="134" t="inlineStr">
        <is>
          <t>School of Law</t>
        </is>
      </c>
      <c r="F24" s="133" t="inlineStr">
        <is>
          <t>Undergraduate</t>
        </is>
      </c>
      <c r="G24" s="133" t="inlineStr">
        <is>
          <t>Sem 4</t>
        </is>
      </c>
      <c r="H24" s="135" t="n">
        <v>70000</v>
      </c>
      <c r="I24" s="135" t="n">
        <v>5000</v>
      </c>
      <c r="J24" s="133">
        <f>H24+I24</f>
        <v/>
      </c>
      <c r="K24" s="135" t="n">
        <v>75000</v>
      </c>
      <c r="L24" s="133">
        <f>J24-K24</f>
        <v/>
      </c>
      <c r="M24" s="132" t="inlineStr">
        <is>
          <t>Paid</t>
        </is>
      </c>
    </row>
    <row r="25" ht="15.75" customHeight="1" s="104">
      <c r="A25" s="129" t="inlineStr">
        <is>
          <t>FR-0021</t>
        </is>
      </c>
      <c r="B25" s="129" t="inlineStr">
        <is>
          <t>TU-2021-0021</t>
        </is>
      </c>
      <c r="C25" s="130" t="inlineStr">
        <is>
          <t>Uchenna Eze</t>
        </is>
      </c>
      <c r="D25" s="129" t="inlineStr">
        <is>
          <t>BA</t>
        </is>
      </c>
      <c r="E25" s="130" t="inlineStr">
        <is>
          <t>School of Social Sciences</t>
        </is>
      </c>
      <c r="F25" s="129" t="inlineStr">
        <is>
          <t>Undergraduate</t>
        </is>
      </c>
      <c r="G25" s="129" t="inlineStr">
        <is>
          <t>Sem 6</t>
        </is>
      </c>
      <c r="H25" s="131" t="n">
        <v>65000</v>
      </c>
      <c r="I25" s="131" t="n">
        <v>5000</v>
      </c>
      <c r="J25" s="129">
        <f>H25+I25</f>
        <v/>
      </c>
      <c r="K25" s="131" t="n">
        <v>0</v>
      </c>
      <c r="L25" s="129">
        <f>J25-K25</f>
        <v/>
      </c>
      <c r="M25" s="137" t="inlineStr">
        <is>
          <t>Deferred</t>
        </is>
      </c>
    </row>
    <row r="26" ht="15.75" customHeight="1" s="104">
      <c r="A26" s="133" t="inlineStr">
        <is>
          <t>FR-0022</t>
        </is>
      </c>
      <c r="B26" s="133" t="inlineStr">
        <is>
          <t>TU-2019-0022</t>
        </is>
      </c>
      <c r="C26" s="134" t="inlineStr">
        <is>
          <t>Vivian Kamau</t>
        </is>
      </c>
      <c r="D26" s="133" t="inlineStr">
        <is>
          <t>BSc</t>
        </is>
      </c>
      <c r="E26" s="134" t="inlineStr">
        <is>
          <t>School of Science</t>
        </is>
      </c>
      <c r="F26" s="133" t="inlineStr">
        <is>
          <t>Undergraduate</t>
        </is>
      </c>
      <c r="G26" s="133" t="inlineStr">
        <is>
          <t>Completed</t>
        </is>
      </c>
      <c r="H26" s="135" t="n">
        <v>75000</v>
      </c>
      <c r="I26" s="135" t="n">
        <v>5000</v>
      </c>
      <c r="J26" s="133">
        <f>H26+I26</f>
        <v/>
      </c>
      <c r="K26" s="135" t="n">
        <v>80000</v>
      </c>
      <c r="L26" s="133">
        <f>J26-K26</f>
        <v/>
      </c>
      <c r="M26" s="132" t="inlineStr">
        <is>
          <t>Paid</t>
        </is>
      </c>
    </row>
    <row r="27" ht="15.75" customHeight="1" s="104">
      <c r="A27" s="129" t="inlineStr">
        <is>
          <t>FR-0023</t>
        </is>
      </c>
      <c r="B27" s="129" t="inlineStr">
        <is>
          <t>TU-2023-0023</t>
        </is>
      </c>
      <c r="C27" s="130" t="inlineStr">
        <is>
          <t>William Barasa</t>
        </is>
      </c>
      <c r="D27" s="129" t="inlineStr">
        <is>
          <t>BComm</t>
        </is>
      </c>
      <c r="E27" s="130" t="inlineStr">
        <is>
          <t>School of Business</t>
        </is>
      </c>
      <c r="F27" s="129" t="inlineStr">
        <is>
          <t>Undergraduate</t>
        </is>
      </c>
      <c r="G27" s="129" t="inlineStr">
        <is>
          <t>Sem 2</t>
        </is>
      </c>
      <c r="H27" s="131" t="n">
        <v>65000</v>
      </c>
      <c r="I27" s="131" t="n">
        <v>5000</v>
      </c>
      <c r="J27" s="129">
        <f>H27+I27</f>
        <v/>
      </c>
      <c r="K27" s="131" t="n">
        <v>35000</v>
      </c>
      <c r="L27" s="129">
        <f>J27-K27</f>
        <v/>
      </c>
      <c r="M27" s="136" t="inlineStr">
        <is>
          <t>Partial</t>
        </is>
      </c>
    </row>
    <row r="28" ht="15.75" customHeight="1" s="104">
      <c r="A28" s="133" t="inlineStr">
        <is>
          <t>FR-0024</t>
        </is>
      </c>
      <c r="B28" s="133" t="inlineStr">
        <is>
          <t>TU-2022-0024</t>
        </is>
      </c>
      <c r="C28" s="134" t="inlineStr">
        <is>
          <t>Xena Mutua</t>
        </is>
      </c>
      <c r="D28" s="133" t="inlineStr">
        <is>
          <t>BSc</t>
        </is>
      </c>
      <c r="E28" s="134" t="inlineStr">
        <is>
          <t>School of Computing</t>
        </is>
      </c>
      <c r="F28" s="133" t="inlineStr">
        <is>
          <t>Undergraduate</t>
        </is>
      </c>
      <c r="G28" s="133" t="inlineStr">
        <is>
          <t>Sem 4</t>
        </is>
      </c>
      <c r="H28" s="135" t="n">
        <v>75000</v>
      </c>
      <c r="I28" s="135" t="n">
        <v>5000</v>
      </c>
      <c r="J28" s="133">
        <f>H28+I28</f>
        <v/>
      </c>
      <c r="K28" s="135" t="n">
        <v>80000</v>
      </c>
      <c r="L28" s="133">
        <f>J28-K28</f>
        <v/>
      </c>
      <c r="M28" s="132" t="inlineStr">
        <is>
          <t>Paid</t>
        </is>
      </c>
    </row>
    <row r="29" ht="15.75" customHeight="1" s="104">
      <c r="A29" s="129" t="inlineStr">
        <is>
          <t>FR-0025</t>
        </is>
      </c>
      <c r="B29" s="129" t="inlineStr">
        <is>
          <t>TU-2023-0025</t>
        </is>
      </c>
      <c r="C29" s="130" t="inlineStr">
        <is>
          <t>Stephen Gaita Gaikia</t>
        </is>
      </c>
      <c r="D29" s="129" t="inlineStr">
        <is>
          <t>BSc</t>
        </is>
      </c>
      <c r="E29" s="130" t="inlineStr">
        <is>
          <t>School of Computing</t>
        </is>
      </c>
      <c r="F29" s="129" t="inlineStr">
        <is>
          <t>Undergraduate</t>
        </is>
      </c>
      <c r="G29" s="129" t="inlineStr">
        <is>
          <t>Sem 2</t>
        </is>
      </c>
      <c r="H29" s="131" t="n">
        <v>75000</v>
      </c>
      <c r="I29" s="131" t="n">
        <v>5000</v>
      </c>
      <c r="J29" s="129">
        <f>H29+I29</f>
        <v/>
      </c>
      <c r="K29" s="131" t="n">
        <v>80000</v>
      </c>
      <c r="L29" s="129">
        <f>J29-K29</f>
        <v/>
      </c>
      <c r="M29" s="132" t="inlineStr">
        <is>
          <t>Paid</t>
        </is>
      </c>
    </row>
    <row r="30" ht="15.75" customHeight="1" s="104">
      <c r="A30" s="133" t="inlineStr">
        <is>
          <t>FR-0026</t>
        </is>
      </c>
      <c r="B30" s="133" t="inlineStr">
        <is>
          <t>TU-PG-2022-0026</t>
        </is>
      </c>
      <c r="C30" s="134" t="inlineStr">
        <is>
          <t>Amara Diallo</t>
        </is>
      </c>
      <c r="D30" s="133" t="inlineStr">
        <is>
          <t>MSc (Coursework)</t>
        </is>
      </c>
      <c r="E30" s="134" t="inlineStr">
        <is>
          <t>School of Computing</t>
        </is>
      </c>
      <c r="F30" s="133" t="inlineStr">
        <is>
          <t>Postgraduate</t>
        </is>
      </c>
      <c r="G30" s="133" t="inlineStr">
        <is>
          <t>Sem 4</t>
        </is>
      </c>
      <c r="H30" s="135" t="n">
        <v>90000</v>
      </c>
      <c r="I30" s="135" t="n">
        <v>5000</v>
      </c>
      <c r="J30" s="133">
        <f>H30+I30</f>
        <v/>
      </c>
      <c r="K30" s="135" t="n">
        <v>95000</v>
      </c>
      <c r="L30" s="133">
        <f>J30-K30</f>
        <v/>
      </c>
      <c r="M30" s="132" t="inlineStr">
        <is>
          <t>Paid</t>
        </is>
      </c>
    </row>
    <row r="31" ht="15.75" customHeight="1" s="104">
      <c r="A31" s="129" t="inlineStr">
        <is>
          <t>FR-0027</t>
        </is>
      </c>
      <c r="B31" s="129" t="inlineStr">
        <is>
          <t>TU-PG-2023-0027</t>
        </is>
      </c>
      <c r="C31" s="130" t="inlineStr">
        <is>
          <t>Benjamin Kamto</t>
        </is>
      </c>
      <c r="D31" s="129" t="inlineStr">
        <is>
          <t>MBA (Coursework)</t>
        </is>
      </c>
      <c r="E31" s="130" t="inlineStr">
        <is>
          <t>School of Business</t>
        </is>
      </c>
      <c r="F31" s="129" t="inlineStr">
        <is>
          <t>Postgraduate</t>
        </is>
      </c>
      <c r="G31" s="129" t="inlineStr">
        <is>
          <t>Sem 2</t>
        </is>
      </c>
      <c r="H31" s="131" t="n">
        <v>110000</v>
      </c>
      <c r="I31" s="131" t="n">
        <v>5000</v>
      </c>
      <c r="J31" s="129">
        <f>H31+I31</f>
        <v/>
      </c>
      <c r="K31" s="131" t="n">
        <v>115000</v>
      </c>
      <c r="L31" s="129">
        <f>J31-K31</f>
        <v/>
      </c>
      <c r="M31" s="132" t="inlineStr">
        <is>
          <t>Paid</t>
        </is>
      </c>
    </row>
    <row r="32" ht="15.75" customHeight="1" s="104">
      <c r="A32" s="133" t="inlineStr">
        <is>
          <t>FR-0028</t>
        </is>
      </c>
      <c r="B32" s="133" t="inlineStr">
        <is>
          <t>TU-PG-2022-0028</t>
        </is>
      </c>
      <c r="C32" s="134" t="inlineStr">
        <is>
          <t>Celestine Awino</t>
        </is>
      </c>
      <c r="D32" s="133" t="inlineStr">
        <is>
          <t>MA (Coursework)</t>
        </is>
      </c>
      <c r="E32" s="134" t="inlineStr">
        <is>
          <t>School of Business</t>
        </is>
      </c>
      <c r="F32" s="133" t="inlineStr">
        <is>
          <t>Postgraduate</t>
        </is>
      </c>
      <c r="G32" s="133" t="inlineStr">
        <is>
          <t>Completed</t>
        </is>
      </c>
      <c r="H32" s="135" t="n">
        <v>85000</v>
      </c>
      <c r="I32" s="135" t="n">
        <v>5000</v>
      </c>
      <c r="J32" s="133">
        <f>H32+I32</f>
        <v/>
      </c>
      <c r="K32" s="135" t="n">
        <v>90000</v>
      </c>
      <c r="L32" s="133">
        <f>J32-K32</f>
        <v/>
      </c>
      <c r="M32" s="132" t="inlineStr">
        <is>
          <t>Paid</t>
        </is>
      </c>
    </row>
    <row r="33" ht="15.75" customHeight="1" s="104">
      <c r="A33" s="129" t="inlineStr">
        <is>
          <t>FR-0029</t>
        </is>
      </c>
      <c r="B33" s="129" t="inlineStr">
        <is>
          <t>TU-PG-2023-0029</t>
        </is>
      </c>
      <c r="C33" s="130" t="inlineStr">
        <is>
          <t>Derrick Ssempa</t>
        </is>
      </c>
      <c r="D33" s="129" t="inlineStr">
        <is>
          <t>MSc (Coursework)</t>
        </is>
      </c>
      <c r="E33" s="130" t="inlineStr">
        <is>
          <t>School of Science</t>
        </is>
      </c>
      <c r="F33" s="129" t="inlineStr">
        <is>
          <t>Postgraduate</t>
        </is>
      </c>
      <c r="G33" s="129" t="inlineStr">
        <is>
          <t>Sem 2</t>
        </is>
      </c>
      <c r="H33" s="131" t="n">
        <v>90000</v>
      </c>
      <c r="I33" s="131" t="n">
        <v>5000</v>
      </c>
      <c r="J33" s="129">
        <f>H33+I33</f>
        <v/>
      </c>
      <c r="K33" s="131" t="n">
        <v>60000</v>
      </c>
      <c r="L33" s="129">
        <f>J33-K33</f>
        <v/>
      </c>
      <c r="M33" s="136" t="inlineStr">
        <is>
          <t>Partial</t>
        </is>
      </c>
    </row>
    <row r="34" ht="15.75" customHeight="1" s="104">
      <c r="A34" s="133" t="inlineStr">
        <is>
          <t>FR-0030</t>
        </is>
      </c>
      <c r="B34" s="133" t="inlineStr">
        <is>
          <t>TU-PG-2022-0030</t>
        </is>
      </c>
      <c r="C34" s="134" t="inlineStr">
        <is>
          <t>Faith Onyango</t>
        </is>
      </c>
      <c r="D34" s="133" t="inlineStr">
        <is>
          <t>MA (Coursework)</t>
        </is>
      </c>
      <c r="E34" s="134" t="inlineStr">
        <is>
          <t>School of Arts</t>
        </is>
      </c>
      <c r="F34" s="133" t="inlineStr">
        <is>
          <t>Postgraduate</t>
        </is>
      </c>
      <c r="G34" s="133" t="inlineStr">
        <is>
          <t>Sem 4</t>
        </is>
      </c>
      <c r="H34" s="135" t="n">
        <v>85000</v>
      </c>
      <c r="I34" s="135" t="n">
        <v>5000</v>
      </c>
      <c r="J34" s="133">
        <f>H34+I34</f>
        <v/>
      </c>
      <c r="K34" s="135" t="n">
        <v>90000</v>
      </c>
      <c r="L34" s="133">
        <f>J34-K34</f>
        <v/>
      </c>
      <c r="M34" s="132" t="inlineStr">
        <is>
          <t>Paid</t>
        </is>
      </c>
    </row>
    <row r="35" ht="15.75" customHeight="1" s="104">
      <c r="A35" s="129" t="inlineStr">
        <is>
          <t>FR-0031</t>
        </is>
      </c>
      <c r="B35" s="129" t="inlineStr">
        <is>
          <t>TU-PG-2023-0031</t>
        </is>
      </c>
      <c r="C35" s="130" t="inlineStr">
        <is>
          <t>George Nkosi</t>
        </is>
      </c>
      <c r="D35" s="129" t="inlineStr">
        <is>
          <t>MBA (Coursework)</t>
        </is>
      </c>
      <c r="E35" s="130" t="inlineStr">
        <is>
          <t>School of Business</t>
        </is>
      </c>
      <c r="F35" s="129" t="inlineStr">
        <is>
          <t>Postgraduate</t>
        </is>
      </c>
      <c r="G35" s="129" t="inlineStr">
        <is>
          <t>Sem 2</t>
        </is>
      </c>
      <c r="H35" s="131" t="n">
        <v>110000</v>
      </c>
      <c r="I35" s="131" t="n">
        <v>5000</v>
      </c>
      <c r="J35" s="129">
        <f>H35+I35</f>
        <v/>
      </c>
      <c r="K35" s="131" t="n">
        <v>115000</v>
      </c>
      <c r="L35" s="129">
        <f>J35-K35</f>
        <v/>
      </c>
      <c r="M35" s="132" t="inlineStr">
        <is>
          <t>Paid</t>
        </is>
      </c>
    </row>
    <row r="36" ht="15.75" customHeight="1" s="104">
      <c r="A36" s="133" t="inlineStr">
        <is>
          <t>FR-0032</t>
        </is>
      </c>
      <c r="B36" s="133" t="inlineStr">
        <is>
          <t>TU-PG-2021-0032</t>
        </is>
      </c>
      <c r="C36" s="134" t="inlineStr">
        <is>
          <t>Helen Mutuku</t>
        </is>
      </c>
      <c r="D36" s="133" t="inlineStr">
        <is>
          <t>MSc by Research</t>
        </is>
      </c>
      <c r="E36" s="134" t="inlineStr">
        <is>
          <t>School of Science</t>
        </is>
      </c>
      <c r="F36" s="133" t="inlineStr">
        <is>
          <t>Postgraduate</t>
        </is>
      </c>
      <c r="G36" s="133" t="inlineStr">
        <is>
          <t>Research Year 3</t>
        </is>
      </c>
      <c r="H36" s="135" t="n">
        <v>80000</v>
      </c>
      <c r="I36" s="135" t="n">
        <v>5000</v>
      </c>
      <c r="J36" s="133">
        <f>H36+I36</f>
        <v/>
      </c>
      <c r="K36" s="135" t="n">
        <v>85000</v>
      </c>
      <c r="L36" s="133">
        <f>J36-K36</f>
        <v/>
      </c>
      <c r="M36" s="132" t="inlineStr">
        <is>
          <t>Paid</t>
        </is>
      </c>
    </row>
    <row r="37" ht="15.75" customHeight="1" s="104">
      <c r="A37" s="129" t="inlineStr">
        <is>
          <t>FR-0033</t>
        </is>
      </c>
      <c r="B37" s="129" t="inlineStr">
        <is>
          <t>TU-PG-2022-0033</t>
        </is>
      </c>
      <c r="C37" s="130" t="inlineStr">
        <is>
          <t>Ibrahim Hassan</t>
        </is>
      </c>
      <c r="D37" s="129" t="inlineStr">
        <is>
          <t>MSc by Research</t>
        </is>
      </c>
      <c r="E37" s="130" t="inlineStr">
        <is>
          <t>School of Computing</t>
        </is>
      </c>
      <c r="F37" s="129" t="inlineStr">
        <is>
          <t>Postgraduate</t>
        </is>
      </c>
      <c r="G37" s="129" t="inlineStr">
        <is>
          <t>Research Year 2</t>
        </is>
      </c>
      <c r="H37" s="131" t="n">
        <v>80000</v>
      </c>
      <c r="I37" s="131" t="n">
        <v>5000</v>
      </c>
      <c r="J37" s="129">
        <f>H37+I37</f>
        <v/>
      </c>
      <c r="K37" s="131" t="n">
        <v>85000</v>
      </c>
      <c r="L37" s="129">
        <f>J37-K37</f>
        <v/>
      </c>
      <c r="M37" s="132" t="inlineStr">
        <is>
          <t>Paid</t>
        </is>
      </c>
    </row>
    <row r="38" ht="15.75" customHeight="1" s="104">
      <c r="A38" s="133" t="inlineStr">
        <is>
          <t>FR-0034</t>
        </is>
      </c>
      <c r="B38" s="133" t="inlineStr">
        <is>
          <t>TU-PG-2021-0034</t>
        </is>
      </c>
      <c r="C38" s="134" t="inlineStr">
        <is>
          <t>Janet Akinyi</t>
        </is>
      </c>
      <c r="D38" s="133" t="inlineStr">
        <is>
          <t>MA by Research</t>
        </is>
      </c>
      <c r="E38" s="134" t="inlineStr">
        <is>
          <t>School of Education</t>
        </is>
      </c>
      <c r="F38" s="133" t="inlineStr">
        <is>
          <t>Postgraduate</t>
        </is>
      </c>
      <c r="G38" s="133" t="inlineStr">
        <is>
          <t>Research Year 3</t>
        </is>
      </c>
      <c r="H38" s="135" t="n">
        <v>75000</v>
      </c>
      <c r="I38" s="135" t="n">
        <v>5000</v>
      </c>
      <c r="J38" s="133">
        <f>H38+I38</f>
        <v/>
      </c>
      <c r="K38" s="135" t="n">
        <v>80000</v>
      </c>
      <c r="L38" s="133">
        <f>J38-K38</f>
        <v/>
      </c>
      <c r="M38" s="132" t="inlineStr">
        <is>
          <t>Paid</t>
        </is>
      </c>
    </row>
    <row r="39" ht="15.75" customHeight="1" s="104">
      <c r="A39" s="129" t="inlineStr">
        <is>
          <t>FR-0035</t>
        </is>
      </c>
      <c r="B39" s="129" t="inlineStr">
        <is>
          <t>TU-PG-2022-0035</t>
        </is>
      </c>
      <c r="C39" s="130" t="inlineStr">
        <is>
          <t>Kenneth Osei</t>
        </is>
      </c>
      <c r="D39" s="129" t="inlineStr">
        <is>
          <t>MSc by Research</t>
        </is>
      </c>
      <c r="E39" s="130" t="inlineStr">
        <is>
          <t>School of Engineering</t>
        </is>
      </c>
      <c r="F39" s="129" t="inlineStr">
        <is>
          <t>Postgraduate</t>
        </is>
      </c>
      <c r="G39" s="129" t="inlineStr">
        <is>
          <t>Research Year 2</t>
        </is>
      </c>
      <c r="H39" s="131" t="n">
        <v>80000</v>
      </c>
      <c r="I39" s="131" t="n">
        <v>5000</v>
      </c>
      <c r="J39" s="129">
        <f>H39+I39</f>
        <v/>
      </c>
      <c r="K39" s="131" t="n">
        <v>0</v>
      </c>
      <c r="L39" s="129">
        <f>J39-K39</f>
        <v/>
      </c>
      <c r="M39" s="137" t="inlineStr">
        <is>
          <t>Deferred</t>
        </is>
      </c>
    </row>
    <row r="40" ht="15.75" customHeight="1" s="104">
      <c r="A40" s="133" t="inlineStr">
        <is>
          <t>FR-0036</t>
        </is>
      </c>
      <c r="B40" s="133" t="inlineStr">
        <is>
          <t>TU-PG-2020-0036</t>
        </is>
      </c>
      <c r="C40" s="134" t="inlineStr">
        <is>
          <t>Lydia Cheptoo</t>
        </is>
      </c>
      <c r="D40" s="133" t="inlineStr">
        <is>
          <t>MSc by Research</t>
        </is>
      </c>
      <c r="E40" s="134" t="inlineStr">
        <is>
          <t>School of Health Sciences</t>
        </is>
      </c>
      <c r="F40" s="133" t="inlineStr">
        <is>
          <t>Postgraduate</t>
        </is>
      </c>
      <c r="G40" s="133" t="inlineStr">
        <is>
          <t>Completed</t>
        </is>
      </c>
      <c r="H40" s="135" t="n">
        <v>80000</v>
      </c>
      <c r="I40" s="135" t="n">
        <v>5000</v>
      </c>
      <c r="J40" s="133">
        <f>H40+I40</f>
        <v/>
      </c>
      <c r="K40" s="135" t="n">
        <v>85000</v>
      </c>
      <c r="L40" s="133">
        <f>J40-K40</f>
        <v/>
      </c>
      <c r="M40" s="132" t="inlineStr">
        <is>
          <t>Paid</t>
        </is>
      </c>
    </row>
    <row r="41" ht="15.75" customHeight="1" s="104">
      <c r="A41" s="129" t="inlineStr">
        <is>
          <t>FR-0037</t>
        </is>
      </c>
      <c r="B41" s="129" t="inlineStr">
        <is>
          <t>TU-PG-2023-0037</t>
        </is>
      </c>
      <c r="C41" s="130" t="inlineStr">
        <is>
          <t>Moses Waweru</t>
        </is>
      </c>
      <c r="D41" s="129" t="inlineStr">
        <is>
          <t>MSc by Research</t>
        </is>
      </c>
      <c r="E41" s="130" t="inlineStr">
        <is>
          <t>School of Computing</t>
        </is>
      </c>
      <c r="F41" s="129" t="inlineStr">
        <is>
          <t>Postgraduate</t>
        </is>
      </c>
      <c r="G41" s="129" t="inlineStr">
        <is>
          <t>Research Year 1</t>
        </is>
      </c>
      <c r="H41" s="131" t="n">
        <v>80000</v>
      </c>
      <c r="I41" s="131" t="n">
        <v>5000</v>
      </c>
      <c r="J41" s="129">
        <f>H41+I41</f>
        <v/>
      </c>
      <c r="K41" s="131" t="n">
        <v>85000</v>
      </c>
      <c r="L41" s="129">
        <f>J41-K41</f>
        <v/>
      </c>
      <c r="M41" s="132" t="inlineStr">
        <is>
          <t>Paid</t>
        </is>
      </c>
    </row>
    <row r="42" ht="18" customHeight="1" s="104">
      <c r="A42" s="139" t="inlineStr">
        <is>
          <t>TOTALS</t>
        </is>
      </c>
      <c r="B42" s="140" t="n"/>
      <c r="C42" s="140" t="n"/>
      <c r="D42" s="140" t="n"/>
      <c r="E42" s="140" t="n"/>
      <c r="F42" s="140" t="n"/>
      <c r="G42" s="140" t="n"/>
      <c r="H42" s="141">
        <f>SUM(H5:H41)</f>
        <v/>
      </c>
      <c r="I42" s="141">
        <f>SUM(I5:I41)</f>
        <v/>
      </c>
      <c r="J42" s="141">
        <f>SUM(J5:J41)</f>
        <v/>
      </c>
      <c r="K42" s="141">
        <f>SUM(K5:K41)</f>
        <v/>
      </c>
      <c r="L42" s="141">
        <f>SUM(L5:L41)</f>
        <v/>
      </c>
      <c r="M42" s="140" t="n"/>
    </row>
  </sheetData>
  <mergeCells count="2">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4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3" min="1" max="1"/>
    <col width="16" customWidth="1" style="103" min="2" max="2"/>
    <col width="18" customWidth="1" style="103" min="3" max="3"/>
    <col width="24" customWidth="1" style="103" min="4" max="4"/>
    <col width="14" customWidth="1" style="103" min="5" max="5"/>
    <col width="18" customWidth="1" style="103" min="6" max="7"/>
    <col width="16" customWidth="1" style="103" min="8" max="8"/>
    <col width="18" customWidth="1" style="103" min="9" max="9"/>
    <col width="20" customWidth="1" style="103" min="10" max="10"/>
    <col width="14" customWidth="1" style="103" min="11" max="11"/>
    <col width="12" customWidth="1" style="103" min="12" max="12"/>
  </cols>
  <sheetData>
    <row r="1" ht="25.5" customHeight="1" s="104">
      <c r="A1" s="126" t="inlineStr">
        <is>
          <t>Templumis University — Payment Transactions</t>
        </is>
      </c>
    </row>
    <row r="2" ht="15.75" customHeight="1" s="104">
      <c r="A2" s="127" t="inlineStr">
        <is>
          <t>Academic Year 2023/24 · Semester 1  |  All amounts in KES</t>
        </is>
      </c>
    </row>
    <row r="4" ht="18" customHeight="1" s="104">
      <c r="A4" s="128" t="inlineStr">
        <is>
          <t>Payment ID</t>
        </is>
      </c>
      <c r="B4" s="128" t="inlineStr">
        <is>
          <t>Fee Record ID</t>
        </is>
      </c>
      <c r="C4" s="128" t="inlineStr">
        <is>
          <t>Student ID</t>
        </is>
      </c>
      <c r="D4" s="128" t="inlineStr">
        <is>
          <t>Student Name</t>
        </is>
      </c>
      <c r="E4" s="128" t="inlineStr">
        <is>
          <t>Payment Date</t>
        </is>
      </c>
      <c r="F4" s="128" t="inlineStr">
        <is>
          <t>Payment Method</t>
        </is>
      </c>
      <c r="G4" s="128" t="inlineStr">
        <is>
          <t>Reference No.</t>
        </is>
      </c>
      <c r="H4" s="128" t="inlineStr">
        <is>
          <t>Amount (KES)</t>
        </is>
      </c>
      <c r="I4" s="128" t="inlineStr">
        <is>
          <t>Payment Type</t>
        </is>
      </c>
      <c r="J4" s="128" t="inlineStr">
        <is>
          <t>Processed By</t>
        </is>
      </c>
      <c r="K4" s="128" t="inlineStr">
        <is>
          <t>Receipt No.</t>
        </is>
      </c>
      <c r="L4" s="128" t="inlineStr">
        <is>
          <t>Status</t>
        </is>
      </c>
    </row>
    <row r="5" ht="15.75" customHeight="1" s="104">
      <c r="A5" s="129" t="inlineStr">
        <is>
          <t>PAY-0001</t>
        </is>
      </c>
      <c r="B5" s="129" t="inlineStr">
        <is>
          <t>FR-0001</t>
        </is>
      </c>
      <c r="C5" s="129" t="inlineStr">
        <is>
          <t>TU-2021-0001</t>
        </is>
      </c>
      <c r="D5" s="130" t="inlineStr">
        <is>
          <t>Amelia Odhiambo</t>
        </is>
      </c>
      <c r="E5" s="129" t="inlineStr">
        <is>
          <t>2023-09-08</t>
        </is>
      </c>
      <c r="F5" s="129" t="inlineStr">
        <is>
          <t>M-Pesa</t>
        </is>
      </c>
      <c r="G5" s="129" t="inlineStr">
        <is>
          <t>REF529696</t>
        </is>
      </c>
      <c r="H5" s="131" t="n">
        <v>80000</v>
      </c>
      <c r="I5" s="129" t="inlineStr">
        <is>
          <t>Tuition &amp; Registration</t>
        </is>
      </c>
      <c r="J5" s="129" t="inlineStr">
        <is>
          <t>Bursar</t>
        </is>
      </c>
      <c r="K5" s="129" t="inlineStr">
        <is>
          <t>RCT-0001</t>
        </is>
      </c>
      <c r="L5" s="132" t="inlineStr">
        <is>
          <t>Confirmed</t>
        </is>
      </c>
    </row>
    <row r="6" ht="15.75" customHeight="1" s="104">
      <c r="A6" s="133" t="inlineStr">
        <is>
          <t>PAY-0002</t>
        </is>
      </c>
      <c r="B6" s="133" t="inlineStr">
        <is>
          <t>FR-0002</t>
        </is>
      </c>
      <c r="C6" s="133" t="inlineStr">
        <is>
          <t>TU-2022-0002</t>
        </is>
      </c>
      <c r="D6" s="134" t="inlineStr">
        <is>
          <t>Brian Mwangi</t>
        </is>
      </c>
      <c r="E6" s="133" t="inlineStr">
        <is>
          <t>2023-09-11</t>
        </is>
      </c>
      <c r="F6" s="133" t="inlineStr">
        <is>
          <t>M-Pesa</t>
        </is>
      </c>
      <c r="G6" s="133" t="inlineStr">
        <is>
          <t>REF184441</t>
        </is>
      </c>
      <c r="H6" s="135" t="n">
        <v>70000</v>
      </c>
      <c r="I6" s="133" t="inlineStr">
        <is>
          <t>Tuition &amp; Registration</t>
        </is>
      </c>
      <c r="J6" s="133" t="inlineStr">
        <is>
          <t>Finance Office</t>
        </is>
      </c>
      <c r="K6" s="133" t="inlineStr">
        <is>
          <t>RCT-0002</t>
        </is>
      </c>
      <c r="L6" s="132" t="inlineStr">
        <is>
          <t>Confirmed</t>
        </is>
      </c>
    </row>
    <row r="7" ht="15.75" customHeight="1" s="104">
      <c r="A7" s="129" t="inlineStr">
        <is>
          <t>PAY-0003</t>
        </is>
      </c>
      <c r="B7" s="129" t="inlineStr">
        <is>
          <t>FR-0003</t>
        </is>
      </c>
      <c r="C7" s="129" t="inlineStr">
        <is>
          <t>TU-2020-0003</t>
        </is>
      </c>
      <c r="D7" s="130" t="inlineStr">
        <is>
          <t>Claire Nakato</t>
        </is>
      </c>
      <c r="E7" s="129" t="inlineStr">
        <is>
          <t>2023-09-04</t>
        </is>
      </c>
      <c r="F7" s="129" t="inlineStr">
        <is>
          <t>Bank Transfer</t>
        </is>
      </c>
      <c r="G7" s="129" t="inlineStr">
        <is>
          <t>REF600208</t>
        </is>
      </c>
      <c r="H7" s="131" t="n">
        <v>80000</v>
      </c>
      <c r="I7" s="129" t="inlineStr">
        <is>
          <t>Tuition &amp; Registration</t>
        </is>
      </c>
      <c r="J7" s="129" t="inlineStr">
        <is>
          <t>Bursar</t>
        </is>
      </c>
      <c r="K7" s="129" t="inlineStr">
        <is>
          <t>RCT-0003</t>
        </is>
      </c>
      <c r="L7" s="132" t="inlineStr">
        <is>
          <t>Confirmed</t>
        </is>
      </c>
    </row>
    <row r="8" ht="15.75" customHeight="1" s="104">
      <c r="A8" s="133" t="inlineStr">
        <is>
          <t>PAY-0004</t>
        </is>
      </c>
      <c r="B8" s="133" t="inlineStr">
        <is>
          <t>FR-0004</t>
        </is>
      </c>
      <c r="C8" s="133" t="inlineStr">
        <is>
          <t>TU-2019-0004</t>
        </is>
      </c>
      <c r="D8" s="134" t="inlineStr">
        <is>
          <t>David Mensah</t>
        </is>
      </c>
      <c r="E8" s="133" t="inlineStr">
        <is>
          <t>2023-09-13</t>
        </is>
      </c>
      <c r="F8" s="133" t="inlineStr">
        <is>
          <t>Bank Transfer</t>
        </is>
      </c>
      <c r="G8" s="133" t="inlineStr">
        <is>
          <t>REF749605</t>
        </is>
      </c>
      <c r="H8" s="135" t="n">
        <v>80000</v>
      </c>
      <c r="I8" s="133" t="inlineStr">
        <is>
          <t>Tuition &amp; Registration</t>
        </is>
      </c>
      <c r="J8" s="133" t="inlineStr">
        <is>
          <t>Finance Office</t>
        </is>
      </c>
      <c r="K8" s="133" t="inlineStr">
        <is>
          <t>RCT-0004</t>
        </is>
      </c>
      <c r="L8" s="132" t="inlineStr">
        <is>
          <t>Confirmed</t>
        </is>
      </c>
    </row>
    <row r="9" ht="15.75" customHeight="1" s="104">
      <c r="A9" s="129" t="inlineStr">
        <is>
          <t>PAY-0005</t>
        </is>
      </c>
      <c r="B9" s="129" t="inlineStr">
        <is>
          <t>FR-0005</t>
        </is>
      </c>
      <c r="C9" s="129" t="inlineStr">
        <is>
          <t>TU-2023-0005</t>
        </is>
      </c>
      <c r="D9" s="130" t="inlineStr">
        <is>
          <t>Esther Wanjiku</t>
        </is>
      </c>
      <c r="E9" s="129" t="inlineStr">
        <is>
          <t>2023-09-02</t>
        </is>
      </c>
      <c r="F9" s="129" t="inlineStr">
        <is>
          <t>M-Pesa</t>
        </is>
      </c>
      <c r="G9" s="129" t="inlineStr">
        <is>
          <t>REF404242</t>
        </is>
      </c>
      <c r="H9" s="131" t="n">
        <v>45000</v>
      </c>
      <c r="I9" s="129" t="inlineStr">
        <is>
          <t>Partial Tuition</t>
        </is>
      </c>
      <c r="J9" s="129" t="inlineStr">
        <is>
          <t>Finance Office</t>
        </is>
      </c>
      <c r="K9" s="129" t="inlineStr">
        <is>
          <t>RCT-0005</t>
        </is>
      </c>
      <c r="L9" s="132" t="inlineStr">
        <is>
          <t>Confirmed</t>
        </is>
      </c>
    </row>
    <row r="10" ht="15.75" customHeight="1" s="104">
      <c r="A10" s="133" t="inlineStr">
        <is>
          <t>PAY-0006</t>
        </is>
      </c>
      <c r="B10" s="133" t="inlineStr">
        <is>
          <t>FR-0006</t>
        </is>
      </c>
      <c r="C10" s="133" t="inlineStr">
        <is>
          <t>TU-2021-0006</t>
        </is>
      </c>
      <c r="D10" s="134" t="inlineStr">
        <is>
          <t>Felix Otieno</t>
        </is>
      </c>
      <c r="E10" s="133" t="inlineStr">
        <is>
          <t>2023-09-07</t>
        </is>
      </c>
      <c r="F10" s="133" t="inlineStr">
        <is>
          <t>Bank Transfer</t>
        </is>
      </c>
      <c r="G10" s="133" t="inlineStr">
        <is>
          <t>REF432622</t>
        </is>
      </c>
      <c r="H10" s="135" t="n">
        <v>65000</v>
      </c>
      <c r="I10" s="133" t="inlineStr">
        <is>
          <t>Tuition &amp; Registration</t>
        </is>
      </c>
      <c r="J10" s="133" t="inlineStr">
        <is>
          <t>Bursar</t>
        </is>
      </c>
      <c r="K10" s="133" t="inlineStr">
        <is>
          <t>RCT-0006</t>
        </is>
      </c>
      <c r="L10" s="132" t="inlineStr">
        <is>
          <t>Confirmed</t>
        </is>
      </c>
    </row>
    <row r="11" ht="15.75" customHeight="1" s="104">
      <c r="A11" s="129" t="inlineStr">
        <is>
          <t>PAY-0007</t>
        </is>
      </c>
      <c r="B11" s="129" t="inlineStr">
        <is>
          <t>FR-0007</t>
        </is>
      </c>
      <c r="C11" s="129" t="inlineStr">
        <is>
          <t>TU-2022-0007</t>
        </is>
      </c>
      <c r="D11" s="130" t="inlineStr">
        <is>
          <t>Grace Auma</t>
        </is>
      </c>
      <c r="E11" s="129" t="inlineStr">
        <is>
          <t>2023-09-02</t>
        </is>
      </c>
      <c r="F11" s="129" t="inlineStr">
        <is>
          <t>Bank Transfer</t>
        </is>
      </c>
      <c r="G11" s="129" t="inlineStr">
        <is>
          <t>REF503029</t>
        </is>
      </c>
      <c r="H11" s="131" t="n">
        <v>80000</v>
      </c>
      <c r="I11" s="129" t="inlineStr">
        <is>
          <t>Tuition &amp; Registration</t>
        </is>
      </c>
      <c r="J11" s="129" t="inlineStr">
        <is>
          <t>Bursar</t>
        </is>
      </c>
      <c r="K11" s="129" t="inlineStr">
        <is>
          <t>RCT-0007</t>
        </is>
      </c>
      <c r="L11" s="132" t="inlineStr">
        <is>
          <t>Confirmed</t>
        </is>
      </c>
    </row>
    <row r="12" ht="15.75" customHeight="1" s="104">
      <c r="A12" s="133" t="inlineStr">
        <is>
          <t>PAY-0008</t>
        </is>
      </c>
      <c r="B12" s="133" t="inlineStr">
        <is>
          <t>FR-0008</t>
        </is>
      </c>
      <c r="C12" s="133" t="inlineStr">
        <is>
          <t>TU-2020-0008</t>
        </is>
      </c>
      <c r="D12" s="134" t="inlineStr">
        <is>
          <t>Hassan Abdi</t>
        </is>
      </c>
      <c r="E12" s="133" t="inlineStr">
        <is>
          <t>2023-09-14</t>
        </is>
      </c>
      <c r="F12" s="133" t="inlineStr">
        <is>
          <t>M-Pesa</t>
        </is>
      </c>
      <c r="G12" s="133" t="inlineStr">
        <is>
          <t>REF650659</t>
        </is>
      </c>
      <c r="H12" s="135" t="n">
        <v>75000</v>
      </c>
      <c r="I12" s="133" t="inlineStr">
        <is>
          <t>Tuition &amp; Registration</t>
        </is>
      </c>
      <c r="J12" s="133" t="inlineStr">
        <is>
          <t>Finance Office</t>
        </is>
      </c>
      <c r="K12" s="133" t="inlineStr">
        <is>
          <t>RCT-0008</t>
        </is>
      </c>
      <c r="L12" s="132" t="inlineStr">
        <is>
          <t>Confirmed</t>
        </is>
      </c>
    </row>
    <row r="13" ht="15.75" customHeight="1" s="104">
      <c r="A13" s="129" t="inlineStr">
        <is>
          <t>PAY-0009</t>
        </is>
      </c>
      <c r="B13" s="129" t="inlineStr">
        <is>
          <t>FR-0009</t>
        </is>
      </c>
      <c r="C13" s="129" t="inlineStr">
        <is>
          <t>TU-2021-0009</t>
        </is>
      </c>
      <c r="D13" s="130" t="inlineStr">
        <is>
          <t>Ivy Njeri</t>
        </is>
      </c>
      <c r="E13" s="129" t="inlineStr">
        <is>
          <t>2023-09-02</t>
        </is>
      </c>
      <c r="F13" s="129" t="inlineStr">
        <is>
          <t>—</t>
        </is>
      </c>
      <c r="G13" s="129" t="inlineStr">
        <is>
          <t>—</t>
        </is>
      </c>
      <c r="H13" s="131" t="n">
        <v>0</v>
      </c>
      <c r="I13" s="129" t="inlineStr">
        <is>
          <t>Deferred — Leave of Absence</t>
        </is>
      </c>
      <c r="J13" s="129" t="inlineStr">
        <is>
          <t>Registrar</t>
        </is>
      </c>
      <c r="K13" s="129" t="inlineStr">
        <is>
          <t>RCT-0009</t>
        </is>
      </c>
      <c r="L13" s="137" t="inlineStr">
        <is>
          <t>Deferred</t>
        </is>
      </c>
    </row>
    <row r="14" ht="15.75" customHeight="1" s="104">
      <c r="A14" s="133" t="inlineStr">
        <is>
          <t>PAY-0010</t>
        </is>
      </c>
      <c r="B14" s="133" t="inlineStr">
        <is>
          <t>FR-0010</t>
        </is>
      </c>
      <c r="C14" s="133" t="inlineStr">
        <is>
          <t>TU-2023-0010</t>
        </is>
      </c>
      <c r="D14" s="134" t="inlineStr">
        <is>
          <t>James Kibaki</t>
        </is>
      </c>
      <c r="E14" s="133" t="inlineStr">
        <is>
          <t>2023-09-04</t>
        </is>
      </c>
      <c r="F14" s="133" t="inlineStr">
        <is>
          <t>Bank Transfer</t>
        </is>
      </c>
      <c r="G14" s="133" t="inlineStr">
        <is>
          <t>REF890008</t>
        </is>
      </c>
      <c r="H14" s="135" t="n">
        <v>80000</v>
      </c>
      <c r="I14" s="133" t="inlineStr">
        <is>
          <t>Tuition &amp; Registration</t>
        </is>
      </c>
      <c r="J14" s="133" t="inlineStr">
        <is>
          <t>Bursar</t>
        </is>
      </c>
      <c r="K14" s="133" t="inlineStr">
        <is>
          <t>RCT-0010</t>
        </is>
      </c>
      <c r="L14" s="132" t="inlineStr">
        <is>
          <t>Confirmed</t>
        </is>
      </c>
    </row>
    <row r="15" ht="15.75" customHeight="1" s="104">
      <c r="A15" s="129" t="inlineStr">
        <is>
          <t>PAY-0011</t>
        </is>
      </c>
      <c r="B15" s="129" t="inlineStr">
        <is>
          <t>FR-0011</t>
        </is>
      </c>
      <c r="C15" s="129" t="inlineStr">
        <is>
          <t>TU-2022-0011</t>
        </is>
      </c>
      <c r="D15" s="130" t="inlineStr">
        <is>
          <t>Kezia Moraa</t>
        </is>
      </c>
      <c r="E15" s="129" t="inlineStr">
        <is>
          <t>2023-09-10</t>
        </is>
      </c>
      <c r="F15" s="129" t="inlineStr">
        <is>
          <t>Bank Transfer</t>
        </is>
      </c>
      <c r="G15" s="129" t="inlineStr">
        <is>
          <t>REF723142</t>
        </is>
      </c>
      <c r="H15" s="131" t="n">
        <v>80000</v>
      </c>
      <c r="I15" s="129" t="inlineStr">
        <is>
          <t>Tuition &amp; Registration</t>
        </is>
      </c>
      <c r="J15" s="129" t="inlineStr">
        <is>
          <t>Bursar</t>
        </is>
      </c>
      <c r="K15" s="129" t="inlineStr">
        <is>
          <t>RCT-0011</t>
        </is>
      </c>
      <c r="L15" s="132" t="inlineStr">
        <is>
          <t>Confirmed</t>
        </is>
      </c>
    </row>
    <row r="16" ht="15.75" customHeight="1" s="104">
      <c r="A16" s="133" t="inlineStr">
        <is>
          <t>PAY-0012</t>
        </is>
      </c>
      <c r="B16" s="133" t="inlineStr">
        <is>
          <t>FR-0012</t>
        </is>
      </c>
      <c r="C16" s="133" t="inlineStr">
        <is>
          <t>TU-2019-0012</t>
        </is>
      </c>
      <c r="D16" s="134" t="inlineStr">
        <is>
          <t>Liam Okonkwo</t>
        </is>
      </c>
      <c r="E16" s="133" t="inlineStr">
        <is>
          <t>2023-09-11</t>
        </is>
      </c>
      <c r="F16" s="133" t="inlineStr">
        <is>
          <t>Bank Transfer</t>
        </is>
      </c>
      <c r="G16" s="133" t="inlineStr">
        <is>
          <t>REF746509</t>
        </is>
      </c>
      <c r="H16" s="135" t="n">
        <v>80000</v>
      </c>
      <c r="I16" s="133" t="inlineStr">
        <is>
          <t>Tuition &amp; Registration</t>
        </is>
      </c>
      <c r="J16" s="133" t="inlineStr">
        <is>
          <t>Bursar</t>
        </is>
      </c>
      <c r="K16" s="133" t="inlineStr">
        <is>
          <t>RCT-0012</t>
        </is>
      </c>
      <c r="L16" s="132" t="inlineStr">
        <is>
          <t>Confirmed</t>
        </is>
      </c>
    </row>
    <row r="17" ht="15.75" customHeight="1" s="104">
      <c r="A17" s="129" t="inlineStr">
        <is>
          <t>PAY-0013</t>
        </is>
      </c>
      <c r="B17" s="129" t="inlineStr">
        <is>
          <t>FR-0013</t>
        </is>
      </c>
      <c r="C17" s="129" t="inlineStr">
        <is>
          <t>TU-2021-0013</t>
        </is>
      </c>
      <c r="D17" s="130" t="inlineStr">
        <is>
          <t>Mary Adhiambo</t>
        </is>
      </c>
      <c r="E17" s="129" t="inlineStr">
        <is>
          <t>2023-09-10</t>
        </is>
      </c>
      <c r="F17" s="129" t="inlineStr">
        <is>
          <t>Bank Transfer</t>
        </is>
      </c>
      <c r="G17" s="129" t="inlineStr">
        <is>
          <t>REF834564</t>
        </is>
      </c>
      <c r="H17" s="131" t="n">
        <v>70000</v>
      </c>
      <c r="I17" s="129" t="inlineStr">
        <is>
          <t>Tuition &amp; Registration</t>
        </is>
      </c>
      <c r="J17" s="129" t="inlineStr">
        <is>
          <t>Bursar</t>
        </is>
      </c>
      <c r="K17" s="129" t="inlineStr">
        <is>
          <t>RCT-0013</t>
        </is>
      </c>
      <c r="L17" s="132" t="inlineStr">
        <is>
          <t>Confirmed</t>
        </is>
      </c>
    </row>
    <row r="18" ht="15.75" customHeight="1" s="104">
      <c r="A18" s="133" t="inlineStr">
        <is>
          <t>PAY-0014</t>
        </is>
      </c>
      <c r="B18" s="133" t="inlineStr">
        <is>
          <t>FR-0014</t>
        </is>
      </c>
      <c r="C18" s="133" t="inlineStr">
        <is>
          <t>TU-2020-0014</t>
        </is>
      </c>
      <c r="D18" s="134" t="inlineStr">
        <is>
          <t>Noel Kiprotich</t>
        </is>
      </c>
      <c r="E18" s="133" t="inlineStr">
        <is>
          <t>2023-09-21</t>
        </is>
      </c>
      <c r="F18" s="133" t="inlineStr">
        <is>
          <t>M-Pesa</t>
        </is>
      </c>
      <c r="G18" s="133" t="inlineStr">
        <is>
          <t>REF313688</t>
        </is>
      </c>
      <c r="H18" s="135" t="n">
        <v>10000</v>
      </c>
      <c r="I18" s="133" t="inlineStr">
        <is>
          <t>Partial Tuition</t>
        </is>
      </c>
      <c r="J18" s="133" t="inlineStr">
        <is>
          <t>Finance Office</t>
        </is>
      </c>
      <c r="K18" s="133" t="inlineStr">
        <is>
          <t>RCT-0014</t>
        </is>
      </c>
      <c r="L18" s="132" t="inlineStr">
        <is>
          <t>Confirmed</t>
        </is>
      </c>
    </row>
    <row r="19" ht="15.75" customHeight="1" s="104">
      <c r="A19" s="129" t="inlineStr">
        <is>
          <t>PAY-0015</t>
        </is>
      </c>
      <c r="B19" s="129" t="inlineStr">
        <is>
          <t>FR-0015</t>
        </is>
      </c>
      <c r="C19" s="129" t="inlineStr">
        <is>
          <t>TU-2023-0015</t>
        </is>
      </c>
      <c r="D19" s="130" t="inlineStr">
        <is>
          <t>Olivia Achieng</t>
        </is>
      </c>
      <c r="E19" s="129" t="inlineStr">
        <is>
          <t>2023-09-08</t>
        </is>
      </c>
      <c r="F19" s="129" t="inlineStr">
        <is>
          <t>Bank Transfer</t>
        </is>
      </c>
      <c r="G19" s="129" t="inlineStr">
        <is>
          <t>REF357865</t>
        </is>
      </c>
      <c r="H19" s="131" t="n">
        <v>70000</v>
      </c>
      <c r="I19" s="129" t="inlineStr">
        <is>
          <t>Tuition &amp; Registration</t>
        </is>
      </c>
      <c r="J19" s="129" t="inlineStr">
        <is>
          <t>Finance Office</t>
        </is>
      </c>
      <c r="K19" s="129" t="inlineStr">
        <is>
          <t>RCT-0015</t>
        </is>
      </c>
      <c r="L19" s="132" t="inlineStr">
        <is>
          <t>Confirmed</t>
        </is>
      </c>
    </row>
    <row r="20" ht="15.75" customHeight="1" s="104">
      <c r="A20" s="133" t="inlineStr">
        <is>
          <t>PAY-0016</t>
        </is>
      </c>
      <c r="B20" s="133" t="inlineStr">
        <is>
          <t>FR-0016</t>
        </is>
      </c>
      <c r="C20" s="133" t="inlineStr">
        <is>
          <t>TU-2022-0016</t>
        </is>
      </c>
      <c r="D20" s="134" t="inlineStr">
        <is>
          <t>Patrick Owino</t>
        </is>
      </c>
      <c r="E20" s="133" t="inlineStr">
        <is>
          <t>2023-09-09</t>
        </is>
      </c>
      <c r="F20" s="133" t="inlineStr">
        <is>
          <t>M-Pesa</t>
        </is>
      </c>
      <c r="G20" s="133" t="inlineStr">
        <is>
          <t>REF121357</t>
        </is>
      </c>
      <c r="H20" s="135" t="n">
        <v>80000</v>
      </c>
      <c r="I20" s="133" t="inlineStr">
        <is>
          <t>Tuition &amp; Registration</t>
        </is>
      </c>
      <c r="J20" s="133" t="inlineStr">
        <is>
          <t>Bursar</t>
        </is>
      </c>
      <c r="K20" s="133" t="inlineStr">
        <is>
          <t>RCT-0016</t>
        </is>
      </c>
      <c r="L20" s="132" t="inlineStr">
        <is>
          <t>Confirmed</t>
        </is>
      </c>
    </row>
    <row r="21" ht="15.75" customHeight="1" s="104">
      <c r="A21" s="129" t="inlineStr">
        <is>
          <t>PAY-0017</t>
        </is>
      </c>
      <c r="B21" s="129" t="inlineStr">
        <is>
          <t>FR-0017</t>
        </is>
      </c>
      <c r="C21" s="129" t="inlineStr">
        <is>
          <t>TU-2021-0017</t>
        </is>
      </c>
      <c r="D21" s="130" t="inlineStr">
        <is>
          <t>Queenie Mugo</t>
        </is>
      </c>
      <c r="E21" s="129" t="inlineStr">
        <is>
          <t>2023-09-03</t>
        </is>
      </c>
      <c r="F21" s="129" t="inlineStr">
        <is>
          <t>Bank Transfer</t>
        </is>
      </c>
      <c r="G21" s="129" t="inlineStr">
        <is>
          <t>REF635445</t>
        </is>
      </c>
      <c r="H21" s="131" t="n">
        <v>80000</v>
      </c>
      <c r="I21" s="129" t="inlineStr">
        <is>
          <t>Tuition &amp; Registration</t>
        </is>
      </c>
      <c r="J21" s="129" t="inlineStr">
        <is>
          <t>Finance Office</t>
        </is>
      </c>
      <c r="K21" s="129" t="inlineStr">
        <is>
          <t>RCT-0017</t>
        </is>
      </c>
      <c r="L21" s="132" t="inlineStr">
        <is>
          <t>Confirmed</t>
        </is>
      </c>
    </row>
    <row r="22" ht="15.75" customHeight="1" s="104">
      <c r="A22" s="133" t="inlineStr">
        <is>
          <t>PAY-0018</t>
        </is>
      </c>
      <c r="B22" s="133" t="inlineStr">
        <is>
          <t>FR-0018</t>
        </is>
      </c>
      <c r="C22" s="133" t="inlineStr">
        <is>
          <t>TU-2020-0018</t>
        </is>
      </c>
      <c r="D22" s="134" t="inlineStr">
        <is>
          <t>Robert Dlamini</t>
        </is>
      </c>
      <c r="E22" s="133" t="inlineStr">
        <is>
          <t>2023-09-11</t>
        </is>
      </c>
      <c r="F22" s="133" t="inlineStr">
        <is>
          <t>Bank Transfer</t>
        </is>
      </c>
      <c r="G22" s="133" t="inlineStr">
        <is>
          <t>REF222058</t>
        </is>
      </c>
      <c r="H22" s="135" t="n">
        <v>65000</v>
      </c>
      <c r="I22" s="133" t="inlineStr">
        <is>
          <t>Tuition &amp; Registration</t>
        </is>
      </c>
      <c r="J22" s="133" t="inlineStr">
        <is>
          <t>Finance Office</t>
        </is>
      </c>
      <c r="K22" s="133" t="inlineStr">
        <is>
          <t>RCT-0018</t>
        </is>
      </c>
      <c r="L22" s="132" t="inlineStr">
        <is>
          <t>Confirmed</t>
        </is>
      </c>
    </row>
    <row r="23" ht="15.75" customHeight="1" s="104">
      <c r="A23" s="129" t="inlineStr">
        <is>
          <t>PAY-0019</t>
        </is>
      </c>
      <c r="B23" s="129" t="inlineStr">
        <is>
          <t>FR-0019</t>
        </is>
      </c>
      <c r="C23" s="129" t="inlineStr">
        <is>
          <t>TU-2023-0019</t>
        </is>
      </c>
      <c r="D23" s="130" t="inlineStr">
        <is>
          <t>Sandra Chebet</t>
        </is>
      </c>
      <c r="E23" s="129" t="inlineStr">
        <is>
          <t>2023-09-10</t>
        </is>
      </c>
      <c r="F23" s="129" t="inlineStr">
        <is>
          <t>M-Pesa</t>
        </is>
      </c>
      <c r="G23" s="129" t="inlineStr">
        <is>
          <t>REF193437</t>
        </is>
      </c>
      <c r="H23" s="131" t="n">
        <v>80000</v>
      </c>
      <c r="I23" s="129" t="inlineStr">
        <is>
          <t>Tuition &amp; Registration</t>
        </is>
      </c>
      <c r="J23" s="129" t="inlineStr">
        <is>
          <t>Bursar</t>
        </is>
      </c>
      <c r="K23" s="129" t="inlineStr">
        <is>
          <t>RCT-0019</t>
        </is>
      </c>
      <c r="L23" s="132" t="inlineStr">
        <is>
          <t>Confirmed</t>
        </is>
      </c>
    </row>
    <row r="24" ht="15.75" customHeight="1" s="104">
      <c r="A24" s="133" t="inlineStr">
        <is>
          <t>PAY-0020</t>
        </is>
      </c>
      <c r="B24" s="133" t="inlineStr">
        <is>
          <t>FR-0020</t>
        </is>
      </c>
      <c r="C24" s="133" t="inlineStr">
        <is>
          <t>TU-2022-0020</t>
        </is>
      </c>
      <c r="D24" s="134" t="inlineStr">
        <is>
          <t>Tunde Adeyemi</t>
        </is>
      </c>
      <c r="E24" s="133" t="inlineStr">
        <is>
          <t>2023-09-06</t>
        </is>
      </c>
      <c r="F24" s="133" t="inlineStr">
        <is>
          <t>Bank Transfer</t>
        </is>
      </c>
      <c r="G24" s="133" t="inlineStr">
        <is>
          <t>REF354366</t>
        </is>
      </c>
      <c r="H24" s="135" t="n">
        <v>75000</v>
      </c>
      <c r="I24" s="133" t="inlineStr">
        <is>
          <t>Tuition &amp; Registration</t>
        </is>
      </c>
      <c r="J24" s="133" t="inlineStr">
        <is>
          <t>Finance Office</t>
        </is>
      </c>
      <c r="K24" s="133" t="inlineStr">
        <is>
          <t>RCT-0020</t>
        </is>
      </c>
      <c r="L24" s="132" t="inlineStr">
        <is>
          <t>Confirmed</t>
        </is>
      </c>
    </row>
    <row r="25" ht="15.75" customHeight="1" s="104">
      <c r="A25" s="129" t="inlineStr">
        <is>
          <t>PAY-0021</t>
        </is>
      </c>
      <c r="B25" s="129" t="inlineStr">
        <is>
          <t>FR-0021</t>
        </is>
      </c>
      <c r="C25" s="129" t="inlineStr">
        <is>
          <t>TU-2021-0021</t>
        </is>
      </c>
      <c r="D25" s="130" t="inlineStr">
        <is>
          <t>Uchenna Eze</t>
        </is>
      </c>
      <c r="E25" s="129" t="inlineStr">
        <is>
          <t>2023-09-01</t>
        </is>
      </c>
      <c r="F25" s="129" t="inlineStr">
        <is>
          <t>—</t>
        </is>
      </c>
      <c r="G25" s="129" t="inlineStr">
        <is>
          <t>—</t>
        </is>
      </c>
      <c r="H25" s="131" t="n">
        <v>0</v>
      </c>
      <c r="I25" s="129" t="inlineStr">
        <is>
          <t>Deferred — Leave of Absence</t>
        </is>
      </c>
      <c r="J25" s="129" t="inlineStr">
        <is>
          <t>Registrar</t>
        </is>
      </c>
      <c r="K25" s="129" t="inlineStr">
        <is>
          <t>RCT-0021</t>
        </is>
      </c>
      <c r="L25" s="137" t="inlineStr">
        <is>
          <t>Deferred</t>
        </is>
      </c>
    </row>
    <row r="26" ht="15.75" customHeight="1" s="104">
      <c r="A26" s="133" t="inlineStr">
        <is>
          <t>PAY-0022</t>
        </is>
      </c>
      <c r="B26" s="133" t="inlineStr">
        <is>
          <t>FR-0022</t>
        </is>
      </c>
      <c r="C26" s="133" t="inlineStr">
        <is>
          <t>TU-2019-0022</t>
        </is>
      </c>
      <c r="D26" s="134" t="inlineStr">
        <is>
          <t>Vivian Kamau</t>
        </is>
      </c>
      <c r="E26" s="133" t="inlineStr">
        <is>
          <t>2023-09-14</t>
        </is>
      </c>
      <c r="F26" s="133" t="inlineStr">
        <is>
          <t>Bank Transfer</t>
        </is>
      </c>
      <c r="G26" s="133" t="inlineStr">
        <is>
          <t>REF977426</t>
        </is>
      </c>
      <c r="H26" s="135" t="n">
        <v>80000</v>
      </c>
      <c r="I26" s="133" t="inlineStr">
        <is>
          <t>Tuition &amp; Registration</t>
        </is>
      </c>
      <c r="J26" s="133" t="inlineStr">
        <is>
          <t>Bursar</t>
        </is>
      </c>
      <c r="K26" s="133" t="inlineStr">
        <is>
          <t>RCT-0022</t>
        </is>
      </c>
      <c r="L26" s="132" t="inlineStr">
        <is>
          <t>Confirmed</t>
        </is>
      </c>
    </row>
    <row r="27" ht="15.75" customHeight="1" s="104">
      <c r="A27" s="129" t="inlineStr">
        <is>
          <t>PAY-0023</t>
        </is>
      </c>
      <c r="B27" s="129" t="inlineStr">
        <is>
          <t>FR-0023</t>
        </is>
      </c>
      <c r="C27" s="129" t="inlineStr">
        <is>
          <t>TU-2023-0023</t>
        </is>
      </c>
      <c r="D27" s="130" t="inlineStr">
        <is>
          <t>William Barasa</t>
        </is>
      </c>
      <c r="E27" s="129" t="inlineStr">
        <is>
          <t>2023-09-01</t>
        </is>
      </c>
      <c r="F27" s="129" t="inlineStr">
        <is>
          <t>M-Pesa</t>
        </is>
      </c>
      <c r="G27" s="129" t="inlineStr">
        <is>
          <t>REF581637</t>
        </is>
      </c>
      <c r="H27" s="131" t="n">
        <v>35000</v>
      </c>
      <c r="I27" s="129" t="inlineStr">
        <is>
          <t>Partial Tuition</t>
        </is>
      </c>
      <c r="J27" s="129" t="inlineStr">
        <is>
          <t>Finance Office</t>
        </is>
      </c>
      <c r="K27" s="129" t="inlineStr">
        <is>
          <t>RCT-0023</t>
        </is>
      </c>
      <c r="L27" s="132" t="inlineStr">
        <is>
          <t>Confirmed</t>
        </is>
      </c>
    </row>
    <row r="28" ht="15.75" customHeight="1" s="104">
      <c r="A28" s="133" t="inlineStr">
        <is>
          <t>PAY-0024</t>
        </is>
      </c>
      <c r="B28" s="133" t="inlineStr">
        <is>
          <t>FR-0024</t>
        </is>
      </c>
      <c r="C28" s="133" t="inlineStr">
        <is>
          <t>TU-2022-0024</t>
        </is>
      </c>
      <c r="D28" s="134" t="inlineStr">
        <is>
          <t>Xena Mutua</t>
        </is>
      </c>
      <c r="E28" s="133" t="inlineStr">
        <is>
          <t>2023-09-07</t>
        </is>
      </c>
      <c r="F28" s="133" t="inlineStr">
        <is>
          <t>Bank Transfer</t>
        </is>
      </c>
      <c r="G28" s="133" t="inlineStr">
        <is>
          <t>REF340643</t>
        </is>
      </c>
      <c r="H28" s="135" t="n">
        <v>80000</v>
      </c>
      <c r="I28" s="133" t="inlineStr">
        <is>
          <t>Tuition &amp; Registration</t>
        </is>
      </c>
      <c r="J28" s="133" t="inlineStr">
        <is>
          <t>Finance Office</t>
        </is>
      </c>
      <c r="K28" s="133" t="inlineStr">
        <is>
          <t>RCT-0024</t>
        </is>
      </c>
      <c r="L28" s="132" t="inlineStr">
        <is>
          <t>Confirmed</t>
        </is>
      </c>
    </row>
    <row r="29" ht="15.75" customHeight="1" s="104">
      <c r="A29" s="129" t="inlineStr">
        <is>
          <t>PAY-0025</t>
        </is>
      </c>
      <c r="B29" s="129" t="inlineStr">
        <is>
          <t>FR-0025</t>
        </is>
      </c>
      <c r="C29" s="129" t="inlineStr">
        <is>
          <t>TU-2023-0025</t>
        </is>
      </c>
      <c r="D29" s="130" t="inlineStr">
        <is>
          <t>Stephen Gaita Gaikia</t>
        </is>
      </c>
      <c r="E29" s="129" t="inlineStr">
        <is>
          <t>2023-09-06</t>
        </is>
      </c>
      <c r="F29" s="129" t="inlineStr">
        <is>
          <t>Bank Transfer</t>
        </is>
      </c>
      <c r="G29" s="129" t="inlineStr">
        <is>
          <t>REF670556</t>
        </is>
      </c>
      <c r="H29" s="131" t="n">
        <v>80000</v>
      </c>
      <c r="I29" s="129" t="inlineStr">
        <is>
          <t>Tuition &amp; Registration</t>
        </is>
      </c>
      <c r="J29" s="129" t="inlineStr">
        <is>
          <t>Finance Office</t>
        </is>
      </c>
      <c r="K29" s="129" t="inlineStr">
        <is>
          <t>RCT-0025</t>
        </is>
      </c>
      <c r="L29" s="132" t="inlineStr">
        <is>
          <t>Confirmed</t>
        </is>
      </c>
    </row>
    <row r="30" ht="15.75" customHeight="1" s="104">
      <c r="A30" s="133" t="inlineStr">
        <is>
          <t>PAY-0026</t>
        </is>
      </c>
      <c r="B30" s="133" t="inlineStr">
        <is>
          <t>FR-0026</t>
        </is>
      </c>
      <c r="C30" s="133" t="inlineStr">
        <is>
          <t>TU-PG-2022-0026</t>
        </is>
      </c>
      <c r="D30" s="134" t="inlineStr">
        <is>
          <t>Amara Diallo</t>
        </is>
      </c>
      <c r="E30" s="133" t="inlineStr">
        <is>
          <t>2023-09-05</t>
        </is>
      </c>
      <c r="F30" s="133" t="inlineStr">
        <is>
          <t>Bank Transfer</t>
        </is>
      </c>
      <c r="G30" s="133" t="inlineStr">
        <is>
          <t>REF864661</t>
        </is>
      </c>
      <c r="H30" s="135" t="n">
        <v>95000</v>
      </c>
      <c r="I30" s="133" t="inlineStr">
        <is>
          <t>Tuition &amp; Registration</t>
        </is>
      </c>
      <c r="J30" s="133" t="inlineStr">
        <is>
          <t>Finance Office</t>
        </is>
      </c>
      <c r="K30" s="133" t="inlineStr">
        <is>
          <t>RCT-0026</t>
        </is>
      </c>
      <c r="L30" s="132" t="inlineStr">
        <is>
          <t>Confirmed</t>
        </is>
      </c>
    </row>
    <row r="31" ht="15.75" customHeight="1" s="104">
      <c r="A31" s="129" t="inlineStr">
        <is>
          <t>PAY-0027</t>
        </is>
      </c>
      <c r="B31" s="129" t="inlineStr">
        <is>
          <t>FR-0027</t>
        </is>
      </c>
      <c r="C31" s="129" t="inlineStr">
        <is>
          <t>TU-PG-2023-0027</t>
        </is>
      </c>
      <c r="D31" s="130" t="inlineStr">
        <is>
          <t>Benjamin Kamto</t>
        </is>
      </c>
      <c r="E31" s="129" t="inlineStr">
        <is>
          <t>2023-09-12</t>
        </is>
      </c>
      <c r="F31" s="129" t="inlineStr">
        <is>
          <t>Bank Transfer</t>
        </is>
      </c>
      <c r="G31" s="129" t="inlineStr">
        <is>
          <t>REF268175</t>
        </is>
      </c>
      <c r="H31" s="131" t="n">
        <v>115000</v>
      </c>
      <c r="I31" s="129" t="inlineStr">
        <is>
          <t>Tuition &amp; Registration</t>
        </is>
      </c>
      <c r="J31" s="129" t="inlineStr">
        <is>
          <t>Bursar</t>
        </is>
      </c>
      <c r="K31" s="129" t="inlineStr">
        <is>
          <t>RCT-0027</t>
        </is>
      </c>
      <c r="L31" s="132" t="inlineStr">
        <is>
          <t>Confirmed</t>
        </is>
      </c>
    </row>
    <row r="32" ht="15.75" customHeight="1" s="104">
      <c r="A32" s="133" t="inlineStr">
        <is>
          <t>PAY-0028</t>
        </is>
      </c>
      <c r="B32" s="133" t="inlineStr">
        <is>
          <t>FR-0028</t>
        </is>
      </c>
      <c r="C32" s="133" t="inlineStr">
        <is>
          <t>TU-PG-2022-0028</t>
        </is>
      </c>
      <c r="D32" s="134" t="inlineStr">
        <is>
          <t>Celestine Awino</t>
        </is>
      </c>
      <c r="E32" s="133" t="inlineStr">
        <is>
          <t>2023-09-05</t>
        </is>
      </c>
      <c r="F32" s="133" t="inlineStr">
        <is>
          <t>Bank Transfer</t>
        </is>
      </c>
      <c r="G32" s="133" t="inlineStr">
        <is>
          <t>REF438948</t>
        </is>
      </c>
      <c r="H32" s="135" t="n">
        <v>90000</v>
      </c>
      <c r="I32" s="133" t="inlineStr">
        <is>
          <t>Tuition &amp; Registration</t>
        </is>
      </c>
      <c r="J32" s="133" t="inlineStr">
        <is>
          <t>Bursar</t>
        </is>
      </c>
      <c r="K32" s="133" t="inlineStr">
        <is>
          <t>RCT-0028</t>
        </is>
      </c>
      <c r="L32" s="132" t="inlineStr">
        <is>
          <t>Confirmed</t>
        </is>
      </c>
    </row>
    <row r="33" ht="15.75" customHeight="1" s="104">
      <c r="A33" s="129" t="inlineStr">
        <is>
          <t>PAY-0029</t>
        </is>
      </c>
      <c r="B33" s="129" t="inlineStr">
        <is>
          <t>FR-0029</t>
        </is>
      </c>
      <c r="C33" s="129" t="inlineStr">
        <is>
          <t>TU-PG-2023-0029</t>
        </is>
      </c>
      <c r="D33" s="130" t="inlineStr">
        <is>
          <t>Derrick Ssempa</t>
        </is>
      </c>
      <c r="E33" s="129" t="inlineStr">
        <is>
          <t>2023-09-02</t>
        </is>
      </c>
      <c r="F33" s="129" t="inlineStr">
        <is>
          <t>M-Pesa</t>
        </is>
      </c>
      <c r="G33" s="129" t="inlineStr">
        <is>
          <t>REF831747</t>
        </is>
      </c>
      <c r="H33" s="131" t="n">
        <v>60000</v>
      </c>
      <c r="I33" s="129" t="inlineStr">
        <is>
          <t>Partial Tuition</t>
        </is>
      </c>
      <c r="J33" s="129" t="inlineStr">
        <is>
          <t>Finance Office</t>
        </is>
      </c>
      <c r="K33" s="129" t="inlineStr">
        <is>
          <t>RCT-0029</t>
        </is>
      </c>
      <c r="L33" s="132" t="inlineStr">
        <is>
          <t>Confirmed</t>
        </is>
      </c>
    </row>
    <row r="34" ht="15.75" customHeight="1" s="104">
      <c r="A34" s="133" t="inlineStr">
        <is>
          <t>PAY-0030</t>
        </is>
      </c>
      <c r="B34" s="133" t="inlineStr">
        <is>
          <t>FR-0030</t>
        </is>
      </c>
      <c r="C34" s="133" t="inlineStr">
        <is>
          <t>TU-PG-2022-0030</t>
        </is>
      </c>
      <c r="D34" s="134" t="inlineStr">
        <is>
          <t>Faith Onyango</t>
        </is>
      </c>
      <c r="E34" s="133" t="inlineStr">
        <is>
          <t>2023-09-05</t>
        </is>
      </c>
      <c r="F34" s="133" t="inlineStr">
        <is>
          <t>Bank Transfer</t>
        </is>
      </c>
      <c r="G34" s="133" t="inlineStr">
        <is>
          <t>REF306824</t>
        </is>
      </c>
      <c r="H34" s="135" t="n">
        <v>90000</v>
      </c>
      <c r="I34" s="133" t="inlineStr">
        <is>
          <t>Tuition &amp; Registration</t>
        </is>
      </c>
      <c r="J34" s="133" t="inlineStr">
        <is>
          <t>Finance Office</t>
        </is>
      </c>
      <c r="K34" s="133" t="inlineStr">
        <is>
          <t>RCT-0030</t>
        </is>
      </c>
      <c r="L34" s="132" t="inlineStr">
        <is>
          <t>Confirmed</t>
        </is>
      </c>
    </row>
    <row r="35" ht="15.75" customHeight="1" s="104">
      <c r="A35" s="129" t="inlineStr">
        <is>
          <t>PAY-0031</t>
        </is>
      </c>
      <c r="B35" s="129" t="inlineStr">
        <is>
          <t>FR-0031</t>
        </is>
      </c>
      <c r="C35" s="129" t="inlineStr">
        <is>
          <t>TU-PG-2023-0031</t>
        </is>
      </c>
      <c r="D35" s="130" t="inlineStr">
        <is>
          <t>George Nkosi</t>
        </is>
      </c>
      <c r="E35" s="129" t="inlineStr">
        <is>
          <t>2023-09-06</t>
        </is>
      </c>
      <c r="F35" s="129" t="inlineStr">
        <is>
          <t>M-Pesa</t>
        </is>
      </c>
      <c r="G35" s="129" t="inlineStr">
        <is>
          <t>REF216452</t>
        </is>
      </c>
      <c r="H35" s="131" t="n">
        <v>115000</v>
      </c>
      <c r="I35" s="129" t="inlineStr">
        <is>
          <t>Tuition &amp; Registration</t>
        </is>
      </c>
      <c r="J35" s="129" t="inlineStr">
        <is>
          <t>Bursar</t>
        </is>
      </c>
      <c r="K35" s="129" t="inlineStr">
        <is>
          <t>RCT-0031</t>
        </is>
      </c>
      <c r="L35" s="132" t="inlineStr">
        <is>
          <t>Confirmed</t>
        </is>
      </c>
    </row>
    <row r="36" ht="15.75" customHeight="1" s="104">
      <c r="A36" s="133" t="inlineStr">
        <is>
          <t>PAY-0032</t>
        </is>
      </c>
      <c r="B36" s="133" t="inlineStr">
        <is>
          <t>FR-0032</t>
        </is>
      </c>
      <c r="C36" s="133" t="inlineStr">
        <is>
          <t>TU-PG-2021-0032</t>
        </is>
      </c>
      <c r="D36" s="134" t="inlineStr">
        <is>
          <t>Helen Mutuku</t>
        </is>
      </c>
      <c r="E36" s="133" t="inlineStr">
        <is>
          <t>2023-09-11</t>
        </is>
      </c>
      <c r="F36" s="133" t="inlineStr">
        <is>
          <t>M-Pesa</t>
        </is>
      </c>
      <c r="G36" s="133" t="inlineStr">
        <is>
          <t>REF292726</t>
        </is>
      </c>
      <c r="H36" s="135" t="n">
        <v>85000</v>
      </c>
      <c r="I36" s="133" t="inlineStr">
        <is>
          <t>Tuition &amp; Registration</t>
        </is>
      </c>
      <c r="J36" s="133" t="inlineStr">
        <is>
          <t>Finance Office</t>
        </is>
      </c>
      <c r="K36" s="133" t="inlineStr">
        <is>
          <t>RCT-0032</t>
        </is>
      </c>
      <c r="L36" s="132" t="inlineStr">
        <is>
          <t>Confirmed</t>
        </is>
      </c>
    </row>
    <row r="37" ht="15.75" customHeight="1" s="104">
      <c r="A37" s="129" t="inlineStr">
        <is>
          <t>PAY-0033</t>
        </is>
      </c>
      <c r="B37" s="129" t="inlineStr">
        <is>
          <t>FR-0033</t>
        </is>
      </c>
      <c r="C37" s="129" t="inlineStr">
        <is>
          <t>TU-PG-2022-0033</t>
        </is>
      </c>
      <c r="D37" s="130" t="inlineStr">
        <is>
          <t>Ibrahim Hassan</t>
        </is>
      </c>
      <c r="E37" s="129" t="inlineStr">
        <is>
          <t>2023-09-13</t>
        </is>
      </c>
      <c r="F37" s="129" t="inlineStr">
        <is>
          <t>M-Pesa</t>
        </is>
      </c>
      <c r="G37" s="129" t="inlineStr">
        <is>
          <t>REF461197</t>
        </is>
      </c>
      <c r="H37" s="131" t="n">
        <v>85000</v>
      </c>
      <c r="I37" s="129" t="inlineStr">
        <is>
          <t>Tuition &amp; Registration</t>
        </is>
      </c>
      <c r="J37" s="129" t="inlineStr">
        <is>
          <t>Finance Office</t>
        </is>
      </c>
      <c r="K37" s="129" t="inlineStr">
        <is>
          <t>RCT-0033</t>
        </is>
      </c>
      <c r="L37" s="132" t="inlineStr">
        <is>
          <t>Confirmed</t>
        </is>
      </c>
    </row>
    <row r="38" ht="15.75" customHeight="1" s="104">
      <c r="A38" s="133" t="inlineStr">
        <is>
          <t>PAY-0034</t>
        </is>
      </c>
      <c r="B38" s="133" t="inlineStr">
        <is>
          <t>FR-0034</t>
        </is>
      </c>
      <c r="C38" s="133" t="inlineStr">
        <is>
          <t>TU-PG-2021-0034</t>
        </is>
      </c>
      <c r="D38" s="134" t="inlineStr">
        <is>
          <t>Janet Akinyi</t>
        </is>
      </c>
      <c r="E38" s="133" t="inlineStr">
        <is>
          <t>2023-09-11</t>
        </is>
      </c>
      <c r="F38" s="133" t="inlineStr">
        <is>
          <t>Bank Transfer</t>
        </is>
      </c>
      <c r="G38" s="133" t="inlineStr">
        <is>
          <t>REF525912</t>
        </is>
      </c>
      <c r="H38" s="135" t="n">
        <v>80000</v>
      </c>
      <c r="I38" s="133" t="inlineStr">
        <is>
          <t>Tuition &amp; Registration</t>
        </is>
      </c>
      <c r="J38" s="133" t="inlineStr">
        <is>
          <t>Finance Office</t>
        </is>
      </c>
      <c r="K38" s="133" t="inlineStr">
        <is>
          <t>RCT-0034</t>
        </is>
      </c>
      <c r="L38" s="132" t="inlineStr">
        <is>
          <t>Confirmed</t>
        </is>
      </c>
    </row>
    <row r="39" ht="15.75" customHeight="1" s="104">
      <c r="A39" s="129" t="inlineStr">
        <is>
          <t>PAY-0035</t>
        </is>
      </c>
      <c r="B39" s="129" t="inlineStr">
        <is>
          <t>FR-0035</t>
        </is>
      </c>
      <c r="C39" s="129" t="inlineStr">
        <is>
          <t>TU-PG-2022-0035</t>
        </is>
      </c>
      <c r="D39" s="130" t="inlineStr">
        <is>
          <t>Kenneth Osei</t>
        </is>
      </c>
      <c r="E39" s="129" t="inlineStr">
        <is>
          <t>2023-09-02</t>
        </is>
      </c>
      <c r="F39" s="129" t="inlineStr">
        <is>
          <t>—</t>
        </is>
      </c>
      <c r="G39" s="129" t="inlineStr">
        <is>
          <t>—</t>
        </is>
      </c>
      <c r="H39" s="131" t="n">
        <v>0</v>
      </c>
      <c r="I39" s="129" t="inlineStr">
        <is>
          <t>Deferred — Leave of Absence</t>
        </is>
      </c>
      <c r="J39" s="129" t="inlineStr">
        <is>
          <t>Registrar</t>
        </is>
      </c>
      <c r="K39" s="129" t="inlineStr">
        <is>
          <t>RCT-0035</t>
        </is>
      </c>
      <c r="L39" s="137" t="inlineStr">
        <is>
          <t>Deferred</t>
        </is>
      </c>
    </row>
    <row r="40" ht="15.75" customHeight="1" s="104">
      <c r="A40" s="133" t="inlineStr">
        <is>
          <t>PAY-0036</t>
        </is>
      </c>
      <c r="B40" s="133" t="inlineStr">
        <is>
          <t>FR-0036</t>
        </is>
      </c>
      <c r="C40" s="133" t="inlineStr">
        <is>
          <t>TU-PG-2020-0036</t>
        </is>
      </c>
      <c r="D40" s="134" t="inlineStr">
        <is>
          <t>Lydia Cheptoo</t>
        </is>
      </c>
      <c r="E40" s="133" t="inlineStr">
        <is>
          <t>2023-09-04</t>
        </is>
      </c>
      <c r="F40" s="133" t="inlineStr">
        <is>
          <t>M-Pesa</t>
        </is>
      </c>
      <c r="G40" s="133" t="inlineStr">
        <is>
          <t>REF944370</t>
        </is>
      </c>
      <c r="H40" s="135" t="n">
        <v>85000</v>
      </c>
      <c r="I40" s="133" t="inlineStr">
        <is>
          <t>Tuition &amp; Registration</t>
        </is>
      </c>
      <c r="J40" s="133" t="inlineStr">
        <is>
          <t>Bursar</t>
        </is>
      </c>
      <c r="K40" s="133" t="inlineStr">
        <is>
          <t>RCT-0036</t>
        </is>
      </c>
      <c r="L40" s="132" t="inlineStr">
        <is>
          <t>Confirmed</t>
        </is>
      </c>
    </row>
    <row r="41" ht="15.75" customHeight="1" s="104">
      <c r="A41" s="129" t="inlineStr">
        <is>
          <t>PAY-0037</t>
        </is>
      </c>
      <c r="B41" s="129" t="inlineStr">
        <is>
          <t>FR-0037</t>
        </is>
      </c>
      <c r="C41" s="129" t="inlineStr">
        <is>
          <t>TU-PG-2023-0037</t>
        </is>
      </c>
      <c r="D41" s="130" t="inlineStr">
        <is>
          <t>Moses Waweru</t>
        </is>
      </c>
      <c r="E41" s="129" t="inlineStr">
        <is>
          <t>2023-09-02</t>
        </is>
      </c>
      <c r="F41" s="129" t="inlineStr">
        <is>
          <t>Bank Transfer</t>
        </is>
      </c>
      <c r="G41" s="129" t="inlineStr">
        <is>
          <t>REF361964</t>
        </is>
      </c>
      <c r="H41" s="131" t="n">
        <v>85000</v>
      </c>
      <c r="I41" s="129" t="inlineStr">
        <is>
          <t>Tuition &amp; Registration</t>
        </is>
      </c>
      <c r="J41" s="129" t="inlineStr">
        <is>
          <t>Finance Office</t>
        </is>
      </c>
      <c r="K41" s="129" t="inlineStr">
        <is>
          <t>RCT-0037</t>
        </is>
      </c>
      <c r="L41" s="132" t="inlineStr">
        <is>
          <t>Confirmed</t>
        </is>
      </c>
    </row>
    <row r="42" ht="18" customHeight="1" s="104">
      <c r="A42" s="139" t="inlineStr">
        <is>
          <t>TOTAL PAYMENTS RECEIVED</t>
        </is>
      </c>
      <c r="B42" s="140" t="n"/>
      <c r="C42" s="140" t="n"/>
      <c r="D42" s="140" t="n"/>
      <c r="E42" s="140" t="n"/>
      <c r="F42" s="140" t="n"/>
      <c r="G42" s="140" t="n"/>
      <c r="H42" s="141">
        <f>SUM(H5:H41)</f>
        <v/>
      </c>
      <c r="I42" s="140" t="n"/>
      <c r="J42" s="140" t="n"/>
      <c r="K42" s="140" t="n"/>
      <c r="L42" s="140" t="n"/>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03" min="1" max="1"/>
    <col width="36" customWidth="1" style="103" min="2" max="2"/>
    <col width="18" customWidth="1" style="103" min="3" max="3"/>
    <col width="40" customWidth="1" style="103" min="4" max="4"/>
    <col width="16" customWidth="1" style="103" min="5" max="5"/>
    <col width="22" customWidth="1" style="103" min="6" max="6"/>
    <col width="16" customWidth="1" style="103" min="7" max="7"/>
    <col width="14" customWidth="1" style="103" min="8" max="8"/>
    <col width="12" customWidth="1" style="103" min="9" max="9"/>
  </cols>
  <sheetData>
    <row r="1" ht="25.5" customHeight="1" s="104">
      <c r="A1" s="126" t="inlineStr">
        <is>
          <t>Templumis University — Scholarship Programmes</t>
        </is>
      </c>
    </row>
    <row r="2" ht="15.75" customHeight="1" s="104">
      <c r="A2" s="127" t="inlineStr">
        <is>
          <t>Active &amp; Available Scholarships · Academic Year 2023/24</t>
        </is>
      </c>
    </row>
    <row r="4" ht="18" customHeight="1" s="104">
      <c r="A4" s="128" t="inlineStr">
        <is>
          <t>Scholarship ID</t>
        </is>
      </c>
      <c r="B4" s="128" t="inlineStr">
        <is>
          <t>Scholarship Name</t>
        </is>
      </c>
      <c r="C4" s="128" t="inlineStr">
        <is>
          <t>Type</t>
        </is>
      </c>
      <c r="D4" s="128" t="inlineStr">
        <is>
          <t>Criteria</t>
        </is>
      </c>
      <c r="E4" s="128" t="inlineStr">
        <is>
          <t>Value (KES)</t>
        </is>
      </c>
      <c r="F4" s="128" t="inlineStr">
        <is>
          <t>Coverage</t>
        </is>
      </c>
      <c r="G4" s="128" t="inlineStr">
        <is>
          <t>Slots Available</t>
        </is>
      </c>
      <c r="H4" s="128" t="inlineStr">
        <is>
          <t>Slots Filled</t>
        </is>
      </c>
      <c r="I4" s="128" t="inlineStr">
        <is>
          <t>Status</t>
        </is>
      </c>
    </row>
    <row r="5" ht="24" customHeight="1" s="104">
      <c r="A5" s="129" t="inlineStr">
        <is>
          <t>SCH-001</t>
        </is>
      </c>
      <c r="B5" s="130" t="inlineStr">
        <is>
          <t>Vice Chancellor's Merit Award</t>
        </is>
      </c>
      <c r="C5" s="129" t="inlineStr">
        <is>
          <t>Merit</t>
        </is>
      </c>
      <c r="D5" s="142" t="inlineStr">
        <is>
          <t>Top 5% GPA; minimum GPA 3.80</t>
        </is>
      </c>
      <c r="E5" s="131" t="n">
        <v>100000</v>
      </c>
      <c r="F5" s="129" t="inlineStr">
        <is>
          <t>Full Tuition</t>
        </is>
      </c>
      <c r="G5" s="129" t="n">
        <v>5</v>
      </c>
      <c r="H5" s="129" t="n">
        <v>2</v>
      </c>
      <c r="I5" s="132" t="inlineStr">
        <is>
          <t>Active</t>
        </is>
      </c>
    </row>
    <row r="6" ht="24" customHeight="1" s="104">
      <c r="A6" s="133" t="inlineStr">
        <is>
          <t>SCH-002</t>
        </is>
      </c>
      <c r="B6" s="134" t="inlineStr">
        <is>
          <t>Dean's Excellence Bursary</t>
        </is>
      </c>
      <c r="C6" s="133" t="inlineStr">
        <is>
          <t>Merit</t>
        </is>
      </c>
      <c r="D6" s="143" t="inlineStr">
        <is>
          <t>GPA 3.50–3.79; Good Standing</t>
        </is>
      </c>
      <c r="E6" s="135" t="n">
        <v>50000</v>
      </c>
      <c r="F6" s="133" t="inlineStr">
        <is>
          <t>50% Tuition</t>
        </is>
      </c>
      <c r="G6" s="133" t="n">
        <v>10</v>
      </c>
      <c r="H6" s="133" t="n">
        <v>4</v>
      </c>
      <c r="I6" s="132" t="inlineStr">
        <is>
          <t>Active</t>
        </is>
      </c>
    </row>
    <row r="7" ht="24" customHeight="1" s="104">
      <c r="A7" s="129" t="inlineStr">
        <is>
          <t>SCH-003</t>
        </is>
      </c>
      <c r="B7" s="130" t="inlineStr">
        <is>
          <t>STEM Advancement Fund</t>
        </is>
      </c>
      <c r="C7" s="129" t="inlineStr">
        <is>
          <t>Merit + Need</t>
        </is>
      </c>
      <c r="D7" s="142" t="inlineStr">
        <is>
          <t>BSc/MSc programmes; GPA ≥ 3.20</t>
        </is>
      </c>
      <c r="E7" s="131" t="n">
        <v>40000</v>
      </c>
      <c r="F7" s="129" t="inlineStr">
        <is>
          <t>40% Tuition</t>
        </is>
      </c>
      <c r="G7" s="129" t="n">
        <v>8</v>
      </c>
      <c r="H7" s="129" t="n">
        <v>3</v>
      </c>
      <c r="I7" s="132" t="inlineStr">
        <is>
          <t>Active</t>
        </is>
      </c>
    </row>
    <row r="8" ht="24" customHeight="1" s="104">
      <c r="A8" s="133" t="inlineStr">
        <is>
          <t>SCH-004</t>
        </is>
      </c>
      <c r="B8" s="134" t="inlineStr">
        <is>
          <t>Pan-African Diversity Grant</t>
        </is>
      </c>
      <c r="C8" s="133" t="inlineStr">
        <is>
          <t>Diversity</t>
        </is>
      </c>
      <c r="D8" s="143" t="inlineStr">
        <is>
          <t>Non-Kenyan international students</t>
        </is>
      </c>
      <c r="E8" s="135" t="n">
        <v>30000</v>
      </c>
      <c r="F8" s="133" t="inlineStr">
        <is>
          <t>Partial Tuition</t>
        </is>
      </c>
      <c r="G8" s="133" t="n">
        <v>15</v>
      </c>
      <c r="H8" s="133" t="n">
        <v>7</v>
      </c>
      <c r="I8" s="132" t="inlineStr">
        <is>
          <t>Active</t>
        </is>
      </c>
    </row>
    <row r="9" ht="24" customHeight="1" s="104">
      <c r="A9" s="129" t="inlineStr">
        <is>
          <t>SCH-005</t>
        </is>
      </c>
      <c r="B9" s="130" t="inlineStr">
        <is>
          <t>Women in Science Scholarship</t>
        </is>
      </c>
      <c r="C9" s="129" t="inlineStr">
        <is>
          <t>Equity</t>
        </is>
      </c>
      <c r="D9" s="142" t="inlineStr">
        <is>
          <t>Female students in Science/Engineering</t>
        </is>
      </c>
      <c r="E9" s="131" t="n">
        <v>35000</v>
      </c>
      <c r="F9" s="129" t="inlineStr">
        <is>
          <t>Partial Tuition</t>
        </is>
      </c>
      <c r="G9" s="129" t="n">
        <v>6</v>
      </c>
      <c r="H9" s="129" t="n">
        <v>2</v>
      </c>
      <c r="I9" s="132" t="inlineStr">
        <is>
          <t>Active</t>
        </is>
      </c>
    </row>
    <row r="10" ht="24" customHeight="1" s="104">
      <c r="A10" s="133" t="inlineStr">
        <is>
          <t>SCH-006</t>
        </is>
      </c>
      <c r="B10" s="134" t="inlineStr">
        <is>
          <t>Bursary for Needy Students</t>
        </is>
      </c>
      <c r="C10" s="133" t="inlineStr">
        <is>
          <t>Need-Based</t>
        </is>
      </c>
      <c r="D10" s="143" t="inlineStr">
        <is>
          <t>Demonstrated financial hardship; GPA ≥ 2.50</t>
        </is>
      </c>
      <c r="E10" s="135" t="n">
        <v>25000</v>
      </c>
      <c r="F10" s="133" t="inlineStr">
        <is>
          <t>Partial Tuition</t>
        </is>
      </c>
      <c r="G10" s="133" t="n">
        <v>10</v>
      </c>
      <c r="H10" s="133" t="n">
        <v>3</v>
      </c>
      <c r="I10" s="132" t="inlineStr">
        <is>
          <t>Active</t>
        </is>
      </c>
    </row>
    <row r="11" ht="24" customHeight="1" s="104">
      <c r="A11" s="129" t="inlineStr">
        <is>
          <t>SCH-007</t>
        </is>
      </c>
      <c r="B11" s="130" t="inlineStr">
        <is>
          <t>Postgraduate Research Fellowship</t>
        </is>
      </c>
      <c r="C11" s="129" t="inlineStr">
        <is>
          <t>Research</t>
        </is>
      </c>
      <c r="D11" s="142" t="inlineStr">
        <is>
          <t>MSc/MA by Research students; supervisor endorsement</t>
        </is>
      </c>
      <c r="E11" s="131" t="n">
        <v>60000</v>
      </c>
      <c r="F11" s="129" t="inlineStr">
        <is>
          <t>Full Tuition + Stipend</t>
        </is>
      </c>
      <c r="G11" s="129" t="n">
        <v>4</v>
      </c>
      <c r="H11" s="129" t="n">
        <v>2</v>
      </c>
      <c r="I11" s="132" t="inlineStr">
        <is>
          <t>Active</t>
        </is>
      </c>
    </row>
    <row r="12" ht="24" customHeight="1" s="104">
      <c r="A12" s="133" t="inlineStr">
        <is>
          <t>SCH-008</t>
        </is>
      </c>
      <c r="B12" s="134" t="inlineStr">
        <is>
          <t>Community Leaders Award</t>
        </is>
      </c>
      <c r="C12" s="133" t="inlineStr">
        <is>
          <t>Leadership</t>
        </is>
      </c>
      <c r="D12" s="143" t="inlineStr">
        <is>
          <t>Community engagement evidence; essay required</t>
        </is>
      </c>
      <c r="E12" s="135" t="n">
        <v>20000</v>
      </c>
      <c r="F12" s="133" t="inlineStr">
        <is>
          <t>Flat Grant</t>
        </is>
      </c>
      <c r="G12" s="133" t="n">
        <v>5</v>
      </c>
      <c r="H12" s="133" t="n">
        <v>1</v>
      </c>
      <c r="I12" s="132" t="inlineStr">
        <is>
          <t>Active</t>
        </is>
      </c>
    </row>
    <row r="13" ht="24" customHeight="1" s="104">
      <c r="A13" s="129" t="inlineStr">
        <is>
          <t>SCH-009</t>
        </is>
      </c>
      <c r="B13" s="130" t="inlineStr">
        <is>
          <t>Health Sciences Sponsorship</t>
        </is>
      </c>
      <c r="C13" s="129" t="inlineStr">
        <is>
          <t>Sectoral</t>
        </is>
      </c>
      <c r="D13" s="142" t="inlineStr">
        <is>
          <t>BSc Nursing / BPharm / BSc Nutrition students</t>
        </is>
      </c>
      <c r="E13" s="131" t="n">
        <v>45000</v>
      </c>
      <c r="F13" s="129" t="inlineStr">
        <is>
          <t>50% Tuition</t>
        </is>
      </c>
      <c r="G13" s="129" t="n">
        <v>4</v>
      </c>
      <c r="H13" s="129" t="n">
        <v>2</v>
      </c>
      <c r="I13" s="132" t="inlineStr">
        <is>
          <t>Active</t>
        </is>
      </c>
    </row>
    <row r="14" ht="24" customHeight="1" s="104">
      <c r="A14" s="133" t="inlineStr">
        <is>
          <t>SCH-010</t>
        </is>
      </c>
      <c r="B14" s="134" t="inlineStr">
        <is>
          <t>Law &amp; Justice Fund</t>
        </is>
      </c>
      <c r="C14" s="133" t="inlineStr">
        <is>
          <t>Sectoral</t>
        </is>
      </c>
      <c r="D14" s="143" t="inlineStr">
        <is>
          <t>LLB students; moot court participation</t>
        </is>
      </c>
      <c r="E14" s="135" t="n">
        <v>30000</v>
      </c>
      <c r="F14" s="133" t="inlineStr">
        <is>
          <t>40% Tuition</t>
        </is>
      </c>
      <c r="G14" s="133" t="n">
        <v>4</v>
      </c>
      <c r="H14" s="133" t="n">
        <v>1</v>
      </c>
      <c r="I14" s="132" t="inlineStr">
        <is>
          <t>Active</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03" min="1" max="1"/>
    <col width="18" customWidth="1" style="103" min="2" max="2"/>
    <col width="24" customWidth="1" style="103" min="3" max="3"/>
    <col width="20" customWidth="1" style="103" min="4" max="4"/>
    <col width="8" customWidth="1" style="103" min="5" max="5"/>
    <col width="14" customWidth="1" style="103" min="6" max="6"/>
    <col width="30" customWidth="1" style="103" min="7" max="7"/>
    <col width="14" customWidth="1" style="103" min="8" max="9"/>
    <col width="18" customWidth="1" style="103" min="10" max="10"/>
    <col width="20" customWidth="1" style="103" min="11" max="11"/>
    <col width="14" customWidth="1" style="103" min="12" max="12"/>
    <col width="30" customWidth="1" style="103" min="13" max="13"/>
  </cols>
  <sheetData>
    <row r="1" ht="25.5" customHeight="1" s="104">
      <c r="A1" s="126" t="inlineStr">
        <is>
          <t>Templumis University — Scholarship Applications</t>
        </is>
      </c>
    </row>
    <row r="2" ht="15.75" customHeight="1" s="104">
      <c r="A2" s="127" t="inlineStr">
        <is>
          <t>Academic Year 2023/24 · Semester 1  |  All submitted applications</t>
        </is>
      </c>
    </row>
    <row r="4" ht="18" customHeight="1" s="104">
      <c r="A4" s="128" t="inlineStr">
        <is>
          <t>Application ID</t>
        </is>
      </c>
      <c r="B4" s="128" t="inlineStr">
        <is>
          <t>Student ID</t>
        </is>
      </c>
      <c r="C4" s="128" t="inlineStr">
        <is>
          <t>Student Name</t>
        </is>
      </c>
      <c r="D4" s="128" t="inlineStr">
        <is>
          <t>Programme</t>
        </is>
      </c>
      <c r="E4" s="128" t="inlineStr">
        <is>
          <t>GPA</t>
        </is>
      </c>
      <c r="F4" s="128" t="inlineStr">
        <is>
          <t>Scholarship ID</t>
        </is>
      </c>
      <c r="G4" s="128" t="inlineStr">
        <is>
          <t>Scholarship Name</t>
        </is>
      </c>
      <c r="H4" s="128" t="inlineStr">
        <is>
          <t>Applied Date</t>
        </is>
      </c>
      <c r="I4" s="128" t="inlineStr">
        <is>
          <t>Status</t>
        </is>
      </c>
      <c r="J4" s="128" t="inlineStr">
        <is>
          <t>Award Amount (KES)</t>
        </is>
      </c>
      <c r="K4" s="128" t="inlineStr">
        <is>
          <t>Reviewed By</t>
        </is>
      </c>
      <c r="L4" s="128" t="inlineStr">
        <is>
          <t>Decision Date</t>
        </is>
      </c>
      <c r="M4" s="128" t="inlineStr">
        <is>
          <t>Notes</t>
        </is>
      </c>
    </row>
    <row r="5" ht="19.5" customHeight="1" s="104">
      <c r="A5" s="129" t="inlineStr">
        <is>
          <t>APP-0001</t>
        </is>
      </c>
      <c r="B5" s="129" t="inlineStr">
        <is>
          <t>TU-2021-0017</t>
        </is>
      </c>
      <c r="C5" s="130" t="inlineStr">
        <is>
          <t>Queenie Mugo</t>
        </is>
      </c>
      <c r="D5" s="129" t="inlineStr">
        <is>
          <t>BSc</t>
        </is>
      </c>
      <c r="E5" s="129" t="n">
        <v>3.95</v>
      </c>
      <c r="F5" s="129" t="inlineStr">
        <is>
          <t>SCH-001</t>
        </is>
      </c>
      <c r="G5" s="130" t="inlineStr">
        <is>
          <t>Vice Chancellor's Merit Award</t>
        </is>
      </c>
      <c r="H5" s="129" t="inlineStr">
        <is>
          <t>2023-08-04</t>
        </is>
      </c>
      <c r="I5" s="132" t="inlineStr">
        <is>
          <t>Awarded</t>
        </is>
      </c>
      <c r="J5" s="131" t="n">
        <v>100000</v>
      </c>
      <c r="K5" s="129" t="inlineStr">
        <is>
          <t>Dr. M. Kamande</t>
        </is>
      </c>
      <c r="L5" s="129" t="inlineStr">
        <is>
          <t>2023-09-18</t>
        </is>
      </c>
      <c r="M5" s="142" t="inlineStr">
        <is>
          <t>Highest GPA in cohort; full award granted</t>
        </is>
      </c>
    </row>
    <row r="6" ht="19.5" customHeight="1" s="104">
      <c r="A6" s="133" t="inlineStr">
        <is>
          <t>APP-0002</t>
        </is>
      </c>
      <c r="B6" s="133" t="inlineStr">
        <is>
          <t>TU-2021-0001</t>
        </is>
      </c>
      <c r="C6" s="134" t="inlineStr">
        <is>
          <t>Amelia Odhiambo</t>
        </is>
      </c>
      <c r="D6" s="133" t="inlineStr">
        <is>
          <t>BSc</t>
        </is>
      </c>
      <c r="E6" s="133" t="n">
        <v>3.78</v>
      </c>
      <c r="F6" s="133" t="inlineStr">
        <is>
          <t>SCH-002</t>
        </is>
      </c>
      <c r="G6" s="134" t="inlineStr">
        <is>
          <t>Dean's Excellence Bursary</t>
        </is>
      </c>
      <c r="H6" s="133" t="inlineStr">
        <is>
          <t>2023-08-30</t>
        </is>
      </c>
      <c r="I6" s="132" t="inlineStr">
        <is>
          <t>Awarded</t>
        </is>
      </c>
      <c r="J6" s="135" t="n">
        <v>50000</v>
      </c>
      <c r="K6" s="133" t="inlineStr">
        <is>
          <t>Fin. Office</t>
        </is>
      </c>
      <c r="L6" s="133" t="inlineStr">
        <is>
          <t>2023-09-29</t>
        </is>
      </c>
      <c r="M6" s="143" t="inlineStr">
        <is>
          <t>GPA meets criteria; good standing confirmed</t>
        </is>
      </c>
    </row>
    <row r="7" ht="19.5" customHeight="1" s="104">
      <c r="A7" s="129" t="inlineStr">
        <is>
          <t>APP-0003</t>
        </is>
      </c>
      <c r="B7" s="129" t="inlineStr">
        <is>
          <t>TU-2022-0007</t>
        </is>
      </c>
      <c r="C7" s="130" t="inlineStr">
        <is>
          <t>Grace Auma</t>
        </is>
      </c>
      <c r="D7" s="129" t="inlineStr">
        <is>
          <t>BSc</t>
        </is>
      </c>
      <c r="E7" s="129" t="n">
        <v>3.68</v>
      </c>
      <c r="F7" s="129" t="inlineStr">
        <is>
          <t>SCH-002</t>
        </is>
      </c>
      <c r="G7" s="130" t="inlineStr">
        <is>
          <t>Dean's Excellence Bursary</t>
        </is>
      </c>
      <c r="H7" s="129" t="inlineStr">
        <is>
          <t>2023-08-11</t>
        </is>
      </c>
      <c r="I7" s="132" t="inlineStr">
        <is>
          <t>Awarded</t>
        </is>
      </c>
      <c r="J7" s="131" t="n">
        <v>50000</v>
      </c>
      <c r="K7" s="129" t="inlineStr">
        <is>
          <t>Scholarship Cttee</t>
        </is>
      </c>
      <c r="L7" s="129" t="inlineStr">
        <is>
          <t>2023-09-26</t>
        </is>
      </c>
      <c r="M7" s="142" t="inlineStr">
        <is>
          <t>GPA within range; Good Standing</t>
        </is>
      </c>
    </row>
    <row r="8" ht="19.5" customHeight="1" s="104">
      <c r="A8" s="133" t="inlineStr">
        <is>
          <t>APP-0004</t>
        </is>
      </c>
      <c r="B8" s="133" t="inlineStr">
        <is>
          <t>TU-2019-0022</t>
        </is>
      </c>
      <c r="C8" s="134" t="inlineStr">
        <is>
          <t>Vivian Kamau</t>
        </is>
      </c>
      <c r="D8" s="133" t="inlineStr">
        <is>
          <t>BSc</t>
        </is>
      </c>
      <c r="E8" s="133" t="n">
        <v>3.88</v>
      </c>
      <c r="F8" s="133" t="inlineStr">
        <is>
          <t>SCH-001</t>
        </is>
      </c>
      <c r="G8" s="134" t="inlineStr">
        <is>
          <t>Vice Chancellor's Merit Award</t>
        </is>
      </c>
      <c r="H8" s="133" t="inlineStr">
        <is>
          <t>2023-09-08</t>
        </is>
      </c>
      <c r="I8" s="132" t="inlineStr">
        <is>
          <t>Awarded</t>
        </is>
      </c>
      <c r="J8" s="135" t="n">
        <v>100000</v>
      </c>
      <c r="K8" s="133" t="inlineStr">
        <is>
          <t>Scholarship Cttee</t>
        </is>
      </c>
      <c r="L8" s="133" t="inlineStr">
        <is>
          <t>2023-10-09</t>
        </is>
      </c>
      <c r="M8" s="143" t="inlineStr">
        <is>
          <t>Graduated; historical award 2022/23</t>
        </is>
      </c>
    </row>
    <row r="9" ht="19.5" customHeight="1" s="104">
      <c r="A9" s="129" t="inlineStr">
        <is>
          <t>APP-0005</t>
        </is>
      </c>
      <c r="B9" s="129" t="inlineStr">
        <is>
          <t>TU-2023-0015</t>
        </is>
      </c>
      <c r="C9" s="130" t="inlineStr">
        <is>
          <t>Olivia Achieng</t>
        </is>
      </c>
      <c r="D9" s="129" t="inlineStr">
        <is>
          <t>BA</t>
        </is>
      </c>
      <c r="E9" s="129" t="n">
        <v>3.82</v>
      </c>
      <c r="F9" s="129" t="inlineStr">
        <is>
          <t>SCH-001</t>
        </is>
      </c>
      <c r="G9" s="130" t="inlineStr">
        <is>
          <t>Vice Chancellor's Merit Award</t>
        </is>
      </c>
      <c r="H9" s="129" t="inlineStr">
        <is>
          <t>2023-09-01</t>
        </is>
      </c>
      <c r="I9" s="136" t="inlineStr">
        <is>
          <t>Under Review</t>
        </is>
      </c>
      <c r="J9" s="129" t="inlineStr">
        <is>
          <t>—</t>
        </is>
      </c>
      <c r="K9" s="129" t="inlineStr">
        <is>
          <t>Pending</t>
        </is>
      </c>
      <c r="L9" s="129" t="n"/>
      <c r="M9" s="142" t="inlineStr">
        <is>
          <t>GPA qualifies; panel review pending</t>
        </is>
      </c>
    </row>
    <row r="10" ht="19.5" customHeight="1" s="104">
      <c r="A10" s="133" t="inlineStr">
        <is>
          <t>APP-0006</t>
        </is>
      </c>
      <c r="B10" s="133" t="inlineStr">
        <is>
          <t>TU-PG-2021-0032</t>
        </is>
      </c>
      <c r="C10" s="134" t="inlineStr">
        <is>
          <t>Helen Mutuku</t>
        </is>
      </c>
      <c r="D10" s="133" t="inlineStr">
        <is>
          <t>MSc by Research</t>
        </is>
      </c>
      <c r="E10" s="133" t="n">
        <v>3.82</v>
      </c>
      <c r="F10" s="133" t="inlineStr">
        <is>
          <t>SCH-007</t>
        </is>
      </c>
      <c r="G10" s="134" t="inlineStr">
        <is>
          <t>Postgraduate Research Fellowship</t>
        </is>
      </c>
      <c r="H10" s="133" t="inlineStr">
        <is>
          <t>2023-08-05</t>
        </is>
      </c>
      <c r="I10" s="132" t="inlineStr">
        <is>
          <t>Awarded</t>
        </is>
      </c>
      <c r="J10" s="135" t="n">
        <v>60000</v>
      </c>
      <c r="K10" s="133" t="inlineStr">
        <is>
          <t>Fin. Office</t>
        </is>
      </c>
      <c r="L10" s="133" t="inlineStr">
        <is>
          <t>2023-10-13</t>
        </is>
      </c>
      <c r="M10" s="143" t="inlineStr">
        <is>
          <t>Supervisor-endorsed; novel malaria research</t>
        </is>
      </c>
    </row>
    <row r="11" ht="19.5" customHeight="1" s="104">
      <c r="A11" s="129" t="inlineStr">
        <is>
          <t>APP-0007</t>
        </is>
      </c>
      <c r="B11" s="129" t="inlineStr">
        <is>
          <t>TU-PG-2020-0036</t>
        </is>
      </c>
      <c r="C11" s="130" t="inlineStr">
        <is>
          <t>Lydia Cheptoo</t>
        </is>
      </c>
      <c r="D11" s="129" t="inlineStr">
        <is>
          <t>MSc by Research</t>
        </is>
      </c>
      <c r="E11" s="129" t="n">
        <v>3.91</v>
      </c>
      <c r="F11" s="129" t="inlineStr">
        <is>
          <t>SCH-007</t>
        </is>
      </c>
      <c r="G11" s="130" t="inlineStr">
        <is>
          <t>Postgraduate Research Fellowship</t>
        </is>
      </c>
      <c r="H11" s="129" t="inlineStr">
        <is>
          <t>2023-09-05</t>
        </is>
      </c>
      <c r="I11" s="132" t="inlineStr">
        <is>
          <t>Awarded</t>
        </is>
      </c>
      <c r="J11" s="131" t="n">
        <v>60000</v>
      </c>
      <c r="K11" s="129" t="inlineStr">
        <is>
          <t>Scholarship Cttee</t>
        </is>
      </c>
      <c r="L11" s="129" t="inlineStr">
        <is>
          <t>2023-10-13</t>
        </is>
      </c>
      <c r="M11" s="142" t="inlineStr">
        <is>
          <t>Graduated; awarded 2022/23</t>
        </is>
      </c>
    </row>
    <row r="12" ht="19.5" customHeight="1" s="104">
      <c r="A12" s="133" t="inlineStr">
        <is>
          <t>APP-0008</t>
        </is>
      </c>
      <c r="B12" s="133" t="inlineStr">
        <is>
          <t>TU-PG-2022-0033</t>
        </is>
      </c>
      <c r="C12" s="134" t="inlineStr">
        <is>
          <t>Ibrahim Hassan</t>
        </is>
      </c>
      <c r="D12" s="133" t="inlineStr">
        <is>
          <t>MSc by Research</t>
        </is>
      </c>
      <c r="E12" s="133" t="n">
        <v>3.61</v>
      </c>
      <c r="F12" s="133" t="inlineStr">
        <is>
          <t>SCH-007</t>
        </is>
      </c>
      <c r="G12" s="134" t="inlineStr">
        <is>
          <t>Postgraduate Research Fellowship</t>
        </is>
      </c>
      <c r="H12" s="133" t="inlineStr">
        <is>
          <t>2023-09-02</t>
        </is>
      </c>
      <c r="I12" s="136" t="inlineStr">
        <is>
          <t>Under Review</t>
        </is>
      </c>
      <c r="J12" s="133" t="inlineStr">
        <is>
          <t>—</t>
        </is>
      </c>
      <c r="K12" s="133" t="inlineStr">
        <is>
          <t>Pending</t>
        </is>
      </c>
      <c r="L12" s="133" t="n"/>
      <c r="M12" s="143" t="inlineStr">
        <is>
          <t>AI/UAV crop research — supervisor endorsed</t>
        </is>
      </c>
    </row>
    <row r="13" ht="19.5" customHeight="1" s="104">
      <c r="A13" s="129" t="inlineStr">
        <is>
          <t>APP-0009</t>
        </is>
      </c>
      <c r="B13" s="129" t="inlineStr">
        <is>
          <t>TU-PG-2022-0026</t>
        </is>
      </c>
      <c r="C13" s="130" t="inlineStr">
        <is>
          <t>Amara Diallo</t>
        </is>
      </c>
      <c r="D13" s="129" t="inlineStr">
        <is>
          <t>MSc (Coursework)</t>
        </is>
      </c>
      <c r="E13" s="129" t="n">
        <v>3.72</v>
      </c>
      <c r="F13" s="129" t="inlineStr">
        <is>
          <t>SCH-004</t>
        </is>
      </c>
      <c r="G13" s="130" t="inlineStr">
        <is>
          <t>Pan-African Diversity Grant</t>
        </is>
      </c>
      <c r="H13" s="129" t="inlineStr">
        <is>
          <t>2023-09-08</t>
        </is>
      </c>
      <c r="I13" s="132" t="inlineStr">
        <is>
          <t>Awarded</t>
        </is>
      </c>
      <c r="J13" s="131" t="n">
        <v>30000</v>
      </c>
      <c r="K13" s="129" t="inlineStr">
        <is>
          <t>Dr. M. Kamande</t>
        </is>
      </c>
      <c r="L13" s="129" t="inlineStr">
        <is>
          <t>2023-09-20</t>
        </is>
      </c>
      <c r="M13" s="142" t="inlineStr">
        <is>
          <t>Senegalese national; international criteria met</t>
        </is>
      </c>
    </row>
    <row r="14" ht="19.5" customHeight="1" s="104">
      <c r="A14" s="133" t="inlineStr">
        <is>
          <t>APP-0010</t>
        </is>
      </c>
      <c r="B14" s="133" t="inlineStr">
        <is>
          <t>TU-PG-2023-0027</t>
        </is>
      </c>
      <c r="C14" s="134" t="inlineStr">
        <is>
          <t>Benjamin Kamto</t>
        </is>
      </c>
      <c r="D14" s="133" t="inlineStr">
        <is>
          <t>MBA (Coursework)</t>
        </is>
      </c>
      <c r="E14" s="133" t="n">
        <v>3.41</v>
      </c>
      <c r="F14" s="133" t="inlineStr">
        <is>
          <t>SCH-004</t>
        </is>
      </c>
      <c r="G14" s="134" t="inlineStr">
        <is>
          <t>Pan-African Diversity Grant</t>
        </is>
      </c>
      <c r="H14" s="133" t="inlineStr">
        <is>
          <t>2023-08-05</t>
        </is>
      </c>
      <c r="I14" s="132" t="inlineStr">
        <is>
          <t>Awarded</t>
        </is>
      </c>
      <c r="J14" s="135" t="n">
        <v>30000</v>
      </c>
      <c r="K14" s="133" t="inlineStr">
        <is>
          <t>Scholarship Cttee</t>
        </is>
      </c>
      <c r="L14" s="133" t="inlineStr">
        <is>
          <t>2023-10-16</t>
        </is>
      </c>
      <c r="M14" s="143" t="inlineStr">
        <is>
          <t>Cameroonian national; criteria met</t>
        </is>
      </c>
    </row>
    <row r="15" ht="19.5" customHeight="1" s="104">
      <c r="A15" s="129" t="inlineStr">
        <is>
          <t>APP-0011</t>
        </is>
      </c>
      <c r="B15" s="129" t="inlineStr">
        <is>
          <t>TU-PG-2023-0031</t>
        </is>
      </c>
      <c r="C15" s="130" t="inlineStr">
        <is>
          <t>George Nkosi</t>
        </is>
      </c>
      <c r="D15" s="129" t="inlineStr">
        <is>
          <t>MBA (Coursework)</t>
        </is>
      </c>
      <c r="E15" s="129" t="n">
        <v>3.22</v>
      </c>
      <c r="F15" s="129" t="inlineStr">
        <is>
          <t>SCH-004</t>
        </is>
      </c>
      <c r="G15" s="130" t="inlineStr">
        <is>
          <t>Pan-African Diversity Grant</t>
        </is>
      </c>
      <c r="H15" s="129" t="inlineStr">
        <is>
          <t>2023-08-07</t>
        </is>
      </c>
      <c r="I15" s="132" t="inlineStr">
        <is>
          <t>Awarded</t>
        </is>
      </c>
      <c r="J15" s="131" t="n">
        <v>30000</v>
      </c>
      <c r="K15" s="129" t="inlineStr">
        <is>
          <t>Scholarship Cttee</t>
        </is>
      </c>
      <c r="L15" s="129" t="inlineStr">
        <is>
          <t>2023-09-19</t>
        </is>
      </c>
      <c r="M15" s="142" t="inlineStr">
        <is>
          <t>South African national; criteria met</t>
        </is>
      </c>
    </row>
    <row r="16" ht="19.5" customHeight="1" s="104">
      <c r="A16" s="133" t="inlineStr">
        <is>
          <t>APP-0012</t>
        </is>
      </c>
      <c r="B16" s="133" t="inlineStr">
        <is>
          <t>TU-PG-2023-0029</t>
        </is>
      </c>
      <c r="C16" s="134" t="inlineStr">
        <is>
          <t>Derrick Ssempa</t>
        </is>
      </c>
      <c r="D16" s="133" t="inlineStr">
        <is>
          <t>MSc (Coursework)</t>
        </is>
      </c>
      <c r="E16" s="133" t="n">
        <v>2.81</v>
      </c>
      <c r="F16" s="133" t="inlineStr">
        <is>
          <t>SCH-004</t>
        </is>
      </c>
      <c r="G16" s="134" t="inlineStr">
        <is>
          <t>Pan-African Diversity Grant</t>
        </is>
      </c>
      <c r="H16" s="133" t="inlineStr">
        <is>
          <t>2023-09-01</t>
        </is>
      </c>
      <c r="I16" s="138" t="inlineStr">
        <is>
          <t>Rejected</t>
        </is>
      </c>
      <c r="J16" s="133" t="inlineStr">
        <is>
          <t>—</t>
        </is>
      </c>
      <c r="K16" s="133" t="inlineStr">
        <is>
          <t>Scholarship Cttee</t>
        </is>
      </c>
      <c r="L16" s="133" t="inlineStr">
        <is>
          <t>2023-10-13</t>
        </is>
      </c>
      <c r="M16" s="143" t="inlineStr">
        <is>
          <t>GPA 2.81 on probation; eligibility suspended</t>
        </is>
      </c>
    </row>
    <row r="17" ht="19.5" customHeight="1" s="104">
      <c r="A17" s="129" t="inlineStr">
        <is>
          <t>APP-0013</t>
        </is>
      </c>
      <c r="B17" s="129" t="inlineStr">
        <is>
          <t>TU-2023-0005</t>
        </is>
      </c>
      <c r="C17" s="130" t="inlineStr">
        <is>
          <t>Esther Wanjiku</t>
        </is>
      </c>
      <c r="D17" s="129" t="inlineStr">
        <is>
          <t>BSc</t>
        </is>
      </c>
      <c r="E17" s="129" t="n">
        <v>2.45</v>
      </c>
      <c r="F17" s="129" t="inlineStr">
        <is>
          <t>SCH-006</t>
        </is>
      </c>
      <c r="G17" s="130" t="inlineStr">
        <is>
          <t>Bursary for Needy Students</t>
        </is>
      </c>
      <c r="H17" s="129" t="inlineStr">
        <is>
          <t>2023-08-06</t>
        </is>
      </c>
      <c r="I17" s="136" t="inlineStr">
        <is>
          <t>Under Review</t>
        </is>
      </c>
      <c r="J17" s="129" t="inlineStr">
        <is>
          <t>—</t>
        </is>
      </c>
      <c r="K17" s="129" t="inlineStr">
        <is>
          <t>Pending</t>
        </is>
      </c>
      <c r="L17" s="129" t="n"/>
      <c r="M17" s="142" t="inlineStr">
        <is>
          <t>Financial hardship evidenced; GPA borderline at 2.45</t>
        </is>
      </c>
    </row>
    <row r="18" ht="19.5" customHeight="1" s="104">
      <c r="A18" s="133" t="inlineStr">
        <is>
          <t>APP-0014</t>
        </is>
      </c>
      <c r="B18" s="133" t="inlineStr">
        <is>
          <t>TU-2023-0023</t>
        </is>
      </c>
      <c r="C18" s="134" t="inlineStr">
        <is>
          <t>William Barasa</t>
        </is>
      </c>
      <c r="D18" s="133" t="inlineStr">
        <is>
          <t>BComm</t>
        </is>
      </c>
      <c r="E18" s="133" t="n">
        <v>2.2</v>
      </c>
      <c r="F18" s="133" t="inlineStr">
        <is>
          <t>SCH-006</t>
        </is>
      </c>
      <c r="G18" s="134" t="inlineStr">
        <is>
          <t>Bursary for Needy Students</t>
        </is>
      </c>
      <c r="H18" s="133" t="inlineStr">
        <is>
          <t>2023-08-21</t>
        </is>
      </c>
      <c r="I18" s="138" t="inlineStr">
        <is>
          <t>Rejected</t>
        </is>
      </c>
      <c r="J18" s="133" t="inlineStr">
        <is>
          <t>—</t>
        </is>
      </c>
      <c r="K18" s="133" t="inlineStr">
        <is>
          <t>Prof. W. Simiyu</t>
        </is>
      </c>
      <c r="L18" s="133" t="inlineStr">
        <is>
          <t>2023-10-08</t>
        </is>
      </c>
      <c r="M18" s="143" t="inlineStr">
        <is>
          <t>GPA 2.20 below minimum threshold of 2.50</t>
        </is>
      </c>
    </row>
    <row r="19" ht="19.5" customHeight="1" s="104">
      <c r="A19" s="129" t="inlineStr">
        <is>
          <t>APP-0015</t>
        </is>
      </c>
      <c r="B19" s="129" t="inlineStr">
        <is>
          <t>TU-2019-0004</t>
        </is>
      </c>
      <c r="C19" s="130" t="inlineStr">
        <is>
          <t>David Mensah</t>
        </is>
      </c>
      <c r="D19" s="129" t="inlineStr">
        <is>
          <t>BSc</t>
        </is>
      </c>
      <c r="E19" s="129" t="n">
        <v>3.9</v>
      </c>
      <c r="F19" s="129" t="inlineStr">
        <is>
          <t>SCH-009</t>
        </is>
      </c>
      <c r="G19" s="130" t="inlineStr">
        <is>
          <t>Health Sciences Sponsorship</t>
        </is>
      </c>
      <c r="H19" s="129" t="inlineStr">
        <is>
          <t>2023-08-15</t>
        </is>
      </c>
      <c r="I19" s="132" t="inlineStr">
        <is>
          <t>Awarded</t>
        </is>
      </c>
      <c r="J19" s="131" t="n">
        <v>45000</v>
      </c>
      <c r="K19" s="129" t="inlineStr">
        <is>
          <t>Scholarship Cttee</t>
        </is>
      </c>
      <c r="L19" s="129" t="inlineStr">
        <is>
          <t>2023-09-20</t>
        </is>
      </c>
      <c r="M19" s="142" t="inlineStr">
        <is>
          <t>Graduated; historical award 2022/23</t>
        </is>
      </c>
    </row>
    <row r="20" ht="19.5" customHeight="1" s="104">
      <c r="A20" s="133" t="inlineStr">
        <is>
          <t>APP-0016</t>
        </is>
      </c>
      <c r="B20" s="133" t="inlineStr">
        <is>
          <t>TU-2023-0019</t>
        </is>
      </c>
      <c r="C20" s="134" t="inlineStr">
        <is>
          <t>Sandra Chebet</t>
        </is>
      </c>
      <c r="D20" s="133" t="inlineStr">
        <is>
          <t>BSc</t>
        </is>
      </c>
      <c r="E20" s="133" t="n">
        <v>3.15</v>
      </c>
      <c r="F20" s="133" t="inlineStr">
        <is>
          <t>SCH-009</t>
        </is>
      </c>
      <c r="G20" s="134" t="inlineStr">
        <is>
          <t>Health Sciences Sponsorship</t>
        </is>
      </c>
      <c r="H20" s="133" t="inlineStr">
        <is>
          <t>2023-08-13</t>
        </is>
      </c>
      <c r="I20" s="132" t="inlineStr">
        <is>
          <t>Awarded</t>
        </is>
      </c>
      <c r="J20" s="135" t="n">
        <v>45000</v>
      </c>
      <c r="K20" s="133" t="inlineStr">
        <is>
          <t>Scholarship Cttee</t>
        </is>
      </c>
      <c r="L20" s="133" t="inlineStr">
        <is>
          <t>2023-09-17</t>
        </is>
      </c>
      <c r="M20" s="143" t="inlineStr">
        <is>
          <t>BSc Nutrition; criteria met</t>
        </is>
      </c>
    </row>
    <row r="21" ht="19.5" customHeight="1" s="104">
      <c r="A21" s="129" t="inlineStr">
        <is>
          <t>APP-0017</t>
        </is>
      </c>
      <c r="B21" s="129" t="inlineStr">
        <is>
          <t>TU-2020-0008</t>
        </is>
      </c>
      <c r="C21" s="130" t="inlineStr">
        <is>
          <t>Hassan Abdi</t>
        </is>
      </c>
      <c r="D21" s="129" t="inlineStr">
        <is>
          <t>LLB</t>
        </is>
      </c>
      <c r="E21" s="129" t="n">
        <v>3.1</v>
      </c>
      <c r="F21" s="129" t="inlineStr">
        <is>
          <t>SCH-010</t>
        </is>
      </c>
      <c r="G21" s="130" t="inlineStr">
        <is>
          <t>Law &amp; Justice Fund</t>
        </is>
      </c>
      <c r="H21" s="129" t="inlineStr">
        <is>
          <t>2023-08-12</t>
        </is>
      </c>
      <c r="I21" s="132" t="inlineStr">
        <is>
          <t>Awarded</t>
        </is>
      </c>
      <c r="J21" s="131" t="n">
        <v>30000</v>
      </c>
      <c r="K21" s="129" t="inlineStr">
        <is>
          <t>Dr. M. Kamande</t>
        </is>
      </c>
      <c r="L21" s="129" t="inlineStr">
        <is>
          <t>2023-10-15</t>
        </is>
      </c>
      <c r="M21" s="142" t="inlineStr">
        <is>
          <t>LLB Year 4; moot court participation confirmed</t>
        </is>
      </c>
    </row>
    <row r="22" ht="19.5" customHeight="1" s="104">
      <c r="A22" s="133" t="inlineStr">
        <is>
          <t>APP-0018</t>
        </is>
      </c>
      <c r="B22" s="133" t="inlineStr">
        <is>
          <t>TU-2022-0020</t>
        </is>
      </c>
      <c r="C22" s="134" t="inlineStr">
        <is>
          <t>Tunde Adeyemi</t>
        </is>
      </c>
      <c r="D22" s="133" t="inlineStr">
        <is>
          <t>LLB</t>
        </is>
      </c>
      <c r="E22" s="133" t="n">
        <v>3.6</v>
      </c>
      <c r="F22" s="133" t="inlineStr">
        <is>
          <t>SCH-010</t>
        </is>
      </c>
      <c r="G22" s="134" t="inlineStr">
        <is>
          <t>Law &amp; Justice Fund</t>
        </is>
      </c>
      <c r="H22" s="133" t="inlineStr">
        <is>
          <t>2023-08-26</t>
        </is>
      </c>
      <c r="I22" s="136" t="inlineStr">
        <is>
          <t>Under Review</t>
        </is>
      </c>
      <c r="J22" s="133" t="inlineStr">
        <is>
          <t>—</t>
        </is>
      </c>
      <c r="K22" s="133" t="inlineStr">
        <is>
          <t>Pending</t>
        </is>
      </c>
      <c r="L22" s="133" t="n"/>
      <c r="M22" s="143" t="inlineStr">
        <is>
          <t>LLB Year 2; moot court participation pending</t>
        </is>
      </c>
    </row>
    <row r="23" ht="19.5" customHeight="1" s="104">
      <c r="A23" s="129" t="inlineStr">
        <is>
          <t>APP-0019</t>
        </is>
      </c>
      <c r="B23" s="129" t="inlineStr">
        <is>
          <t>TU-2022-0007</t>
        </is>
      </c>
      <c r="C23" s="130" t="inlineStr">
        <is>
          <t>Grace Auma</t>
        </is>
      </c>
      <c r="D23" s="129" t="inlineStr">
        <is>
          <t>BSc</t>
        </is>
      </c>
      <c r="E23" s="129" t="n">
        <v>3.68</v>
      </c>
      <c r="F23" s="129" t="inlineStr">
        <is>
          <t>SCH-005</t>
        </is>
      </c>
      <c r="G23" s="130" t="inlineStr">
        <is>
          <t>Women in Science Scholarship</t>
        </is>
      </c>
      <c r="H23" s="129" t="inlineStr">
        <is>
          <t>2023-08-26</t>
        </is>
      </c>
      <c r="I23" s="132" t="inlineStr">
        <is>
          <t>Awarded</t>
        </is>
      </c>
      <c r="J23" s="131" t="n">
        <v>35000</v>
      </c>
      <c r="K23" s="129" t="inlineStr">
        <is>
          <t>Prof. W. Simiyu</t>
        </is>
      </c>
      <c r="L23" s="129" t="inlineStr">
        <is>
          <t>2023-09-22</t>
        </is>
      </c>
      <c r="M23" s="142" t="inlineStr">
        <is>
          <t>Female BSc Science; dual award with Dean's Bursary</t>
        </is>
      </c>
    </row>
    <row r="24" ht="19.5" customHeight="1" s="104">
      <c r="A24" s="133" t="inlineStr">
        <is>
          <t>APP-0020</t>
        </is>
      </c>
      <c r="B24" s="133" t="inlineStr">
        <is>
          <t>TU-2019-0022</t>
        </is>
      </c>
      <c r="C24" s="134" t="inlineStr">
        <is>
          <t>Vivian Kamau</t>
        </is>
      </c>
      <c r="D24" s="133" t="inlineStr">
        <is>
          <t>BSc</t>
        </is>
      </c>
      <c r="E24" s="133" t="n">
        <v>3.88</v>
      </c>
      <c r="F24" s="133" t="inlineStr">
        <is>
          <t>SCH-005</t>
        </is>
      </c>
      <c r="G24" s="134" t="inlineStr">
        <is>
          <t>Women in Science Scholarship</t>
        </is>
      </c>
      <c r="H24" s="133" t="inlineStr">
        <is>
          <t>2023-09-08</t>
        </is>
      </c>
      <c r="I24" s="132" t="inlineStr">
        <is>
          <t>Awarded</t>
        </is>
      </c>
      <c r="J24" s="135" t="n">
        <v>35000</v>
      </c>
      <c r="K24" s="133" t="inlineStr">
        <is>
          <t>Dr. M. Kamande</t>
        </is>
      </c>
      <c r="L24" s="133" t="inlineStr">
        <is>
          <t>2023-10-03</t>
        </is>
      </c>
      <c r="M24" s="143" t="inlineStr">
        <is>
          <t>Graduated; historical award</t>
        </is>
      </c>
    </row>
    <row r="25" ht="19.5" customHeight="1" s="104">
      <c r="A25" s="129" t="inlineStr">
        <is>
          <t>APP-0021</t>
        </is>
      </c>
      <c r="B25" s="129" t="inlineStr">
        <is>
          <t>TU-2020-0003</t>
        </is>
      </c>
      <c r="C25" s="130" t="inlineStr">
        <is>
          <t>Claire Nakato</t>
        </is>
      </c>
      <c r="D25" s="129" t="inlineStr">
        <is>
          <t>BSc</t>
        </is>
      </c>
      <c r="E25" s="129" t="n">
        <v>3.55</v>
      </c>
      <c r="F25" s="129" t="inlineStr">
        <is>
          <t>SCH-005</t>
        </is>
      </c>
      <c r="G25" s="130" t="inlineStr">
        <is>
          <t>Women in Science Scholarship</t>
        </is>
      </c>
      <c r="H25" s="129" t="inlineStr">
        <is>
          <t>2023-08-12</t>
        </is>
      </c>
      <c r="I25" s="136" t="inlineStr">
        <is>
          <t>Under Review</t>
        </is>
      </c>
      <c r="J25" s="129" t="inlineStr">
        <is>
          <t>—</t>
        </is>
      </c>
      <c r="K25" s="129" t="inlineStr">
        <is>
          <t>Pending</t>
        </is>
      </c>
      <c r="L25" s="129" t="n"/>
      <c r="M25" s="142" t="inlineStr">
        <is>
          <t>Female BSc Engineering; under panel consideration</t>
        </is>
      </c>
    </row>
    <row r="26" ht="19.5" customHeight="1" s="104">
      <c r="A26" s="133" t="inlineStr">
        <is>
          <t>APP-0022</t>
        </is>
      </c>
      <c r="B26" s="133" t="inlineStr">
        <is>
          <t>TU-2023-0025</t>
        </is>
      </c>
      <c r="C26" s="134" t="inlineStr">
        <is>
          <t>Stephen Gaita Gaikia</t>
        </is>
      </c>
      <c r="D26" s="133" t="inlineStr">
        <is>
          <t>BSc</t>
        </is>
      </c>
      <c r="E26" s="133" t="n">
        <v>3.65</v>
      </c>
      <c r="F26" s="133" t="inlineStr">
        <is>
          <t>SCH-003</t>
        </is>
      </c>
      <c r="G26" s="134" t="inlineStr">
        <is>
          <t>STEM Advancement Fund</t>
        </is>
      </c>
      <c r="H26" s="133" t="inlineStr">
        <is>
          <t>2023-09-09</t>
        </is>
      </c>
      <c r="I26" s="132" t="inlineStr">
        <is>
          <t>Awarded</t>
        </is>
      </c>
      <c r="J26" s="135" t="n">
        <v>40000</v>
      </c>
      <c r="K26" s="133" t="inlineStr">
        <is>
          <t>Dr. M. Kamande</t>
        </is>
      </c>
      <c r="L26" s="133" t="inlineStr">
        <is>
          <t>2023-10-15</t>
        </is>
      </c>
      <c r="M26" s="143" t="inlineStr">
        <is>
          <t>BSc Computing; GPA 3.65 qualifies</t>
        </is>
      </c>
    </row>
    <row r="27" ht="19.5" customHeight="1" s="104">
      <c r="A27" s="129" t="inlineStr">
        <is>
          <t>APP-0023</t>
        </is>
      </c>
      <c r="B27" s="129" t="inlineStr">
        <is>
          <t>TU-2022-0024</t>
        </is>
      </c>
      <c r="C27" s="130" t="inlineStr">
        <is>
          <t>Xena Mutua</t>
        </is>
      </c>
      <c r="D27" s="129" t="inlineStr">
        <is>
          <t>BSc</t>
        </is>
      </c>
      <c r="E27" s="129" t="n">
        <v>3.42</v>
      </c>
      <c r="F27" s="129" t="inlineStr">
        <is>
          <t>SCH-003</t>
        </is>
      </c>
      <c r="G27" s="130" t="inlineStr">
        <is>
          <t>STEM Advancement Fund</t>
        </is>
      </c>
      <c r="H27" s="129" t="inlineStr">
        <is>
          <t>2023-08-27</t>
        </is>
      </c>
      <c r="I27" s="132" t="inlineStr">
        <is>
          <t>Awarded</t>
        </is>
      </c>
      <c r="J27" s="131" t="n">
        <v>40000</v>
      </c>
      <c r="K27" s="129" t="inlineStr">
        <is>
          <t>Fin. Office</t>
        </is>
      </c>
      <c r="L27" s="129" t="inlineStr">
        <is>
          <t>2023-09-29</t>
        </is>
      </c>
      <c r="M27" s="142" t="inlineStr">
        <is>
          <t>BSc Computing; GPA 3.42 qualifies</t>
        </is>
      </c>
    </row>
    <row r="28" ht="19.5" customHeight="1" s="104">
      <c r="A28" s="133" t="inlineStr">
        <is>
          <t>APP-0024</t>
        </is>
      </c>
      <c r="B28" s="133" t="inlineStr">
        <is>
          <t>TU-2023-0010</t>
        </is>
      </c>
      <c r="C28" s="134" t="inlineStr">
        <is>
          <t>James Kibaki</t>
        </is>
      </c>
      <c r="D28" s="133" t="inlineStr">
        <is>
          <t>BSc</t>
        </is>
      </c>
      <c r="E28" s="133" t="n">
        <v>3.4</v>
      </c>
      <c r="F28" s="133" t="inlineStr">
        <is>
          <t>SCH-003</t>
        </is>
      </c>
      <c r="G28" s="134" t="inlineStr">
        <is>
          <t>STEM Advancement Fund</t>
        </is>
      </c>
      <c r="H28" s="133" t="inlineStr">
        <is>
          <t>2023-09-01</t>
        </is>
      </c>
      <c r="I28" s="136" t="inlineStr">
        <is>
          <t>Under Review</t>
        </is>
      </c>
      <c r="J28" s="133" t="inlineStr">
        <is>
          <t>—</t>
        </is>
      </c>
      <c r="K28" s="133" t="inlineStr">
        <is>
          <t>Pending</t>
        </is>
      </c>
      <c r="L28" s="133" t="n"/>
      <c r="M28" s="143" t="inlineStr">
        <is>
          <t>BSc IT Year 1; GPA 3.40 borderline</t>
        </is>
      </c>
    </row>
    <row r="29" ht="19.5" customHeight="1" s="104">
      <c r="A29" s="129" t="inlineStr">
        <is>
          <t>APP-0025</t>
        </is>
      </c>
      <c r="B29" s="129" t="inlineStr">
        <is>
          <t>TU-2021-0013</t>
        </is>
      </c>
      <c r="C29" s="130" t="inlineStr">
        <is>
          <t>Mary Adhiambo</t>
        </is>
      </c>
      <c r="D29" s="129" t="inlineStr">
        <is>
          <t>BA</t>
        </is>
      </c>
      <c r="E29" s="129" t="n">
        <v>3.5</v>
      </c>
      <c r="F29" s="129" t="inlineStr">
        <is>
          <t>SCH-008</t>
        </is>
      </c>
      <c r="G29" s="130" t="inlineStr">
        <is>
          <t>Community Leaders Award</t>
        </is>
      </c>
      <c r="H29" s="129" t="inlineStr">
        <is>
          <t>2023-09-15</t>
        </is>
      </c>
      <c r="I29" s="132" t="inlineStr">
        <is>
          <t>Awarded</t>
        </is>
      </c>
      <c r="J29" s="131" t="n">
        <v>20000</v>
      </c>
      <c r="K29" s="129" t="inlineStr">
        <is>
          <t>Dr. A. Ouma</t>
        </is>
      </c>
      <c r="L29" s="129" t="inlineStr">
        <is>
          <t>2023-10-07</t>
        </is>
      </c>
      <c r="M29" s="142" t="inlineStr">
        <is>
          <t>Community outreach documented; essay strong</t>
        </is>
      </c>
    </row>
    <row r="30" ht="19.5" customHeight="1" s="104">
      <c r="A30" s="133" t="inlineStr">
        <is>
          <t>APP-0026</t>
        </is>
      </c>
      <c r="B30" s="133" t="inlineStr">
        <is>
          <t>TU-2021-0006</t>
        </is>
      </c>
      <c r="C30" s="134" t="inlineStr">
        <is>
          <t>Felix Otieno</t>
        </is>
      </c>
      <c r="D30" s="133" t="inlineStr">
        <is>
          <t>BEd</t>
        </is>
      </c>
      <c r="E30" s="133" t="n">
        <v>3.22</v>
      </c>
      <c r="F30" s="133" t="inlineStr">
        <is>
          <t>SCH-008</t>
        </is>
      </c>
      <c r="G30" s="134" t="inlineStr">
        <is>
          <t>Community Leaders Award</t>
        </is>
      </c>
      <c r="H30" s="133" t="inlineStr">
        <is>
          <t>2023-08-25</t>
        </is>
      </c>
      <c r="I30" s="136" t="inlineStr">
        <is>
          <t>Under Review</t>
        </is>
      </c>
      <c r="J30" s="133" t="inlineStr">
        <is>
          <t>—</t>
        </is>
      </c>
      <c r="K30" s="133" t="inlineStr">
        <is>
          <t>Pending</t>
        </is>
      </c>
      <c r="L30" s="133" t="n"/>
      <c r="M30" s="143" t="inlineStr">
        <is>
          <t>BEd student; community teaching programme</t>
        </is>
      </c>
    </row>
    <row r="31" ht="19.5" customHeight="1" s="104">
      <c r="A31" s="139" t="inlineStr">
        <is>
          <t>TOTAL AWARDS GRANTED</t>
        </is>
      </c>
      <c r="B31" s="140" t="n"/>
      <c r="C31" s="140" t="n"/>
      <c r="D31" s="140" t="n"/>
      <c r="E31" s="140" t="n"/>
      <c r="F31" s="140" t="n"/>
      <c r="G31" s="140" t="n"/>
      <c r="H31" s="140" t="n"/>
      <c r="I31" s="144" t="inlineStr">
        <is>
          <t>Awarded: 17  |  Under Review: 7  |  Rejected: 2</t>
        </is>
      </c>
      <c r="J31" s="145" t="n"/>
      <c r="K31" s="145" t="n"/>
      <c r="L31" s="145" t="n"/>
      <c r="M31" s="146" t="n"/>
    </row>
  </sheetData>
  <mergeCells count="3">
    <mergeCell ref="A2:K2"/>
    <mergeCell ref="A1:K1"/>
    <mergeCell ref="I31:M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03" min="1" max="1"/>
    <col width="18" customWidth="1" style="103" min="2" max="2"/>
    <col width="28" customWidth="1" style="103" min="3" max="3"/>
    <col width="18" customWidth="1" style="103" min="4" max="4"/>
  </cols>
  <sheetData>
    <row r="1" ht="36" customHeight="1" s="104">
      <c r="A1" s="147" t="inlineStr">
        <is>
          <t>Templumis University — LMS &amp; SIS Dashboard</t>
        </is>
      </c>
    </row>
    <row r="2" ht="18" customHeight="1" s="104">
      <c r="A2" s="148" t="inlineStr">
        <is>
          <t>Academic Year 2023/24 · Semester 1</t>
        </is>
      </c>
    </row>
    <row r="4" ht="19.5" customHeight="1" s="104">
      <c r="A4" s="149" t="inlineStr">
        <is>
          <t>Students</t>
        </is>
      </c>
      <c r="C4" s="149" t="inlineStr">
        <is>
          <t>Courses &amp; Enrolments</t>
        </is>
      </c>
    </row>
    <row r="5" ht="21.75" customHeight="1" s="104">
      <c r="A5" s="150" t="inlineStr">
        <is>
          <t>Total Students</t>
        </is>
      </c>
      <c r="B5" s="151" t="n">
        <v>37</v>
      </c>
      <c r="C5" s="150" t="inlineStr">
        <is>
          <t>Total Courses</t>
        </is>
      </c>
      <c r="D5" s="151">
        <f>COUNTA(Courses!A2:A1000)</f>
        <v/>
      </c>
    </row>
    <row r="6" ht="21.75" customHeight="1" s="104">
      <c r="A6" s="150" t="inlineStr">
        <is>
          <t>Active</t>
        </is>
      </c>
      <c r="B6" s="151" t="n">
        <v>25</v>
      </c>
      <c r="C6" s="150" t="inlineStr">
        <is>
          <t>Active Courses</t>
        </is>
      </c>
      <c r="D6" s="151">
        <f>COUNTIF(Courses!J2:J1000,"Active")</f>
        <v/>
      </c>
    </row>
    <row r="7" ht="21.75" customHeight="1" s="104">
      <c r="A7" s="150" t="inlineStr">
        <is>
          <t>On Probation</t>
        </is>
      </c>
      <c r="B7" s="151" t="n">
        <v>3</v>
      </c>
      <c r="C7" s="150" t="inlineStr">
        <is>
          <t>Total Enrolments</t>
        </is>
      </c>
      <c r="D7" s="151">
        <f>COUNTA(Enrolments!A2:A1000)</f>
        <v/>
      </c>
    </row>
    <row r="8" ht="21.75" customHeight="1" s="104">
      <c r="A8" s="150" t="inlineStr">
        <is>
          <t>Graduated</t>
        </is>
      </c>
      <c r="B8" s="151" t="n">
        <v>5</v>
      </c>
      <c r="C8" s="150" t="inlineStr">
        <is>
          <t>Currently Enrolled</t>
        </is>
      </c>
      <c r="D8" s="151">
        <f>COUNTIF(Enrolments!G2:G1000,"Enrolled")</f>
        <v/>
      </c>
    </row>
    <row r="9" ht="21.75" customHeight="1" s="104">
      <c r="A9" s="150" t="inlineStr">
        <is>
          <t>Suspended</t>
        </is>
      </c>
      <c r="B9" s="151" t="n">
        <v>1</v>
      </c>
      <c r="C9" s="150" t="inlineStr">
        <is>
          <t>Completed</t>
        </is>
      </c>
      <c r="D9" s="151">
        <f>COUNTIF(Enrolments!G2:G1000,"Completed")</f>
        <v/>
      </c>
    </row>
    <row r="10" ht="21.75" customHeight="1" s="104">
      <c r="A10" s="150" t="inlineStr">
        <is>
          <t>On Leave</t>
        </is>
      </c>
      <c r="B10" s="151" t="n">
        <v>3</v>
      </c>
      <c r="C10" s="150" t="inlineStr">
        <is>
          <t>Dropped</t>
        </is>
      </c>
      <c r="D10" s="151">
        <f>COUNTIF(Enrolments!G2:G1000,"Dropped")</f>
        <v/>
      </c>
    </row>
    <row r="11" ht="21.75" customHeight="1" s="104">
      <c r="A11" s="150" t="inlineStr">
        <is>
          <t>Average GPA</t>
        </is>
      </c>
      <c r="B11" s="151" t="n">
        <v>3.32</v>
      </c>
      <c r="C11" s="150" t="inlineStr">
        <is>
          <t>Avg Current Grade</t>
        </is>
      </c>
      <c r="D11" s="151">
        <f>ROUND(AVERAGE(Enrolments!I2:I1000),1)&amp;"%"</f>
        <v/>
      </c>
    </row>
    <row r="12" ht="21.75" customHeight="1" s="104">
      <c r="A12" s="150" t="inlineStr">
        <is>
          <t>Total Credit Hours</t>
        </is>
      </c>
      <c r="B12" s="151">
        <f>SUM(Students!L2:L1000)</f>
        <v/>
      </c>
      <c r="C12" s="150" t="inlineStr">
        <is>
          <t>Grade A Count</t>
        </is>
      </c>
      <c r="D12" s="151">
        <f>COUNTIF(Grades!J2:J1000,"A")</f>
        <v/>
      </c>
    </row>
    <row r="14" ht="19.5" customHeight="1" s="104">
      <c r="A14" s="152" t="inlineStr">
        <is>
          <t>── Postgraduate Summary ──</t>
        </is>
      </c>
      <c r="C14" s="149" t="inlineStr">
        <is>
          <t>Student Lookup</t>
        </is>
      </c>
    </row>
    <row r="15" ht="21.75" customHeight="1" s="104">
      <c r="A15" s="153" t="inlineStr">
        <is>
          <t>PG Students</t>
        </is>
      </c>
      <c r="B15" s="154" t="n">
        <v>12</v>
      </c>
      <c r="C15" s="155" t="inlineStr">
        <is>
          <t>Enter Student ID →</t>
        </is>
      </c>
      <c r="D15" s="156" t="inlineStr">
        <is>
          <t>TU-2023-0025</t>
        </is>
      </c>
    </row>
    <row r="16" ht="21.75" customHeight="1" s="104">
      <c r="A16" s="153" t="inlineStr">
        <is>
          <t>MSc Coursework</t>
        </is>
      </c>
      <c r="B16" s="154" t="n">
        <v>6</v>
      </c>
      <c r="C16" s="150" t="inlineStr">
        <is>
          <t>Name</t>
        </is>
      </c>
      <c r="D16" s="151">
        <f>IFERROR(VLOOKUP(D15,Students!A:B,2,0),"-")</f>
        <v/>
      </c>
    </row>
    <row r="17" ht="21.75" customHeight="1" s="104">
      <c r="A17" s="153" t="inlineStr">
        <is>
          <t>MSc by Research</t>
        </is>
      </c>
      <c r="B17" s="154" t="n">
        <v>6</v>
      </c>
      <c r="C17" s="150" t="inlineStr">
        <is>
          <t>Program</t>
        </is>
      </c>
      <c r="D17" s="151">
        <f>IFERROR(VLOOKUP(D15,Students!A:H,8,0),"-")</f>
        <v/>
      </c>
    </row>
    <row r="18" ht="21.75" customHeight="1" s="104">
      <c r="A18" s="150" t="inlineStr">
        <is>
          <t>At Risk</t>
        </is>
      </c>
      <c r="B18" s="151">
        <f>COUNTIF(Attendance!K2:K1000,"At Risk")</f>
        <v/>
      </c>
      <c r="C18" s="150" t="inlineStr">
        <is>
          <t>GPA</t>
        </is>
      </c>
      <c r="D18" s="151">
        <f>IFERROR(VLOOKUP(D15,Students!A:K,11,0),"-")</f>
        <v/>
      </c>
    </row>
    <row r="19" ht="21.75" customHeight="1" s="104">
      <c r="A19" s="150" t="inlineStr">
        <is>
          <t>Avg Attendance %</t>
        </is>
      </c>
      <c r="B19" s="151">
        <f>ROUND(AVERAGE(Attendance!J2:J1000),0)&amp;"%"</f>
        <v/>
      </c>
      <c r="C19" s="150" t="inlineStr">
        <is>
          <t>Status</t>
        </is>
      </c>
      <c r="D19" s="151">
        <f>IFERROR(VLOOKUP(D15,Students!A:M,13,0),"-")</f>
        <v/>
      </c>
    </row>
  </sheetData>
  <mergeCells count="6">
    <mergeCell ref="A4:B4"/>
    <mergeCell ref="A1:D1"/>
    <mergeCell ref="C14:D14"/>
    <mergeCell ref="A14:B14"/>
    <mergeCell ref="A2:D2"/>
    <mergeCell ref="C4:D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Y39"/>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16" customWidth="1" style="103" min="1" max="1"/>
    <col width="22" customWidth="1" style="103" min="2" max="2"/>
    <col width="14" customWidth="1" style="103" min="3" max="3"/>
    <col width="20" customWidth="1" style="103" min="4" max="4"/>
    <col width="22" customWidth="1" style="103" min="5" max="5"/>
    <col width="14" customWidth="1" style="103" min="6" max="7"/>
    <col width="12" customWidth="1" style="103" min="8" max="9"/>
    <col width="14" customWidth="1" style="103" min="10" max="11"/>
    <col width="7" customWidth="1" style="103" min="12" max="12"/>
    <col width="16" customWidth="1" style="103" min="13" max="13"/>
    <col width="14" customWidth="1" style="103" min="14" max="14"/>
    <col width="12" customWidth="1" style="103" min="15" max="16"/>
    <col width="14" customWidth="1" style="103" min="17" max="17"/>
    <col width="18" customWidth="1" style="103" min="18" max="18"/>
    <col width="24" customWidth="1" style="103" min="19" max="19"/>
    <col width="16" customWidth="1" style="103" min="20" max="20"/>
    <col width="14" customWidth="1" style="103" min="21" max="21"/>
    <col width="18" customWidth="1" style="103" min="22" max="22"/>
    <col width="14" customWidth="1" style="103" min="23" max="24"/>
    <col width="32" customWidth="1" style="103" min="25" max="25"/>
  </cols>
  <sheetData>
    <row r="1" ht="21.75" customHeight="1" s="104">
      <c r="A1" s="157" t="inlineStr">
        <is>
          <t>A. STUDENT PROFILE</t>
        </is>
      </c>
      <c r="B1" s="158" t="n"/>
      <c r="C1" s="158" t="n"/>
      <c r="D1" s="158" t="n"/>
      <c r="E1" s="158" t="n"/>
      <c r="F1" s="159" t="n"/>
      <c r="G1" s="160" t="inlineStr">
        <is>
          <t>B. ACADEMIC PROGRESSION</t>
        </is>
      </c>
      <c r="H1" s="158" t="n"/>
      <c r="I1" s="158" t="n"/>
      <c r="J1" s="158" t="n"/>
      <c r="K1" s="159" t="n"/>
      <c r="L1" s="161" t="inlineStr">
        <is>
          <t>C. ACADEMIC STANDING</t>
        </is>
      </c>
      <c r="M1" s="158" t="n"/>
      <c r="N1" s="159" t="n"/>
      <c r="O1" s="162" t="inlineStr">
        <is>
          <t>D. FINANCIAL CLEARANCE</t>
        </is>
      </c>
      <c r="P1" s="158" t="n"/>
      <c r="Q1" s="159" t="n"/>
      <c r="R1" s="163" t="inlineStr">
        <is>
          <t>E. RESEARCH / THESIS</t>
        </is>
      </c>
      <c r="S1" s="158" t="n"/>
      <c r="T1" s="158" t="n"/>
      <c r="U1" s="159" t="n"/>
      <c r="V1" s="164" t="inlineStr">
        <is>
          <t>F. GRADUATION</t>
        </is>
      </c>
      <c r="W1" s="158" t="n"/>
      <c r="X1" s="158" t="n"/>
      <c r="Y1" s="159" t="n"/>
    </row>
    <row r="2" ht="30" customHeight="1" s="104">
      <c r="A2" s="165" t="inlineStr">
        <is>
          <t>Student ID</t>
        </is>
      </c>
      <c r="B2" s="165" t="inlineStr">
        <is>
          <t>Full Name</t>
        </is>
      </c>
      <c r="C2" s="165" t="inlineStr">
        <is>
          <t>Student Type</t>
        </is>
      </c>
      <c r="D2" s="165" t="inlineStr">
        <is>
          <t>Programme Level</t>
        </is>
      </c>
      <c r="E2" s="165" t="inlineStr">
        <is>
          <t>Department</t>
        </is>
      </c>
      <c r="F2" s="165" t="inlineStr">
        <is>
          <t>Enrolment Date</t>
        </is>
      </c>
      <c r="G2" s="166" t="inlineStr">
        <is>
          <t>Current Year/Sem</t>
        </is>
      </c>
      <c r="H2" s="166" t="inlineStr">
        <is>
          <t>Sem 1 Status</t>
        </is>
      </c>
      <c r="I2" s="166" t="inlineStr">
        <is>
          <t>Sem 2 Status</t>
        </is>
      </c>
      <c r="J2" s="166" t="inlineStr">
        <is>
          <t>Year 2 Progression</t>
        </is>
      </c>
      <c r="K2" s="166" t="inlineStr">
        <is>
          <t>Year 3+ Progression</t>
        </is>
      </c>
      <c r="L2" s="166" t="inlineStr">
        <is>
          <t>GPA</t>
        </is>
      </c>
      <c r="M2" s="166" t="inlineStr">
        <is>
          <t>Academic Standing</t>
        </is>
      </c>
      <c r="N2" s="166" t="inlineStr">
        <is>
          <t>Last Review Date</t>
        </is>
      </c>
      <c r="O2" s="166" t="inlineStr">
        <is>
          <t>Fees — Sem 1</t>
        </is>
      </c>
      <c r="P2" s="166" t="inlineStr">
        <is>
          <t>Fees — Sem 2</t>
        </is>
      </c>
      <c r="Q2" s="166" t="inlineStr">
        <is>
          <t>Fees Balance (KES)</t>
        </is>
      </c>
      <c r="R2" s="166" t="inlineStr">
        <is>
          <t>Proposal Status</t>
        </is>
      </c>
      <c r="S2" s="166" t="inlineStr">
        <is>
          <t>Data/Coursework Phase</t>
        </is>
      </c>
      <c r="T2" s="166" t="inlineStr">
        <is>
          <t>Thesis Submission</t>
        </is>
      </c>
      <c r="U2" s="166" t="inlineStr">
        <is>
          <t>Thesis Defence</t>
        </is>
      </c>
      <c r="V2" s="166" t="inlineStr">
        <is>
          <t>Graduation Clearance</t>
        </is>
      </c>
      <c r="W2" s="166" t="inlineStr">
        <is>
          <t>Clearance Date</t>
        </is>
      </c>
      <c r="X2" s="166" t="inlineStr">
        <is>
          <t>Graduation Date</t>
        </is>
      </c>
      <c r="Y2" s="166" t="inlineStr">
        <is>
          <t>Journey Stage</t>
        </is>
      </c>
    </row>
    <row r="3" ht="15" customHeight="1" s="104">
      <c r="A3" s="107" t="inlineStr">
        <is>
          <t>TU-2021-0001</t>
        </is>
      </c>
      <c r="B3" s="108" t="inlineStr">
        <is>
          <t>Amelia Odhiambo</t>
        </is>
      </c>
      <c r="C3" s="107" t="inlineStr">
        <is>
          <t>Undergraduate</t>
        </is>
      </c>
      <c r="D3" s="108" t="inlineStr">
        <is>
          <t>BSc</t>
        </is>
      </c>
      <c r="E3" s="108" t="inlineStr">
        <is>
          <t>School of Computing</t>
        </is>
      </c>
      <c r="F3" s="107" t="inlineStr">
        <is>
          <t>2021-09-05</t>
        </is>
      </c>
      <c r="G3" s="107" t="inlineStr">
        <is>
          <t>Sem 6</t>
        </is>
      </c>
      <c r="H3" s="109" t="inlineStr">
        <is>
          <t>Complete</t>
        </is>
      </c>
      <c r="I3" s="109" t="inlineStr">
        <is>
          <t>Complete</t>
        </is>
      </c>
      <c r="J3" s="109" t="inlineStr">
        <is>
          <t>Complete</t>
        </is>
      </c>
      <c r="K3" s="167" t="inlineStr">
        <is>
          <t>In Progress</t>
        </is>
      </c>
      <c r="L3" s="167" t="n">
        <v>3.78</v>
      </c>
      <c r="M3" s="109" t="inlineStr">
        <is>
          <t>Good Standing</t>
        </is>
      </c>
      <c r="N3" s="167" t="inlineStr">
        <is>
          <t>2024-01-15</t>
        </is>
      </c>
      <c r="O3" s="109" t="inlineStr">
        <is>
          <t>Paid</t>
        </is>
      </c>
      <c r="P3" s="109" t="inlineStr">
        <is>
          <t>Paid</t>
        </is>
      </c>
      <c r="Q3" s="167" t="n">
        <v>0</v>
      </c>
      <c r="R3" s="168" t="inlineStr">
        <is>
          <t>N/A</t>
        </is>
      </c>
      <c r="S3" s="167" t="inlineStr">
        <is>
          <t>Sem Year 3</t>
        </is>
      </c>
      <c r="T3" s="168" t="inlineStr">
        <is>
          <t>N/A</t>
        </is>
      </c>
      <c r="U3" s="169" t="inlineStr">
        <is>
          <t>N/A</t>
        </is>
      </c>
      <c r="V3" s="107" t="inlineStr">
        <is>
          <t>Not Yet</t>
        </is>
      </c>
      <c r="W3" s="107" t="n"/>
      <c r="X3" s="108" t="n"/>
      <c r="Y3" s="107" t="inlineStr">
        <is>
          <t>3. Progressing — Year 3</t>
        </is>
      </c>
    </row>
    <row r="4" ht="15" customHeight="1" s="104">
      <c r="A4" s="107" t="inlineStr">
        <is>
          <t>TU-2022-0002</t>
        </is>
      </c>
      <c r="B4" s="108" t="inlineStr">
        <is>
          <t>Brian Mwangi</t>
        </is>
      </c>
      <c r="C4" s="107" t="inlineStr">
        <is>
          <t>Undergraduate</t>
        </is>
      </c>
      <c r="D4" s="108" t="inlineStr">
        <is>
          <t>BA</t>
        </is>
      </c>
      <c r="E4" s="108" t="inlineStr">
        <is>
          <t>School of Business</t>
        </is>
      </c>
      <c r="F4" s="107" t="inlineStr">
        <is>
          <t>2022-09-05</t>
        </is>
      </c>
      <c r="G4" s="107" t="inlineStr">
        <is>
          <t>Sem 4</t>
        </is>
      </c>
      <c r="H4" s="109" t="inlineStr">
        <is>
          <t>Complete</t>
        </is>
      </c>
      <c r="I4" s="109" t="inlineStr">
        <is>
          <t>Complete</t>
        </is>
      </c>
      <c r="J4" s="167" t="inlineStr">
        <is>
          <t>In Progress</t>
        </is>
      </c>
      <c r="K4" s="167" t="inlineStr">
        <is>
          <t>Pending</t>
        </is>
      </c>
      <c r="L4" s="167" t="n">
        <v>3.12</v>
      </c>
      <c r="M4" s="109" t="inlineStr">
        <is>
          <t>Good Standing</t>
        </is>
      </c>
      <c r="N4" s="167" t="inlineStr">
        <is>
          <t>2024-01-15</t>
        </is>
      </c>
      <c r="O4" s="109" t="inlineStr">
        <is>
          <t>Paid</t>
        </is>
      </c>
      <c r="P4" s="109" t="inlineStr">
        <is>
          <t>Paid</t>
        </is>
      </c>
      <c r="Q4" s="167" t="n">
        <v>0</v>
      </c>
      <c r="R4" s="168" t="inlineStr">
        <is>
          <t>N/A</t>
        </is>
      </c>
      <c r="S4" s="167" t="inlineStr">
        <is>
          <t>Sem Year 2</t>
        </is>
      </c>
      <c r="T4" s="168" t="inlineStr">
        <is>
          <t>N/A</t>
        </is>
      </c>
      <c r="U4" s="169" t="inlineStr">
        <is>
          <t>N/A</t>
        </is>
      </c>
      <c r="V4" s="107" t="inlineStr">
        <is>
          <t>Not Yet</t>
        </is>
      </c>
      <c r="W4" s="107" t="n"/>
      <c r="X4" s="108" t="n"/>
      <c r="Y4" s="107" t="inlineStr">
        <is>
          <t>2. Progressing — Year 2</t>
        </is>
      </c>
    </row>
    <row r="5" ht="15" customHeight="1" s="104">
      <c r="A5" s="107" t="inlineStr">
        <is>
          <t>TU-2020-0003</t>
        </is>
      </c>
      <c r="B5" s="108" t="inlineStr">
        <is>
          <t>Claire Nakato</t>
        </is>
      </c>
      <c r="C5" s="107" t="inlineStr">
        <is>
          <t>Undergraduate</t>
        </is>
      </c>
      <c r="D5" s="108" t="inlineStr">
        <is>
          <t>BSc</t>
        </is>
      </c>
      <c r="E5" s="108" t="inlineStr">
        <is>
          <t>School of Engineering</t>
        </is>
      </c>
      <c r="F5" s="107" t="inlineStr">
        <is>
          <t>2020-09-07</t>
        </is>
      </c>
      <c r="G5" s="107" t="inlineStr">
        <is>
          <t>Sem 8</t>
        </is>
      </c>
      <c r="H5" s="109" t="inlineStr">
        <is>
          <t>Complete</t>
        </is>
      </c>
      <c r="I5" s="109" t="inlineStr">
        <is>
          <t>Complete</t>
        </is>
      </c>
      <c r="J5" s="109" t="inlineStr">
        <is>
          <t>Complete</t>
        </is>
      </c>
      <c r="K5" s="109" t="inlineStr">
        <is>
          <t>Complete</t>
        </is>
      </c>
      <c r="L5" s="167" t="n">
        <v>3.55</v>
      </c>
      <c r="M5" s="109" t="inlineStr">
        <is>
          <t>Good Standing</t>
        </is>
      </c>
      <c r="N5" s="167" t="inlineStr">
        <is>
          <t>2024-01-15</t>
        </is>
      </c>
      <c r="O5" s="109" t="inlineStr">
        <is>
          <t>Paid</t>
        </is>
      </c>
      <c r="P5" s="109" t="inlineStr">
        <is>
          <t>Paid</t>
        </is>
      </c>
      <c r="Q5" s="167" t="n">
        <v>0</v>
      </c>
      <c r="R5" s="168" t="inlineStr">
        <is>
          <t>N/A</t>
        </is>
      </c>
      <c r="S5" s="167" t="inlineStr">
        <is>
          <t>Sem Year 4</t>
        </is>
      </c>
      <c r="T5" s="168" t="inlineStr">
        <is>
          <t>N/A</t>
        </is>
      </c>
      <c r="U5" s="169" t="inlineStr">
        <is>
          <t>N/A</t>
        </is>
      </c>
      <c r="V5" s="107" t="inlineStr">
        <is>
          <t>In Progress</t>
        </is>
      </c>
      <c r="W5" s="107" t="n"/>
      <c r="X5" s="108" t="n"/>
      <c r="Y5" s="107" t="inlineStr">
        <is>
          <t>4. Final Year — Pre-Clearance</t>
        </is>
      </c>
    </row>
    <row r="6" ht="15" customHeight="1" s="104">
      <c r="A6" s="109" t="inlineStr">
        <is>
          <t>TU-2019-0004</t>
        </is>
      </c>
      <c r="B6" s="110" t="inlineStr">
        <is>
          <t>David Mensah</t>
        </is>
      </c>
      <c r="C6" s="109" t="inlineStr">
        <is>
          <t>Undergraduate</t>
        </is>
      </c>
      <c r="D6" s="110" t="inlineStr">
        <is>
          <t>BSc</t>
        </is>
      </c>
      <c r="E6" s="110" t="inlineStr">
        <is>
          <t>School of Health Sciences</t>
        </is>
      </c>
      <c r="F6" s="109" t="inlineStr">
        <is>
          <t>2019-09-02</t>
        </is>
      </c>
      <c r="G6" s="109" t="inlineStr">
        <is>
          <t>Completed</t>
        </is>
      </c>
      <c r="H6" s="109" t="inlineStr">
        <is>
          <t>Complete</t>
        </is>
      </c>
      <c r="I6" s="109" t="inlineStr">
        <is>
          <t>Complete</t>
        </is>
      </c>
      <c r="J6" s="109" t="inlineStr">
        <is>
          <t>Complete</t>
        </is>
      </c>
      <c r="K6" s="109" t="inlineStr">
        <is>
          <t>Complete</t>
        </is>
      </c>
      <c r="L6" s="167" t="n">
        <v>3.9</v>
      </c>
      <c r="M6" s="109" t="inlineStr">
        <is>
          <t>Cleared</t>
        </is>
      </c>
      <c r="N6" s="167" t="inlineStr">
        <is>
          <t>2024-01-15</t>
        </is>
      </c>
      <c r="O6" s="109" t="inlineStr">
        <is>
          <t>Paid</t>
        </is>
      </c>
      <c r="P6" s="109" t="inlineStr">
        <is>
          <t>Cleared</t>
        </is>
      </c>
      <c r="Q6" s="167" t="n">
        <v>0</v>
      </c>
      <c r="R6" s="168" t="inlineStr">
        <is>
          <t>N/A</t>
        </is>
      </c>
      <c r="S6" s="167" t="inlineStr">
        <is>
          <t>Sem Year 4</t>
        </is>
      </c>
      <c r="T6" s="168" t="inlineStr">
        <is>
          <t>N/A</t>
        </is>
      </c>
      <c r="U6" s="169" t="inlineStr">
        <is>
          <t>N/A</t>
        </is>
      </c>
      <c r="V6" s="109" t="inlineStr">
        <is>
          <t>Approved</t>
        </is>
      </c>
      <c r="W6" s="109" t="inlineStr">
        <is>
          <t>2024-01-15</t>
        </is>
      </c>
      <c r="X6" s="110" t="inlineStr">
        <is>
          <t>2023-11-10</t>
        </is>
      </c>
      <c r="Y6" s="109" t="inlineStr">
        <is>
          <t>6. Graduated ✓</t>
        </is>
      </c>
    </row>
    <row r="7" ht="15" customHeight="1" s="104">
      <c r="A7" s="111" t="inlineStr">
        <is>
          <t>TU-2023-0005</t>
        </is>
      </c>
      <c r="B7" s="112" t="inlineStr">
        <is>
          <t>Esther Wanjiku</t>
        </is>
      </c>
      <c r="C7" s="111" t="inlineStr">
        <is>
          <t>Undergraduate</t>
        </is>
      </c>
      <c r="D7" s="112" t="inlineStr">
        <is>
          <t>BSc</t>
        </is>
      </c>
      <c r="E7" s="112" t="inlineStr">
        <is>
          <t>School of Science</t>
        </is>
      </c>
      <c r="F7" s="111" t="inlineStr">
        <is>
          <t>2023-09-04</t>
        </is>
      </c>
      <c r="G7" s="111" t="inlineStr">
        <is>
          <t>Sem 2</t>
        </is>
      </c>
      <c r="H7" s="167" t="inlineStr">
        <is>
          <t>In Progress</t>
        </is>
      </c>
      <c r="I7" s="167" t="inlineStr">
        <is>
          <t>In Progress</t>
        </is>
      </c>
      <c r="J7" s="167" t="inlineStr">
        <is>
          <t>Pending</t>
        </is>
      </c>
      <c r="K7" s="167" t="inlineStr">
        <is>
          <t>Pending</t>
        </is>
      </c>
      <c r="L7" s="167" t="n">
        <v>2.45</v>
      </c>
      <c r="M7" s="115" t="inlineStr">
        <is>
          <t>Probation</t>
        </is>
      </c>
      <c r="N7" s="167" t="inlineStr">
        <is>
          <t>2023-12-01</t>
        </is>
      </c>
      <c r="O7" s="167" t="inlineStr">
        <is>
          <t>Partial</t>
        </is>
      </c>
      <c r="P7" s="167" t="inlineStr">
        <is>
          <t>Partial</t>
        </is>
      </c>
      <c r="Q7" s="167" t="n">
        <v>35000</v>
      </c>
      <c r="R7" s="168" t="inlineStr">
        <is>
          <t>N/A</t>
        </is>
      </c>
      <c r="S7" s="167" t="inlineStr">
        <is>
          <t>Sem Year 1</t>
        </is>
      </c>
      <c r="T7" s="168" t="inlineStr">
        <is>
          <t>N/A</t>
        </is>
      </c>
      <c r="U7" s="169" t="inlineStr">
        <is>
          <t>N/A</t>
        </is>
      </c>
      <c r="V7" s="111" t="inlineStr">
        <is>
          <t>Blocked</t>
        </is>
      </c>
      <c r="W7" s="111" t="n"/>
      <c r="X7" s="112" t="n"/>
      <c r="Y7" s="111" t="inlineStr">
        <is>
          <t>⚠ Academic Review — Probation</t>
        </is>
      </c>
    </row>
    <row r="8" ht="15" customHeight="1" s="104">
      <c r="A8" s="107" t="inlineStr">
        <is>
          <t>TU-2021-0006</t>
        </is>
      </c>
      <c r="B8" s="108" t="inlineStr">
        <is>
          <t>Felix Otieno</t>
        </is>
      </c>
      <c r="C8" s="107" t="inlineStr">
        <is>
          <t>Undergraduate</t>
        </is>
      </c>
      <c r="D8" s="108" t="inlineStr">
        <is>
          <t>BEd</t>
        </is>
      </c>
      <c r="E8" s="108" t="inlineStr">
        <is>
          <t>School of Education</t>
        </is>
      </c>
      <c r="F8" s="107" t="inlineStr">
        <is>
          <t>2021-09-05</t>
        </is>
      </c>
      <c r="G8" s="107" t="inlineStr">
        <is>
          <t>Sem 6</t>
        </is>
      </c>
      <c r="H8" s="109" t="inlineStr">
        <is>
          <t>Complete</t>
        </is>
      </c>
      <c r="I8" s="109" t="inlineStr">
        <is>
          <t>Complete</t>
        </is>
      </c>
      <c r="J8" s="109" t="inlineStr">
        <is>
          <t>Complete</t>
        </is>
      </c>
      <c r="K8" s="167" t="inlineStr">
        <is>
          <t>In Progress</t>
        </is>
      </c>
      <c r="L8" s="167" t="n">
        <v>3.22</v>
      </c>
      <c r="M8" s="109" t="inlineStr">
        <is>
          <t>Good Standing</t>
        </is>
      </c>
      <c r="N8" s="167" t="inlineStr">
        <is>
          <t>2024-01-15</t>
        </is>
      </c>
      <c r="O8" s="109" t="inlineStr">
        <is>
          <t>Paid</t>
        </is>
      </c>
      <c r="P8" s="109" t="inlineStr">
        <is>
          <t>Paid</t>
        </is>
      </c>
      <c r="Q8" s="167" t="n">
        <v>0</v>
      </c>
      <c r="R8" s="168" t="inlineStr">
        <is>
          <t>N/A</t>
        </is>
      </c>
      <c r="S8" s="167" t="inlineStr">
        <is>
          <t>Sem Year 3</t>
        </is>
      </c>
      <c r="T8" s="168" t="inlineStr">
        <is>
          <t>N/A</t>
        </is>
      </c>
      <c r="U8" s="169" t="inlineStr">
        <is>
          <t>N/A</t>
        </is>
      </c>
      <c r="V8" s="107" t="inlineStr">
        <is>
          <t>Not Yet</t>
        </is>
      </c>
      <c r="W8" s="107" t="n"/>
      <c r="X8" s="108" t="n"/>
      <c r="Y8" s="107" t="inlineStr">
        <is>
          <t>3. Progressing — Year 3</t>
        </is>
      </c>
    </row>
    <row r="9" ht="15" customHeight="1" s="104">
      <c r="A9" s="107" t="inlineStr">
        <is>
          <t>TU-2022-0007</t>
        </is>
      </c>
      <c r="B9" s="108" t="inlineStr">
        <is>
          <t>Grace Auma</t>
        </is>
      </c>
      <c r="C9" s="107" t="inlineStr">
        <is>
          <t>Undergraduate</t>
        </is>
      </c>
      <c r="D9" s="108" t="inlineStr">
        <is>
          <t>BSc</t>
        </is>
      </c>
      <c r="E9" s="108" t="inlineStr">
        <is>
          <t>School of Science</t>
        </is>
      </c>
      <c r="F9" s="107" t="inlineStr">
        <is>
          <t>2022-09-06</t>
        </is>
      </c>
      <c r="G9" s="107" t="inlineStr">
        <is>
          <t>Sem 4</t>
        </is>
      </c>
      <c r="H9" s="109" t="inlineStr">
        <is>
          <t>Complete</t>
        </is>
      </c>
      <c r="I9" s="109" t="inlineStr">
        <is>
          <t>Complete</t>
        </is>
      </c>
      <c r="J9" s="167" t="inlineStr">
        <is>
          <t>In Progress</t>
        </is>
      </c>
      <c r="K9" s="167" t="inlineStr">
        <is>
          <t>Pending</t>
        </is>
      </c>
      <c r="L9" s="167" t="n">
        <v>3.68</v>
      </c>
      <c r="M9" s="109" t="inlineStr">
        <is>
          <t>Good Standing</t>
        </is>
      </c>
      <c r="N9" s="167" t="inlineStr">
        <is>
          <t>2024-01-15</t>
        </is>
      </c>
      <c r="O9" s="109" t="inlineStr">
        <is>
          <t>Paid</t>
        </is>
      </c>
      <c r="P9" s="109" t="inlineStr">
        <is>
          <t>Paid</t>
        </is>
      </c>
      <c r="Q9" s="167" t="n">
        <v>0</v>
      </c>
      <c r="R9" s="168" t="inlineStr">
        <is>
          <t>N/A</t>
        </is>
      </c>
      <c r="S9" s="167" t="inlineStr">
        <is>
          <t>Sem Year 2</t>
        </is>
      </c>
      <c r="T9" s="168" t="inlineStr">
        <is>
          <t>N/A</t>
        </is>
      </c>
      <c r="U9" s="169" t="inlineStr">
        <is>
          <t>N/A</t>
        </is>
      </c>
      <c r="V9" s="107" t="inlineStr">
        <is>
          <t>Not Yet</t>
        </is>
      </c>
      <c r="W9" s="107" t="n"/>
      <c r="X9" s="108" t="n"/>
      <c r="Y9" s="107" t="inlineStr">
        <is>
          <t>2. Progressing — Year 2</t>
        </is>
      </c>
    </row>
    <row r="10" ht="15" customHeight="1" s="104">
      <c r="A10" s="107" t="inlineStr">
        <is>
          <t>TU-2020-0008</t>
        </is>
      </c>
      <c r="B10" s="108" t="inlineStr">
        <is>
          <t>Hassan Abdi</t>
        </is>
      </c>
      <c r="C10" s="107" t="inlineStr">
        <is>
          <t>Undergraduate</t>
        </is>
      </c>
      <c r="D10" s="108" t="inlineStr">
        <is>
          <t>LLB</t>
        </is>
      </c>
      <c r="E10" s="108" t="inlineStr">
        <is>
          <t>School of Law</t>
        </is>
      </c>
      <c r="F10" s="107" t="inlineStr">
        <is>
          <t>2020-09-07</t>
        </is>
      </c>
      <c r="G10" s="107" t="inlineStr">
        <is>
          <t>Sem 8</t>
        </is>
      </c>
      <c r="H10" s="109" t="inlineStr">
        <is>
          <t>Complete</t>
        </is>
      </c>
      <c r="I10" s="109" t="inlineStr">
        <is>
          <t>Complete</t>
        </is>
      </c>
      <c r="J10" s="109" t="inlineStr">
        <is>
          <t>Complete</t>
        </is>
      </c>
      <c r="K10" s="109" t="inlineStr">
        <is>
          <t>Complete</t>
        </is>
      </c>
      <c r="L10" s="167" t="n">
        <v>3.1</v>
      </c>
      <c r="M10" s="109" t="inlineStr">
        <is>
          <t>Good Standing</t>
        </is>
      </c>
      <c r="N10" s="167" t="inlineStr">
        <is>
          <t>2024-01-15</t>
        </is>
      </c>
      <c r="O10" s="109" t="inlineStr">
        <is>
          <t>Paid</t>
        </is>
      </c>
      <c r="P10" s="109" t="inlineStr">
        <is>
          <t>Paid</t>
        </is>
      </c>
      <c r="Q10" s="167" t="n">
        <v>0</v>
      </c>
      <c r="R10" s="168" t="inlineStr">
        <is>
          <t>N/A</t>
        </is>
      </c>
      <c r="S10" s="167" t="inlineStr">
        <is>
          <t>Sem Year 4</t>
        </is>
      </c>
      <c r="T10" s="168" t="inlineStr">
        <is>
          <t>N/A</t>
        </is>
      </c>
      <c r="U10" s="169" t="inlineStr">
        <is>
          <t>N/A</t>
        </is>
      </c>
      <c r="V10" s="107" t="inlineStr">
        <is>
          <t>In Progress</t>
        </is>
      </c>
      <c r="W10" s="107" t="n"/>
      <c r="X10" s="108" t="n"/>
      <c r="Y10" s="107" t="inlineStr">
        <is>
          <t>4. Final Year — Pre-Clearance</t>
        </is>
      </c>
    </row>
    <row r="11" ht="15" customHeight="1" s="104">
      <c r="A11" s="113" t="inlineStr">
        <is>
          <t>TU-2021-0009</t>
        </is>
      </c>
      <c r="B11" s="114" t="inlineStr">
        <is>
          <t>Ivy Njeri</t>
        </is>
      </c>
      <c r="C11" s="113" t="inlineStr">
        <is>
          <t>Undergraduate</t>
        </is>
      </c>
      <c r="D11" s="114" t="inlineStr">
        <is>
          <t>BComm</t>
        </is>
      </c>
      <c r="E11" s="114" t="inlineStr">
        <is>
          <t>School of Business</t>
        </is>
      </c>
      <c r="F11" s="113" t="inlineStr">
        <is>
          <t>2021-09-05</t>
        </is>
      </c>
      <c r="G11" s="113" t="inlineStr">
        <is>
          <t>Sem 6</t>
        </is>
      </c>
      <c r="H11" s="109" t="inlineStr">
        <is>
          <t>Complete</t>
        </is>
      </c>
      <c r="I11" s="109" t="inlineStr">
        <is>
          <t>Complete</t>
        </is>
      </c>
      <c r="J11" s="109" t="inlineStr">
        <is>
          <t>Complete</t>
        </is>
      </c>
      <c r="K11" s="167" t="inlineStr">
        <is>
          <t>In Progress</t>
        </is>
      </c>
      <c r="L11" s="167" t="n">
        <v>2.8</v>
      </c>
      <c r="M11" s="109" t="inlineStr">
        <is>
          <t>Good Standing</t>
        </is>
      </c>
      <c r="N11" s="167" t="inlineStr">
        <is>
          <t>2024-01-15</t>
        </is>
      </c>
      <c r="O11" s="168" t="inlineStr">
        <is>
          <t>Deferred</t>
        </is>
      </c>
      <c r="P11" s="168" t="inlineStr">
        <is>
          <t>Deferred</t>
        </is>
      </c>
      <c r="Q11" s="167" t="n">
        <v>0</v>
      </c>
      <c r="R11" s="168" t="inlineStr">
        <is>
          <t>N/A</t>
        </is>
      </c>
      <c r="S11" s="167" t="inlineStr">
        <is>
          <t>Sem Year 3</t>
        </is>
      </c>
      <c r="T11" s="168" t="inlineStr">
        <is>
          <t>N/A</t>
        </is>
      </c>
      <c r="U11" s="169" t="inlineStr">
        <is>
          <t>N/A</t>
        </is>
      </c>
      <c r="V11" s="113" t="inlineStr">
        <is>
          <t>Not Yet</t>
        </is>
      </c>
      <c r="W11" s="113" t="n"/>
      <c r="X11" s="114" t="n"/>
      <c r="Y11" s="113" t="inlineStr">
        <is>
          <t>⏸ Deferred — On Leave</t>
        </is>
      </c>
    </row>
    <row r="12" ht="15" customHeight="1" s="104">
      <c r="A12" s="107" t="inlineStr">
        <is>
          <t>TU-2023-0010</t>
        </is>
      </c>
      <c r="B12" s="108" t="inlineStr">
        <is>
          <t>James Kibaki</t>
        </is>
      </c>
      <c r="C12" s="107" t="inlineStr">
        <is>
          <t>Undergraduate</t>
        </is>
      </c>
      <c r="D12" s="108" t="inlineStr">
        <is>
          <t>BSc</t>
        </is>
      </c>
      <c r="E12" s="108" t="inlineStr">
        <is>
          <t>School of Computing</t>
        </is>
      </c>
      <c r="F12" s="107" t="inlineStr">
        <is>
          <t>2023-09-04</t>
        </is>
      </c>
      <c r="G12" s="107" t="inlineStr">
        <is>
          <t>Sem 2</t>
        </is>
      </c>
      <c r="H12" s="167" t="inlineStr">
        <is>
          <t>In Progress</t>
        </is>
      </c>
      <c r="I12" s="167" t="inlineStr">
        <is>
          <t>In Progress</t>
        </is>
      </c>
      <c r="J12" s="167" t="inlineStr">
        <is>
          <t>Pending</t>
        </is>
      </c>
      <c r="K12" s="167" t="inlineStr">
        <is>
          <t>Pending</t>
        </is>
      </c>
      <c r="L12" s="167" t="n">
        <v>3.4</v>
      </c>
      <c r="M12" s="109" t="inlineStr">
        <is>
          <t>Good Standing</t>
        </is>
      </c>
      <c r="N12" s="167" t="inlineStr">
        <is>
          <t>2024-01-15</t>
        </is>
      </c>
      <c r="O12" s="109" t="inlineStr">
        <is>
          <t>Paid</t>
        </is>
      </c>
      <c r="P12" s="109" t="inlineStr">
        <is>
          <t>Paid</t>
        </is>
      </c>
      <c r="Q12" s="167" t="n">
        <v>0</v>
      </c>
      <c r="R12" s="168" t="inlineStr">
        <is>
          <t>N/A</t>
        </is>
      </c>
      <c r="S12" s="167" t="inlineStr">
        <is>
          <t>Sem Year 1</t>
        </is>
      </c>
      <c r="T12" s="168" t="inlineStr">
        <is>
          <t>N/A</t>
        </is>
      </c>
      <c r="U12" s="169" t="inlineStr">
        <is>
          <t>N/A</t>
        </is>
      </c>
      <c r="V12" s="107" t="inlineStr">
        <is>
          <t>Not Yet</t>
        </is>
      </c>
      <c r="W12" s="107" t="n"/>
      <c r="X12" s="108" t="n"/>
      <c r="Y12" s="107" t="inlineStr">
        <is>
          <t>1. Enrolled &amp; Orientated</t>
        </is>
      </c>
    </row>
    <row r="13" ht="15" customHeight="1" s="104">
      <c r="A13" s="107" t="inlineStr">
        <is>
          <t>TU-2022-0011</t>
        </is>
      </c>
      <c r="B13" s="108" t="inlineStr">
        <is>
          <t>Kezia Moraa</t>
        </is>
      </c>
      <c r="C13" s="107" t="inlineStr">
        <is>
          <t>Undergraduate</t>
        </is>
      </c>
      <c r="D13" s="108" t="inlineStr">
        <is>
          <t>BSc</t>
        </is>
      </c>
      <c r="E13" s="108" t="inlineStr">
        <is>
          <t>School of Science</t>
        </is>
      </c>
      <c r="F13" s="107" t="inlineStr">
        <is>
          <t>2022-09-06</t>
        </is>
      </c>
      <c r="G13" s="107" t="inlineStr">
        <is>
          <t>Sem 4</t>
        </is>
      </c>
      <c r="H13" s="109" t="inlineStr">
        <is>
          <t>Complete</t>
        </is>
      </c>
      <c r="I13" s="109" t="inlineStr">
        <is>
          <t>Complete</t>
        </is>
      </c>
      <c r="J13" s="167" t="inlineStr">
        <is>
          <t>In Progress</t>
        </is>
      </c>
      <c r="K13" s="167" t="inlineStr">
        <is>
          <t>Pending</t>
        </is>
      </c>
      <c r="L13" s="167" t="n">
        <v>3.05</v>
      </c>
      <c r="M13" s="109" t="inlineStr">
        <is>
          <t>Good Standing</t>
        </is>
      </c>
      <c r="N13" s="167" t="inlineStr">
        <is>
          <t>2024-01-15</t>
        </is>
      </c>
      <c r="O13" s="109" t="inlineStr">
        <is>
          <t>Paid</t>
        </is>
      </c>
      <c r="P13" s="109" t="inlineStr">
        <is>
          <t>Paid</t>
        </is>
      </c>
      <c r="Q13" s="167" t="n">
        <v>0</v>
      </c>
      <c r="R13" s="168" t="inlineStr">
        <is>
          <t>N/A</t>
        </is>
      </c>
      <c r="S13" s="167" t="inlineStr">
        <is>
          <t>Sem Year 2</t>
        </is>
      </c>
      <c r="T13" s="168" t="inlineStr">
        <is>
          <t>N/A</t>
        </is>
      </c>
      <c r="U13" s="169" t="inlineStr">
        <is>
          <t>N/A</t>
        </is>
      </c>
      <c r="V13" s="107" t="inlineStr">
        <is>
          <t>Not Yet</t>
        </is>
      </c>
      <c r="W13" s="107" t="n"/>
      <c r="X13" s="108" t="n"/>
      <c r="Y13" s="107" t="inlineStr">
        <is>
          <t>2. Progressing — Year 2</t>
        </is>
      </c>
    </row>
    <row r="14" ht="15" customHeight="1" s="104">
      <c r="A14" s="109" t="inlineStr">
        <is>
          <t>TU-2019-0012</t>
        </is>
      </c>
      <c r="B14" s="110" t="inlineStr">
        <is>
          <t>Liam Okonkwo</t>
        </is>
      </c>
      <c r="C14" s="109" t="inlineStr">
        <is>
          <t>Undergraduate</t>
        </is>
      </c>
      <c r="D14" s="110" t="inlineStr">
        <is>
          <t>BSc</t>
        </is>
      </c>
      <c r="E14" s="110" t="inlineStr">
        <is>
          <t>School of Engineering</t>
        </is>
      </c>
      <c r="F14" s="109" t="inlineStr">
        <is>
          <t>2019-09-02</t>
        </is>
      </c>
      <c r="G14" s="109" t="inlineStr">
        <is>
          <t>Completed</t>
        </is>
      </c>
      <c r="H14" s="109" t="inlineStr">
        <is>
          <t>Complete</t>
        </is>
      </c>
      <c r="I14" s="109" t="inlineStr">
        <is>
          <t>Complete</t>
        </is>
      </c>
      <c r="J14" s="109" t="inlineStr">
        <is>
          <t>Complete</t>
        </is>
      </c>
      <c r="K14" s="109" t="inlineStr">
        <is>
          <t>Complete</t>
        </is>
      </c>
      <c r="L14" s="167" t="n">
        <v>2.6</v>
      </c>
      <c r="M14" s="109" t="inlineStr">
        <is>
          <t>Cleared</t>
        </is>
      </c>
      <c r="N14" s="167" t="inlineStr">
        <is>
          <t>2024-01-15</t>
        </is>
      </c>
      <c r="O14" s="109" t="inlineStr">
        <is>
          <t>Paid</t>
        </is>
      </c>
      <c r="P14" s="109" t="inlineStr">
        <is>
          <t>Cleared</t>
        </is>
      </c>
      <c r="Q14" s="167" t="n">
        <v>0</v>
      </c>
      <c r="R14" s="168" t="inlineStr">
        <is>
          <t>N/A</t>
        </is>
      </c>
      <c r="S14" s="167" t="inlineStr">
        <is>
          <t>Sem Year 4</t>
        </is>
      </c>
      <c r="T14" s="168" t="inlineStr">
        <is>
          <t>N/A</t>
        </is>
      </c>
      <c r="U14" s="169" t="inlineStr">
        <is>
          <t>N/A</t>
        </is>
      </c>
      <c r="V14" s="109" t="inlineStr">
        <is>
          <t>Approved</t>
        </is>
      </c>
      <c r="W14" s="109" t="inlineStr">
        <is>
          <t>2024-01-15</t>
        </is>
      </c>
      <c r="X14" s="110" t="inlineStr">
        <is>
          <t>2023-11-10</t>
        </is>
      </c>
      <c r="Y14" s="109" t="inlineStr">
        <is>
          <t>6. Graduated ✓</t>
        </is>
      </c>
    </row>
    <row r="15" ht="15" customHeight="1" s="104">
      <c r="A15" s="107" t="inlineStr">
        <is>
          <t>TU-2021-0013</t>
        </is>
      </c>
      <c r="B15" s="108" t="inlineStr">
        <is>
          <t>Mary Adhiambo</t>
        </is>
      </c>
      <c r="C15" s="107" t="inlineStr">
        <is>
          <t>Undergraduate</t>
        </is>
      </c>
      <c r="D15" s="108" t="inlineStr">
        <is>
          <t>BA</t>
        </is>
      </c>
      <c r="E15" s="108" t="inlineStr">
        <is>
          <t>School of Social Sciences</t>
        </is>
      </c>
      <c r="F15" s="107" t="inlineStr">
        <is>
          <t>2021-09-05</t>
        </is>
      </c>
      <c r="G15" s="107" t="inlineStr">
        <is>
          <t>Sem 6</t>
        </is>
      </c>
      <c r="H15" s="109" t="inlineStr">
        <is>
          <t>Complete</t>
        </is>
      </c>
      <c r="I15" s="109" t="inlineStr">
        <is>
          <t>Complete</t>
        </is>
      </c>
      <c r="J15" s="109" t="inlineStr">
        <is>
          <t>Complete</t>
        </is>
      </c>
      <c r="K15" s="167" t="inlineStr">
        <is>
          <t>In Progress</t>
        </is>
      </c>
      <c r="L15" s="167" t="n">
        <v>3.5</v>
      </c>
      <c r="M15" s="109" t="inlineStr">
        <is>
          <t>Good Standing</t>
        </is>
      </c>
      <c r="N15" s="167" t="inlineStr">
        <is>
          <t>2024-01-15</t>
        </is>
      </c>
      <c r="O15" s="109" t="inlineStr">
        <is>
          <t>Paid</t>
        </is>
      </c>
      <c r="P15" s="109" t="inlineStr">
        <is>
          <t>Paid</t>
        </is>
      </c>
      <c r="Q15" s="167" t="n">
        <v>0</v>
      </c>
      <c r="R15" s="168" t="inlineStr">
        <is>
          <t>N/A</t>
        </is>
      </c>
      <c r="S15" s="167" t="inlineStr">
        <is>
          <t>Sem Year 3</t>
        </is>
      </c>
      <c r="T15" s="168" t="inlineStr">
        <is>
          <t>N/A</t>
        </is>
      </c>
      <c r="U15" s="169" t="inlineStr">
        <is>
          <t>N/A</t>
        </is>
      </c>
      <c r="V15" s="107" t="inlineStr">
        <is>
          <t>Not Yet</t>
        </is>
      </c>
      <c r="W15" s="107" t="n"/>
      <c r="X15" s="108" t="n"/>
      <c r="Y15" s="107" t="inlineStr">
        <is>
          <t>3. Progressing — Year 3</t>
        </is>
      </c>
    </row>
    <row r="16" ht="15" customHeight="1" s="104">
      <c r="A16" s="115" t="inlineStr">
        <is>
          <t>TU-2020-0014</t>
        </is>
      </c>
      <c r="B16" s="116" t="inlineStr">
        <is>
          <t>Noel Kiprotich</t>
        </is>
      </c>
      <c r="C16" s="115" t="inlineStr">
        <is>
          <t>Undergraduate</t>
        </is>
      </c>
      <c r="D16" s="116" t="inlineStr">
        <is>
          <t>BPharm</t>
        </is>
      </c>
      <c r="E16" s="116" t="inlineStr">
        <is>
          <t>School of Health Sciences</t>
        </is>
      </c>
      <c r="F16" s="115" t="inlineStr">
        <is>
          <t>2020-09-07</t>
        </is>
      </c>
      <c r="G16" s="115" t="inlineStr">
        <is>
          <t>Sem 8</t>
        </is>
      </c>
      <c r="H16" s="109" t="inlineStr">
        <is>
          <t>Complete</t>
        </is>
      </c>
      <c r="I16" s="109" t="inlineStr">
        <is>
          <t>Complete</t>
        </is>
      </c>
      <c r="J16" s="109" t="inlineStr">
        <is>
          <t>Complete</t>
        </is>
      </c>
      <c r="K16" s="109" t="inlineStr">
        <is>
          <t>Complete</t>
        </is>
      </c>
      <c r="L16" s="167" t="n">
        <v>1.9</v>
      </c>
      <c r="M16" s="115" t="inlineStr">
        <is>
          <t>Suspended</t>
        </is>
      </c>
      <c r="N16" s="167" t="inlineStr">
        <is>
          <t>2023-12-01</t>
        </is>
      </c>
      <c r="O16" s="115" t="inlineStr">
        <is>
          <t>Overdue</t>
        </is>
      </c>
      <c r="P16" s="115" t="inlineStr">
        <is>
          <t>Overdue</t>
        </is>
      </c>
      <c r="Q16" s="167" t="n">
        <v>75000</v>
      </c>
      <c r="R16" s="168" t="inlineStr">
        <is>
          <t>N/A</t>
        </is>
      </c>
      <c r="S16" s="167" t="inlineStr">
        <is>
          <t>Sem Year 4</t>
        </is>
      </c>
      <c r="T16" s="168" t="inlineStr">
        <is>
          <t>N/A</t>
        </is>
      </c>
      <c r="U16" s="169" t="inlineStr">
        <is>
          <t>N/A</t>
        </is>
      </c>
      <c r="V16" s="115" t="inlineStr">
        <is>
          <t>Blocked</t>
        </is>
      </c>
      <c r="W16" s="115" t="n"/>
      <c r="X16" s="116" t="n"/>
      <c r="Y16" s="115" t="inlineStr">
        <is>
          <t>⚠ Academic Hold — Suspended</t>
        </is>
      </c>
    </row>
    <row r="17" ht="15" customHeight="1" s="104">
      <c r="A17" s="107" t="inlineStr">
        <is>
          <t>TU-2023-0015</t>
        </is>
      </c>
      <c r="B17" s="108" t="inlineStr">
        <is>
          <t>Olivia Achieng</t>
        </is>
      </c>
      <c r="C17" s="107" t="inlineStr">
        <is>
          <t>Undergraduate</t>
        </is>
      </c>
      <c r="D17" s="108" t="inlineStr">
        <is>
          <t>BA</t>
        </is>
      </c>
      <c r="E17" s="108" t="inlineStr">
        <is>
          <t>School of Arts</t>
        </is>
      </c>
      <c r="F17" s="107" t="inlineStr">
        <is>
          <t>2023-09-04</t>
        </is>
      </c>
      <c r="G17" s="107" t="inlineStr">
        <is>
          <t>Sem 2</t>
        </is>
      </c>
      <c r="H17" s="167" t="inlineStr">
        <is>
          <t>In Progress</t>
        </is>
      </c>
      <c r="I17" s="167" t="inlineStr">
        <is>
          <t>In Progress</t>
        </is>
      </c>
      <c r="J17" s="167" t="inlineStr">
        <is>
          <t>Pending</t>
        </is>
      </c>
      <c r="K17" s="167" t="inlineStr">
        <is>
          <t>Pending</t>
        </is>
      </c>
      <c r="L17" s="167" t="n">
        <v>3.82</v>
      </c>
      <c r="M17" s="109" t="inlineStr">
        <is>
          <t>Good Standing</t>
        </is>
      </c>
      <c r="N17" s="167" t="inlineStr">
        <is>
          <t>2024-01-15</t>
        </is>
      </c>
      <c r="O17" s="109" t="inlineStr">
        <is>
          <t>Paid</t>
        </is>
      </c>
      <c r="P17" s="109" t="inlineStr">
        <is>
          <t>Paid</t>
        </is>
      </c>
      <c r="Q17" s="167" t="n">
        <v>0</v>
      </c>
      <c r="R17" s="168" t="inlineStr">
        <is>
          <t>N/A</t>
        </is>
      </c>
      <c r="S17" s="167" t="inlineStr">
        <is>
          <t>Sem Year 1</t>
        </is>
      </c>
      <c r="T17" s="168" t="inlineStr">
        <is>
          <t>N/A</t>
        </is>
      </c>
      <c r="U17" s="169" t="inlineStr">
        <is>
          <t>N/A</t>
        </is>
      </c>
      <c r="V17" s="107" t="inlineStr">
        <is>
          <t>Not Yet</t>
        </is>
      </c>
      <c r="W17" s="107" t="n"/>
      <c r="X17" s="108" t="n"/>
      <c r="Y17" s="107" t="inlineStr">
        <is>
          <t>1. Enrolled &amp; Orientated</t>
        </is>
      </c>
    </row>
    <row r="18" ht="15" customHeight="1" s="104">
      <c r="A18" s="107" t="inlineStr">
        <is>
          <t>TU-2022-0016</t>
        </is>
      </c>
      <c r="B18" s="108" t="inlineStr">
        <is>
          <t>Patrick Owino</t>
        </is>
      </c>
      <c r="C18" s="107" t="inlineStr">
        <is>
          <t>Undergraduate</t>
        </is>
      </c>
      <c r="D18" s="108" t="inlineStr">
        <is>
          <t>BSc</t>
        </is>
      </c>
      <c r="E18" s="108" t="inlineStr">
        <is>
          <t>School of Science</t>
        </is>
      </c>
      <c r="F18" s="107" t="inlineStr">
        <is>
          <t>2022-09-06</t>
        </is>
      </c>
      <c r="G18" s="107" t="inlineStr">
        <is>
          <t>Sem 4</t>
        </is>
      </c>
      <c r="H18" s="109" t="inlineStr">
        <is>
          <t>Complete</t>
        </is>
      </c>
      <c r="I18" s="109" t="inlineStr">
        <is>
          <t>Complete</t>
        </is>
      </c>
      <c r="J18" s="167" t="inlineStr">
        <is>
          <t>In Progress</t>
        </is>
      </c>
      <c r="K18" s="167" t="inlineStr">
        <is>
          <t>Pending</t>
        </is>
      </c>
      <c r="L18" s="167" t="n">
        <v>2.95</v>
      </c>
      <c r="M18" s="109" t="inlineStr">
        <is>
          <t>Good Standing</t>
        </is>
      </c>
      <c r="N18" s="167" t="inlineStr">
        <is>
          <t>2024-01-15</t>
        </is>
      </c>
      <c r="O18" s="109" t="inlineStr">
        <is>
          <t>Paid</t>
        </is>
      </c>
      <c r="P18" s="109" t="inlineStr">
        <is>
          <t>Paid</t>
        </is>
      </c>
      <c r="Q18" s="167" t="n">
        <v>0</v>
      </c>
      <c r="R18" s="168" t="inlineStr">
        <is>
          <t>N/A</t>
        </is>
      </c>
      <c r="S18" s="167" t="inlineStr">
        <is>
          <t>Sem Year 2</t>
        </is>
      </c>
      <c r="T18" s="168" t="inlineStr">
        <is>
          <t>N/A</t>
        </is>
      </c>
      <c r="U18" s="169" t="inlineStr">
        <is>
          <t>N/A</t>
        </is>
      </c>
      <c r="V18" s="107" t="inlineStr">
        <is>
          <t>Not Yet</t>
        </is>
      </c>
      <c r="W18" s="107" t="n"/>
      <c r="X18" s="108" t="n"/>
      <c r="Y18" s="107" t="inlineStr">
        <is>
          <t>2. Progressing — Year 2</t>
        </is>
      </c>
    </row>
    <row r="19" ht="15" customHeight="1" s="104">
      <c r="A19" s="107" t="inlineStr">
        <is>
          <t>TU-2021-0017</t>
        </is>
      </c>
      <c r="B19" s="108" t="inlineStr">
        <is>
          <t>Queenie Mugo</t>
        </is>
      </c>
      <c r="C19" s="107" t="inlineStr">
        <is>
          <t>Undergraduate</t>
        </is>
      </c>
      <c r="D19" s="108" t="inlineStr">
        <is>
          <t>BSc</t>
        </is>
      </c>
      <c r="E19" s="108" t="inlineStr">
        <is>
          <t>School of Computing</t>
        </is>
      </c>
      <c r="F19" s="107" t="inlineStr">
        <is>
          <t>2021-09-05</t>
        </is>
      </c>
      <c r="G19" s="107" t="inlineStr">
        <is>
          <t>Sem 6</t>
        </is>
      </c>
      <c r="H19" s="109" t="inlineStr">
        <is>
          <t>Complete</t>
        </is>
      </c>
      <c r="I19" s="109" t="inlineStr">
        <is>
          <t>Complete</t>
        </is>
      </c>
      <c r="J19" s="109" t="inlineStr">
        <is>
          <t>Complete</t>
        </is>
      </c>
      <c r="K19" s="167" t="inlineStr">
        <is>
          <t>In Progress</t>
        </is>
      </c>
      <c r="L19" s="167" t="n">
        <v>3.95</v>
      </c>
      <c r="M19" s="109" t="inlineStr">
        <is>
          <t>Good Standing</t>
        </is>
      </c>
      <c r="N19" s="167" t="inlineStr">
        <is>
          <t>2024-01-15</t>
        </is>
      </c>
      <c r="O19" s="109" t="inlineStr">
        <is>
          <t>Paid</t>
        </is>
      </c>
      <c r="P19" s="109" t="inlineStr">
        <is>
          <t>Paid</t>
        </is>
      </c>
      <c r="Q19" s="167" t="n">
        <v>0</v>
      </c>
      <c r="R19" s="168" t="inlineStr">
        <is>
          <t>N/A</t>
        </is>
      </c>
      <c r="S19" s="167" t="inlineStr">
        <is>
          <t>Sem Year 3</t>
        </is>
      </c>
      <c r="T19" s="168" t="inlineStr">
        <is>
          <t>N/A</t>
        </is>
      </c>
      <c r="U19" s="169" t="inlineStr">
        <is>
          <t>N/A</t>
        </is>
      </c>
      <c r="V19" s="107" t="inlineStr">
        <is>
          <t>Not Yet</t>
        </is>
      </c>
      <c r="W19" s="107" t="n"/>
      <c r="X19" s="108" t="n"/>
      <c r="Y19" s="107" t="inlineStr">
        <is>
          <t>3. Progressing — Year 3</t>
        </is>
      </c>
    </row>
    <row r="20" ht="15" customHeight="1" s="104">
      <c r="A20" s="107" t="inlineStr">
        <is>
          <t>TU-2020-0018</t>
        </is>
      </c>
      <c r="B20" s="108" t="inlineStr">
        <is>
          <t>Robert Dlamini</t>
        </is>
      </c>
      <c r="C20" s="107" t="inlineStr">
        <is>
          <t>Undergraduate</t>
        </is>
      </c>
      <c r="D20" s="108" t="inlineStr">
        <is>
          <t>BEd</t>
        </is>
      </c>
      <c r="E20" s="108" t="inlineStr">
        <is>
          <t>School of Education</t>
        </is>
      </c>
      <c r="F20" s="107" t="inlineStr">
        <is>
          <t>2020-09-07</t>
        </is>
      </c>
      <c r="G20" s="107" t="inlineStr">
        <is>
          <t>Sem 8</t>
        </is>
      </c>
      <c r="H20" s="109" t="inlineStr">
        <is>
          <t>Complete</t>
        </is>
      </c>
      <c r="I20" s="109" t="inlineStr">
        <is>
          <t>Complete</t>
        </is>
      </c>
      <c r="J20" s="109" t="inlineStr">
        <is>
          <t>Complete</t>
        </is>
      </c>
      <c r="K20" s="109" t="inlineStr">
        <is>
          <t>Complete</t>
        </is>
      </c>
      <c r="L20" s="167" t="n">
        <v>3.3</v>
      </c>
      <c r="M20" s="109" t="inlineStr">
        <is>
          <t>Good Standing</t>
        </is>
      </c>
      <c r="N20" s="167" t="inlineStr">
        <is>
          <t>2024-01-15</t>
        </is>
      </c>
      <c r="O20" s="109" t="inlineStr">
        <is>
          <t>Paid</t>
        </is>
      </c>
      <c r="P20" s="109" t="inlineStr">
        <is>
          <t>Paid</t>
        </is>
      </c>
      <c r="Q20" s="167" t="n">
        <v>0</v>
      </c>
      <c r="R20" s="168" t="inlineStr">
        <is>
          <t>N/A</t>
        </is>
      </c>
      <c r="S20" s="167" t="inlineStr">
        <is>
          <t>Sem Year 4</t>
        </is>
      </c>
      <c r="T20" s="168" t="inlineStr">
        <is>
          <t>N/A</t>
        </is>
      </c>
      <c r="U20" s="169" t="inlineStr">
        <is>
          <t>N/A</t>
        </is>
      </c>
      <c r="V20" s="107" t="inlineStr">
        <is>
          <t>In Progress</t>
        </is>
      </c>
      <c r="W20" s="107" t="n"/>
      <c r="X20" s="108" t="n"/>
      <c r="Y20" s="107" t="inlineStr">
        <is>
          <t>4. Final Year — Pre-Clearance</t>
        </is>
      </c>
    </row>
    <row r="21" ht="15" customHeight="1" s="104">
      <c r="A21" s="107" t="inlineStr">
        <is>
          <t>TU-2023-0019</t>
        </is>
      </c>
      <c r="B21" s="108" t="inlineStr">
        <is>
          <t>Sandra Chebet</t>
        </is>
      </c>
      <c r="C21" s="107" t="inlineStr">
        <is>
          <t>Undergraduate</t>
        </is>
      </c>
      <c r="D21" s="108" t="inlineStr">
        <is>
          <t>BSc</t>
        </is>
      </c>
      <c r="E21" s="108" t="inlineStr">
        <is>
          <t>School of Health Sciences</t>
        </is>
      </c>
      <c r="F21" s="107" t="inlineStr">
        <is>
          <t>2023-09-04</t>
        </is>
      </c>
      <c r="G21" s="107" t="inlineStr">
        <is>
          <t>Sem 2</t>
        </is>
      </c>
      <c r="H21" s="167" t="inlineStr">
        <is>
          <t>In Progress</t>
        </is>
      </c>
      <c r="I21" s="167" t="inlineStr">
        <is>
          <t>In Progress</t>
        </is>
      </c>
      <c r="J21" s="167" t="inlineStr">
        <is>
          <t>Pending</t>
        </is>
      </c>
      <c r="K21" s="167" t="inlineStr">
        <is>
          <t>Pending</t>
        </is>
      </c>
      <c r="L21" s="167" t="n">
        <v>3.15</v>
      </c>
      <c r="M21" s="109" t="inlineStr">
        <is>
          <t>Good Standing</t>
        </is>
      </c>
      <c r="N21" s="167" t="inlineStr">
        <is>
          <t>2024-01-15</t>
        </is>
      </c>
      <c r="O21" s="109" t="inlineStr">
        <is>
          <t>Paid</t>
        </is>
      </c>
      <c r="P21" s="109" t="inlineStr">
        <is>
          <t>Paid</t>
        </is>
      </c>
      <c r="Q21" s="167" t="n">
        <v>0</v>
      </c>
      <c r="R21" s="168" t="inlineStr">
        <is>
          <t>N/A</t>
        </is>
      </c>
      <c r="S21" s="167" t="inlineStr">
        <is>
          <t>Sem Year 1</t>
        </is>
      </c>
      <c r="T21" s="168" t="inlineStr">
        <is>
          <t>N/A</t>
        </is>
      </c>
      <c r="U21" s="169" t="inlineStr">
        <is>
          <t>N/A</t>
        </is>
      </c>
      <c r="V21" s="107" t="inlineStr">
        <is>
          <t>Not Yet</t>
        </is>
      </c>
      <c r="W21" s="107" t="n"/>
      <c r="X21" s="108" t="n"/>
      <c r="Y21" s="107" t="inlineStr">
        <is>
          <t>1. Enrolled &amp; Orientated</t>
        </is>
      </c>
    </row>
    <row r="22" ht="15" customHeight="1" s="104">
      <c r="A22" s="107" t="inlineStr">
        <is>
          <t>TU-2022-0020</t>
        </is>
      </c>
      <c r="B22" s="108" t="inlineStr">
        <is>
          <t>Tunde Adeyemi</t>
        </is>
      </c>
      <c r="C22" s="107" t="inlineStr">
        <is>
          <t>Undergraduate</t>
        </is>
      </c>
      <c r="D22" s="108" t="inlineStr">
        <is>
          <t>LLB</t>
        </is>
      </c>
      <c r="E22" s="108" t="inlineStr">
        <is>
          <t>School of Law</t>
        </is>
      </c>
      <c r="F22" s="107" t="inlineStr">
        <is>
          <t>2022-09-06</t>
        </is>
      </c>
      <c r="G22" s="107" t="inlineStr">
        <is>
          <t>Sem 4</t>
        </is>
      </c>
      <c r="H22" s="109" t="inlineStr">
        <is>
          <t>Complete</t>
        </is>
      </c>
      <c r="I22" s="109" t="inlineStr">
        <is>
          <t>Complete</t>
        </is>
      </c>
      <c r="J22" s="167" t="inlineStr">
        <is>
          <t>In Progress</t>
        </is>
      </c>
      <c r="K22" s="167" t="inlineStr">
        <is>
          <t>Pending</t>
        </is>
      </c>
      <c r="L22" s="167" t="n">
        <v>3.6</v>
      </c>
      <c r="M22" s="109" t="inlineStr">
        <is>
          <t>Good Standing</t>
        </is>
      </c>
      <c r="N22" s="167" t="inlineStr">
        <is>
          <t>2024-01-15</t>
        </is>
      </c>
      <c r="O22" s="109" t="inlineStr">
        <is>
          <t>Paid</t>
        </is>
      </c>
      <c r="P22" s="109" t="inlineStr">
        <is>
          <t>Paid</t>
        </is>
      </c>
      <c r="Q22" s="167" t="n">
        <v>0</v>
      </c>
      <c r="R22" s="168" t="inlineStr">
        <is>
          <t>N/A</t>
        </is>
      </c>
      <c r="S22" s="167" t="inlineStr">
        <is>
          <t>Sem Year 2</t>
        </is>
      </c>
      <c r="T22" s="168" t="inlineStr">
        <is>
          <t>N/A</t>
        </is>
      </c>
      <c r="U22" s="169" t="inlineStr">
        <is>
          <t>N/A</t>
        </is>
      </c>
      <c r="V22" s="107" t="inlineStr">
        <is>
          <t>Not Yet</t>
        </is>
      </c>
      <c r="W22" s="107" t="n"/>
      <c r="X22" s="108" t="n"/>
      <c r="Y22" s="107" t="inlineStr">
        <is>
          <t>2. Progressing — Year 2</t>
        </is>
      </c>
    </row>
    <row r="23" ht="15" customHeight="1" s="104">
      <c r="A23" s="113" t="inlineStr">
        <is>
          <t>TU-2021-0021</t>
        </is>
      </c>
      <c r="B23" s="114" t="inlineStr">
        <is>
          <t>Uchenna Eze</t>
        </is>
      </c>
      <c r="C23" s="113" t="inlineStr">
        <is>
          <t>Undergraduate</t>
        </is>
      </c>
      <c r="D23" s="114" t="inlineStr">
        <is>
          <t>BA</t>
        </is>
      </c>
      <c r="E23" s="114" t="inlineStr">
        <is>
          <t>School of Social Sciences</t>
        </is>
      </c>
      <c r="F23" s="113" t="inlineStr">
        <is>
          <t>2021-09-05</t>
        </is>
      </c>
      <c r="G23" s="113" t="inlineStr">
        <is>
          <t>Sem 6</t>
        </is>
      </c>
      <c r="H23" s="109" t="inlineStr">
        <is>
          <t>Complete</t>
        </is>
      </c>
      <c r="I23" s="109" t="inlineStr">
        <is>
          <t>Complete</t>
        </is>
      </c>
      <c r="J23" s="109" t="inlineStr">
        <is>
          <t>Complete</t>
        </is>
      </c>
      <c r="K23" s="167" t="inlineStr">
        <is>
          <t>In Progress</t>
        </is>
      </c>
      <c r="L23" s="167" t="n">
        <v>2.75</v>
      </c>
      <c r="M23" s="109" t="inlineStr">
        <is>
          <t>Good Standing</t>
        </is>
      </c>
      <c r="N23" s="167" t="inlineStr">
        <is>
          <t>2024-01-15</t>
        </is>
      </c>
      <c r="O23" s="168" t="inlineStr">
        <is>
          <t>Deferred</t>
        </is>
      </c>
      <c r="P23" s="168" t="inlineStr">
        <is>
          <t>Deferred</t>
        </is>
      </c>
      <c r="Q23" s="167" t="n">
        <v>0</v>
      </c>
      <c r="R23" s="168" t="inlineStr">
        <is>
          <t>N/A</t>
        </is>
      </c>
      <c r="S23" s="167" t="inlineStr">
        <is>
          <t>Sem Year 3</t>
        </is>
      </c>
      <c r="T23" s="168" t="inlineStr">
        <is>
          <t>N/A</t>
        </is>
      </c>
      <c r="U23" s="169" t="inlineStr">
        <is>
          <t>N/A</t>
        </is>
      </c>
      <c r="V23" s="113" t="inlineStr">
        <is>
          <t>Not Yet</t>
        </is>
      </c>
      <c r="W23" s="113" t="n"/>
      <c r="X23" s="114" t="n"/>
      <c r="Y23" s="113" t="inlineStr">
        <is>
          <t>⏸ Deferred — On Leave</t>
        </is>
      </c>
    </row>
    <row r="24" ht="15" customHeight="1" s="104">
      <c r="A24" s="109" t="inlineStr">
        <is>
          <t>TU-2019-0022</t>
        </is>
      </c>
      <c r="B24" s="110" t="inlineStr">
        <is>
          <t>Vivian Kamau</t>
        </is>
      </c>
      <c r="C24" s="109" t="inlineStr">
        <is>
          <t>Undergraduate</t>
        </is>
      </c>
      <c r="D24" s="110" t="inlineStr">
        <is>
          <t>BSc</t>
        </is>
      </c>
      <c r="E24" s="110" t="inlineStr">
        <is>
          <t>School of Science</t>
        </is>
      </c>
      <c r="F24" s="109" t="inlineStr">
        <is>
          <t>2019-09-02</t>
        </is>
      </c>
      <c r="G24" s="109" t="inlineStr">
        <is>
          <t>Completed</t>
        </is>
      </c>
      <c r="H24" s="109" t="inlineStr">
        <is>
          <t>Complete</t>
        </is>
      </c>
      <c r="I24" s="109" t="inlineStr">
        <is>
          <t>Complete</t>
        </is>
      </c>
      <c r="J24" s="109" t="inlineStr">
        <is>
          <t>Complete</t>
        </is>
      </c>
      <c r="K24" s="109" t="inlineStr">
        <is>
          <t>Complete</t>
        </is>
      </c>
      <c r="L24" s="167" t="n">
        <v>3.88</v>
      </c>
      <c r="M24" s="109" t="inlineStr">
        <is>
          <t>Cleared</t>
        </is>
      </c>
      <c r="N24" s="167" t="inlineStr">
        <is>
          <t>2024-01-15</t>
        </is>
      </c>
      <c r="O24" s="109" t="inlineStr">
        <is>
          <t>Paid</t>
        </is>
      </c>
      <c r="P24" s="109" t="inlineStr">
        <is>
          <t>Cleared</t>
        </is>
      </c>
      <c r="Q24" s="167" t="n">
        <v>0</v>
      </c>
      <c r="R24" s="168" t="inlineStr">
        <is>
          <t>N/A</t>
        </is>
      </c>
      <c r="S24" s="167" t="inlineStr">
        <is>
          <t>Sem Year 4</t>
        </is>
      </c>
      <c r="T24" s="168" t="inlineStr">
        <is>
          <t>N/A</t>
        </is>
      </c>
      <c r="U24" s="169" t="inlineStr">
        <is>
          <t>N/A</t>
        </is>
      </c>
      <c r="V24" s="109" t="inlineStr">
        <is>
          <t>Approved</t>
        </is>
      </c>
      <c r="W24" s="109" t="inlineStr">
        <is>
          <t>2024-01-15</t>
        </is>
      </c>
      <c r="X24" s="110" t="inlineStr">
        <is>
          <t>2023-11-10</t>
        </is>
      </c>
      <c r="Y24" s="109" t="inlineStr">
        <is>
          <t>6. Graduated ✓</t>
        </is>
      </c>
    </row>
    <row r="25" ht="15" customHeight="1" s="104">
      <c r="A25" s="111" t="inlineStr">
        <is>
          <t>TU-2023-0023</t>
        </is>
      </c>
      <c r="B25" s="112" t="inlineStr">
        <is>
          <t>William Barasa</t>
        </is>
      </c>
      <c r="C25" s="111" t="inlineStr">
        <is>
          <t>Undergraduate</t>
        </is>
      </c>
      <c r="D25" s="112" t="inlineStr">
        <is>
          <t>BComm</t>
        </is>
      </c>
      <c r="E25" s="112" t="inlineStr">
        <is>
          <t>School of Business</t>
        </is>
      </c>
      <c r="F25" s="111" t="inlineStr">
        <is>
          <t>2023-09-04</t>
        </is>
      </c>
      <c r="G25" s="111" t="inlineStr">
        <is>
          <t>Sem 2</t>
        </is>
      </c>
      <c r="H25" s="167" t="inlineStr">
        <is>
          <t>In Progress</t>
        </is>
      </c>
      <c r="I25" s="167" t="inlineStr">
        <is>
          <t>In Progress</t>
        </is>
      </c>
      <c r="J25" s="167" t="inlineStr">
        <is>
          <t>Pending</t>
        </is>
      </c>
      <c r="K25" s="167" t="inlineStr">
        <is>
          <t>Pending</t>
        </is>
      </c>
      <c r="L25" s="167" t="n">
        <v>2.2</v>
      </c>
      <c r="M25" s="115" t="inlineStr">
        <is>
          <t>Probation</t>
        </is>
      </c>
      <c r="N25" s="167" t="inlineStr">
        <is>
          <t>2023-12-01</t>
        </is>
      </c>
      <c r="O25" s="167" t="inlineStr">
        <is>
          <t>Partial</t>
        </is>
      </c>
      <c r="P25" s="167" t="inlineStr">
        <is>
          <t>Partial</t>
        </is>
      </c>
      <c r="Q25" s="167" t="n">
        <v>35000</v>
      </c>
      <c r="R25" s="168" t="inlineStr">
        <is>
          <t>N/A</t>
        </is>
      </c>
      <c r="S25" s="167" t="inlineStr">
        <is>
          <t>Sem Year 1</t>
        </is>
      </c>
      <c r="T25" s="168" t="inlineStr">
        <is>
          <t>N/A</t>
        </is>
      </c>
      <c r="U25" s="169" t="inlineStr">
        <is>
          <t>N/A</t>
        </is>
      </c>
      <c r="V25" s="111" t="inlineStr">
        <is>
          <t>Blocked</t>
        </is>
      </c>
      <c r="W25" s="111" t="n"/>
      <c r="X25" s="112" t="n"/>
      <c r="Y25" s="111" t="inlineStr">
        <is>
          <t>⚠ Academic Review — Probation</t>
        </is>
      </c>
    </row>
    <row r="26" ht="15" customHeight="1" s="104">
      <c r="A26" s="107" t="inlineStr">
        <is>
          <t>TU-2022-0024</t>
        </is>
      </c>
      <c r="B26" s="108" t="inlineStr">
        <is>
          <t>Xena Mutua</t>
        </is>
      </c>
      <c r="C26" s="107" t="inlineStr">
        <is>
          <t>Undergraduate</t>
        </is>
      </c>
      <c r="D26" s="108" t="inlineStr">
        <is>
          <t>BSc</t>
        </is>
      </c>
      <c r="E26" s="108" t="inlineStr">
        <is>
          <t>School of Computing</t>
        </is>
      </c>
      <c r="F26" s="107" t="inlineStr">
        <is>
          <t>2022-09-06</t>
        </is>
      </c>
      <c r="G26" s="107" t="inlineStr">
        <is>
          <t>Sem 4</t>
        </is>
      </c>
      <c r="H26" s="109" t="inlineStr">
        <is>
          <t>Complete</t>
        </is>
      </c>
      <c r="I26" s="109" t="inlineStr">
        <is>
          <t>Complete</t>
        </is>
      </c>
      <c r="J26" s="167" t="inlineStr">
        <is>
          <t>In Progress</t>
        </is>
      </c>
      <c r="K26" s="167" t="inlineStr">
        <is>
          <t>Pending</t>
        </is>
      </c>
      <c r="L26" s="167" t="n">
        <v>3.42</v>
      </c>
      <c r="M26" s="109" t="inlineStr">
        <is>
          <t>Good Standing</t>
        </is>
      </c>
      <c r="N26" s="167" t="inlineStr">
        <is>
          <t>2024-01-15</t>
        </is>
      </c>
      <c r="O26" s="109" t="inlineStr">
        <is>
          <t>Paid</t>
        </is>
      </c>
      <c r="P26" s="109" t="inlineStr">
        <is>
          <t>Paid</t>
        </is>
      </c>
      <c r="Q26" s="167" t="n">
        <v>0</v>
      </c>
      <c r="R26" s="168" t="inlineStr">
        <is>
          <t>N/A</t>
        </is>
      </c>
      <c r="S26" s="167" t="inlineStr">
        <is>
          <t>Sem Year 2</t>
        </is>
      </c>
      <c r="T26" s="168" t="inlineStr">
        <is>
          <t>N/A</t>
        </is>
      </c>
      <c r="U26" s="169" t="inlineStr">
        <is>
          <t>N/A</t>
        </is>
      </c>
      <c r="V26" s="107" t="inlineStr">
        <is>
          <t>Not Yet</t>
        </is>
      </c>
      <c r="W26" s="107" t="n"/>
      <c r="X26" s="108" t="n"/>
      <c r="Y26" s="107" t="inlineStr">
        <is>
          <t>2. Progressing — Year 2</t>
        </is>
      </c>
    </row>
    <row r="27" ht="15" customHeight="1" s="104">
      <c r="A27" s="107" t="inlineStr">
        <is>
          <t>TU-2023-0025</t>
        </is>
      </c>
      <c r="B27" s="108" t="inlineStr">
        <is>
          <t>Stephen Gaita Gaikia</t>
        </is>
      </c>
      <c r="C27" s="107" t="inlineStr">
        <is>
          <t>Undergraduate</t>
        </is>
      </c>
      <c r="D27" s="108" t="inlineStr">
        <is>
          <t>BSc</t>
        </is>
      </c>
      <c r="E27" s="108" t="inlineStr">
        <is>
          <t>School of Computing</t>
        </is>
      </c>
      <c r="F27" s="107" t="inlineStr">
        <is>
          <t>2023-09-04</t>
        </is>
      </c>
      <c r="G27" s="107" t="inlineStr">
        <is>
          <t>Sem 2</t>
        </is>
      </c>
      <c r="H27" s="167" t="inlineStr">
        <is>
          <t>In Progress</t>
        </is>
      </c>
      <c r="I27" s="167" t="inlineStr">
        <is>
          <t>In Progress</t>
        </is>
      </c>
      <c r="J27" s="167" t="inlineStr">
        <is>
          <t>Pending</t>
        </is>
      </c>
      <c r="K27" s="167" t="inlineStr">
        <is>
          <t>Pending</t>
        </is>
      </c>
      <c r="L27" s="167" t="n">
        <v>3.65</v>
      </c>
      <c r="M27" s="109" t="inlineStr">
        <is>
          <t>Good Standing</t>
        </is>
      </c>
      <c r="N27" s="167" t="inlineStr">
        <is>
          <t>2024-01-15</t>
        </is>
      </c>
      <c r="O27" s="109" t="inlineStr">
        <is>
          <t>Paid</t>
        </is>
      </c>
      <c r="P27" s="109" t="inlineStr">
        <is>
          <t>Paid</t>
        </is>
      </c>
      <c r="Q27" s="167" t="n">
        <v>0</v>
      </c>
      <c r="R27" s="168" t="inlineStr">
        <is>
          <t>N/A</t>
        </is>
      </c>
      <c r="S27" s="167" t="inlineStr">
        <is>
          <t>Sem Year 1</t>
        </is>
      </c>
      <c r="T27" s="168" t="inlineStr">
        <is>
          <t>N/A</t>
        </is>
      </c>
      <c r="U27" s="169" t="inlineStr">
        <is>
          <t>N/A</t>
        </is>
      </c>
      <c r="V27" s="107" t="inlineStr">
        <is>
          <t>Not Yet</t>
        </is>
      </c>
      <c r="W27" s="107" t="n"/>
      <c r="X27" s="108" t="n"/>
      <c r="Y27" s="107" t="inlineStr">
        <is>
          <t>1. Enrolled &amp; Orientated</t>
        </is>
      </c>
    </row>
    <row r="28" ht="15" customHeight="1" s="104">
      <c r="A28" s="117" t="inlineStr">
        <is>
          <t>TU-PG-2022-0026</t>
        </is>
      </c>
      <c r="B28" s="118" t="inlineStr">
        <is>
          <t>Amara Diallo</t>
        </is>
      </c>
      <c r="C28" s="117" t="inlineStr">
        <is>
          <t>Postgraduate</t>
        </is>
      </c>
      <c r="D28" s="118" t="inlineStr">
        <is>
          <t>MSc (Coursework)</t>
        </is>
      </c>
      <c r="E28" s="118" t="inlineStr">
        <is>
          <t>School of Computing</t>
        </is>
      </c>
      <c r="F28" s="117" t="inlineStr">
        <is>
          <t>2022-09-05</t>
        </is>
      </c>
      <c r="G28" s="117" t="inlineStr">
        <is>
          <t>Sem 4</t>
        </is>
      </c>
      <c r="H28" s="109" t="inlineStr">
        <is>
          <t>Complete</t>
        </is>
      </c>
      <c r="I28" s="109" t="inlineStr">
        <is>
          <t>Complete</t>
        </is>
      </c>
      <c r="J28" s="167" t="inlineStr">
        <is>
          <t>In Progress</t>
        </is>
      </c>
      <c r="K28" s="167" t="inlineStr">
        <is>
          <t>Pending</t>
        </is>
      </c>
      <c r="L28" s="167" t="n">
        <v>3.72</v>
      </c>
      <c r="M28" s="109" t="inlineStr">
        <is>
          <t>Good Standing</t>
        </is>
      </c>
      <c r="N28" s="167" t="inlineStr">
        <is>
          <t>2024-01-15</t>
        </is>
      </c>
      <c r="O28" s="109" t="inlineStr">
        <is>
          <t>Paid</t>
        </is>
      </c>
      <c r="P28" s="109" t="inlineStr">
        <is>
          <t>Paid</t>
        </is>
      </c>
      <c r="Q28" s="167" t="n">
        <v>0</v>
      </c>
      <c r="R28" s="168" t="inlineStr">
        <is>
          <t>N/A</t>
        </is>
      </c>
      <c r="S28" s="167" t="inlineStr">
        <is>
          <t>Sem 4</t>
        </is>
      </c>
      <c r="T28" s="168" t="inlineStr">
        <is>
          <t>N/A</t>
        </is>
      </c>
      <c r="U28" s="169" t="inlineStr">
        <is>
          <t>N/A</t>
        </is>
      </c>
      <c r="V28" s="117" t="inlineStr">
        <is>
          <t>In Progress</t>
        </is>
      </c>
      <c r="W28" s="117" t="n"/>
      <c r="X28" s="118" t="n"/>
      <c r="Y28" s="117" t="inlineStr">
        <is>
          <t>3. PG Final Semester — Pre-Graduation</t>
        </is>
      </c>
    </row>
    <row r="29" ht="15" customHeight="1" s="104">
      <c r="A29" s="117" t="inlineStr">
        <is>
          <t>TU-PG-2023-0027</t>
        </is>
      </c>
      <c r="B29" s="118" t="inlineStr">
        <is>
          <t>Benjamin Kamto</t>
        </is>
      </c>
      <c r="C29" s="117" t="inlineStr">
        <is>
          <t>Postgraduate</t>
        </is>
      </c>
      <c r="D29" s="118" t="inlineStr">
        <is>
          <t>MBA (Coursework)</t>
        </is>
      </c>
      <c r="E29" s="118" t="inlineStr">
        <is>
          <t>School of Business</t>
        </is>
      </c>
      <c r="F29" s="117" t="inlineStr">
        <is>
          <t>2023-09-04</t>
        </is>
      </c>
      <c r="G29" s="117" t="inlineStr">
        <is>
          <t>Sem 2</t>
        </is>
      </c>
      <c r="H29" s="167" t="inlineStr">
        <is>
          <t>In Progress</t>
        </is>
      </c>
      <c r="I29" s="167" t="inlineStr">
        <is>
          <t>In Progress</t>
        </is>
      </c>
      <c r="J29" s="167" t="inlineStr">
        <is>
          <t>Pending</t>
        </is>
      </c>
      <c r="K29" s="167" t="inlineStr">
        <is>
          <t>Pending</t>
        </is>
      </c>
      <c r="L29" s="167" t="n">
        <v>3.41</v>
      </c>
      <c r="M29" s="109" t="inlineStr">
        <is>
          <t>Good Standing</t>
        </is>
      </c>
      <c r="N29" s="167" t="inlineStr">
        <is>
          <t>2024-01-15</t>
        </is>
      </c>
      <c r="O29" s="109" t="inlineStr">
        <is>
          <t>Paid</t>
        </is>
      </c>
      <c r="P29" s="109" t="inlineStr">
        <is>
          <t>Paid</t>
        </is>
      </c>
      <c r="Q29" s="167" t="n">
        <v>0</v>
      </c>
      <c r="R29" s="168" t="inlineStr">
        <is>
          <t>N/A</t>
        </is>
      </c>
      <c r="S29" s="167" t="inlineStr">
        <is>
          <t>Sem 2</t>
        </is>
      </c>
      <c r="T29" s="168" t="inlineStr">
        <is>
          <t>N/A</t>
        </is>
      </c>
      <c r="U29" s="169" t="inlineStr">
        <is>
          <t>N/A</t>
        </is>
      </c>
      <c r="V29" s="117" t="inlineStr">
        <is>
          <t>Not Yet</t>
        </is>
      </c>
      <c r="W29" s="117" t="n"/>
      <c r="X29" s="118" t="n"/>
      <c r="Y29" s="117" t="inlineStr">
        <is>
          <t>1. PG Enrolled — Coursework Phase</t>
        </is>
      </c>
    </row>
    <row r="30" ht="15" customHeight="1" s="104">
      <c r="A30" s="109" t="inlineStr">
        <is>
          <t>TU-PG-2022-0028</t>
        </is>
      </c>
      <c r="B30" s="110" t="inlineStr">
        <is>
          <t>Celestine Awino</t>
        </is>
      </c>
      <c r="C30" s="109" t="inlineStr">
        <is>
          <t>Postgraduate</t>
        </is>
      </c>
      <c r="D30" s="110" t="inlineStr">
        <is>
          <t>MA (Coursework)</t>
        </is>
      </c>
      <c r="E30" s="110" t="inlineStr">
        <is>
          <t>School of Business</t>
        </is>
      </c>
      <c r="F30" s="109" t="inlineStr">
        <is>
          <t>2022-09-05</t>
        </is>
      </c>
      <c r="G30" s="109" t="inlineStr">
        <is>
          <t>Completed</t>
        </is>
      </c>
      <c r="H30" s="109" t="inlineStr">
        <is>
          <t>Complete</t>
        </is>
      </c>
      <c r="I30" s="109" t="inlineStr">
        <is>
          <t>Complete</t>
        </is>
      </c>
      <c r="J30" s="109" t="inlineStr">
        <is>
          <t>Complete</t>
        </is>
      </c>
      <c r="K30" s="109" t="inlineStr">
        <is>
          <t>Complete</t>
        </is>
      </c>
      <c r="L30" s="167" t="n">
        <v>3.55</v>
      </c>
      <c r="M30" s="109" t="inlineStr">
        <is>
          <t>Cleared</t>
        </is>
      </c>
      <c r="N30" s="167" t="inlineStr">
        <is>
          <t>2023-11-01</t>
        </is>
      </c>
      <c r="O30" s="109" t="inlineStr">
        <is>
          <t>Paid</t>
        </is>
      </c>
      <c r="P30" s="109" t="inlineStr">
        <is>
          <t>Cleared</t>
        </is>
      </c>
      <c r="Q30" s="167" t="n">
        <v>0</v>
      </c>
      <c r="R30" s="168" t="inlineStr">
        <is>
          <t>N/A</t>
        </is>
      </c>
      <c r="S30" s="109" t="inlineStr">
        <is>
          <t>Completed</t>
        </is>
      </c>
      <c r="T30" s="168" t="inlineStr">
        <is>
          <t>N/A</t>
        </is>
      </c>
      <c r="U30" s="169" t="inlineStr">
        <is>
          <t>N/A</t>
        </is>
      </c>
      <c r="V30" s="109" t="inlineStr">
        <is>
          <t>Approved</t>
        </is>
      </c>
      <c r="W30" s="109" t="inlineStr">
        <is>
          <t>2023-11-01</t>
        </is>
      </c>
      <c r="X30" s="110" t="inlineStr">
        <is>
          <t>2023-11-10</t>
        </is>
      </c>
      <c r="Y30" s="109" t="inlineStr">
        <is>
          <t>4. Graduated ✓</t>
        </is>
      </c>
    </row>
    <row r="31" ht="15" customHeight="1" s="104">
      <c r="A31" s="111" t="inlineStr">
        <is>
          <t>TU-PG-2023-0029</t>
        </is>
      </c>
      <c r="B31" s="112" t="inlineStr">
        <is>
          <t>Derrick Ssempa</t>
        </is>
      </c>
      <c r="C31" s="111" t="inlineStr">
        <is>
          <t>Postgraduate</t>
        </is>
      </c>
      <c r="D31" s="112" t="inlineStr">
        <is>
          <t>MSc (Coursework)</t>
        </is>
      </c>
      <c r="E31" s="112" t="inlineStr">
        <is>
          <t>School of Science</t>
        </is>
      </c>
      <c r="F31" s="111" t="inlineStr">
        <is>
          <t>2023-09-04</t>
        </is>
      </c>
      <c r="G31" s="111" t="inlineStr">
        <is>
          <t>Sem 2</t>
        </is>
      </c>
      <c r="H31" s="167" t="inlineStr">
        <is>
          <t>In Progress</t>
        </is>
      </c>
      <c r="I31" s="167" t="inlineStr">
        <is>
          <t>In Progress</t>
        </is>
      </c>
      <c r="J31" s="167" t="inlineStr">
        <is>
          <t>Pending</t>
        </is>
      </c>
      <c r="K31" s="167" t="inlineStr">
        <is>
          <t>Pending</t>
        </is>
      </c>
      <c r="L31" s="167" t="n">
        <v>2.81</v>
      </c>
      <c r="M31" s="115" t="inlineStr">
        <is>
          <t>Probation</t>
        </is>
      </c>
      <c r="N31" s="167" t="inlineStr">
        <is>
          <t>2023-12-01</t>
        </is>
      </c>
      <c r="O31" s="167" t="inlineStr">
        <is>
          <t>Partial</t>
        </is>
      </c>
      <c r="P31" s="167" t="inlineStr">
        <is>
          <t>Partial</t>
        </is>
      </c>
      <c r="Q31" s="167" t="n">
        <v>35000</v>
      </c>
      <c r="R31" s="168" t="inlineStr">
        <is>
          <t>N/A</t>
        </is>
      </c>
      <c r="S31" s="167" t="inlineStr">
        <is>
          <t>Sem 2</t>
        </is>
      </c>
      <c r="T31" s="168" t="inlineStr">
        <is>
          <t>N/A</t>
        </is>
      </c>
      <c r="U31" s="169" t="inlineStr">
        <is>
          <t>N/A</t>
        </is>
      </c>
      <c r="V31" s="111" t="inlineStr">
        <is>
          <t>Blocked</t>
        </is>
      </c>
      <c r="W31" s="111" t="n"/>
      <c r="X31" s="112" t="n"/>
      <c r="Y31" s="111" t="inlineStr">
        <is>
          <t>⚠ Academic Review — Probation</t>
        </is>
      </c>
    </row>
    <row r="32" ht="15" customHeight="1" s="104">
      <c r="A32" s="117" t="inlineStr">
        <is>
          <t>TU-PG-2022-0030</t>
        </is>
      </c>
      <c r="B32" s="118" t="inlineStr">
        <is>
          <t>Faith Onyango</t>
        </is>
      </c>
      <c r="C32" s="117" t="inlineStr">
        <is>
          <t>Postgraduate</t>
        </is>
      </c>
      <c r="D32" s="118" t="inlineStr">
        <is>
          <t>MA (Coursework)</t>
        </is>
      </c>
      <c r="E32" s="118" t="inlineStr">
        <is>
          <t>School of Arts</t>
        </is>
      </c>
      <c r="F32" s="117" t="inlineStr">
        <is>
          <t>2022-09-05</t>
        </is>
      </c>
      <c r="G32" s="117" t="inlineStr">
        <is>
          <t>Sem 4</t>
        </is>
      </c>
      <c r="H32" s="109" t="inlineStr">
        <is>
          <t>Complete</t>
        </is>
      </c>
      <c r="I32" s="109" t="inlineStr">
        <is>
          <t>Complete</t>
        </is>
      </c>
      <c r="J32" s="167" t="inlineStr">
        <is>
          <t>In Progress</t>
        </is>
      </c>
      <c r="K32" s="167" t="inlineStr">
        <is>
          <t>Pending</t>
        </is>
      </c>
      <c r="L32" s="167" t="n">
        <v>3.65</v>
      </c>
      <c r="M32" s="109" t="inlineStr">
        <is>
          <t>Good Standing</t>
        </is>
      </c>
      <c r="N32" s="167" t="inlineStr">
        <is>
          <t>2024-01-15</t>
        </is>
      </c>
      <c r="O32" s="109" t="inlineStr">
        <is>
          <t>Paid</t>
        </is>
      </c>
      <c r="P32" s="109" t="inlineStr">
        <is>
          <t>Paid</t>
        </is>
      </c>
      <c r="Q32" s="167" t="n">
        <v>0</v>
      </c>
      <c r="R32" s="168" t="inlineStr">
        <is>
          <t>N/A</t>
        </is>
      </c>
      <c r="S32" s="167" t="inlineStr">
        <is>
          <t>Sem 4</t>
        </is>
      </c>
      <c r="T32" s="168" t="inlineStr">
        <is>
          <t>N/A</t>
        </is>
      </c>
      <c r="U32" s="169" t="inlineStr">
        <is>
          <t>N/A</t>
        </is>
      </c>
      <c r="V32" s="117" t="inlineStr">
        <is>
          <t>In Progress</t>
        </is>
      </c>
      <c r="W32" s="117" t="n"/>
      <c r="X32" s="118" t="n"/>
      <c r="Y32" s="117" t="inlineStr">
        <is>
          <t>3. PG Final Semester — Pre-Graduation</t>
        </is>
      </c>
    </row>
    <row r="33" ht="15" customHeight="1" s="104">
      <c r="A33" s="117" t="inlineStr">
        <is>
          <t>TU-PG-2023-0031</t>
        </is>
      </c>
      <c r="B33" s="118" t="inlineStr">
        <is>
          <t>George Nkosi</t>
        </is>
      </c>
      <c r="C33" s="117" t="inlineStr">
        <is>
          <t>Postgraduate</t>
        </is>
      </c>
      <c r="D33" s="118" t="inlineStr">
        <is>
          <t>MBA (Coursework)</t>
        </is>
      </c>
      <c r="E33" s="118" t="inlineStr">
        <is>
          <t>School of Business</t>
        </is>
      </c>
      <c r="F33" s="117" t="inlineStr">
        <is>
          <t>2023-09-04</t>
        </is>
      </c>
      <c r="G33" s="117" t="inlineStr">
        <is>
          <t>Sem 2</t>
        </is>
      </c>
      <c r="H33" s="167" t="inlineStr">
        <is>
          <t>In Progress</t>
        </is>
      </c>
      <c r="I33" s="167" t="inlineStr">
        <is>
          <t>In Progress</t>
        </is>
      </c>
      <c r="J33" s="167" t="inlineStr">
        <is>
          <t>Pending</t>
        </is>
      </c>
      <c r="K33" s="167" t="inlineStr">
        <is>
          <t>Pending</t>
        </is>
      </c>
      <c r="L33" s="167" t="n">
        <v>3.22</v>
      </c>
      <c r="M33" s="109" t="inlineStr">
        <is>
          <t>Good Standing</t>
        </is>
      </c>
      <c r="N33" s="167" t="inlineStr">
        <is>
          <t>2024-01-15</t>
        </is>
      </c>
      <c r="O33" s="109" t="inlineStr">
        <is>
          <t>Paid</t>
        </is>
      </c>
      <c r="P33" s="109" t="inlineStr">
        <is>
          <t>Paid</t>
        </is>
      </c>
      <c r="Q33" s="167" t="n">
        <v>0</v>
      </c>
      <c r="R33" s="168" t="inlineStr">
        <is>
          <t>N/A</t>
        </is>
      </c>
      <c r="S33" s="167" t="inlineStr">
        <is>
          <t>Sem 2</t>
        </is>
      </c>
      <c r="T33" s="168" t="inlineStr">
        <is>
          <t>N/A</t>
        </is>
      </c>
      <c r="U33" s="169" t="inlineStr">
        <is>
          <t>N/A</t>
        </is>
      </c>
      <c r="V33" s="117" t="inlineStr">
        <is>
          <t>Not Yet</t>
        </is>
      </c>
      <c r="W33" s="117" t="n"/>
      <c r="X33" s="118" t="n"/>
      <c r="Y33" s="117" t="inlineStr">
        <is>
          <t>1. PG Enrolled — Coursework Phase</t>
        </is>
      </c>
    </row>
    <row r="34" ht="15" customHeight="1" s="104">
      <c r="A34" s="119" t="inlineStr">
        <is>
          <t>TU-PG-2021-0032</t>
        </is>
      </c>
      <c r="B34" s="120" t="inlineStr">
        <is>
          <t>Helen Mutuku</t>
        </is>
      </c>
      <c r="C34" s="119" t="inlineStr">
        <is>
          <t>Postgraduate</t>
        </is>
      </c>
      <c r="D34" s="120" t="inlineStr">
        <is>
          <t>MSc by Research</t>
        </is>
      </c>
      <c r="E34" s="120" t="inlineStr">
        <is>
          <t>School of Science</t>
        </is>
      </c>
      <c r="F34" s="119" t="inlineStr">
        <is>
          <t>2021-09-06</t>
        </is>
      </c>
      <c r="G34" s="119" t="inlineStr">
        <is>
          <t>Research Year 3</t>
        </is>
      </c>
      <c r="H34" s="109" t="inlineStr">
        <is>
          <t>Complete</t>
        </is>
      </c>
      <c r="I34" s="109" t="inlineStr">
        <is>
          <t>Complete</t>
        </is>
      </c>
      <c r="J34" s="109" t="inlineStr">
        <is>
          <t>Complete</t>
        </is>
      </c>
      <c r="K34" s="109" t="inlineStr">
        <is>
          <t>Complete</t>
        </is>
      </c>
      <c r="L34" s="167" t="n">
        <v>3.82</v>
      </c>
      <c r="M34" s="109" t="inlineStr">
        <is>
          <t>Good Standing</t>
        </is>
      </c>
      <c r="N34" s="167" t="inlineStr">
        <is>
          <t>2024-01-15</t>
        </is>
      </c>
      <c r="O34" s="109" t="inlineStr">
        <is>
          <t>Paid</t>
        </is>
      </c>
      <c r="P34" s="109" t="inlineStr">
        <is>
          <t>Paid</t>
        </is>
      </c>
      <c r="Q34" s="167" t="n">
        <v>0</v>
      </c>
      <c r="R34" s="167" t="inlineStr">
        <is>
          <t>Writing</t>
        </is>
      </c>
      <c r="S34" s="167" t="inlineStr">
        <is>
          <t>Writing</t>
        </is>
      </c>
      <c r="T34" s="167" t="inlineStr">
        <is>
          <t>In Progress</t>
        </is>
      </c>
      <c r="U34" s="170" t="inlineStr">
        <is>
          <t>Not Yet</t>
        </is>
      </c>
      <c r="V34" s="119" t="inlineStr">
        <is>
          <t>Not Yet</t>
        </is>
      </c>
      <c r="W34" s="119" t="n"/>
      <c r="X34" s="120" t="n"/>
      <c r="Y34" s="119" t="inlineStr">
        <is>
          <t>4. Thesis Writing Phase</t>
        </is>
      </c>
    </row>
    <row r="35" ht="15" customHeight="1" s="104">
      <c r="A35" s="119" t="inlineStr">
        <is>
          <t>TU-PG-2022-0033</t>
        </is>
      </c>
      <c r="B35" s="120" t="inlineStr">
        <is>
          <t>Ibrahim Hassan</t>
        </is>
      </c>
      <c r="C35" s="119" t="inlineStr">
        <is>
          <t>Postgraduate</t>
        </is>
      </c>
      <c r="D35" s="120" t="inlineStr">
        <is>
          <t>MSc by Research</t>
        </is>
      </c>
      <c r="E35" s="120" t="inlineStr">
        <is>
          <t>School of Computing</t>
        </is>
      </c>
      <c r="F35" s="119" t="inlineStr">
        <is>
          <t>2022-09-05</t>
        </is>
      </c>
      <c r="G35" s="119" t="inlineStr">
        <is>
          <t>Research Year 2</t>
        </is>
      </c>
      <c r="H35" s="109" t="inlineStr">
        <is>
          <t>Complete</t>
        </is>
      </c>
      <c r="I35" s="109" t="inlineStr">
        <is>
          <t>Complete</t>
        </is>
      </c>
      <c r="J35" s="109" t="inlineStr">
        <is>
          <t>Complete</t>
        </is>
      </c>
      <c r="K35" s="167" t="inlineStr">
        <is>
          <t>In Progress</t>
        </is>
      </c>
      <c r="L35" s="167" t="n">
        <v>3.61</v>
      </c>
      <c r="M35" s="109" t="inlineStr">
        <is>
          <t>Good Standing</t>
        </is>
      </c>
      <c r="N35" s="167" t="inlineStr">
        <is>
          <t>2024-01-15</t>
        </is>
      </c>
      <c r="O35" s="109" t="inlineStr">
        <is>
          <t>Paid</t>
        </is>
      </c>
      <c r="P35" s="109" t="inlineStr">
        <is>
          <t>Paid</t>
        </is>
      </c>
      <c r="Q35" s="167" t="n">
        <v>0</v>
      </c>
      <c r="R35" s="167" t="inlineStr">
        <is>
          <t>Data Collection</t>
        </is>
      </c>
      <c r="S35" s="167" t="inlineStr">
        <is>
          <t>Data Collection</t>
        </is>
      </c>
      <c r="T35" s="167" t="inlineStr">
        <is>
          <t>Not Yet</t>
        </is>
      </c>
      <c r="U35" s="170" t="inlineStr">
        <is>
          <t>Not Yet</t>
        </is>
      </c>
      <c r="V35" s="119" t="inlineStr">
        <is>
          <t>Not Yet</t>
        </is>
      </c>
      <c r="W35" s="119" t="n"/>
      <c r="X35" s="120" t="n"/>
      <c r="Y35" s="119" t="inlineStr">
        <is>
          <t>3. Data Collection &amp; Analysis Phase</t>
        </is>
      </c>
    </row>
    <row r="36" ht="15" customHeight="1" s="104">
      <c r="A36" s="119" t="inlineStr">
        <is>
          <t>TU-PG-2021-0034</t>
        </is>
      </c>
      <c r="B36" s="120" t="inlineStr">
        <is>
          <t>Janet Akinyi</t>
        </is>
      </c>
      <c r="C36" s="119" t="inlineStr">
        <is>
          <t>Postgraduate</t>
        </is>
      </c>
      <c r="D36" s="120" t="inlineStr">
        <is>
          <t>MA by Research</t>
        </is>
      </c>
      <c r="E36" s="120" t="inlineStr">
        <is>
          <t>School of Education</t>
        </is>
      </c>
      <c r="F36" s="119" t="inlineStr">
        <is>
          <t>2021-09-06</t>
        </is>
      </c>
      <c r="G36" s="119" t="inlineStr">
        <is>
          <t>Research Year 3</t>
        </is>
      </c>
      <c r="H36" s="109" t="inlineStr">
        <is>
          <t>Complete</t>
        </is>
      </c>
      <c r="I36" s="109" t="inlineStr">
        <is>
          <t>Complete</t>
        </is>
      </c>
      <c r="J36" s="109" t="inlineStr">
        <is>
          <t>Complete</t>
        </is>
      </c>
      <c r="K36" s="109" t="inlineStr">
        <is>
          <t>Complete</t>
        </is>
      </c>
      <c r="L36" s="167" t="n">
        <v>3.48</v>
      </c>
      <c r="M36" s="109" t="inlineStr">
        <is>
          <t>Good Standing</t>
        </is>
      </c>
      <c r="N36" s="167" t="inlineStr">
        <is>
          <t>2024-01-15</t>
        </is>
      </c>
      <c r="O36" s="109" t="inlineStr">
        <is>
          <t>Paid</t>
        </is>
      </c>
      <c r="P36" s="109" t="inlineStr">
        <is>
          <t>Paid</t>
        </is>
      </c>
      <c r="Q36" s="167" t="n">
        <v>0</v>
      </c>
      <c r="R36" s="167" t="inlineStr">
        <is>
          <t>Writing</t>
        </is>
      </c>
      <c r="S36" s="167" t="inlineStr">
        <is>
          <t>Writing</t>
        </is>
      </c>
      <c r="T36" s="167" t="inlineStr">
        <is>
          <t>In Progress</t>
        </is>
      </c>
      <c r="U36" s="170" t="inlineStr">
        <is>
          <t>Not Yet</t>
        </is>
      </c>
      <c r="V36" s="119" t="inlineStr">
        <is>
          <t>Not Yet</t>
        </is>
      </c>
      <c r="W36" s="119" t="n"/>
      <c r="X36" s="120" t="n"/>
      <c r="Y36" s="119" t="inlineStr">
        <is>
          <t>4. Thesis Writing Phase</t>
        </is>
      </c>
    </row>
    <row r="37" ht="15" customHeight="1" s="104">
      <c r="A37" s="113" t="inlineStr">
        <is>
          <t>TU-PG-2022-0035</t>
        </is>
      </c>
      <c r="B37" s="114" t="inlineStr">
        <is>
          <t>Kenneth Osei</t>
        </is>
      </c>
      <c r="C37" s="113" t="inlineStr">
        <is>
          <t>Postgraduate</t>
        </is>
      </c>
      <c r="D37" s="114" t="inlineStr">
        <is>
          <t>MSc by Research</t>
        </is>
      </c>
      <c r="E37" s="114" t="inlineStr">
        <is>
          <t>School of Engineering</t>
        </is>
      </c>
      <c r="F37" s="113" t="inlineStr">
        <is>
          <t>2022-09-05</t>
        </is>
      </c>
      <c r="G37" s="113" t="inlineStr">
        <is>
          <t>Research Year 2</t>
        </is>
      </c>
      <c r="H37" s="109" t="inlineStr">
        <is>
          <t>Complete</t>
        </is>
      </c>
      <c r="I37" s="109" t="inlineStr">
        <is>
          <t>Complete</t>
        </is>
      </c>
      <c r="J37" s="109" t="inlineStr">
        <is>
          <t>Complete</t>
        </is>
      </c>
      <c r="K37" s="167" t="inlineStr">
        <is>
          <t>In Progress</t>
        </is>
      </c>
      <c r="L37" s="167" t="n">
        <v>3.31</v>
      </c>
      <c r="M37" s="109" t="inlineStr">
        <is>
          <t>Good Standing</t>
        </is>
      </c>
      <c r="N37" s="167" t="inlineStr">
        <is>
          <t>2024-01-15</t>
        </is>
      </c>
      <c r="O37" s="168" t="inlineStr">
        <is>
          <t>Deferred</t>
        </is>
      </c>
      <c r="P37" s="168" t="inlineStr">
        <is>
          <t>Deferred</t>
        </is>
      </c>
      <c r="Q37" s="167" t="n">
        <v>0</v>
      </c>
      <c r="R37" s="109" t="inlineStr">
        <is>
          <t>Proposal Approved</t>
        </is>
      </c>
      <c r="S37" s="109" t="inlineStr">
        <is>
          <t>Proposal Approved</t>
        </is>
      </c>
      <c r="T37" s="167" t="inlineStr">
        <is>
          <t>Not Yet</t>
        </is>
      </c>
      <c r="U37" s="170" t="inlineStr">
        <is>
          <t>Not Yet</t>
        </is>
      </c>
      <c r="V37" s="113" t="inlineStr">
        <is>
          <t>Not Yet</t>
        </is>
      </c>
      <c r="W37" s="113" t="n"/>
      <c r="X37" s="114" t="n"/>
      <c r="Y37" s="113" t="inlineStr">
        <is>
          <t>⏸ Deferred — On Leave (Research)</t>
        </is>
      </c>
    </row>
    <row r="38" ht="15" customHeight="1" s="104">
      <c r="A38" s="109" t="inlineStr">
        <is>
          <t>TU-PG-2020-0036</t>
        </is>
      </c>
      <c r="B38" s="110" t="inlineStr">
        <is>
          <t>Lydia Cheptoo</t>
        </is>
      </c>
      <c r="C38" s="109" t="inlineStr">
        <is>
          <t>Postgraduate</t>
        </is>
      </c>
      <c r="D38" s="110" t="inlineStr">
        <is>
          <t>MSc by Research</t>
        </is>
      </c>
      <c r="E38" s="110" t="inlineStr">
        <is>
          <t>School of Health Sciences</t>
        </is>
      </c>
      <c r="F38" s="109" t="inlineStr">
        <is>
          <t>2020-09-07</t>
        </is>
      </c>
      <c r="G38" s="109" t="inlineStr">
        <is>
          <t>Completed</t>
        </is>
      </c>
      <c r="H38" s="109" t="inlineStr">
        <is>
          <t>Complete</t>
        </is>
      </c>
      <c r="I38" s="109" t="inlineStr">
        <is>
          <t>Complete</t>
        </is>
      </c>
      <c r="J38" s="109" t="inlineStr">
        <is>
          <t>Complete</t>
        </is>
      </c>
      <c r="K38" s="109" t="inlineStr">
        <is>
          <t>Complete</t>
        </is>
      </c>
      <c r="L38" s="167" t="n">
        <v>3.91</v>
      </c>
      <c r="M38" s="109" t="inlineStr">
        <is>
          <t>Cleared</t>
        </is>
      </c>
      <c r="N38" s="167" t="inlineStr">
        <is>
          <t>2023-11-01</t>
        </is>
      </c>
      <c r="O38" s="109" t="inlineStr">
        <is>
          <t>Paid</t>
        </is>
      </c>
      <c r="P38" s="109" t="inlineStr">
        <is>
          <t>Cleared</t>
        </is>
      </c>
      <c r="Q38" s="167" t="n">
        <v>0</v>
      </c>
      <c r="R38" s="109" t="inlineStr">
        <is>
          <t>Defended &amp; Approved</t>
        </is>
      </c>
      <c r="S38" s="109" t="inlineStr">
        <is>
          <t>Defended &amp; Approved</t>
        </is>
      </c>
      <c r="T38" s="167" t="inlineStr">
        <is>
          <t>Submitted</t>
        </is>
      </c>
      <c r="U38" s="110" t="inlineStr">
        <is>
          <t>Passed</t>
        </is>
      </c>
      <c r="V38" s="109" t="inlineStr">
        <is>
          <t>Approved</t>
        </is>
      </c>
      <c r="W38" s="109" t="inlineStr">
        <is>
          <t>2023-11-01</t>
        </is>
      </c>
      <c r="X38" s="110" t="inlineStr">
        <is>
          <t>2023-11-10</t>
        </is>
      </c>
      <c r="Y38" s="109" t="inlineStr">
        <is>
          <t>6. Graduated ✓ (Research)</t>
        </is>
      </c>
    </row>
    <row r="39" ht="15" customHeight="1" s="104">
      <c r="A39" s="119" t="inlineStr">
        <is>
          <t>TU-PG-2023-0037</t>
        </is>
      </c>
      <c r="B39" s="120" t="inlineStr">
        <is>
          <t>Moses Waweru</t>
        </is>
      </c>
      <c r="C39" s="119" t="inlineStr">
        <is>
          <t>Postgraduate</t>
        </is>
      </c>
      <c r="D39" s="120" t="inlineStr">
        <is>
          <t>MSc by Research</t>
        </is>
      </c>
      <c r="E39" s="120" t="inlineStr">
        <is>
          <t>School of Computing</t>
        </is>
      </c>
      <c r="F39" s="119" t="inlineStr">
        <is>
          <t>2023-09-04</t>
        </is>
      </c>
      <c r="G39" s="119" t="inlineStr">
        <is>
          <t>Research Year 1</t>
        </is>
      </c>
      <c r="H39" s="109" t="inlineStr">
        <is>
          <t>Complete</t>
        </is>
      </c>
      <c r="I39" s="167" t="inlineStr">
        <is>
          <t>In Progress</t>
        </is>
      </c>
      <c r="J39" s="167" t="inlineStr">
        <is>
          <t>Pending</t>
        </is>
      </c>
      <c r="K39" s="167" t="inlineStr">
        <is>
          <t>Pending</t>
        </is>
      </c>
      <c r="L39" s="167" t="n">
        <v>3.52</v>
      </c>
      <c r="M39" s="109" t="inlineStr">
        <is>
          <t>Good Standing</t>
        </is>
      </c>
      <c r="N39" s="167" t="inlineStr">
        <is>
          <t>2024-01-15</t>
        </is>
      </c>
      <c r="O39" s="109" t="inlineStr">
        <is>
          <t>Paid</t>
        </is>
      </c>
      <c r="P39" s="109" t="inlineStr">
        <is>
          <t>Paid</t>
        </is>
      </c>
      <c r="Q39" s="167" t="n">
        <v>0</v>
      </c>
      <c r="R39" s="167" t="inlineStr">
        <is>
          <t>Proposal Submitted</t>
        </is>
      </c>
      <c r="S39" s="167" t="inlineStr">
        <is>
          <t>Proposal Submitted</t>
        </is>
      </c>
      <c r="T39" s="167" t="inlineStr">
        <is>
          <t>Submitted</t>
        </is>
      </c>
      <c r="U39" s="170" t="inlineStr">
        <is>
          <t>Not Yet</t>
        </is>
      </c>
      <c r="V39" s="119" t="inlineStr">
        <is>
          <t>Not Yet</t>
        </is>
      </c>
      <c r="W39" s="119" t="n"/>
      <c r="X39" s="120" t="n"/>
      <c r="Y39" s="119" t="inlineStr">
        <is>
          <t>2. Research Proposal Phase</t>
        </is>
      </c>
    </row>
  </sheetData>
  <mergeCells count="6">
    <mergeCell ref="L1:N1"/>
    <mergeCell ref="O1:Q1"/>
    <mergeCell ref="R1:U1"/>
    <mergeCell ref="A1:F1"/>
    <mergeCell ref="G1:K1"/>
    <mergeCell ref="V1:Y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7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03" min="1" max="1"/>
    <col width="12" customWidth="1" style="103" min="2" max="2"/>
    <col width="14" customWidth="1" style="103" min="3" max="3"/>
    <col width="60" customWidth="1" style="103" min="4" max="4"/>
    <col width="8" customWidth="1" style="103" min="5" max="5"/>
    <col width="5" customWidth="1" style="103" min="8" max="8"/>
  </cols>
  <sheetData>
    <row r="1" ht="27.75" customHeight="1" s="104">
      <c r="A1" s="171" t="inlineStr">
        <is>
          <t>TemplumIS University — Global Ranking Indicators Dashboard</t>
        </is>
      </c>
    </row>
    <row r="2" ht="15.75" customHeight="1" s="104">
      <c r="A2" s="172" t="inlineStr">
        <is>
          <t>Academic Year 2023/24 · Semester 1  |  Data sourced from LMS/SIS institutional records</t>
        </is>
      </c>
    </row>
    <row r="4" ht="19.5" customHeight="1" s="104">
      <c r="A4" s="173" t="inlineStr">
        <is>
          <t>INSTITUTIONAL SUMMARY</t>
        </is>
      </c>
    </row>
    <row r="5" ht="19.5" customHeight="1" s="104">
      <c r="A5" s="174" t="inlineStr">
        <is>
          <t>Total Students</t>
        </is>
      </c>
      <c r="B5" s="175" t="inlineStr">
        <is>
          <t>37</t>
        </is>
      </c>
      <c r="C5" s="174" t="inlineStr">
        <is>
          <t>Avg GPA</t>
        </is>
      </c>
      <c r="D5" s="175" t="inlineStr">
        <is>
          <t>3.32 / 4.0</t>
        </is>
      </c>
      <c r="E5" s="174" t="inlineStr">
        <is>
          <t>International Students</t>
        </is>
      </c>
      <c r="F5" s="175" t="inlineStr">
        <is>
          <t>35.1%</t>
        </is>
      </c>
      <c r="G5" s="174" t="inlineStr">
        <is>
          <t>Female Ratio</t>
        </is>
      </c>
      <c r="H5" s="175" t="inlineStr">
        <is>
          <t>48.6%</t>
        </is>
      </c>
    </row>
    <row r="6" ht="19.5" customHeight="1" s="104">
      <c r="A6" s="174" t="inlineStr">
        <is>
          <t>UG Students</t>
        </is>
      </c>
      <c r="B6" s="175" t="inlineStr">
        <is>
          <t>25</t>
        </is>
      </c>
      <c r="C6" s="174" t="inlineStr">
        <is>
          <t>Active Students</t>
        </is>
      </c>
      <c r="D6" s="175" t="inlineStr">
        <is>
          <t>25</t>
        </is>
      </c>
      <c r="E6" s="174" t="inlineStr">
        <is>
          <t>Research Students</t>
        </is>
      </c>
      <c r="F6" s="175" t="inlineStr">
        <is>
          <t>6</t>
        </is>
      </c>
      <c r="G6" s="174" t="inlineStr">
        <is>
          <t>Nationalities</t>
        </is>
      </c>
      <c r="H6" s="175" t="inlineStr">
        <is>
          <t>10</t>
        </is>
      </c>
    </row>
    <row r="7" ht="19.5" customHeight="1" s="104">
      <c r="A7" s="174" t="inlineStr">
        <is>
          <t>PG Students</t>
        </is>
      </c>
      <c r="B7" s="175" t="inlineStr">
        <is>
          <t>12</t>
        </is>
      </c>
      <c r="C7" s="174" t="inlineStr">
        <is>
          <t>Graduates</t>
        </is>
      </c>
      <c r="D7" s="175" t="inlineStr">
        <is>
          <t>5</t>
        </is>
      </c>
      <c r="E7" s="174" t="inlineStr">
        <is>
          <t>Student:Faculty Ratio</t>
        </is>
      </c>
      <c r="F7" s="175" t="inlineStr">
        <is>
          <t>2.5 : 1</t>
        </is>
      </c>
      <c r="G7" s="174" t="inlineStr">
        <is>
          <t>Schools / Faculties</t>
        </is>
      </c>
      <c r="H7" s="175" t="inlineStr">
        <is>
          <t>9</t>
        </is>
      </c>
    </row>
    <row r="8" ht="19.5" customHeight="1" s="104">
      <c r="A8" s="174" t="inlineStr">
        <is>
          <t>Faculty (Instructors)</t>
        </is>
      </c>
      <c r="B8" s="175" t="inlineStr">
        <is>
          <t>15</t>
        </is>
      </c>
      <c r="C8" s="174" t="inlineStr">
        <is>
          <t>Active Courses</t>
        </is>
      </c>
      <c r="D8" s="175" t="inlineStr">
        <is>
          <t>19</t>
        </is>
      </c>
      <c r="E8" s="174" t="inlineStr">
        <is>
          <t>Avg Attendance</t>
        </is>
      </c>
      <c r="F8" s="175" t="inlineStr">
        <is>
          <t>83%</t>
        </is>
      </c>
      <c r="G8" s="174" t="inlineStr">
        <is>
          <t>Avg Grade</t>
        </is>
      </c>
      <c r="H8" s="175" t="inlineStr">
        <is>
          <t>77.6%</t>
        </is>
      </c>
    </row>
    <row r="10" ht="21.75" customHeight="1" s="104">
      <c r="A10" s="176" t="inlineStr">
        <is>
          <t>WEBOMETRICS Ranking of World Universities</t>
        </is>
      </c>
    </row>
    <row r="11" ht="15.75" customHeight="1" s="104">
      <c r="A11" s="177" t="inlineStr">
        <is>
          <t>Focus: Web presence, openness &amp; academic output</t>
        </is>
      </c>
    </row>
    <row r="12" ht="15.75" customHeight="1" s="104">
      <c r="A12" s="178" t="inlineStr">
        <is>
          <t>Indicator</t>
        </is>
      </c>
      <c r="B12" s="178" t="inlineStr">
        <is>
          <t>Weight</t>
        </is>
      </c>
      <c r="C12" s="178" t="inlineStr">
        <is>
          <t>Score Estimate</t>
        </is>
      </c>
      <c r="D12" s="178" t="inlineStr">
        <is>
          <t>Notes / TemplumIS Evidence</t>
        </is>
      </c>
      <c r="E12" s="178" t="inlineStr">
        <is>
          <t>Status</t>
        </is>
      </c>
    </row>
    <row r="13" ht="30" customHeight="1" s="104">
      <c r="A13" s="179" t="inlineStr">
        <is>
          <t>Visibility / Impact (Web links)</t>
        </is>
      </c>
      <c r="B13" s="180" t="inlineStr">
        <is>
          <t>50%</t>
        </is>
      </c>
      <c r="C13" s="180" t="inlineStr">
        <is>
          <t>~20%</t>
        </is>
      </c>
      <c r="D13" s="179" t="inlineStr">
        <is>
          <t>Institutional website not indexed in dataset; no inlink data available</t>
        </is>
      </c>
      <c r="E13" s="181" t="inlineStr">
        <is>
          <t>⚠</t>
        </is>
      </c>
    </row>
    <row r="14" ht="30" customHeight="1" s="104">
      <c r="A14" s="179" t="inlineStr">
        <is>
          <t>Openness / Transparency (OA repos)</t>
        </is>
      </c>
      <c r="B14" s="180" t="inlineStr">
        <is>
          <t>10%</t>
        </is>
      </c>
      <c r="C14" s="180" t="inlineStr">
        <is>
          <t>~25%</t>
        </is>
      </c>
      <c r="D14" s="179" t="inlineStr">
        <is>
          <t>6 research dissertations in progress; no open access repository evidenced</t>
        </is>
      </c>
      <c r="E14" s="181" t="inlineStr">
        <is>
          <t>⚠</t>
        </is>
      </c>
    </row>
    <row r="15" ht="30" customHeight="1" s="104">
      <c r="A15" s="179" t="inlineStr">
        <is>
          <t>Excellence (Google Scholar output)</t>
        </is>
      </c>
      <c r="B15" s="180" t="inlineStr">
        <is>
          <t>10%</t>
        </is>
      </c>
      <c r="C15" s="180" t="inlineStr">
        <is>
          <t>~15%</t>
        </is>
      </c>
      <c r="D15" s="179" t="inlineStr">
        <is>
          <t>Research topics active (malaria, AI, NLP) but publications not yet confirmed</t>
        </is>
      </c>
      <c r="E15" s="182" t="inlineStr">
        <is>
          <t>✗</t>
        </is>
      </c>
    </row>
    <row r="16" ht="30" customHeight="1" s="104">
      <c r="A16" s="179" t="inlineStr">
        <is>
          <t>Presence (indexed web pages)</t>
        </is>
      </c>
      <c r="B16" s="180" t="inlineStr">
        <is>
          <t>5%</t>
        </is>
      </c>
      <c r="C16" s="180" t="inlineStr">
        <is>
          <t>~30%</t>
        </is>
      </c>
      <c r="D16" s="179" t="inlineStr">
        <is>
          <t>Domain @templumis.ac confirmed; web footprint/page count unknown</t>
        </is>
      </c>
      <c r="E16" s="181" t="inlineStr">
        <is>
          <t>⚠</t>
        </is>
      </c>
    </row>
    <row r="17" ht="18" customHeight="1" s="104">
      <c r="A17" s="183" t="inlineStr">
        <is>
          <t>OVERALL DATA READINESS</t>
        </is>
      </c>
      <c r="B17" s="184" t="inlineStr">
        <is>
          <t>—</t>
        </is>
      </c>
      <c r="C17" s="185" t="inlineStr">
        <is>
          <t>~22%</t>
        </is>
      </c>
      <c r="D17" s="186" t="inlineStr">
        <is>
          <t>Weighted estimate based on available institutional data</t>
        </is>
      </c>
      <c r="E17" s="187" t="n"/>
    </row>
    <row r="19" ht="21.75" customHeight="1" s="104">
      <c r="A19" s="188" t="inlineStr">
        <is>
          <t>THE World University Rankings</t>
        </is>
      </c>
    </row>
    <row r="20" ht="15.75" customHeight="1" s="104">
      <c r="A20" s="189" t="inlineStr">
        <is>
          <t>Focus: Teaching, research, citations &amp; international outlook</t>
        </is>
      </c>
    </row>
    <row r="21" ht="15.75" customHeight="1" s="104">
      <c r="A21" s="178" t="inlineStr">
        <is>
          <t>Indicator</t>
        </is>
      </c>
      <c r="B21" s="178" t="inlineStr">
        <is>
          <t>Weight</t>
        </is>
      </c>
      <c r="C21" s="178" t="inlineStr">
        <is>
          <t>Score Estimate</t>
        </is>
      </c>
      <c r="D21" s="178" t="inlineStr">
        <is>
          <t>Notes / TemplumIS Evidence</t>
        </is>
      </c>
      <c r="E21" s="178" t="inlineStr">
        <is>
          <t>Status</t>
        </is>
      </c>
    </row>
    <row r="22" ht="30" customHeight="1" s="104">
      <c r="A22" s="179" t="inlineStr">
        <is>
          <t>Teaching — Learning Environment</t>
        </is>
      </c>
      <c r="B22" s="180" t="inlineStr">
        <is>
          <t>29.5%</t>
        </is>
      </c>
      <c r="C22" s="180" t="inlineStr">
        <is>
          <t>~62%</t>
        </is>
      </c>
      <c r="D22" s="179" t="inlineStr">
        <is>
          <t>SFR 2.5:1 (excellent); avg GPA 3.32; 9 schools; 20 active courses; reputation survey data N/A</t>
        </is>
      </c>
      <c r="E22" s="190" t="inlineStr">
        <is>
          <t>✓</t>
        </is>
      </c>
    </row>
    <row r="23" ht="30" customHeight="1" s="104">
      <c r="A23" s="179" t="inlineStr">
        <is>
          <t>Research — Environment &amp; Productivity</t>
        </is>
      </c>
      <c r="B23" s="180" t="inlineStr">
        <is>
          <t>29%</t>
        </is>
      </c>
      <c r="C23" s="180" t="inlineStr">
        <is>
          <t>~18%</t>
        </is>
      </c>
      <c r="D23" s="179" t="inlineStr">
        <is>
          <t>6 research students; dissertations in health, CS, engineering; research income data unavailable</t>
        </is>
      </c>
      <c r="E23" s="182" t="inlineStr">
        <is>
          <t>✗</t>
        </is>
      </c>
    </row>
    <row r="24" ht="30" customHeight="1" s="104">
      <c r="A24" s="179" t="inlineStr">
        <is>
          <t>Citations — Research Influence (Scopus)</t>
        </is>
      </c>
      <c r="B24" s="180" t="inlineStr">
        <is>
          <t>30%</t>
        </is>
      </c>
      <c r="C24" s="180" t="inlineStr">
        <is>
          <t>~5%</t>
        </is>
      </c>
      <c r="D24" s="179" t="inlineStr">
        <is>
          <t>No citation records in institutional data; requires Scopus indexing</t>
        </is>
      </c>
      <c r="E24" s="182" t="inlineStr">
        <is>
          <t>✗</t>
        </is>
      </c>
    </row>
    <row r="25" ht="30" customHeight="1" s="104">
      <c r="A25" s="179" t="inlineStr">
        <is>
          <t>International Outlook</t>
        </is>
      </c>
      <c r="B25" s="180" t="inlineStr">
        <is>
          <t>7.5%</t>
        </is>
      </c>
      <c r="C25" s="180" t="inlineStr">
        <is>
          <t>~58%</t>
        </is>
      </c>
      <c r="D25" s="179" t="inlineStr">
        <is>
          <t>35.1% international students; 10 nationalities; strong Pan-African diversity</t>
        </is>
      </c>
      <c r="E25" s="190" t="inlineStr">
        <is>
          <t>✓</t>
        </is>
      </c>
    </row>
    <row r="26" ht="30" customHeight="1" s="104">
      <c r="A26" s="179" t="inlineStr">
        <is>
          <t>Industry Income per Academic</t>
        </is>
      </c>
      <c r="B26" s="180" t="inlineStr">
        <is>
          <t>4%</t>
        </is>
      </c>
      <c r="C26" s="180" t="inlineStr">
        <is>
          <t>~5%</t>
        </is>
      </c>
      <c r="D26" s="179" t="inlineStr">
        <is>
          <t>No industry partnership or income data recorded in dataset</t>
        </is>
      </c>
      <c r="E26" s="182" t="inlineStr">
        <is>
          <t>✗</t>
        </is>
      </c>
    </row>
    <row r="27" ht="18" customHeight="1" s="104">
      <c r="A27" s="191" t="inlineStr">
        <is>
          <t>OVERALL DATA READINESS</t>
        </is>
      </c>
      <c r="B27" s="184" t="inlineStr">
        <is>
          <t>—</t>
        </is>
      </c>
      <c r="C27" s="192" t="inlineStr">
        <is>
          <t>~26%</t>
        </is>
      </c>
      <c r="D27" s="186" t="inlineStr">
        <is>
          <t>Weighted estimate based on available institutional data</t>
        </is>
      </c>
      <c r="E27" s="187" t="n"/>
    </row>
    <row r="29" ht="21.75" customHeight="1" s="104">
      <c r="A29" s="193" t="inlineStr">
        <is>
          <t>THE Sub-Saharan Africa Rankings (SSA)</t>
        </is>
      </c>
    </row>
    <row r="30" ht="15.75" customHeight="1" s="104">
      <c r="A30" s="194" t="inlineStr">
        <is>
          <t>Focus: Regionally adapted THE criteria for African universities</t>
        </is>
      </c>
    </row>
    <row r="31" ht="15.75" customHeight="1" s="104">
      <c r="A31" s="178" t="inlineStr">
        <is>
          <t>Indicator</t>
        </is>
      </c>
      <c r="B31" s="178" t="inlineStr">
        <is>
          <t>Weight</t>
        </is>
      </c>
      <c r="C31" s="178" t="inlineStr">
        <is>
          <t>Score Estimate</t>
        </is>
      </c>
      <c r="D31" s="178" t="inlineStr">
        <is>
          <t>Notes / TemplumIS Evidence</t>
        </is>
      </c>
      <c r="E31" s="178" t="inlineStr">
        <is>
          <t>Status</t>
        </is>
      </c>
    </row>
    <row r="32" ht="30" customHeight="1" s="104">
      <c r="A32" s="179" t="inlineStr">
        <is>
          <t>Teaching &amp; Learning</t>
        </is>
      </c>
      <c r="B32" s="180" t="inlineStr">
        <is>
          <t>25%</t>
        </is>
      </c>
      <c r="C32" s="180" t="inlineStr">
        <is>
          <t>~70%</t>
        </is>
      </c>
      <c r="D32" s="179" t="inlineStr">
        <is>
          <t>SFR 2.5:1; 20 courses; 5 graduates; avg grade 77.6%; strong student support systems</t>
        </is>
      </c>
      <c r="E32" s="190" t="inlineStr">
        <is>
          <t>✓</t>
        </is>
      </c>
    </row>
    <row r="33" ht="30" customHeight="1" s="104">
      <c r="A33" s="179" t="inlineStr">
        <is>
          <t>Research</t>
        </is>
      </c>
      <c r="B33" s="180" t="inlineStr">
        <is>
          <t>30%</t>
        </is>
      </c>
      <c r="C33" s="180" t="inlineStr">
        <is>
          <t>~35%</t>
        </is>
      </c>
      <c r="D33" s="179" t="inlineStr">
        <is>
          <t>6 active research students (16.2%); applied African topics; no citation data</t>
        </is>
      </c>
      <c r="E33" s="181" t="inlineStr">
        <is>
          <t>⚠</t>
        </is>
      </c>
    </row>
    <row r="34" ht="30" customHeight="1" s="104">
      <c r="A34" s="179" t="inlineStr">
        <is>
          <t>Knowledge Transfer to Society</t>
        </is>
      </c>
      <c r="B34" s="180" t="inlineStr">
        <is>
          <t>20%</t>
        </is>
      </c>
      <c r="C34" s="180" t="inlineStr">
        <is>
          <t>~40%</t>
        </is>
      </c>
      <c r="D34" s="179" t="inlineStr">
        <is>
          <t>Dissertations on maternal health, Swahili NLP, solar desalination — locally relevant</t>
        </is>
      </c>
      <c r="E34" s="181" t="inlineStr">
        <is>
          <t>⚠</t>
        </is>
      </c>
    </row>
    <row r="35" ht="30" customHeight="1" s="104">
      <c r="A35" s="179" t="inlineStr">
        <is>
          <t>International Outlook</t>
        </is>
      </c>
      <c r="B35" s="180" t="inlineStr">
        <is>
          <t>15%</t>
        </is>
      </c>
      <c r="C35" s="180" t="inlineStr">
        <is>
          <t>~65%</t>
        </is>
      </c>
      <c r="D35" s="179" t="inlineStr">
        <is>
          <t>10 nationalities; 35.1% international; Pan-African student mix across 10 countries</t>
        </is>
      </c>
      <c r="E35" s="190" t="inlineStr">
        <is>
          <t>✓</t>
        </is>
      </c>
    </row>
    <row r="36" ht="30" customHeight="1" s="104">
      <c r="A36" s="179" t="inlineStr">
        <is>
          <t>Access &amp; Inclusion</t>
        </is>
      </c>
      <c r="B36" s="180" t="inlineStr">
        <is>
          <t>10%</t>
        </is>
      </c>
      <c r="C36" s="180" t="inlineStr">
        <is>
          <t>~68%</t>
        </is>
      </c>
      <c r="D36" s="179" t="inlineStr">
        <is>
          <t>48.6% female; academic support processes (probation, standing review) evidenced</t>
        </is>
      </c>
      <c r="E36" s="190" t="inlineStr">
        <is>
          <t>✓</t>
        </is>
      </c>
    </row>
    <row r="37" ht="18" customHeight="1" s="104">
      <c r="A37" s="195" t="inlineStr">
        <is>
          <t>OVERALL DATA READINESS</t>
        </is>
      </c>
      <c r="B37" s="184" t="inlineStr">
        <is>
          <t>—</t>
        </is>
      </c>
      <c r="C37" s="196" t="inlineStr">
        <is>
          <t>~50%</t>
        </is>
      </c>
      <c r="D37" s="186" t="inlineStr">
        <is>
          <t>Weighted estimate based on available institutional data</t>
        </is>
      </c>
      <c r="E37" s="187" t="n"/>
    </row>
    <row r="39" ht="21.75" customHeight="1" s="104">
      <c r="A39" s="197" t="inlineStr">
        <is>
          <t>Shanghai ARWU (Academic Ranking of World Universities)</t>
        </is>
      </c>
    </row>
    <row r="40" ht="15.75" customHeight="1" s="104">
      <c r="A40" s="198" t="inlineStr">
        <is>
          <t>Focus: Research output, Nobel laureates &amp; high-impact publications</t>
        </is>
      </c>
    </row>
    <row r="41" ht="15.75" customHeight="1" s="104">
      <c r="A41" s="178" t="inlineStr">
        <is>
          <t>Indicator</t>
        </is>
      </c>
      <c r="B41" s="178" t="inlineStr">
        <is>
          <t>Weight</t>
        </is>
      </c>
      <c r="C41" s="178" t="inlineStr">
        <is>
          <t>Score Estimate</t>
        </is>
      </c>
      <c r="D41" s="178" t="inlineStr">
        <is>
          <t>Notes / TemplumIS Evidence</t>
        </is>
      </c>
      <c r="E41" s="178" t="inlineStr">
        <is>
          <t>Status</t>
        </is>
      </c>
    </row>
    <row r="42" ht="30" customHeight="1" s="104">
      <c r="A42" s="179" t="inlineStr">
        <is>
          <t>Alumni — Nobel / Fields Medal winners</t>
        </is>
      </c>
      <c r="B42" s="180" t="inlineStr">
        <is>
          <t>10%</t>
        </is>
      </c>
      <c r="C42" s="180" t="inlineStr">
        <is>
          <t>~0%</t>
        </is>
      </c>
      <c r="D42" s="179" t="inlineStr">
        <is>
          <t>5 graduates confirmed; no Nobel/Fields alumni data applicable at this stage</t>
        </is>
      </c>
      <c r="E42" s="182" t="inlineStr">
        <is>
          <t>✗</t>
        </is>
      </c>
    </row>
    <row r="43" ht="30" customHeight="1" s="104">
      <c r="A43" s="179" t="inlineStr">
        <is>
          <t>Staff — Nobel / Fields Medal winners</t>
        </is>
      </c>
      <c r="B43" s="180" t="inlineStr">
        <is>
          <t>20%</t>
        </is>
      </c>
      <c r="C43" s="180" t="inlineStr">
        <is>
          <t>~0%</t>
        </is>
      </c>
      <c r="D43" s="179" t="inlineStr">
        <is>
          <t>No data on faculty international awards of this calibre</t>
        </is>
      </c>
      <c r="E43" s="182" t="inlineStr">
        <is>
          <t>✗</t>
        </is>
      </c>
    </row>
    <row r="44" ht="30" customHeight="1" s="104">
      <c r="A44" s="179" t="inlineStr">
        <is>
          <t>Highly Cited Researchers (Clarivate HiCi)</t>
        </is>
      </c>
      <c r="B44" s="180" t="inlineStr">
        <is>
          <t>20%</t>
        </is>
      </c>
      <c r="C44" s="180" t="inlineStr">
        <is>
          <t>~0%</t>
        </is>
      </c>
      <c r="D44" s="179" t="inlineStr">
        <is>
          <t>No citation records; Clarivate HiCi designation not evidenced</t>
        </is>
      </c>
      <c r="E44" s="182" t="inlineStr">
        <is>
          <t>✗</t>
        </is>
      </c>
    </row>
    <row r="45" ht="30" customHeight="1" s="104">
      <c r="A45" s="179" t="inlineStr">
        <is>
          <t>Papers in Nature &amp; Science</t>
        </is>
      </c>
      <c r="B45" s="180" t="inlineStr">
        <is>
          <t>20%</t>
        </is>
      </c>
      <c r="C45" s="180" t="inlineStr">
        <is>
          <t>~0%</t>
        </is>
      </c>
      <c r="D45" s="179" t="inlineStr">
        <is>
          <t>Research in dissertation phase; no Nature/Science publications confirmed</t>
        </is>
      </c>
      <c r="E45" s="182" t="inlineStr">
        <is>
          <t>✗</t>
        </is>
      </c>
    </row>
    <row r="46" ht="30" customHeight="1" s="104">
      <c r="A46" s="179" t="inlineStr">
        <is>
          <t>Papers in SCI / SSCI (Web of Science)</t>
        </is>
      </c>
      <c r="B46" s="180" t="inlineStr">
        <is>
          <t>20%</t>
        </is>
      </c>
      <c r="C46" s="180" t="inlineStr">
        <is>
          <t>~5%</t>
        </is>
      </c>
      <c r="D46" s="179" t="inlineStr">
        <is>
          <t>6 research dissertations underway; journal publishing pipeline not recorded</t>
        </is>
      </c>
      <c r="E46" s="181" t="inlineStr">
        <is>
          <t>⚠</t>
        </is>
      </c>
    </row>
    <row r="47" ht="30" customHeight="1" s="104">
      <c r="A47" s="179" t="inlineStr">
        <is>
          <t>Per capita academic performance (PCP)</t>
        </is>
      </c>
      <c r="B47" s="180" t="inlineStr">
        <is>
          <t>10%</t>
        </is>
      </c>
      <c r="C47" s="180" t="inlineStr">
        <is>
          <t>~8%</t>
        </is>
      </c>
      <c r="D47" s="179" t="inlineStr">
        <is>
          <t>15 faculty; small institution could score relatively if output begins</t>
        </is>
      </c>
      <c r="E47" s="181" t="inlineStr">
        <is>
          <t>⚠</t>
        </is>
      </c>
    </row>
    <row r="48" ht="18" customHeight="1" s="104">
      <c r="A48" s="199" t="inlineStr">
        <is>
          <t>OVERALL DATA READINESS</t>
        </is>
      </c>
      <c r="B48" s="184" t="inlineStr">
        <is>
          <t>—</t>
        </is>
      </c>
      <c r="C48" s="200" t="inlineStr">
        <is>
          <t>~5%</t>
        </is>
      </c>
      <c r="D48" s="186" t="inlineStr">
        <is>
          <t>Weighted estimate based on available institutional data</t>
        </is>
      </c>
      <c r="E48" s="187" t="n"/>
    </row>
    <row r="50" ht="21.75" customHeight="1" s="104">
      <c r="A50" s="201" t="inlineStr">
        <is>
          <t>QS World University Rankings</t>
        </is>
      </c>
    </row>
    <row r="51" ht="15.75" customHeight="1" s="104">
      <c r="A51" s="202" t="inlineStr">
        <is>
          <t>Focus: Reputation, faculty ratio, citations &amp; international diversity</t>
        </is>
      </c>
    </row>
    <row r="52" ht="15.75" customHeight="1" s="104">
      <c r="A52" s="178" t="inlineStr">
        <is>
          <t>Indicator</t>
        </is>
      </c>
      <c r="B52" s="178" t="inlineStr">
        <is>
          <t>Weight</t>
        </is>
      </c>
      <c r="C52" s="178" t="inlineStr">
        <is>
          <t>Score Estimate</t>
        </is>
      </c>
      <c r="D52" s="178" t="inlineStr">
        <is>
          <t>Notes / TemplumIS Evidence</t>
        </is>
      </c>
      <c r="E52" s="178" t="inlineStr">
        <is>
          <t>Status</t>
        </is>
      </c>
    </row>
    <row r="53" ht="30" customHeight="1" s="104">
      <c r="A53" s="179" t="inlineStr">
        <is>
          <t>Academic Reputation (survey)</t>
        </is>
      </c>
      <c r="B53" s="180" t="inlineStr">
        <is>
          <t>30%</t>
        </is>
      </c>
      <c r="C53" s="180" t="inlineStr">
        <is>
          <t>~10%</t>
        </is>
      </c>
      <c r="D53" s="179" t="inlineStr">
        <is>
          <t>No global survey presence; institution not yet globally known</t>
        </is>
      </c>
      <c r="E53" s="182" t="inlineStr">
        <is>
          <t>✗</t>
        </is>
      </c>
    </row>
    <row r="54" ht="30" customHeight="1" s="104">
      <c r="A54" s="179" t="inlineStr">
        <is>
          <t>Employer Reputation (survey)</t>
        </is>
      </c>
      <c r="B54" s="180" t="inlineStr">
        <is>
          <t>15%</t>
        </is>
      </c>
      <c r="C54" s="180" t="inlineStr">
        <is>
          <t>~10%</t>
        </is>
      </c>
      <c r="D54" s="179" t="inlineStr">
        <is>
          <t>5 graduates; no employment tracking or employer survey data available</t>
        </is>
      </c>
      <c r="E54" s="182" t="inlineStr">
        <is>
          <t>✗</t>
        </is>
      </c>
    </row>
    <row r="55" ht="30" customHeight="1" s="104">
      <c r="A55" s="179" t="inlineStr">
        <is>
          <t>Faculty/Student Ratio</t>
        </is>
      </c>
      <c r="B55" s="180" t="inlineStr">
        <is>
          <t>10%</t>
        </is>
      </c>
      <c r="C55" s="180" t="inlineStr">
        <is>
          <t>~88%</t>
        </is>
      </c>
      <c r="D55" s="179" t="inlineStr">
        <is>
          <t>2.5:1 ratio — exceptional; well within global top-tier benchmarks (&lt;10:1)</t>
        </is>
      </c>
      <c r="E55" s="190" t="inlineStr">
        <is>
          <t>✓</t>
        </is>
      </c>
    </row>
    <row r="56" ht="30" customHeight="1" s="104">
      <c r="A56" s="179" t="inlineStr">
        <is>
          <t>Citations per Faculty (Scopus)</t>
        </is>
      </c>
      <c r="B56" s="180" t="inlineStr">
        <is>
          <t>20%</t>
        </is>
      </c>
      <c r="C56" s="180" t="inlineStr">
        <is>
          <t>~5%</t>
        </is>
      </c>
      <c r="D56" s="179" t="inlineStr">
        <is>
          <t>No Scopus citation records in dataset; requires active publication base</t>
        </is>
      </c>
      <c r="E56" s="182" t="inlineStr">
        <is>
          <t>✗</t>
        </is>
      </c>
    </row>
    <row r="57" ht="30" customHeight="1" s="104">
      <c r="A57" s="179" t="inlineStr">
        <is>
          <t>International Faculty Ratio</t>
        </is>
      </c>
      <c r="B57" s="180" t="inlineStr">
        <is>
          <t>5%</t>
        </is>
      </c>
      <c r="C57" s="180" t="inlineStr">
        <is>
          <t>~25%</t>
        </is>
      </c>
      <c r="D57" s="179" t="inlineStr">
        <is>
          <t>All 15 instructors appear local; international faculty not distinguishable from data</t>
        </is>
      </c>
      <c r="E57" s="181" t="inlineStr">
        <is>
          <t>⚠</t>
        </is>
      </c>
    </row>
    <row r="58" ht="30" customHeight="1" s="104">
      <c r="A58" s="179" t="inlineStr">
        <is>
          <t>International Student Ratio</t>
        </is>
      </c>
      <c r="B58" s="180" t="inlineStr">
        <is>
          <t>5%</t>
        </is>
      </c>
      <c r="C58" s="180" t="inlineStr">
        <is>
          <t>~72%</t>
        </is>
      </c>
      <c r="D58" s="179" t="inlineStr">
        <is>
          <t>35.1% international students — strong; 13 students from 9 non-Kenyan countries</t>
        </is>
      </c>
      <c r="E58" s="190" t="inlineStr">
        <is>
          <t>✓</t>
        </is>
      </c>
    </row>
    <row r="59" ht="30" customHeight="1" s="104">
      <c r="A59" s="179" t="inlineStr">
        <is>
          <t>Sustainability (ESG metrics)</t>
        </is>
      </c>
      <c r="B59" s="180" t="inlineStr">
        <is>
          <t>5%</t>
        </is>
      </c>
      <c r="C59" s="180" t="inlineStr">
        <is>
          <t>~20%</t>
        </is>
      </c>
      <c r="D59" s="179" t="inlineStr">
        <is>
          <t>Community-focused research topics noted; formal sustainability reporting not evidenced</t>
        </is>
      </c>
      <c r="E59" s="181" t="inlineStr">
        <is>
          <t>⚠</t>
        </is>
      </c>
    </row>
    <row r="60" ht="30" customHeight="1" s="104">
      <c r="A60" s="179" t="inlineStr">
        <is>
          <t>Employment Outcomes</t>
        </is>
      </c>
      <c r="B60" s="180" t="inlineStr">
        <is>
          <t>10%</t>
        </is>
      </c>
      <c r="C60" s="180" t="inlineStr">
        <is>
          <t>~20%</t>
        </is>
      </c>
      <c r="D60" s="179" t="inlineStr">
        <is>
          <t>5 confirmed graduates; no employment rate or alumni outcomes tracking data</t>
        </is>
      </c>
      <c r="E60" s="181" t="inlineStr">
        <is>
          <t>⚠</t>
        </is>
      </c>
    </row>
    <row r="61" ht="18" customHeight="1" s="104">
      <c r="A61" s="203" t="inlineStr">
        <is>
          <t>OVERALL DATA READINESS</t>
        </is>
      </c>
      <c r="B61" s="184" t="inlineStr">
        <is>
          <t>—</t>
        </is>
      </c>
      <c r="C61" s="204" t="inlineStr">
        <is>
          <t>~32%</t>
        </is>
      </c>
      <c r="D61" s="186" t="inlineStr">
        <is>
          <t>Weighted estimate based on available institutional data</t>
        </is>
      </c>
      <c r="E61" s="187" t="n"/>
    </row>
    <row r="63" ht="21.75" customHeight="1" s="104">
      <c r="A63" s="205" t="inlineStr">
        <is>
          <t>CWTS Leiden Ranking</t>
        </is>
      </c>
    </row>
    <row r="64" ht="15.75" customHeight="1" s="104">
      <c r="A64" s="206" t="inlineStr">
        <is>
          <t>Focus: Bibliometric research performance (Web of Science)</t>
        </is>
      </c>
    </row>
    <row r="65" ht="15.75" customHeight="1" s="104">
      <c r="A65" s="178" t="inlineStr">
        <is>
          <t>Indicator</t>
        </is>
      </c>
      <c r="B65" s="178" t="inlineStr">
        <is>
          <t>Weight</t>
        </is>
      </c>
      <c r="C65" s="178" t="inlineStr">
        <is>
          <t>Score Estimate</t>
        </is>
      </c>
      <c r="D65" s="178" t="inlineStr">
        <is>
          <t>Notes / TemplumIS Evidence</t>
        </is>
      </c>
      <c r="E65" s="178" t="inlineStr">
        <is>
          <t>Status</t>
        </is>
      </c>
    </row>
    <row r="66" ht="30" customHeight="1" s="104">
      <c r="A66" s="179" t="inlineStr">
        <is>
          <t>P — Scientific output (WoS papers)</t>
        </is>
      </c>
      <c r="B66" s="180" t="inlineStr">
        <is>
          <t>Core</t>
        </is>
      </c>
      <c r="C66" s="180" t="inlineStr">
        <is>
          <t>~8%</t>
        </is>
      </c>
      <c r="D66" s="179" t="inlineStr">
        <is>
          <t>6 research theses in progress; malaria, AI/UAV, NLP topics; none confirmed indexed</t>
        </is>
      </c>
      <c r="E66" s="181" t="inlineStr">
        <is>
          <t>⚠</t>
        </is>
      </c>
    </row>
    <row r="67" ht="30" customHeight="1" s="104">
      <c r="A67" s="179" t="inlineStr">
        <is>
          <t>PP(top 10%) — Citation impact</t>
        </is>
      </c>
      <c r="B67" s="180" t="inlineStr">
        <is>
          <t>Core</t>
        </is>
      </c>
      <c r="C67" s="180" t="inlineStr">
        <is>
          <t>~3%</t>
        </is>
      </c>
      <c r="D67" s="179" t="inlineStr">
        <is>
          <t>No Web of Science citation records available; requires published indexed output</t>
        </is>
      </c>
      <c r="E67" s="182" t="inlineStr">
        <is>
          <t>✗</t>
        </is>
      </c>
    </row>
    <row r="68" ht="30" customHeight="1" s="104">
      <c r="A68" s="179" t="inlineStr">
        <is>
          <t>MCS — Mean citation score (normalised)</t>
        </is>
      </c>
      <c r="B68" s="180" t="inlineStr">
        <is>
          <t>Core</t>
        </is>
      </c>
      <c r="C68" s="180" t="inlineStr">
        <is>
          <t>~3%</t>
        </is>
      </c>
      <c r="D68" s="179" t="inlineStr">
        <is>
          <t>Citation tracking requires published and indexed output in WoS</t>
        </is>
      </c>
      <c r="E68" s="182" t="inlineStr">
        <is>
          <t>✗</t>
        </is>
      </c>
    </row>
    <row r="69" ht="30" customHeight="1" s="104">
      <c r="A69" s="179" t="inlineStr">
        <is>
          <t>PP(collab) — International co-authorship</t>
        </is>
      </c>
      <c r="B69" s="180" t="inlineStr">
        <is>
          <t>Core</t>
        </is>
      </c>
      <c r="C69" s="180" t="inlineStr">
        <is>
          <t>~10%</t>
        </is>
      </c>
      <c r="D69" s="179" t="inlineStr">
        <is>
          <t>Multi-national student body; potential for collaboration; no co-authorship data recorded</t>
        </is>
      </c>
      <c r="E69" s="181" t="inlineStr">
        <is>
          <t>⚠</t>
        </is>
      </c>
    </row>
    <row r="70" ht="30" customHeight="1" s="104">
      <c r="A70" s="179" t="inlineStr">
        <is>
          <t>PP(gender) — Female authorship</t>
        </is>
      </c>
      <c r="B70" s="180" t="inlineStr">
        <is>
          <t>Supplementary</t>
        </is>
      </c>
      <c r="C70" s="180" t="inlineStr">
        <is>
          <t>~45%</t>
        </is>
      </c>
      <c r="D70" s="179" t="inlineStr">
        <is>
          <t>48.6% female students; 3 of 6 research students are female — strong potential</t>
        </is>
      </c>
      <c r="E70" s="181" t="inlineStr">
        <is>
          <t>⚠</t>
        </is>
      </c>
    </row>
    <row r="71" ht="30" customHeight="1" s="104">
      <c r="A71" s="179" t="inlineStr">
        <is>
          <t>PP(OA) — Open Access publications</t>
        </is>
      </c>
      <c r="B71" s="180" t="inlineStr">
        <is>
          <t>Supplementary</t>
        </is>
      </c>
      <c r="C71" s="180" t="inlineStr">
        <is>
          <t>~10%</t>
        </is>
      </c>
      <c r="D71" s="179" t="inlineStr">
        <is>
          <t>No open access repository or infrastructure evidenced in institutional data</t>
        </is>
      </c>
      <c r="E71" s="182" t="inlineStr">
        <is>
          <t>✗</t>
        </is>
      </c>
    </row>
    <row r="72" ht="18" customHeight="1" s="104">
      <c r="A72" s="207" t="inlineStr">
        <is>
          <t>OVERALL DATA READINESS</t>
        </is>
      </c>
      <c r="B72" s="184" t="inlineStr">
        <is>
          <t>—</t>
        </is>
      </c>
      <c r="C72" s="208" t="inlineStr">
        <is>
          <t>~8%</t>
        </is>
      </c>
      <c r="D72" s="186" t="inlineStr">
        <is>
          <t>Weighted estimate based on available institutional data</t>
        </is>
      </c>
      <c r="E72" s="187" t="n"/>
    </row>
    <row r="74" ht="18" customHeight="1" s="104">
      <c r="A74" s="173" t="inlineStr">
        <is>
          <t>METHODOLOGY NOTE</t>
        </is>
      </c>
    </row>
    <row r="75" ht="19.5" customHeight="1" s="104">
      <c r="A75" s="209" t="inlineStr">
        <is>
          <t>Score estimates are proxies derived from institutional LMS/SIS data available in the TemplumIS dataset. Indicators requiring external data (Scopus, Web of Science, employer surveys, academic reputation surveys, Clarivate HiCi lists) cannot be fully evaluated from internal records alone. Status symbols: ✓ = Performing well, ⚠ = Limited/partial data, ✗ = No data or not applicable. Scores represent current data readiness relative to each ranking's criteria, not projected global ranking positions.</t>
        </is>
      </c>
    </row>
    <row r="76" ht="19.5" customHeight="1" s="104"/>
    <row r="77" ht="19.5" customHeight="1" s="104"/>
  </sheetData>
  <mergeCells count="17">
    <mergeCell ref="A50:H50"/>
    <mergeCell ref="A4:H4"/>
    <mergeCell ref="A30:H30"/>
    <mergeCell ref="A39:H39"/>
    <mergeCell ref="A29:H29"/>
    <mergeCell ref="A20:H20"/>
    <mergeCell ref="A2:H2"/>
    <mergeCell ref="A51:H51"/>
    <mergeCell ref="A63:H63"/>
    <mergeCell ref="A10:H10"/>
    <mergeCell ref="A64:H64"/>
    <mergeCell ref="A19:H19"/>
    <mergeCell ref="A11:H11"/>
    <mergeCell ref="A1:H1"/>
    <mergeCell ref="A75:H77"/>
    <mergeCell ref="A74:H74"/>
    <mergeCell ref="A40:H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210" t="inlineStr">
        <is>
          <t>Student ID</t>
        </is>
      </c>
      <c r="B1" s="210" t="inlineStr">
        <is>
          <t>Full Name</t>
        </is>
      </c>
      <c r="C1" s="210" t="inlineStr">
        <is>
          <t>Programme Level</t>
        </is>
      </c>
      <c r="D1" s="210" t="inlineStr">
        <is>
          <t>Supervisor</t>
        </is>
      </c>
      <c r="E1" s="210" t="inlineStr">
        <is>
          <t>Research Area</t>
        </is>
      </c>
      <c r="F1" s="210" t="inlineStr">
        <is>
          <t>Dissertation Title</t>
        </is>
      </c>
      <c r="G1" s="210" t="inlineStr">
        <is>
          <t>Proposal Status</t>
        </is>
      </c>
      <c r="H1" s="210" t="inlineStr">
        <is>
          <t>Ethics Approval</t>
        </is>
      </c>
      <c r="I1" s="210" t="inlineStr">
        <is>
          <t>Data Collection</t>
        </is>
      </c>
      <c r="J1" s="210" t="inlineStr">
        <is>
          <t>Thesis Draft</t>
        </is>
      </c>
      <c r="K1" s="210" t="inlineStr">
        <is>
          <t>Submission Target</t>
        </is>
      </c>
      <c r="L1" s="210" t="inlineStr">
        <is>
          <t>Publications</t>
        </is>
      </c>
      <c r="M1" s="210" t="inlineStr">
        <is>
          <t>Conferences</t>
        </is>
      </c>
      <c r="N1" s="210" t="inlineStr">
        <is>
          <t>Grant Funding</t>
        </is>
      </c>
      <c r="O1" s="210" t="inlineStr">
        <is>
          <t>Current Challenge</t>
        </is>
      </c>
      <c r="P1" s="210" t="inlineStr">
        <is>
          <t>Next Milestone</t>
        </is>
      </c>
      <c r="Q1" s="210" t="inlineStr">
        <is>
          <t>Risk Flag</t>
        </is>
      </c>
    </row>
    <row r="2">
      <c r="A2" t="inlineStr">
        <is>
          <t>TU-PG-2022-0026</t>
        </is>
      </c>
      <c r="B2" t="inlineStr">
        <is>
          <t>Amara Diallo</t>
        </is>
      </c>
      <c r="C2" t="inlineStr">
        <is>
          <t>MSc (Coursework)</t>
        </is>
      </c>
      <c r="D2" t="inlineStr">
        <is>
          <t>Dr. Fatima Okello</t>
        </is>
      </c>
      <c r="E2" t="inlineStr">
        <is>
          <t>Public Health Policy</t>
        </is>
      </c>
      <c r="F2" t="inlineStr">
        <is>
          <t>Community Health Interventions in Rural Kenya</t>
        </is>
      </c>
      <c r="G2" t="inlineStr">
        <is>
          <t>Approved</t>
        </is>
      </c>
      <c r="H2" t="inlineStr">
        <is>
          <t>Cleared</t>
        </is>
      </c>
      <c r="I2" t="inlineStr">
        <is>
          <t>Complete</t>
        </is>
      </c>
      <c r="J2" t="inlineStr">
        <is>
          <t>Final draft</t>
        </is>
      </c>
      <c r="K2" t="inlineStr">
        <is>
          <t>2026-04-15</t>
        </is>
      </c>
      <c r="L2" t="n">
        <v>1</v>
      </c>
      <c r="M2" t="n">
        <v>2</v>
      </c>
      <c r="N2" t="inlineStr">
        <is>
          <t>Internal research grant — KES 120,000</t>
        </is>
      </c>
      <c r="O2" t="inlineStr">
        <is>
          <t>Thesis formatting review</t>
        </is>
      </c>
      <c r="P2" t="inlineStr">
        <is>
          <t>Submit final dissertation</t>
        </is>
      </c>
      <c r="Q2" t="inlineStr">
        <is>
          <t>Low</t>
        </is>
      </c>
    </row>
    <row r="3">
      <c r="A3" t="inlineStr">
        <is>
          <t>TU-PG-2023-0027</t>
        </is>
      </c>
      <c r="B3" t="inlineStr">
        <is>
          <t>Benjamin Kamto</t>
        </is>
      </c>
      <c r="C3" t="inlineStr">
        <is>
          <t>MBA (Coursework)</t>
        </is>
      </c>
      <c r="D3" t="inlineStr">
        <is>
          <t>Prof. James Wanjala</t>
        </is>
      </c>
      <c r="E3" t="inlineStr">
        <is>
          <t>Strategic Management</t>
        </is>
      </c>
      <c r="F3" t="inlineStr">
        <is>
          <t>Digital Transformation in SMEs</t>
        </is>
      </c>
      <c r="G3" t="inlineStr">
        <is>
          <t>Submitted — under review</t>
        </is>
      </c>
      <c r="H3" t="inlineStr">
        <is>
          <t>Pending</t>
        </is>
      </c>
      <c r="I3" t="inlineStr">
        <is>
          <t>In progress</t>
        </is>
      </c>
      <c r="J3" t="inlineStr">
        <is>
          <t>Chapter 3 draft</t>
        </is>
      </c>
      <c r="K3" t="inlineStr">
        <is>
          <t>2026-08-30</t>
        </is>
      </c>
      <c r="L3" t="n">
        <v>0</v>
      </c>
      <c r="M3" t="n">
        <v>1</v>
      </c>
      <c r="N3" t="inlineStr">
        <is>
          <t>None</t>
        </is>
      </c>
      <c r="O3" t="inlineStr">
        <is>
          <t>Supervisor feedback turnaround</t>
        </is>
      </c>
      <c r="P3" t="inlineStr">
        <is>
          <t>Complete coursework modules</t>
        </is>
      </c>
      <c r="Q3" t="inlineStr">
        <is>
          <t>Medium</t>
        </is>
      </c>
    </row>
    <row r="4">
      <c r="A4" t="inlineStr">
        <is>
          <t>TU-PG-2022-0028</t>
        </is>
      </c>
      <c r="B4" t="inlineStr">
        <is>
          <t>Celestine Awino</t>
        </is>
      </c>
      <c r="C4" t="inlineStr">
        <is>
          <t>MA (Coursework)</t>
        </is>
      </c>
      <c r="D4" t="inlineStr">
        <is>
          <t>Dr. Grace Muthoni</t>
        </is>
      </c>
      <c r="E4" t="inlineStr">
        <is>
          <t>Education Policy</t>
        </is>
      </c>
      <c r="F4" t="inlineStr">
        <is>
          <t>Inclusive Education Practices in Secondary Schools</t>
        </is>
      </c>
      <c r="G4" t="inlineStr">
        <is>
          <t>Approved</t>
        </is>
      </c>
      <c r="H4" t="inlineStr">
        <is>
          <t>Cleared</t>
        </is>
      </c>
      <c r="I4" t="inlineStr">
        <is>
          <t>Complete</t>
        </is>
      </c>
      <c r="J4" t="inlineStr">
        <is>
          <t>Under revision</t>
        </is>
      </c>
      <c r="K4" t="inlineStr">
        <is>
          <t>2026-05-20</t>
        </is>
      </c>
      <c r="L4" t="n">
        <v>0</v>
      </c>
      <c r="M4" t="n">
        <v>1</v>
      </c>
      <c r="N4" t="inlineStr">
        <is>
          <t>Faculty seed grant — KES 80,000</t>
        </is>
      </c>
      <c r="O4" t="inlineStr">
        <is>
          <t>Literature gap refinement</t>
        </is>
      </c>
      <c r="P4" t="inlineStr">
        <is>
          <t>Revise thesis chapters 2–3</t>
        </is>
      </c>
      <c r="Q4" t="inlineStr">
        <is>
          <t>Low</t>
        </is>
      </c>
    </row>
    <row r="5">
      <c r="A5" t="inlineStr">
        <is>
          <t>TU-PG-2023-0029</t>
        </is>
      </c>
      <c r="B5" t="inlineStr">
        <is>
          <t>David Ochieng</t>
        </is>
      </c>
      <c r="C5" t="inlineStr">
        <is>
          <t>MSc (Research)</t>
        </is>
      </c>
      <c r="D5" t="inlineStr">
        <is>
          <t>Dr. Peter Kimani</t>
        </is>
      </c>
      <c r="E5" t="inlineStr">
        <is>
          <t>Data Science</t>
        </is>
      </c>
      <c r="F5" t="inlineStr">
        <is>
          <t>Machine Learning for Agricultural Yield Prediction</t>
        </is>
      </c>
      <c r="G5" t="inlineStr">
        <is>
          <t>Approved</t>
        </is>
      </c>
      <c r="H5" t="inlineStr">
        <is>
          <t>Cleared</t>
        </is>
      </c>
      <c r="I5" t="inlineStr">
        <is>
          <t>Active</t>
        </is>
      </c>
      <c r="J5" t="inlineStr">
        <is>
          <t>Chapter 4 in progress</t>
        </is>
      </c>
      <c r="K5" t="inlineStr">
        <is>
          <t>2026-12-01</t>
        </is>
      </c>
      <c r="L5" t="n">
        <v>1</v>
      </c>
      <c r="M5" t="n">
        <v>0</v>
      </c>
      <c r="N5" t="inlineStr">
        <is>
          <t>Research council grant — KES 250,000</t>
        </is>
      </c>
      <c r="O5" t="inlineStr">
        <is>
          <t>Dataset licensing (FAIR compliance)</t>
        </is>
      </c>
      <c r="P5" t="inlineStr">
        <is>
          <t>Complete data analysis chapter</t>
        </is>
      </c>
      <c r="Q5" t="inlineStr">
        <is>
          <t>Medium</t>
        </is>
      </c>
    </row>
    <row r="6">
      <c r="A6" t="inlineStr">
        <is>
          <t>TU-PG-2021-0030</t>
        </is>
      </c>
      <c r="B6" t="inlineStr">
        <is>
          <t>Elena Vasquez</t>
        </is>
      </c>
      <c r="C6" t="inlineStr">
        <is>
          <t>PhD</t>
        </is>
      </c>
      <c r="D6" t="inlineStr">
        <is>
          <t>Prof. Samuel Njoroge</t>
        </is>
      </c>
      <c r="E6" t="inlineStr">
        <is>
          <t>Climate Science</t>
        </is>
      </c>
      <c r="F6" t="inlineStr">
        <is>
          <t>Climate Resilience Modelling for East African Coasts</t>
        </is>
      </c>
      <c r="G6" t="inlineStr">
        <is>
          <t>Approved</t>
        </is>
      </c>
      <c r="H6" t="inlineStr">
        <is>
          <t>Cleared</t>
        </is>
      </c>
      <c r="I6" t="inlineStr">
        <is>
          <t>Active</t>
        </is>
      </c>
      <c r="J6" t="inlineStr">
        <is>
          <t>Draft v3</t>
        </is>
      </c>
      <c r="K6" t="inlineStr">
        <is>
          <t>2027-06-30</t>
        </is>
      </c>
      <c r="L6" t="n">
        <v>3</v>
      </c>
      <c r="M6" t="n">
        <v>4</v>
      </c>
      <c r="N6" t="inlineStr">
        <is>
          <t>International fellowship — USD 15,000</t>
        </is>
      </c>
      <c r="O6" t="inlineStr">
        <is>
          <t>Publication pipeline coordination</t>
        </is>
      </c>
      <c r="P6" t="inlineStr">
        <is>
          <t>Prepare for progression review</t>
        </is>
      </c>
      <c r="Q6" t="inlineStr">
        <is>
          <t>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10" t="inlineStr">
        <is>
          <t>Student ID</t>
        </is>
      </c>
      <c r="B1" s="210" t="inlineStr">
        <is>
          <t>Service</t>
        </is>
      </c>
      <c r="C1" s="210" t="inlineStr">
        <is>
          <t>Provider</t>
        </is>
      </c>
      <c r="D1" s="210" t="inlineStr">
        <is>
          <t>Contact Email</t>
        </is>
      </c>
      <c r="E1" s="210" t="inlineStr">
        <is>
          <t>Status</t>
        </is>
      </c>
      <c r="F1" s="210" t="inlineStr">
        <is>
          <t>Last Session</t>
        </is>
      </c>
      <c r="G1" s="210" t="inlineStr">
        <is>
          <t>Next Session</t>
        </is>
      </c>
      <c r="H1" s="210" t="inlineStr">
        <is>
          <t>Notes</t>
        </is>
      </c>
      <c r="I1" s="210" t="inlineStr">
        <is>
          <t>Priority</t>
        </is>
      </c>
    </row>
    <row r="2">
      <c r="A2" t="inlineStr">
        <is>
          <t>TU-PG-2022-0026</t>
        </is>
      </c>
      <c r="B2" t="inlineStr">
        <is>
          <t>Writing Centre</t>
        </is>
      </c>
      <c r="C2" t="inlineStr">
        <is>
          <t>PG Writing Lab</t>
        </is>
      </c>
      <c r="D2" t="inlineStr">
        <is>
          <t>writing@templumis.ac</t>
        </is>
      </c>
      <c r="E2" t="inlineStr">
        <is>
          <t>Active</t>
        </is>
      </c>
      <c r="F2" t="inlineStr">
        <is>
          <t>2026-02-10</t>
        </is>
      </c>
      <c r="G2" t="inlineStr">
        <is>
          <t>2026-03-05</t>
        </is>
      </c>
      <c r="H2" t="inlineStr">
        <is>
          <t>Thesis structure coaching</t>
        </is>
      </c>
      <c r="I2" t="inlineStr">
        <is>
          <t>Normal</t>
        </is>
      </c>
    </row>
    <row r="3">
      <c r="A3" t="inlineStr">
        <is>
          <t>TU-PG-2022-0026</t>
        </is>
      </c>
      <c r="B3" t="inlineStr">
        <is>
          <t>Research Methods</t>
        </is>
      </c>
      <c r="C3" t="inlineStr">
        <is>
          <t>Graduate School</t>
        </is>
      </c>
      <c r="D3" t="inlineStr">
        <is>
          <t>gradschool@templumis.ac</t>
        </is>
      </c>
      <c r="E3" t="inlineStr">
        <is>
          <t>Completed</t>
        </is>
      </c>
      <c r="F3" t="inlineStr">
        <is>
          <t>2026-01-20</t>
        </is>
      </c>
      <c r="H3" t="inlineStr">
        <is>
          <t>Qualitative methods workshop</t>
        </is>
      </c>
      <c r="I3" t="inlineStr">
        <is>
          <t>Normal</t>
        </is>
      </c>
    </row>
    <row r="4">
      <c r="A4" t="inlineStr">
        <is>
          <t>TU-PG-2023-0027</t>
        </is>
      </c>
      <c r="B4" t="inlineStr">
        <is>
          <t>Academic Coaching</t>
        </is>
      </c>
      <c r="C4" t="inlineStr">
        <is>
          <t>PG Support Office</t>
        </is>
      </c>
      <c r="D4" t="inlineStr">
        <is>
          <t>pgsupport@templumis.ac</t>
        </is>
      </c>
      <c r="E4" t="inlineStr">
        <is>
          <t>Scheduled</t>
        </is>
      </c>
      <c r="F4" t="inlineStr">
        <is>
          <t>2026-02-28</t>
        </is>
      </c>
      <c r="G4" t="inlineStr">
        <is>
          <t>2026-03-12</t>
        </is>
      </c>
      <c r="H4" t="inlineStr">
        <is>
          <t>Time management for coursework</t>
        </is>
      </c>
      <c r="I4" t="inlineStr">
        <is>
          <t>High</t>
        </is>
      </c>
    </row>
    <row r="5">
      <c r="A5" t="inlineStr">
        <is>
          <t>TU-PG-2022-0028</t>
        </is>
      </c>
      <c r="B5" t="inlineStr">
        <is>
          <t>Library Research</t>
        </is>
      </c>
      <c r="C5" t="inlineStr">
        <is>
          <t>Research Librarian</t>
        </is>
      </c>
      <c r="D5" t="inlineStr">
        <is>
          <t>library@templumis.ac</t>
        </is>
      </c>
      <c r="E5" t="inlineStr">
        <is>
          <t>Active</t>
        </is>
      </c>
      <c r="F5" t="inlineStr">
        <is>
          <t>2026-02-15</t>
        </is>
      </c>
      <c r="G5" t="inlineStr">
        <is>
          <t>2026-03-08</t>
        </is>
      </c>
      <c r="H5" t="inlineStr">
        <is>
          <t>Systematic review search strategy</t>
        </is>
      </c>
      <c r="I5" t="inlineStr">
        <is>
          <t>Normal</t>
        </is>
      </c>
    </row>
    <row r="6">
      <c r="A6" t="inlineStr">
        <is>
          <t>TU-PG-2023-0029</t>
        </is>
      </c>
      <c r="B6" t="inlineStr">
        <is>
          <t>Data Management</t>
        </is>
      </c>
      <c r="C6" t="inlineStr">
        <is>
          <t>Research Data Team</t>
        </is>
      </c>
      <c r="D6" t="inlineStr">
        <is>
          <t>data@templumis.ac</t>
        </is>
      </c>
      <c r="E6" t="inlineStr">
        <is>
          <t>Active</t>
        </is>
      </c>
      <c r="F6" t="inlineStr">
        <is>
          <t>2026-02-18</t>
        </is>
      </c>
      <c r="G6" t="inlineStr">
        <is>
          <t>2026-03-15</t>
        </is>
      </c>
      <c r="H6" t="inlineStr">
        <is>
          <t>FAIR data plan review</t>
        </is>
      </c>
      <c r="I6" t="inlineStr">
        <is>
          <t>High</t>
        </is>
      </c>
    </row>
    <row r="7">
      <c r="A7" t="inlineStr">
        <is>
          <t>TU-PG-2021-0030</t>
        </is>
      </c>
      <c r="B7" t="inlineStr">
        <is>
          <t>Supervisor Meeting</t>
        </is>
      </c>
      <c r="C7" t="inlineStr">
        <is>
          <t>Graduate School</t>
        </is>
      </c>
      <c r="D7" t="inlineStr">
        <is>
          <t>gradschool@templumis.ac</t>
        </is>
      </c>
      <c r="E7" t="inlineStr">
        <is>
          <t>Active</t>
        </is>
      </c>
      <c r="F7" t="inlineStr">
        <is>
          <t>2026-02-22</t>
        </is>
      </c>
      <c r="G7" t="inlineStr">
        <is>
          <t>2026-03-20</t>
        </is>
      </c>
      <c r="H7" t="inlineStr">
        <is>
          <t>Annual progression review prep</t>
        </is>
      </c>
      <c r="I7" t="inlineStr">
        <is>
          <t>Normal</t>
        </is>
      </c>
    </row>
    <row r="8">
      <c r="A8" t="inlineStr">
        <is>
          <t>TU-PG-2021-0030</t>
        </is>
      </c>
      <c r="B8" t="inlineStr">
        <is>
          <t>Ethics Advisory</t>
        </is>
      </c>
      <c r="C8" t="inlineStr">
        <is>
          <t>Research Ethics Board</t>
        </is>
      </c>
      <c r="D8" t="inlineStr">
        <is>
          <t>ethics@templumis.ac</t>
        </is>
      </c>
      <c r="E8" t="inlineStr">
        <is>
          <t>Completed</t>
        </is>
      </c>
      <c r="F8" t="inlineStr">
        <is>
          <t>2025-11-10</t>
        </is>
      </c>
      <c r="H8" t="inlineStr">
        <is>
          <t>Ethics clearance renewed</t>
        </is>
      </c>
      <c r="I8" t="inlineStr">
        <is>
          <t>Normal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10" t="inlineStr">
        <is>
          <t>Resource ID</t>
        </is>
      </c>
      <c r="B1" s="210" t="inlineStr">
        <is>
          <t>Title</t>
        </is>
      </c>
      <c r="C1" s="210" t="inlineStr">
        <is>
          <t>Type</t>
        </is>
      </c>
      <c r="D1" s="210" t="inlineStr">
        <is>
          <t>Subject Area</t>
        </is>
      </c>
      <c r="E1" s="210" t="inlineStr">
        <is>
          <t>Programme Level</t>
        </is>
      </c>
      <c r="F1" s="210" t="inlineStr">
        <is>
          <t>FAIR — Findable (DOI/Metadata)</t>
        </is>
      </c>
      <c r="G1" s="210" t="inlineStr">
        <is>
          <t>FAIR — Accessible</t>
        </is>
      </c>
      <c r="H1" s="210" t="inlineStr">
        <is>
          <t>FAIR — Interoperable</t>
        </is>
      </c>
      <c r="I1" s="210" t="inlineStr">
        <is>
          <t>FAIR — Reusable (License)</t>
        </is>
      </c>
      <c r="J1" s="210" t="inlineStr">
        <is>
          <t>URL</t>
        </is>
      </c>
      <c r="K1" s="210" t="inlineStr">
        <is>
          <t>Description</t>
        </is>
      </c>
      <c r="L1" s="210" t="inlineStr">
        <is>
          <t>Access Notes</t>
        </is>
      </c>
    </row>
    <row r="2">
      <c r="A2" t="inlineStr">
        <is>
          <t>LIB-001</t>
        </is>
      </c>
      <c r="B2" t="inlineStr">
        <is>
          <t>TemplumIS Research Repository</t>
        </is>
      </c>
      <c r="C2" t="inlineStr">
        <is>
          <t>Repository</t>
        </is>
      </c>
      <c r="D2" t="inlineStr">
        <is>
          <t>Multidisciplinary</t>
        </is>
      </c>
      <c r="E2" t="inlineStr">
        <is>
          <t>All</t>
        </is>
      </c>
      <c r="F2" t="inlineStr">
        <is>
          <t>Indexed with DOI; rich metadata (Dublin Core)</t>
        </is>
      </c>
      <c r="G2" t="inlineStr">
        <is>
          <t>Campus SSO + ORCID login</t>
        </is>
      </c>
      <c r="H2" t="inlineStr">
        <is>
          <t>OAI-PMH API; JSON metadata export</t>
        </is>
      </c>
      <c r="I2" t="inlineStr">
        <is>
          <t>CC BY 4.0 for published theses</t>
        </is>
      </c>
      <c r="J2" t="inlineStr">
        <is>
          <t>https://repository.templumis.ac</t>
        </is>
      </c>
      <c r="K2" t="inlineStr">
        <is>
          <t>Institutional open-access repository for PG theses and datasets.</t>
        </is>
      </c>
      <c r="L2" t="inlineStr">
        <is>
          <t>Upload via Graduate School portal</t>
        </is>
      </c>
    </row>
    <row r="3">
      <c r="A3" t="inlineStr">
        <is>
          <t>LIB-002</t>
        </is>
      </c>
      <c r="B3" t="inlineStr">
        <is>
          <t>Scopus</t>
        </is>
      </c>
      <c r="C3" t="inlineStr">
        <is>
          <t>Database</t>
        </is>
      </c>
      <c r="D3" t="inlineStr">
        <is>
          <t>Multidisciplinary</t>
        </is>
      </c>
      <c r="E3" t="inlineStr">
        <is>
          <t>Postgraduate</t>
        </is>
      </c>
      <c r="F3" t="inlineStr">
        <is>
          <t>Persistent IDs for indexed publications</t>
        </is>
      </c>
      <c r="G3" t="inlineStr">
        <is>
          <t>Campus IP + remote VPN</t>
        </is>
      </c>
      <c r="H3" t="inlineStr">
        <is>
          <t>RIS/BibTeX export; API for bibliometrics</t>
        </is>
      </c>
      <c r="I3" t="inlineStr">
        <is>
          <t>Publisher terms apply</t>
        </is>
      </c>
      <c r="J3" t="inlineStr">
        <is>
          <t>https://www.scopus.com</t>
        </is>
      </c>
      <c r="K3" t="inlineStr">
        <is>
          <t>Citation and abstract database for literature reviews.</t>
        </is>
      </c>
      <c r="L3" t="inlineStr">
        <is>
          <t>Use library proxy off-campus</t>
        </is>
      </c>
    </row>
    <row r="4">
      <c r="A4" t="inlineStr">
        <is>
          <t>LIB-003</t>
        </is>
      </c>
      <c r="B4" t="inlineStr">
        <is>
          <t>Web of Science</t>
        </is>
      </c>
      <c r="C4" t="inlineStr">
        <is>
          <t>Database</t>
        </is>
      </c>
      <c r="D4" t="inlineStr">
        <is>
          <t>Sciences</t>
        </is>
      </c>
      <c r="E4" t="inlineStr">
        <is>
          <t>Postgraduate</t>
        </is>
      </c>
      <c r="F4" t="inlineStr">
        <is>
          <t>DOI-linked records</t>
        </is>
      </c>
      <c r="G4" t="inlineStr">
        <is>
          <t>Campus authentication</t>
        </is>
      </c>
      <c r="H4" t="inlineStr">
        <is>
          <t>EndNote integration</t>
        </is>
      </c>
      <c r="I4" t="inlineStr">
        <is>
          <t>Publisher license</t>
        </is>
      </c>
      <c r="J4" t="inlineStr">
        <is>
          <t>https://www.webofscience.com</t>
        </is>
      </c>
      <c r="K4" t="inlineStr">
        <is>
          <t>Peer-reviewed journal index and citation tracking.</t>
        </is>
      </c>
      <c r="L4" t="inlineStr">
        <is>
          <t>Book a librarian session for advanced search</t>
        </is>
      </c>
    </row>
    <row r="5">
      <c r="A5" t="inlineStr">
        <is>
          <t>LIB-004</t>
        </is>
      </c>
      <c r="B5" t="inlineStr">
        <is>
          <t>Kenya National Research Data Archive</t>
        </is>
      </c>
      <c r="C5" t="inlineStr">
        <is>
          <t>Dataset</t>
        </is>
      </c>
      <c r="D5" t="inlineStr">
        <is>
          <t>Social Sciences</t>
        </is>
      </c>
      <c r="E5" t="inlineStr">
        <is>
          <t>Postgraduate</t>
        </is>
      </c>
      <c r="F5" t="inlineStr">
        <is>
          <t>Registered dataset DOIs; README metadata</t>
        </is>
      </c>
      <c r="G5" t="inlineStr">
        <is>
          <t>Open download + API key for restricted sets</t>
        </is>
      </c>
      <c r="H5" t="inlineStr">
        <is>
          <t>CSV, JSON, STATA interoperable formats</t>
        </is>
      </c>
      <c r="I5" t="inlineStr">
        <is>
          <t>CC BY 4.0 / custom data agreements</t>
        </is>
      </c>
      <c r="J5" t="inlineStr">
        <is>
          <t>https://data.kenya-research.ac</t>
        </is>
      </c>
      <c r="K5" t="inlineStr">
        <is>
          <t>National FAIR-compliant datasets for policy and health research.</t>
        </is>
      </c>
      <c r="L5" t="inlineStr">
        <is>
          <t>Register before downloading restricted data</t>
        </is>
      </c>
    </row>
    <row r="6">
      <c r="A6" t="inlineStr">
        <is>
          <t>LIB-005</t>
        </is>
      </c>
      <c r="B6" t="inlineStr">
        <is>
          <t>IEEE Xplore</t>
        </is>
      </c>
      <c r="C6" t="inlineStr">
        <is>
          <t>Database</t>
        </is>
      </c>
      <c r="D6" t="inlineStr">
        <is>
          <t>Engineering &amp; CS</t>
        </is>
      </c>
      <c r="E6" t="inlineStr">
        <is>
          <t>Postgraduate</t>
        </is>
      </c>
      <c r="F6" t="inlineStr">
        <is>
          <t>IEEE DOI metadata</t>
        </is>
      </c>
      <c r="G6" t="inlineStr">
        <is>
          <t>Institutional subscription</t>
        </is>
      </c>
      <c r="H6" t="inlineStr">
        <is>
          <t>BibTeX, XML exports</t>
        </is>
      </c>
      <c r="I6" t="inlineStr">
        <is>
          <t>IEEE terms of use</t>
        </is>
      </c>
      <c r="J6" t="inlineStr">
        <is>
          <t>https://ieeexplore.ieee.org</t>
        </is>
      </c>
      <c r="K6" t="inlineStr">
        <is>
          <t>Engineering and computing literature for MSc/PhD research.</t>
        </is>
      </c>
      <c r="L6" t="inlineStr">
        <is>
          <t>Link ORCID for author profiles</t>
        </is>
      </c>
    </row>
    <row r="7">
      <c r="A7" t="inlineStr">
        <is>
          <t>LIB-006</t>
        </is>
      </c>
      <c r="B7" t="inlineStr">
        <is>
          <t>JSTOR</t>
        </is>
      </c>
      <c r="C7" t="inlineStr">
        <is>
          <t>Database</t>
        </is>
      </c>
      <c r="D7" t="inlineStr">
        <is>
          <t>Humanities &amp; Social Sciences</t>
        </is>
      </c>
      <c r="E7" t="inlineStr">
        <is>
          <t>All</t>
        </is>
      </c>
      <c r="F7" t="inlineStr">
        <is>
          <t>Stable URLs and citation metadata</t>
        </is>
      </c>
      <c r="G7" t="inlineStr">
        <is>
          <t>Campus login</t>
        </is>
      </c>
      <c r="H7" t="inlineStr">
        <is>
          <t>PDF + citation export</t>
        </is>
      </c>
      <c r="I7" t="inlineStr">
        <is>
          <t>JSTOR license</t>
        </is>
      </c>
      <c r="J7" t="inlineStr">
        <is>
          <t>https://www.jstor.org</t>
        </is>
      </c>
      <c r="K7" t="inlineStr">
        <is>
          <t>Archive of journals and books for humanities PG research.</t>
        </is>
      </c>
      <c r="L7" t="inlineStr">
        <is>
          <t>Use advanced search filters</t>
        </is>
      </c>
    </row>
    <row r="8">
      <c r="A8" t="inlineStr">
        <is>
          <t>LIB-007</t>
        </is>
      </c>
      <c r="B8" t="inlineStr">
        <is>
          <t>Zotero Research Guide</t>
        </is>
      </c>
      <c r="C8" t="inlineStr">
        <is>
          <t>Tool</t>
        </is>
      </c>
      <c r="D8" t="inlineStr">
        <is>
          <t>Research Skills</t>
        </is>
      </c>
      <c r="E8" t="inlineStr">
        <is>
          <t>Postgraduate</t>
        </is>
      </c>
      <c r="F8" t="inlineStr">
        <is>
          <t>Guide metadata on library catalogue</t>
        </is>
      </c>
      <c r="G8" t="inlineStr">
        <is>
          <t>Open access guide</t>
        </is>
      </c>
      <c r="H8" t="inlineStr">
        <is>
          <t>RIS/BibTeX compatible</t>
        </is>
      </c>
      <c r="I8" t="inlineStr">
        <is>
          <t>Creative Commons guide</t>
        </is>
      </c>
      <c r="J8" t="inlineStr">
        <is>
          <t>https://libguides.templumis.ac/zotero</t>
        </is>
      </c>
      <c r="K8" t="inlineStr">
        <is>
          <t>Reference management and FAIR citation workflows.</t>
        </is>
      </c>
      <c r="L8" t="inlineStr">
        <is>
          <t>Install desktop + browser connector</t>
        </is>
      </c>
    </row>
    <row r="9">
      <c r="A9" t="inlineStr">
        <is>
          <t>LIB-008</t>
        </is>
      </c>
      <c r="B9" t="inlineStr">
        <is>
          <t>Open Data Kenya — Agriculture</t>
        </is>
      </c>
      <c r="C9" t="inlineStr">
        <is>
          <t>Dataset</t>
        </is>
      </c>
      <c r="D9" t="inlineStr">
        <is>
          <t>Agriculture</t>
        </is>
      </c>
      <c r="E9" t="inlineStr">
        <is>
          <t>Postgraduate</t>
        </is>
      </c>
      <c r="F9" t="inlineStr">
        <is>
          <t>Dataset catalogue with DOIs</t>
        </is>
      </c>
      <c r="G9" t="inlineStr">
        <is>
          <t>Open API + bulk download</t>
        </is>
      </c>
      <c r="H9" t="inlineStr">
        <is>
          <t>CSV, GeoJSON</t>
        </is>
      </c>
      <c r="I9" t="inlineStr">
        <is>
          <t>Open Government Licence</t>
        </is>
      </c>
      <c r="J9" t="inlineStr">
        <is>
          <t>https://opendata.templumis.ac/agriculture</t>
        </is>
      </c>
      <c r="K9" t="inlineStr">
        <is>
          <t>FAIR agricultural datasets for MSc research projects.</t>
        </is>
      </c>
      <c r="L9" t="inlineStr">
        <is>
          <t>Cite dataset DOI in thesis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2026-04-15T09:55:39Z</dcterms:created>
  <dcterms:modified xsi:type="dcterms:W3CDTF">2026-06-05T12:42:10Z</dcterms:modified>
  <cp:revision>0</cp:revision>
</cp:coreProperties>
</file>