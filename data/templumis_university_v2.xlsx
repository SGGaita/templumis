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ents" sheetId="1" state="visible" r:id="rId3"/>
    <sheet name="Courses" sheetId="2" state="visible" r:id="rId4"/>
    <sheet name="Enrolments" sheetId="3" state="visible" r:id="rId5"/>
    <sheet name="Grades" sheetId="4" state="visible" r:id="rId6"/>
    <sheet name="Attendance" sheetId="5" state="visible" r:id="rId7"/>
    <sheet name="Fee Records" sheetId="6" state="visible" r:id="rId8"/>
    <sheet name="Payments" sheetId="7" state="visible" r:id="rId9"/>
    <sheet name="Scholarships" sheetId="8" state="visible" r:id="rId10"/>
    <sheet name="Dashboard" sheetId="9" state="visible" r:id="rId11"/>
    <sheet name="Journey Tracker" sheetId="10" state="visible" r:id="rId12"/>
    <sheet name="Rankings Dashboard" sheetId="11" state="visible" r:id="rId13"/>
    <sheet name="PG Research Tracker" sheetId="12" state="visible" r:id="rId14"/>
    <sheet name="PG Academic Support" sheetId="13" state="visible" r:id="rId15"/>
    <sheet name="Library Resources" sheetId="14" state="visible" r:id="rId16"/>
    <sheet name="PhD Journey Tracker" sheetId="15" state="visible" r:id="rId17"/>
    <sheet name="PhD Academic Support" sheetId="16" state="visible" r:id="rId18"/>
    <sheet name="Demo Accounts" sheetId="17" state="visible" r:id="rId19"/>
    <sheet name="NSFAS Student Tracking" sheetId="18" state="visible" r:id="rId20"/>
    <sheet name="NSFAS Reports"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<sst xmlns="http://schemas.openxmlformats.org/spreadsheetml/2006/main" count="22979" uniqueCount="4676">
  <si>
    <t xml:space="preserve">student_id</t>
  </si>
  <si>
    <t xml:space="preserve">full_name</t>
  </si>
  <si>
    <t xml:space="preserve">gender</t>
  </si>
  <si>
    <t xml:space="preserve">date_of_birth</t>
  </si>
  <si>
    <t xml:space="preserve">email</t>
  </si>
  <si>
    <t xml:space="preserve">phone</t>
  </si>
  <si>
    <t xml:space="preserve">program</t>
  </si>
  <si>
    <t xml:space="preserve">major</t>
  </si>
  <si>
    <t xml:space="preserve">department</t>
  </si>
  <si>
    <t xml:space="preserve">year_of_study</t>
  </si>
  <si>
    <t xml:space="preserve">gpa</t>
  </si>
  <si>
    <t xml:space="preserve">credit_hours_earned</t>
  </si>
  <si>
    <t xml:space="preserve">status</t>
  </si>
  <si>
    <t xml:space="preserve">nationality</t>
  </si>
  <si>
    <t xml:space="preserve">enrollment_date</t>
  </si>
  <si>
    <t xml:space="preserve">expected_graduation</t>
  </si>
  <si>
    <t xml:space="preserve">Student Type</t>
  </si>
  <si>
    <t xml:space="preserve">Programme Level</t>
  </si>
  <si>
    <t xml:space="preserve">Journey Stage</t>
  </si>
  <si>
    <t xml:space="preserve">Current Semester</t>
  </si>
  <si>
    <t xml:space="preserve">Fees Status</t>
  </si>
  <si>
    <t xml:space="preserve">Fees Balance (KES)</t>
  </si>
  <si>
    <t xml:space="preserve">Academic Standing</t>
  </si>
  <si>
    <t xml:space="preserve">Last Standing Review</t>
  </si>
  <si>
    <t xml:space="preserve">Dissertation Title</t>
  </si>
  <si>
    <t xml:space="preserve">Dissertation Status</t>
  </si>
  <si>
    <t xml:space="preserve">Graduation Clearance</t>
  </si>
  <si>
    <t xml:space="preserve">Actual Graduation Date</t>
  </si>
  <si>
    <t xml:space="preserve">Programme Advisor / Supervisor</t>
  </si>
  <si>
    <t xml:space="preserve">Co-Supervisor</t>
  </si>
  <si>
    <t xml:space="preserve">Specialisation / Research Area</t>
  </si>
  <si>
    <t xml:space="preserve">Expected Defense / Completion</t>
  </si>
  <si>
    <t xml:space="preserve">Milestones Achieved</t>
  </si>
  <si>
    <t xml:space="preserve">Next Milestone</t>
  </si>
  <si>
    <t xml:space="preserve">Research / Capstone Output</t>
  </si>
  <si>
    <t xml:space="preserve">Institution</t>
  </si>
  <si>
    <t xml:space="preserve">NSFAS Beneficiary</t>
  </si>
  <si>
    <t xml:space="preserve">Has Disability</t>
  </si>
  <si>
    <t xml:space="preserve">Disability Type</t>
  </si>
  <si>
    <t xml:space="preserve">Disability Accommodation Needed</t>
  </si>
  <si>
    <t xml:space="preserve">TU-2021-0001</t>
  </si>
  <si>
    <t xml:space="preserve">Amelia Odhiambo</t>
  </si>
  <si>
    <t xml:space="preserve">Female</t>
  </si>
  <si>
    <t xml:space="preserve">2001-03-12</t>
  </si>
  <si>
    <t xml:space="preserve">a.odhiambo@templumis.ac</t>
  </si>
  <si>
    <t xml:space="preserve">+254712345001</t>
  </si>
  <si>
    <t xml:space="preserve">BSc</t>
  </si>
  <si>
    <t xml:space="preserve">Computer Science</t>
  </si>
  <si>
    <t xml:space="preserve">School of Computing</t>
  </si>
  <si>
    <t xml:space="preserve">Year 3</t>
  </si>
  <si>
    <t xml:space="preserve">Active</t>
  </si>
  <si>
    <t xml:space="preserve">Kenyan</t>
  </si>
  <si>
    <t xml:space="preserve">2021-09-05</t>
  </si>
  <si>
    <t xml:space="preserve">2025-06-30</t>
  </si>
  <si>
    <t xml:space="preserve">Undergraduate</t>
  </si>
  <si>
    <t xml:space="preserve">3. Progressing — Year 3</t>
  </si>
  <si>
    <t xml:space="preserve">Sem 6</t>
  </si>
  <si>
    <t xml:space="preserve">Paid</t>
  </si>
  <si>
    <t xml:space="preserve">Good Standing</t>
  </si>
  <si>
    <t xml:space="preserve">2024-01-15</t>
  </si>
  <si>
    <t xml:space="preserve">N/A</t>
  </si>
  <si>
    <t xml:space="preserve">Not Yet</t>
  </si>
  <si>
    <t xml:space="preserve">Templumis University</t>
  </si>
  <si>
    <t xml:space="preserve">No</t>
  </si>
  <si>
    <t xml:space="preserve">None</t>
  </si>
  <si>
    <t xml:space="preserve">TU-2022-0002</t>
  </si>
  <si>
    <t xml:space="preserve">Brian Mwangi</t>
  </si>
  <si>
    <t xml:space="preserve">Male</t>
  </si>
  <si>
    <t xml:space="preserve">2002-07-22</t>
  </si>
  <si>
    <t xml:space="preserve">b.mwangi@templumis.ac</t>
  </si>
  <si>
    <t xml:space="preserve">+254712345002</t>
  </si>
  <si>
    <t xml:space="preserve">BA</t>
  </si>
  <si>
    <t xml:space="preserve">Economics</t>
  </si>
  <si>
    <t xml:space="preserve">School of Business</t>
  </si>
  <si>
    <t xml:space="preserve">Year 2</t>
  </si>
  <si>
    <t xml:space="preserve">2022-09-05</t>
  </si>
  <si>
    <t xml:space="preserve">2026-06-30</t>
  </si>
  <si>
    <t xml:space="preserve">2. Progressing — Year 2</t>
  </si>
  <si>
    <t xml:space="preserve">Sem 4</t>
  </si>
  <si>
    <t xml:space="preserve">TU-2020-0003</t>
  </si>
  <si>
    <t xml:space="preserve">Claire Nakato</t>
  </si>
  <si>
    <t xml:space="preserve">2000-11-05</t>
  </si>
  <si>
    <t xml:space="preserve">c.nakato@templumis.ac</t>
  </si>
  <si>
    <t xml:space="preserve">+256712345003</t>
  </si>
  <si>
    <t xml:space="preserve">Civil Engineering</t>
  </si>
  <si>
    <t xml:space="preserve">School of Engineering</t>
  </si>
  <si>
    <t xml:space="preserve">Year 4</t>
  </si>
  <si>
    <t xml:space="preserve">Ugandan</t>
  </si>
  <si>
    <t xml:space="preserve">2020-09-07</t>
  </si>
  <si>
    <t xml:space="preserve">2024-06-30</t>
  </si>
  <si>
    <t xml:space="preserve">4. Final Year — Pre-Clearance</t>
  </si>
  <si>
    <t xml:space="preserve">Sem 8</t>
  </si>
  <si>
    <t xml:space="preserve">In Progress</t>
  </si>
  <si>
    <t xml:space="preserve">Yes</t>
  </si>
  <si>
    <t xml:space="preserve">Physical / Mobility Impairment</t>
  </si>
  <si>
    <t xml:space="preserve">Ground-floor lecture venues; extended assignment deadlines</t>
  </si>
  <si>
    <t xml:space="preserve">TU-2019-0004</t>
  </si>
  <si>
    <t xml:space="preserve">David Mensah</t>
  </si>
  <si>
    <t xml:space="preserve">1999-04-18</t>
  </si>
  <si>
    <t xml:space="preserve">d.mensah@templumis.ac</t>
  </si>
  <si>
    <t xml:space="preserve">+233712345004</t>
  </si>
  <si>
    <t xml:space="preserve">Nursing</t>
  </si>
  <si>
    <t xml:space="preserve">School of Health Sciences</t>
  </si>
  <si>
    <t xml:space="preserve">Graduated</t>
  </si>
  <si>
    <t xml:space="preserve">Ghanaian</t>
  </si>
  <si>
    <t xml:space="preserve">2019-09-02</t>
  </si>
  <si>
    <t xml:space="preserve">6. Graduated ✓</t>
  </si>
  <si>
    <t xml:space="preserve">Completed</t>
  </si>
  <si>
    <t xml:space="preserve">Cleared</t>
  </si>
  <si>
    <t xml:space="preserve">Approved</t>
  </si>
  <si>
    <t xml:space="preserve">2023-11-10</t>
  </si>
  <si>
    <t xml:space="preserve">TU-2023-0005</t>
  </si>
  <si>
    <t xml:space="preserve">Esther Wanjiku</t>
  </si>
  <si>
    <t xml:space="preserve">2003-09-30</t>
  </si>
  <si>
    <t xml:space="preserve">e.wanjiku@templumis.ac</t>
  </si>
  <si>
    <t xml:space="preserve">+254712345005</t>
  </si>
  <si>
    <t xml:space="preserve">Mathematics</t>
  </si>
  <si>
    <t xml:space="preserve">School of Science</t>
  </si>
  <si>
    <t xml:space="preserve">Year 1</t>
  </si>
  <si>
    <t xml:space="preserve">Probation</t>
  </si>
  <si>
    <t xml:space="preserve">2023-09-04</t>
  </si>
  <si>
    <t xml:space="preserve">2027-06-30</t>
  </si>
  <si>
    <t xml:space="preserve">⚠ Academic Review — Probation</t>
  </si>
  <si>
    <t xml:space="preserve">Sem 2</t>
  </si>
  <si>
    <t xml:space="preserve">Partial</t>
  </si>
  <si>
    <t xml:space="preserve">2023-12-01</t>
  </si>
  <si>
    <t xml:space="preserve">Blocked</t>
  </si>
  <si>
    <t xml:space="preserve">TU-2021-0006</t>
  </si>
  <si>
    <t xml:space="preserve">Felix Otieno</t>
  </si>
  <si>
    <t xml:space="preserve">2001-01-14</t>
  </si>
  <si>
    <t xml:space="preserve">f.otieno@templumis.ac</t>
  </si>
  <si>
    <t xml:space="preserve">+254712345006</t>
  </si>
  <si>
    <t xml:space="preserve">BEd</t>
  </si>
  <si>
    <t xml:space="preserve">Education</t>
  </si>
  <si>
    <t xml:space="preserve">School of Education</t>
  </si>
  <si>
    <t xml:space="preserve">TU-2022-0007</t>
  </si>
  <si>
    <t xml:space="preserve">Grace Auma</t>
  </si>
  <si>
    <t xml:space="preserve">2002-06-08</t>
  </si>
  <si>
    <t xml:space="preserve">g.auma@templumis.ac</t>
  </si>
  <si>
    <t xml:space="preserve">+254712345007</t>
  </si>
  <si>
    <t xml:space="preserve">Biochemistry</t>
  </si>
  <si>
    <t xml:space="preserve">2022-09-06</t>
  </si>
  <si>
    <t xml:space="preserve">TU-2020-0008</t>
  </si>
  <si>
    <t xml:space="preserve">Hassan Abdi</t>
  </si>
  <si>
    <t xml:space="preserve">2000-12-20</t>
  </si>
  <si>
    <t xml:space="preserve">h.abdi@templumis.ac</t>
  </si>
  <si>
    <t xml:space="preserve">+252712345008</t>
  </si>
  <si>
    <t xml:space="preserve">LLB</t>
  </si>
  <si>
    <t xml:space="preserve">Law</t>
  </si>
  <si>
    <t xml:space="preserve">School of Law</t>
  </si>
  <si>
    <t xml:space="preserve">Somali</t>
  </si>
  <si>
    <t xml:space="preserve">TU-2021-0009</t>
  </si>
  <si>
    <t xml:space="preserve">Ivy Njeri</t>
  </si>
  <si>
    <t xml:space="preserve">2001-08-03</t>
  </si>
  <si>
    <t xml:space="preserve">i.njeri@templumis.ac</t>
  </si>
  <si>
    <t xml:space="preserve">+254712345009</t>
  </si>
  <si>
    <t xml:space="preserve">BComm</t>
  </si>
  <si>
    <t xml:space="preserve">Accounting</t>
  </si>
  <si>
    <t xml:space="preserve">On Leave</t>
  </si>
  <si>
    <t xml:space="preserve">⏸ Deferred — On Leave</t>
  </si>
  <si>
    <t xml:space="preserve">Deferred</t>
  </si>
  <si>
    <t xml:space="preserve">TU-2023-0010</t>
  </si>
  <si>
    <t xml:space="preserve">James Kibaki</t>
  </si>
  <si>
    <t xml:space="preserve">2003-02-25</t>
  </si>
  <si>
    <t xml:space="preserve">j.kibaki@templumis.ac</t>
  </si>
  <si>
    <t xml:space="preserve">+254712345010</t>
  </si>
  <si>
    <t xml:space="preserve">Information Technology</t>
  </si>
  <si>
    <t xml:space="preserve">1. Enrolled &amp; Orientated</t>
  </si>
  <si>
    <t xml:space="preserve">TU-2022-0011</t>
  </si>
  <si>
    <t xml:space="preserve">Kezia Moraa</t>
  </si>
  <si>
    <t xml:space="preserve">2002-10-11</t>
  </si>
  <si>
    <t xml:space="preserve">k.moraa@templumis.ac</t>
  </si>
  <si>
    <t xml:space="preserve">+254712345011</t>
  </si>
  <si>
    <t xml:space="preserve">Environmental Science</t>
  </si>
  <si>
    <t xml:space="preserve">TU-2019-0012</t>
  </si>
  <si>
    <t xml:space="preserve">Liam Okonkwo</t>
  </si>
  <si>
    <t xml:space="preserve">1999-05-17</t>
  </si>
  <si>
    <t xml:space="preserve">l.okonkwo@templumis.ac</t>
  </si>
  <si>
    <t xml:space="preserve">+234712345012</t>
  </si>
  <si>
    <t xml:space="preserve">Electrical Engineering</t>
  </si>
  <si>
    <t xml:space="preserve">Nigerian</t>
  </si>
  <si>
    <t xml:space="preserve">TU-2021-0013</t>
  </si>
  <si>
    <t xml:space="preserve">Mary Adhiambo</t>
  </si>
  <si>
    <t xml:space="preserve">2001-07-29</t>
  </si>
  <si>
    <t xml:space="preserve">m.adhiambo@templumis.ac</t>
  </si>
  <si>
    <t xml:space="preserve">+254712345013</t>
  </si>
  <si>
    <t xml:space="preserve">Sociology</t>
  </si>
  <si>
    <t xml:space="preserve">School of Social Sciences</t>
  </si>
  <si>
    <t xml:space="preserve">TU-2020-0014</t>
  </si>
  <si>
    <t xml:space="preserve">Noel Kiprotich</t>
  </si>
  <si>
    <t xml:space="preserve">2000-03-06</t>
  </si>
  <si>
    <t xml:space="preserve">n.kiprotich@templumis.ac</t>
  </si>
  <si>
    <t xml:space="preserve">+254712345014</t>
  </si>
  <si>
    <t xml:space="preserve">BPharm</t>
  </si>
  <si>
    <t xml:space="preserve">Pharmacy</t>
  </si>
  <si>
    <t xml:space="preserve">Suspended</t>
  </si>
  <si>
    <t xml:space="preserve">⚠ Academic Hold — Suspended</t>
  </si>
  <si>
    <t xml:space="preserve">Overdue</t>
  </si>
  <si>
    <t xml:space="preserve">TU-2023-0015</t>
  </si>
  <si>
    <t xml:space="preserve">Olivia Achieng</t>
  </si>
  <si>
    <t xml:space="preserve">2003-11-15</t>
  </si>
  <si>
    <t xml:space="preserve">o.achieng@templumis.ac</t>
  </si>
  <si>
    <t xml:space="preserve">+254712345015</t>
  </si>
  <si>
    <t xml:space="preserve">Communication</t>
  </si>
  <si>
    <t xml:space="preserve">School of Arts</t>
  </si>
  <si>
    <t xml:space="preserve">TU-2022-0016</t>
  </si>
  <si>
    <t xml:space="preserve">Patrick Owino</t>
  </si>
  <si>
    <t xml:space="preserve">2002-04-02</t>
  </si>
  <si>
    <t xml:space="preserve">p.owino@templumis.ac</t>
  </si>
  <si>
    <t xml:space="preserve">+254712345016</t>
  </si>
  <si>
    <t xml:space="preserve">Statistics</t>
  </si>
  <si>
    <t xml:space="preserve">Visual Impairment</t>
  </si>
  <si>
    <t xml:space="preserve">Screen-reader software; extended exam time</t>
  </si>
  <si>
    <t xml:space="preserve">TU-2021-0017</t>
  </si>
  <si>
    <t xml:space="preserve">Queenie Mugo</t>
  </si>
  <si>
    <t xml:space="preserve">2001-09-19</t>
  </si>
  <si>
    <t xml:space="preserve">q.mugo@templumis.ac</t>
  </si>
  <si>
    <t xml:space="preserve">+254712345017</t>
  </si>
  <si>
    <t xml:space="preserve">TU-2020-0018</t>
  </si>
  <si>
    <t xml:space="preserve">Robert Dlamini</t>
  </si>
  <si>
    <t xml:space="preserve">2000-06-23</t>
  </si>
  <si>
    <t xml:space="preserve">r.dlamini@templumis.ac</t>
  </si>
  <si>
    <t xml:space="preserve">+268712345018</t>
  </si>
  <si>
    <t xml:space="preserve">Science Education</t>
  </si>
  <si>
    <t xml:space="preserve">Swazi</t>
  </si>
  <si>
    <t xml:space="preserve">TU-2023-0019</t>
  </si>
  <si>
    <t xml:space="preserve">Sandra Chebet</t>
  </si>
  <si>
    <t xml:space="preserve">2003-01-08</t>
  </si>
  <si>
    <t xml:space="preserve">s.chebet@templumis.ac</t>
  </si>
  <si>
    <t xml:space="preserve">+254712345019</t>
  </si>
  <si>
    <t xml:space="preserve">Nutrition</t>
  </si>
  <si>
    <t xml:space="preserve">TU-2022-0020</t>
  </si>
  <si>
    <t xml:space="preserve">Tunde Adeyemi</t>
  </si>
  <si>
    <t xml:space="preserve">2002-08-14</t>
  </si>
  <si>
    <t xml:space="preserve">t.adeyemi@templumis.ac</t>
  </si>
  <si>
    <t xml:space="preserve">+234712345020</t>
  </si>
  <si>
    <t xml:space="preserve">TU-2021-0021</t>
  </si>
  <si>
    <t xml:space="preserve">Uchenna Eze</t>
  </si>
  <si>
    <t xml:space="preserve">2001-12-01</t>
  </si>
  <si>
    <t xml:space="preserve">u.eze@templumis.ac</t>
  </si>
  <si>
    <t xml:space="preserve">+234712345021</t>
  </si>
  <si>
    <t xml:space="preserve">Political Science</t>
  </si>
  <si>
    <t xml:space="preserve">TU-2019-0022</t>
  </si>
  <si>
    <t xml:space="preserve">Vivian Kamau</t>
  </si>
  <si>
    <t xml:space="preserve">1999-07-27</t>
  </si>
  <si>
    <t xml:space="preserve">v.kamau@templumis.ac</t>
  </si>
  <si>
    <t xml:space="preserve">+254712345022</t>
  </si>
  <si>
    <t xml:space="preserve">TU-2023-0023</t>
  </si>
  <si>
    <t xml:space="preserve">William Barasa</t>
  </si>
  <si>
    <t xml:space="preserve">2003-05-10</t>
  </si>
  <si>
    <t xml:space="preserve">w.barasa@templumis.ac</t>
  </si>
  <si>
    <t xml:space="preserve">+254712345023</t>
  </si>
  <si>
    <t xml:space="preserve">Finance</t>
  </si>
  <si>
    <t xml:space="preserve">TU-2022-0024</t>
  </si>
  <si>
    <t xml:space="preserve">Xena Mutua</t>
  </si>
  <si>
    <t xml:space="preserve">2002-02-18</t>
  </si>
  <si>
    <t xml:space="preserve">x.mutua@templumis.ac</t>
  </si>
  <si>
    <t xml:space="preserve">+254712345024</t>
  </si>
  <si>
    <t xml:space="preserve">TU-2023-0025</t>
  </si>
  <si>
    <t xml:space="preserve">Stephen Gaita Gaikia</t>
  </si>
  <si>
    <t xml:space="preserve">2003-06-17</t>
  </si>
  <si>
    <t xml:space="preserve">s.gaikia@templumis.ac</t>
  </si>
  <si>
    <t xml:space="preserve">+254712345025</t>
  </si>
  <si>
    <t xml:space="preserve">In Arrears</t>
  </si>
  <si>
    <t xml:space="preserve">TU-PG-2022-0026</t>
  </si>
  <si>
    <t xml:space="preserve">Amara Diallo</t>
  </si>
  <si>
    <t xml:space="preserve">1996-03-15</t>
  </si>
  <si>
    <t xml:space="preserve">a.diallo@templumis.ac</t>
  </si>
  <si>
    <t xml:space="preserve">+221712345026</t>
  </si>
  <si>
    <t xml:space="preserve">MSc</t>
  </si>
  <si>
    <t xml:space="preserve">Data Science</t>
  </si>
  <si>
    <t xml:space="preserve">Senegalese</t>
  </si>
  <si>
    <t xml:space="preserve">Postgraduate</t>
  </si>
  <si>
    <t xml:space="preserve">MSc (Coursework)</t>
  </si>
  <si>
    <t xml:space="preserve">3. PG Final Semester — Pre-Graduation</t>
  </si>
  <si>
    <t xml:space="preserve">Ms. Cynthia Aluoch</t>
  </si>
  <si>
    <t xml:space="preserve">Dr. Kevin Otiato (JKUAT, External)</t>
  </si>
  <si>
    <t xml:space="preserve">Data Science — Urban Mobility &amp; Smart City Analytics</t>
  </si>
  <si>
    <t xml:space="preserve">Coursework Yr1 ✓ | Yr2 ✓ | Capstone Proposal Approved ✓ | Data Analysis In Progress</t>
  </si>
  <si>
    <t xml:space="preserve">Final Capstone Report Submission</t>
  </si>
  <si>
    <t xml:space="preserve">N/A (Coursework Track)</t>
  </si>
  <si>
    <t xml:space="preserve">TU-PG-2023-0027</t>
  </si>
  <si>
    <t xml:space="preserve">Benjamin Kamto</t>
  </si>
  <si>
    <t xml:space="preserve">1994-07-22</t>
  </si>
  <si>
    <t xml:space="preserve">b.kamto@templumis.ac</t>
  </si>
  <si>
    <t xml:space="preserve">+237712345027</t>
  </si>
  <si>
    <t xml:space="preserve">MBA</t>
  </si>
  <si>
    <t xml:space="preserve">Business Administration</t>
  </si>
  <si>
    <t xml:space="preserve">Cameroonian</t>
  </si>
  <si>
    <t xml:space="preserve">MBA (Coursework)</t>
  </si>
  <si>
    <t xml:space="preserve">1. PG Enrolled — Coursework Phase</t>
  </si>
  <si>
    <t xml:space="preserve">Prof. Wambua Simiyu</t>
  </si>
  <si>
    <t xml:space="preserve">MBA — Marketing Analytics &amp; Consumer Behaviour</t>
  </si>
  <si>
    <t xml:space="preserve">Orientation ✓ | Semester 1 Coursework ✓</t>
  </si>
  <si>
    <t xml:space="preserve">Semester 2 Coursework Completion</t>
  </si>
  <si>
    <t xml:space="preserve">N/A (Coursework Phase)</t>
  </si>
  <si>
    <t xml:space="preserve">TU-PG-2022-0028</t>
  </si>
  <si>
    <t xml:space="preserve">Celestine Awino</t>
  </si>
  <si>
    <t xml:space="preserve">1995-11-05</t>
  </si>
  <si>
    <t xml:space="preserve">c.awino@templumis.ac</t>
  </si>
  <si>
    <t xml:space="preserve">+254712345028</t>
  </si>
  <si>
    <t xml:space="preserve">MA</t>
  </si>
  <si>
    <t xml:space="preserve">MA (Coursework)</t>
  </si>
  <si>
    <t xml:space="preserve">4. Graduated ✓</t>
  </si>
  <si>
    <t xml:space="preserve">2023-11-01</t>
  </si>
  <si>
    <t xml:space="preserve">MA Economics — International Trade &amp; Regional Integration</t>
  </si>
  <si>
    <t xml:space="preserve">All Milestones Complete ✓ | Capstone Defended ✓ | Graduated</t>
  </si>
  <si>
    <t xml:space="preserve">N/A — Graduated</t>
  </si>
  <si>
    <t xml:space="preserve">Capstone: Kenya's Export Diversification &amp; EAC Trade Agreements (2024)</t>
  </si>
  <si>
    <t xml:space="preserve">TU-PG-2023-0029</t>
  </si>
  <si>
    <t xml:space="preserve">Derrick Ssempa</t>
  </si>
  <si>
    <t xml:space="preserve">1997-04-18</t>
  </si>
  <si>
    <t xml:space="preserve">d.ssempa@templumis.ac</t>
  </si>
  <si>
    <t xml:space="preserve">+256712345029</t>
  </si>
  <si>
    <t xml:space="preserve">Dr. Sasha Mutinda</t>
  </si>
  <si>
    <t xml:space="preserve">MSc Environmental Science — Climate Change &amp; Sustainability</t>
  </si>
  <si>
    <t xml:space="preserve">Orientation ✓ | Semester 1 Completed (Probation)</t>
  </si>
  <si>
    <t xml:space="preserve">Semester 2 — Achieve GPA ≥ 3.00 to Continue Programme</t>
  </si>
  <si>
    <t xml:space="preserve">N/A — Academic Review Phase</t>
  </si>
  <si>
    <t xml:space="preserve">TU-PG-2022-0030</t>
  </si>
  <si>
    <t xml:space="preserve">Faith Onyango</t>
  </si>
  <si>
    <t xml:space="preserve">1996-09-30</t>
  </si>
  <si>
    <t xml:space="preserve">f.onyango@templumis.ac</t>
  </si>
  <si>
    <t xml:space="preserve">+254712345030</t>
  </si>
  <si>
    <t xml:space="preserve">Ms. Abigael Ndungu</t>
  </si>
  <si>
    <t xml:space="preserve">Dr. Zawadi Amani (School of Social Sciences)</t>
  </si>
  <si>
    <t xml:space="preserve">MA Communication — Digital Media &amp; Political Engagement in Africa</t>
  </si>
  <si>
    <t xml:space="preserve">Coursework Yr1 ✓ | Yr2 ✓ | Capstone Proposal Approved ✓</t>
  </si>
  <si>
    <t xml:space="preserve">TU-PG-2023-0031</t>
  </si>
  <si>
    <t xml:space="preserve">George Nkosi</t>
  </si>
  <si>
    <t xml:space="preserve">1993-02-14</t>
  </si>
  <si>
    <t xml:space="preserve">g.nkosi@templumis.ac</t>
  </si>
  <si>
    <t xml:space="preserve">+27712345031</t>
  </si>
  <si>
    <t xml:space="preserve">Strategic Management</t>
  </si>
  <si>
    <t xml:space="preserve">South African</t>
  </si>
  <si>
    <t xml:space="preserve">MBA — Strategic Management &amp; Organisational Leadership</t>
  </si>
  <si>
    <t xml:space="preserve">Semester 2 Coursework + Capstone Topic Selection</t>
  </si>
  <si>
    <t xml:space="preserve">TU-PG-2021-0032</t>
  </si>
  <si>
    <t xml:space="preserve">Helen Mutuku</t>
  </si>
  <si>
    <t xml:space="preserve">1995-07-03</t>
  </si>
  <si>
    <t xml:space="preserve">h.mutuku@templumis.ac</t>
  </si>
  <si>
    <t xml:space="preserve">+254712345032</t>
  </si>
  <si>
    <t xml:space="preserve">MSc by Research</t>
  </si>
  <si>
    <t xml:space="preserve">2021-09-06</t>
  </si>
  <si>
    <t xml:space="preserve">4. Thesis Writing Phase</t>
  </si>
  <si>
    <t xml:space="preserve">Research Year 3</t>
  </si>
  <si>
    <t xml:space="preserve">Novel Enzyme Inhibitors in Malaria Parasite Metabolism</t>
  </si>
  <si>
    <t xml:space="preserve">Writing</t>
  </si>
  <si>
    <t xml:space="preserve">Prof. Margaret Wangari</t>
  </si>
  <si>
    <t xml:space="preserve">Dr. Daniel Njomo (KEMRI, External)</t>
  </si>
  <si>
    <t xml:space="preserve">MSc Biochemistry — Antimalarial Drug Discovery &amp; Enzyme Inhibition</t>
  </si>
  <si>
    <t xml:space="preserve">Registered ✓ | Lit Review ✓ | Lab Work ✓ | Analysis ✓ | ⚠ CHALLENGE: Ch.3 Major Revision Required — Kinetic Model Error | Chs 1–2 Supervisor-Approved</t>
  </si>
  <si>
    <t xml:space="preserve">⚠ CASE-PG-001 ACTIVE: (1) Re-run Ch.3 kinetics using Hill Equation (not Michaelis-Menten) | (2) Secure interim co-supervisor (Dr. Ouma) | (3) Rebook LC-MS/MS (March 2024) | Revised viva: Oct 2024</t>
  </si>
  <si>
    <t xml:space="preserve">Conference Paper: E. Africa Biochem Symposium 2024 | ⚠ Viva postponed June → October 2024 due to Ch.3 major revision requirement</t>
  </si>
  <si>
    <t xml:space="preserve">TU-PG-2022-0033</t>
  </si>
  <si>
    <t xml:space="preserve">Ibrahim Hassan</t>
  </si>
  <si>
    <t xml:space="preserve">1996-12-20</t>
  </si>
  <si>
    <t xml:space="preserve">i.hassan@templumis.ac</t>
  </si>
  <si>
    <t xml:space="preserve">+251712345033</t>
  </si>
  <si>
    <t xml:space="preserve">Ethiopian</t>
  </si>
  <si>
    <t xml:space="preserve">3. Data Collection &amp; Analysis Phase</t>
  </si>
  <si>
    <t xml:space="preserve">Research Year 2</t>
  </si>
  <si>
    <t xml:space="preserve">AI-Based Crop Disease Detection Using UAV Imagery</t>
  </si>
  <si>
    <t xml:space="preserve">Data Collection</t>
  </si>
  <si>
    <t xml:space="preserve">Dr. Kamande Njoroge</t>
  </si>
  <si>
    <t xml:space="preserve">Prof. James Mwema (School of Engineering)</t>
  </si>
  <si>
    <t xml:space="preserve">MSc CS — Computer Vision &amp; Precision Agriculture (UAV-Based Systems)</t>
  </si>
  <si>
    <t xml:space="preserve">Registered ✓ | Lit Review ✓ | ⚠ CHALLENGE: UAV Dataset 31% Unusable (345/500 images valid) | CNN Model Training PAUSED — Dataset rebuild + ethics amendment required</t>
  </si>
  <si>
    <t xml:space="preserve">⚠ CASE-PG-002 ACTIVE: (1) Ethics amendment: expand to Kakamega &amp; Meru counties | (2) Recollect ≥700 images per revised UAV protocol | (3) Add YOLOv8/EfficientDet/ViT baselines + ablation study for paper revision</t>
  </si>
  <si>
    <t xml:space="preserve">⚠ AAAI Africa 2025 paper: Major Revisions Required — resubmitting to IEEE Access / CVPR Africa after dataset rebuild | Revised completion: November 2025</t>
  </si>
  <si>
    <t xml:space="preserve">TU-PG-2021-0034</t>
  </si>
  <si>
    <t xml:space="preserve">Janet Akinyi</t>
  </si>
  <si>
    <t xml:space="preserve">1994-08-11</t>
  </si>
  <si>
    <t xml:space="preserve">j.akinyi@templumis.ac</t>
  </si>
  <si>
    <t xml:space="preserve">+254712345034</t>
  </si>
  <si>
    <t xml:space="preserve">MA by Research</t>
  </si>
  <si>
    <t xml:space="preserve">Digital Pedagogy &amp; Learning Outcomes in Kenyan Secondary Schools</t>
  </si>
  <si>
    <t xml:space="preserve">Mr. Barasa Wekesa</t>
  </si>
  <si>
    <t xml:space="preserve">Prof. Agnes Njeru (Ministry of Education, External)</t>
  </si>
  <si>
    <t xml:space="preserve">MA Education — EdTech &amp; Learning Outcomes in Kenyan Secondary Schools</t>
  </si>
  <si>
    <t xml:space="preserve">Registered ✓ | Literature Review ✓ | Fieldwork (12 schools) ✓ | Data Analysis ✓ | Chapters 1–4 Complete ✓</t>
  </si>
  <si>
    <t xml:space="preserve">Chapter 5 (Conclusions) + Final Submission (Target: August 2024)</t>
  </si>
  <si>
    <t xml:space="preserve">Policy Brief submitted to Kenya Ministry of Education (February 2024)</t>
  </si>
  <si>
    <t xml:space="preserve">TU-PG-2022-0035</t>
  </si>
  <si>
    <t xml:space="preserve">Kenneth Osei</t>
  </si>
  <si>
    <t xml:space="preserve">1995-05-17</t>
  </si>
  <si>
    <t xml:space="preserve">k.osei@templumis.ac</t>
  </si>
  <si>
    <t xml:space="preserve">+233712345035</t>
  </si>
  <si>
    <t xml:space="preserve">Mechanical Engineering</t>
  </si>
  <si>
    <t xml:space="preserve">⏸ Deferred — On Leave (Research)</t>
  </si>
  <si>
    <t xml:space="preserve">Low-Cost Solar Desalination for Rural East Africa</t>
  </si>
  <si>
    <t xml:space="preserve">Proposal Approved</t>
  </si>
  <si>
    <t xml:space="preserve">Dr. Oloo Otiende</t>
  </si>
  <si>
    <t xml:space="preserve">Dr. Marcus Kipande (University of Nairobi, External)</t>
  </si>
  <si>
    <t xml:space="preserve">MSc Mechanical Engineering — Renewable Energy Systems &amp; Rural Water Security</t>
  </si>
  <si>
    <t xml:space="preserve">Registered ✓ | Literature Review ✓ | Research Proposal Approved ✓</t>
  </si>
  <si>
    <t xml:space="preserve">Return from Leave (Est. Sep 2024) &amp; Begin Prototype Development</t>
  </si>
  <si>
    <t xml:space="preserve">N/A — On Leave; No Research Output Yet</t>
  </si>
  <si>
    <t xml:space="preserve">TU-PG-2020-0036</t>
  </si>
  <si>
    <t xml:space="preserve">Lydia Cheptoo</t>
  </si>
  <si>
    <t xml:space="preserve">1993-06-23</t>
  </si>
  <si>
    <t xml:space="preserve">l.cheptoo@templumis.ac</t>
  </si>
  <si>
    <t xml:space="preserve">+254712345036</t>
  </si>
  <si>
    <t xml:space="preserve">Public Health</t>
  </si>
  <si>
    <t xml:space="preserve">6. Graduated ✓ (Research)</t>
  </si>
  <si>
    <t xml:space="preserve">Community-Based Interventions for Maternal Health in Western Kenya</t>
  </si>
  <si>
    <t xml:space="preserve">Defended &amp; Approved</t>
  </si>
  <si>
    <t xml:space="preserve">Dr. Atieno Ouma</t>
  </si>
  <si>
    <t xml:space="preserve">Prof. Grace Adhola (WHO Kenya, External)</t>
  </si>
  <si>
    <t xml:space="preserve">MSc Public Health — Maternal &amp; Child Health Interventions in SSA</t>
  </si>
  <si>
    <t xml:space="preserve">All Milestones Complete ✓ | Thesis Defended &amp; Approved ✓ | Graduated</t>
  </si>
  <si>
    <t xml:space="preserve">Published: East African Medical Journal, 2025 (Vol. 102, Issue 3)</t>
  </si>
  <si>
    <t xml:space="preserve">TU-PG-2023-0037</t>
  </si>
  <si>
    <t xml:space="preserve">Moses Waweru</t>
  </si>
  <si>
    <t xml:space="preserve">1997-01-08</t>
  </si>
  <si>
    <t xml:space="preserve">m.waweru@templumis.ac</t>
  </si>
  <si>
    <t xml:space="preserve">+254712345037</t>
  </si>
  <si>
    <t xml:space="preserve">2. Research Proposal Phase</t>
  </si>
  <si>
    <t xml:space="preserve">Research Year 1</t>
  </si>
  <si>
    <t xml:space="preserve">Machine Learning for Swahili NLP Applications</t>
  </si>
  <si>
    <t xml:space="preserve">Proposal Submitted</t>
  </si>
  <si>
    <t xml:space="preserve">MSc CS — Natural Language Processing for African Languages (Swahili)</t>
  </si>
  <si>
    <t xml:space="preserve">Registered ✓ | Topic Selection ✓ | Proposal Submitted (Pending Departmental Review)</t>
  </si>
  <si>
    <t xml:space="preserve">Proposal Defense &amp; Ethics Clearance (Target: April 2024)</t>
  </si>
  <si>
    <t xml:space="preserve">N/A — Early Stage Research (Year 1)</t>
  </si>
  <si>
    <t xml:space="preserve">TU-PHD-2021-0038</t>
  </si>
  <si>
    <t xml:space="preserve">Amina Osei</t>
  </si>
  <si>
    <t xml:space="preserve">a.osei@templumis.ac</t>
  </si>
  <si>
    <t xml:space="preserve">+233712345038</t>
  </si>
  <si>
    <t xml:space="preserve">PhD</t>
  </si>
  <si>
    <t xml:space="preserve">PhD by Research</t>
  </si>
  <si>
    <t xml:space="preserve">5. Candidacy Confirmed — Data Collection Phase</t>
  </si>
  <si>
    <t xml:space="preserve">Federated Learning for Privacy-Preserving Health Data Analytics in Sub-Saharan Africa</t>
  </si>
  <si>
    <t xml:space="preserve">Prof. Ruth Mutua (Strathmore University, External)</t>
  </si>
  <si>
    <t xml:space="preserve">Computer Science — Federated Learning, Privacy &amp; mHealth in Africa</t>
  </si>
  <si>
    <t xml:space="preserve">Enrolled ✓ | Foundation CW ✓ | Proposal Defended ✓ | Candidacy Confirmed ✓ | FL Architecture Designed ✓ | Data Collection Ongoing (4 hospital sites)</t>
  </si>
  <si>
    <t xml:space="preserve">Complete Hospital Data Collection &amp; Begin Federated Model Training</t>
  </si>
  <si>
    <t xml:space="preserve">Poster: African AI Summit 2024 | Working Paper: IEEE Trans. Medical Informatics (under review)</t>
  </si>
  <si>
    <t xml:space="preserve">TU-PHD-2020-0039</t>
  </si>
  <si>
    <t xml:space="preserve">Samuel Odhiambo</t>
  </si>
  <si>
    <t xml:space="preserve">s.odhiambo@templumis.ac</t>
  </si>
  <si>
    <t xml:space="preserve">+254712345039</t>
  </si>
  <si>
    <t xml:space="preserve">6. Thesis Writing Phase (Final)</t>
  </si>
  <si>
    <t xml:space="preserve">Research Year 4</t>
  </si>
  <si>
    <t xml:space="preserve">Impact of Community Health Worker Integration on Under-5 Mortality Rates in Rural Kenya</t>
  </si>
  <si>
    <t xml:space="preserve">Pending</t>
  </si>
  <si>
    <t xml:space="preserve">Dr. Rebecca Adero (WHO Kenya, External)</t>
  </si>
  <si>
    <t xml:space="preserve">Public Health — Community Health Systems, Child Survival &amp; Rural Health Delivery</t>
  </si>
  <si>
    <t xml:space="preserve">Enrolled ✓ | Foundation CW ✓ | Proposal Defended ✓ | Candidacy Confirmed ✓ | Fieldwork (14 counties, n=2,400) ✓ | Data Analysis ✓ | Chapters 1–4 Approved ✓</t>
  </si>
  <si>
    <t xml:space="preserve">Complete Chapter 5 (Conclusions &amp; Policy Recommendations) + Submit Full Thesis Draft</t>
  </si>
  <si>
    <t xml:space="preserve">Published: African J. Primary Health Care (2024) | Under Review: PLOS Global Health</t>
  </si>
  <si>
    <t xml:space="preserve">TU-PHD-2023-0040</t>
  </si>
  <si>
    <t xml:space="preserve">Fatima Al-Rashid</t>
  </si>
  <si>
    <t xml:space="preserve">f.al-rashid@templumis.ac</t>
  </si>
  <si>
    <t xml:space="preserve">+249712345040</t>
  </si>
  <si>
    <t xml:space="preserve">Sudanese</t>
  </si>
  <si>
    <t xml:space="preserve">2. Research Proposal Writing</t>
  </si>
  <si>
    <t xml:space="preserve">FDI, Structural Transformation &amp; Inclusive Growth in East Africa: A Panel Data Analysis</t>
  </si>
  <si>
    <t xml:space="preserve">Proposal Writing</t>
  </si>
  <si>
    <t xml:space="preserve">Dr. Emmanuel Kiprotich (IMF Africa Division, External)</t>
  </si>
  <si>
    <t xml:space="preserve">Economics — International Economics, Structural Change &amp; Panel Econometrics</t>
  </si>
  <si>
    <t xml:space="preserve">Enrolled ✓ | Foundation CW (PHD701 ✓) | Systematic Lit Review 60% ✓ | Research Proposal Draft 40% In Progress</t>
  </si>
  <si>
    <t xml:space="preserve">Submit Full Research Proposal to Departmental Committee (Target: April 2024)</t>
  </si>
  <si>
    <t xml:space="preserve">N/A — Year 1, Foundation Phase</t>
  </si>
  <si>
    <t xml:space="preserve">TU-PHD-2022-0041</t>
  </si>
  <si>
    <t xml:space="preserve">Peter Kamau Njeru</t>
  </si>
  <si>
    <t xml:space="preserve">p.njeru@templumis.ac</t>
  </si>
  <si>
    <t xml:space="preserve">+254712345041</t>
  </si>
  <si>
    <t xml:space="preserve">3. Proposal Defense — Pre-Candidacy Phase</t>
  </si>
  <si>
    <t xml:space="preserve">Carbon Sequestration Potential of Afromontane Forests: Evidence from Central Kenya</t>
  </si>
  <si>
    <t xml:space="preserve">Proposal Submitted — Awaiting Defense</t>
  </si>
  <si>
    <t xml:space="preserve">Dr. Osei Kwame (UNEP Kenya, External)</t>
  </si>
  <si>
    <t xml:space="preserve">Environmental Science — Carbon Science, Forest Ecology &amp; Climate Change Mitigation</t>
  </si>
  <si>
    <t xml:space="preserve">Enrolled ✓ | Foundation CW ✓ | Systematic Lit Review ✓ | Proposal Submitted (Dept Review) | Pilot Site Identified (Aberdares Forest Reserve, 500ha)</t>
  </si>
  <si>
    <t xml:space="preserve">Proposal Defense (Target: March 2024) + Ethics Clearance Application</t>
  </si>
  <si>
    <t xml:space="preserve">N/A — Year 2, Pre-Candidacy Phase</t>
  </si>
  <si>
    <t xml:space="preserve">KT-2021-0001</t>
  </si>
  <si>
    <t xml:space="preserve">Yusuf Al-Farsi</t>
  </si>
  <si>
    <t xml:space="preserve">2001-02-11</t>
  </si>
  <si>
    <t xml:space="preserve">y.al-farsi@kitaptech.com</t>
  </si>
  <si>
    <t xml:space="preserve">+966712345001</t>
  </si>
  <si>
    <t xml:space="preserve">School of Computer Science</t>
  </si>
  <si>
    <t xml:space="preserve">Saudi Arabian</t>
  </si>
  <si>
    <t xml:space="preserve">2021-09-02</t>
  </si>
  <si>
    <t xml:space="preserve">Kitaptech University</t>
  </si>
  <si>
    <t xml:space="preserve">KT-2022-0002</t>
  </si>
  <si>
    <t xml:space="preserve">Fatima Al-Sayed</t>
  </si>
  <si>
    <t xml:space="preserve">2002-06-24</t>
  </si>
  <si>
    <t xml:space="preserve">f.al-sayed@kitaptech.com</t>
  </si>
  <si>
    <t xml:space="preserve">+971712345002</t>
  </si>
  <si>
    <t xml:space="preserve">Software Engineering</t>
  </si>
  <si>
    <t xml:space="preserve">School of Software Engineering</t>
  </si>
  <si>
    <t xml:space="preserve">Emirati</t>
  </si>
  <si>
    <t xml:space="preserve">2022-09-04</t>
  </si>
  <si>
    <t xml:space="preserve">KT-2020-0003</t>
  </si>
  <si>
    <t xml:space="preserve">Omar Haddad</t>
  </si>
  <si>
    <t xml:space="preserve">2000-10-03</t>
  </si>
  <si>
    <t xml:space="preserve">o.haddad@kitaptech.com</t>
  </si>
  <si>
    <t xml:space="preserve">+962712345003</t>
  </si>
  <si>
    <t xml:space="preserve">School of Information Technology &amp; Cybersecurity</t>
  </si>
  <si>
    <t xml:space="preserve">Jordanian</t>
  </si>
  <si>
    <t xml:space="preserve">2020-09-05</t>
  </si>
  <si>
    <t xml:space="preserve">Hearing Impairment</t>
  </si>
  <si>
    <t xml:space="preserve">Sign-language interpreter; note-taking support</t>
  </si>
  <si>
    <t xml:space="preserve">KT-2020-0004</t>
  </si>
  <si>
    <t xml:space="preserve">Layla Mansour</t>
  </si>
  <si>
    <t xml:space="preserve">1999-04-19</t>
  </si>
  <si>
    <t xml:space="preserve">l.mansour@kitaptech.com</t>
  </si>
  <si>
    <t xml:space="preserve">+961712345004</t>
  </si>
  <si>
    <t xml:space="preserve">School of Data Science &amp; Artificial Intelligence</t>
  </si>
  <si>
    <t xml:space="preserve">Lebanese</t>
  </si>
  <si>
    <t xml:space="preserve">2020-09-06</t>
  </si>
  <si>
    <t xml:space="preserve">KT-2023-0005</t>
  </si>
  <si>
    <t xml:space="preserve">Khalid Nasser</t>
  </si>
  <si>
    <t xml:space="preserve">2003-08-30</t>
  </si>
  <si>
    <t xml:space="preserve">k.nasser@kitaptech.com</t>
  </si>
  <si>
    <t xml:space="preserve">+974712345005</t>
  </si>
  <si>
    <t xml:space="preserve">Cybersecurity</t>
  </si>
  <si>
    <t xml:space="preserve">Qatari</t>
  </si>
  <si>
    <t xml:space="preserve">2023-09-07</t>
  </si>
  <si>
    <t xml:space="preserve">KT-2021-0006</t>
  </si>
  <si>
    <t xml:space="preserve">Rania Saleh</t>
  </si>
  <si>
    <t xml:space="preserve">2001-01-17</t>
  </si>
  <si>
    <t xml:space="preserve">r.saleh@kitaptech.com</t>
  </si>
  <si>
    <t xml:space="preserve">+20712345006</t>
  </si>
  <si>
    <t xml:space="preserve">Egyptian</t>
  </si>
  <si>
    <t xml:space="preserve">KT-2022-0007</t>
  </si>
  <si>
    <t xml:space="preserve">Hamza Zidane</t>
  </si>
  <si>
    <t xml:space="preserve">2002-09-12</t>
  </si>
  <si>
    <t xml:space="preserve">h.zidane@kitaptech.com</t>
  </si>
  <si>
    <t xml:space="preserve">+213712345007</t>
  </si>
  <si>
    <t xml:space="preserve">Financial Technology</t>
  </si>
  <si>
    <t xml:space="preserve">School of Digital Business &amp; Financial Technology</t>
  </si>
  <si>
    <t xml:space="preserve">Algerian</t>
  </si>
  <si>
    <t xml:space="preserve">KT-2020-0008</t>
  </si>
  <si>
    <t xml:space="preserve">Noor Al-Amin</t>
  </si>
  <si>
    <t xml:space="preserve">2000-05-02</t>
  </si>
  <si>
    <t xml:space="preserve">n.al-amin@kitaptech.com</t>
  </si>
  <si>
    <t xml:space="preserve">+965712345008</t>
  </si>
  <si>
    <t xml:space="preserve">Kuwaiti</t>
  </si>
  <si>
    <t xml:space="preserve">KT-2021-0009</t>
  </si>
  <si>
    <t xml:space="preserve">Bilal Qureshi</t>
  </si>
  <si>
    <t xml:space="preserve">2001-11-27</t>
  </si>
  <si>
    <t xml:space="preserve">b.qureshi@kitaptech.com</t>
  </si>
  <si>
    <t xml:space="preserve">+970712345009</t>
  </si>
  <si>
    <t xml:space="preserve">Palestinian</t>
  </si>
  <si>
    <t xml:space="preserve">KT-2023-0010</t>
  </si>
  <si>
    <t xml:space="preserve">Sami Hijazi</t>
  </si>
  <si>
    <t xml:space="preserve">2003-03-08</t>
  </si>
  <si>
    <t xml:space="preserve">s.hijazi@kitaptech.com</t>
  </si>
  <si>
    <t xml:space="preserve">+963712345010</t>
  </si>
  <si>
    <t xml:space="preserve">Syrian</t>
  </si>
  <si>
    <t xml:space="preserve">KT-2022-0011</t>
  </si>
  <si>
    <t xml:space="preserve">Dalia Abdullah</t>
  </si>
  <si>
    <t xml:space="preserve">2002-07-21</t>
  </si>
  <si>
    <t xml:space="preserve">d.abdullah@kitaptech.com</t>
  </si>
  <si>
    <t xml:space="preserve">+968712345011</t>
  </si>
  <si>
    <t xml:space="preserve">Omani</t>
  </si>
  <si>
    <t xml:space="preserve">2022-09-02</t>
  </si>
  <si>
    <t xml:space="preserve">KT-2020-0012</t>
  </si>
  <si>
    <t xml:space="preserve">Tariq Al-Otaibi</t>
  </si>
  <si>
    <t xml:space="preserve">1999-12-14</t>
  </si>
  <si>
    <t xml:space="preserve">t.al-otaibi@kitaptech.com</t>
  </si>
  <si>
    <t xml:space="preserve">+966712345012</t>
  </si>
  <si>
    <t xml:space="preserve">2020-09-04</t>
  </si>
  <si>
    <t xml:space="preserve">KT-2021-0013</t>
  </si>
  <si>
    <t xml:space="preserve">Maryam Karam</t>
  </si>
  <si>
    <t xml:space="preserve">2001-06-09</t>
  </si>
  <si>
    <t xml:space="preserve">m.karam@kitaptech.com</t>
  </si>
  <si>
    <t xml:space="preserve">+964712345013</t>
  </si>
  <si>
    <t xml:space="preserve">Iraqi</t>
  </si>
  <si>
    <t xml:space="preserve">KT-2020-0014</t>
  </si>
  <si>
    <t xml:space="preserve">Faisal Al-Mutairi</t>
  </si>
  <si>
    <t xml:space="preserve">2000-02-28</t>
  </si>
  <si>
    <t xml:space="preserve">f.al-mutairi@kitaptech.com</t>
  </si>
  <si>
    <t xml:space="preserve">+965712345014</t>
  </si>
  <si>
    <t xml:space="preserve">KT-2023-0015</t>
  </si>
  <si>
    <t xml:space="preserve">Huda Shammari</t>
  </si>
  <si>
    <t xml:space="preserve">2003-10-05</t>
  </si>
  <si>
    <t xml:space="preserve">h.shammari@kitaptech.com</t>
  </si>
  <si>
    <t xml:space="preserve">+966712345015</t>
  </si>
  <si>
    <t xml:space="preserve">KT-2021-0016</t>
  </si>
  <si>
    <t xml:space="preserve">Ahmed Al-Masri</t>
  </si>
  <si>
    <t xml:space="preserve">2001-08-16</t>
  </si>
  <si>
    <t xml:space="preserve">a.al-masri@kitaptech.com</t>
  </si>
  <si>
    <t xml:space="preserve">+20712345016</t>
  </si>
  <si>
    <t xml:space="preserve">KT-2022-0017</t>
  </si>
  <si>
    <t xml:space="preserve">Yasmin Qasim</t>
  </si>
  <si>
    <t xml:space="preserve">2002-03-22</t>
  </si>
  <si>
    <t xml:space="preserve">y.qasim@kitaptech.com</t>
  </si>
  <si>
    <t xml:space="preserve">+962712345017</t>
  </si>
  <si>
    <t xml:space="preserve">KT-2020-0018</t>
  </si>
  <si>
    <t xml:space="preserve">Karim Hamdan</t>
  </si>
  <si>
    <t xml:space="preserve">2000-09-09</t>
  </si>
  <si>
    <t xml:space="preserve">k.hamdan@kitaptech.com</t>
  </si>
  <si>
    <t xml:space="preserve">+961712345018</t>
  </si>
  <si>
    <t xml:space="preserve">Chronic Illness (Epilepsy)</t>
  </si>
  <si>
    <t xml:space="preserve">Modified exam schedule for medical appointments; rest breaks</t>
  </si>
  <si>
    <t xml:space="preserve">KT-2021-0019</t>
  </si>
  <si>
    <t xml:space="preserve">Zainab Al-Rashid</t>
  </si>
  <si>
    <t xml:space="preserve">2001-05-13</t>
  </si>
  <si>
    <t xml:space="preserve">z.al-rashid@kitaptech.com</t>
  </si>
  <si>
    <t xml:space="preserve">+973712345019</t>
  </si>
  <si>
    <t xml:space="preserve">Bahraini</t>
  </si>
  <si>
    <t xml:space="preserve">KT-2023-0020</t>
  </si>
  <si>
    <t xml:space="preserve">Hassan Mansour</t>
  </si>
  <si>
    <t xml:space="preserve">2003-01-30</t>
  </si>
  <si>
    <t xml:space="preserve">h.mansour@kitaptech.com</t>
  </si>
  <si>
    <t xml:space="preserve">+967712345020</t>
  </si>
  <si>
    <t xml:space="preserve">Yemeni</t>
  </si>
  <si>
    <t xml:space="preserve">KT-2022-0021</t>
  </si>
  <si>
    <t xml:space="preserve">Salma Nasser</t>
  </si>
  <si>
    <t xml:space="preserve">2002-11-02</t>
  </si>
  <si>
    <t xml:space="preserve">s.nasser@kitaptech.com</t>
  </si>
  <si>
    <t xml:space="preserve">+216712345021</t>
  </si>
  <si>
    <t xml:space="preserve">Tunisian</t>
  </si>
  <si>
    <t xml:space="preserve">KT-2020-0022</t>
  </si>
  <si>
    <t xml:space="preserve">Ali Abdullah</t>
  </si>
  <si>
    <t xml:space="preserve">1999-07-18</t>
  </si>
  <si>
    <t xml:space="preserve">a.abdullah@kitaptech.com</t>
  </si>
  <si>
    <t xml:space="preserve">+212712345022</t>
  </si>
  <si>
    <t xml:space="preserve">Moroccan</t>
  </si>
  <si>
    <t xml:space="preserve">KT-2021-0023</t>
  </si>
  <si>
    <t xml:space="preserve">Reem Al-Farsi</t>
  </si>
  <si>
    <t xml:space="preserve">2001-04-06</t>
  </si>
  <si>
    <t xml:space="preserve">r.al-farsi@kitaptech.com</t>
  </si>
  <si>
    <t xml:space="preserve">+971712345023</t>
  </si>
  <si>
    <t xml:space="preserve">KT-2022-0024</t>
  </si>
  <si>
    <t xml:space="preserve">Mohammed Khalil</t>
  </si>
  <si>
    <t xml:space="preserve">2002-12-23</t>
  </si>
  <si>
    <t xml:space="preserve">m.khalil@kitaptech.com</t>
  </si>
  <si>
    <t xml:space="preserve">+974712345024</t>
  </si>
  <si>
    <t xml:space="preserve">KT-2023-0025</t>
  </si>
  <si>
    <t xml:space="preserve">Lina Haddad</t>
  </si>
  <si>
    <t xml:space="preserve">2003-02-14</t>
  </si>
  <si>
    <t xml:space="preserve">l.haddad@kitaptech.com</t>
  </si>
  <si>
    <t xml:space="preserve">+962712345025</t>
  </si>
  <si>
    <t xml:space="preserve">KT-PG-2022-0026</t>
  </si>
  <si>
    <t xml:space="preserve">Nadia Saleh</t>
  </si>
  <si>
    <t xml:space="preserve">1996-03-11</t>
  </si>
  <si>
    <t xml:space="preserve">n.saleh@kitaptech.com</t>
  </si>
  <si>
    <t xml:space="preserve">+20712345026</t>
  </si>
  <si>
    <t xml:space="preserve">Artificial Intelligence</t>
  </si>
  <si>
    <t xml:space="preserve">Dr. Samir Al-Balawi</t>
  </si>
  <si>
    <t xml:space="preserve">AI — Applied Machine Learning for Arabic NLP</t>
  </si>
  <si>
    <t xml:space="preserve">KT-PG-2023-0027</t>
  </si>
  <si>
    <t xml:space="preserve">Rashid Al-Amin</t>
  </si>
  <si>
    <t xml:space="preserve">1994-07-19</t>
  </si>
  <si>
    <t xml:space="preserve">r.al-amin@kitaptech.com</t>
  </si>
  <si>
    <t xml:space="preserve">+966712345027</t>
  </si>
  <si>
    <t xml:space="preserve">Technology Management</t>
  </si>
  <si>
    <t xml:space="preserve">Dr. Huda Ibrahim</t>
  </si>
  <si>
    <t xml:space="preserve">Tech Management — Digital Transformation &amp; FinTech Strategy</t>
  </si>
  <si>
    <t xml:space="preserve">KT-PG-2022-0028</t>
  </si>
  <si>
    <t xml:space="preserve">Dina Khalil</t>
  </si>
  <si>
    <t xml:space="preserve">1995-11-02</t>
  </si>
  <si>
    <t xml:space="preserve">d.khalil@kitaptech.com</t>
  </si>
  <si>
    <t xml:space="preserve">+961712345028</t>
  </si>
  <si>
    <t xml:space="preserve">Dr. Adel Karam</t>
  </si>
  <si>
    <t xml:space="preserve">Cybersecurity — Critical Infrastructure Protection</t>
  </si>
  <si>
    <t xml:space="preserve">Capstone: Critical Infrastructure Protection (Completed)</t>
  </si>
  <si>
    <t xml:space="preserve">KT-PG-2023-0029</t>
  </si>
  <si>
    <t xml:space="preserve">Waleed Hamdan</t>
  </si>
  <si>
    <t xml:space="preserve">1997-04-27</t>
  </si>
  <si>
    <t xml:space="preserve">w.hamdan@kitaptech.com</t>
  </si>
  <si>
    <t xml:space="preserve">+962712345029</t>
  </si>
  <si>
    <t xml:space="preserve">2023-09-06</t>
  </si>
  <si>
    <t xml:space="preserve">Dr. Samar Odeh</t>
  </si>
  <si>
    <t xml:space="preserve">Software Engineering — DevSecOps &amp; Cloud-Native Architectures</t>
  </si>
  <si>
    <t xml:space="preserve">Semester 2 — Achieve GPA ≥ 3.00 to Continue (MSc Software Engineering)</t>
  </si>
  <si>
    <t xml:space="preserve">KT-PG-2022-0030</t>
  </si>
  <si>
    <t xml:space="preserve">Amal Qasim</t>
  </si>
  <si>
    <t xml:space="preserve">1996-09-08</t>
  </si>
  <si>
    <t xml:space="preserve">a.qasim@kitaptech.com</t>
  </si>
  <si>
    <t xml:space="preserve">+216712345030</t>
  </si>
  <si>
    <t xml:space="preserve">2022-09-07</t>
  </si>
  <si>
    <t xml:space="preserve">Prof. Nour Kassem (School of Digital Business &amp; FinTech)</t>
  </si>
  <si>
    <t xml:space="preserve">Data Science — Predictive Analytics for Fintech Risk Scoring</t>
  </si>
  <si>
    <t xml:space="preserve">KT-PG-2023-0031</t>
  </si>
  <si>
    <t xml:space="preserve">Jamal Al-Otaibi</t>
  </si>
  <si>
    <t xml:space="preserve">1993-01-15</t>
  </si>
  <si>
    <t xml:space="preserve">j.al-otaibi@kitaptech.com</t>
  </si>
  <si>
    <t xml:space="preserve">+965712345031</t>
  </si>
  <si>
    <t xml:space="preserve">2023-09-02</t>
  </si>
  <si>
    <t xml:space="preserve">Tech Management — AI Adoption in Gulf Banking Sector</t>
  </si>
  <si>
    <t xml:space="preserve">KT-PG-2021-0032</t>
  </si>
  <si>
    <t xml:space="preserve">Samira Haddad</t>
  </si>
  <si>
    <t xml:space="preserve">1995-06-03</t>
  </si>
  <si>
    <t xml:space="preserve">s.haddad@kitaptech.com</t>
  </si>
  <si>
    <t xml:space="preserve">+963712345032</t>
  </si>
  <si>
    <t xml:space="preserve">Arabic Dialect Identification Using Transformer-Based Deep Learning</t>
  </si>
  <si>
    <t xml:space="preserve">Prof. Nour Kassem</t>
  </si>
  <si>
    <t xml:space="preserve">Dr. Leila Sabbagh (KAUST, External)</t>
  </si>
  <si>
    <t xml:space="preserve">Data Science — Arabic NLP &amp; Dialectal Speech Processing</t>
  </si>
  <si>
    <t xml:space="preserve">Registered ✓ | Lit Review ✓ | Proposal Approved ✓ | Fieldwork Underway</t>
  </si>
  <si>
    <t xml:space="preserve">Complete Analysis &amp; Begin Thesis Writing</t>
  </si>
  <si>
    <t xml:space="preserve">Working paper in preparation — Arabic NLP &amp; Dialectal Speech Processing</t>
  </si>
  <si>
    <t xml:space="preserve">KT-PG-2022-0033</t>
  </si>
  <si>
    <t xml:space="preserve">Anwar Mutairi</t>
  </si>
  <si>
    <t xml:space="preserve">1996-12-21</t>
  </si>
  <si>
    <t xml:space="preserve">a.mutairi@kitaptech.com</t>
  </si>
  <si>
    <t xml:space="preserve">+974712345033</t>
  </si>
  <si>
    <t xml:space="preserve">Edge-Computing Architectures for Real-Time Fraud Detection in Mobile Payments</t>
  </si>
  <si>
    <t xml:space="preserve">Dr. Karim Badawi</t>
  </si>
  <si>
    <t xml:space="preserve">Dr. Rafiq Qadri (MBZUAI, External)</t>
  </si>
  <si>
    <t xml:space="preserve">Computer Science — Edge AI &amp; FinTech Security</t>
  </si>
  <si>
    <t xml:space="preserve">Complete Data Collection &amp; Begin Analysis</t>
  </si>
  <si>
    <t xml:space="preserve">Working paper in preparation — Edge AI &amp; FinTech Security</t>
  </si>
  <si>
    <t xml:space="preserve">KT-PG-2021-0034</t>
  </si>
  <si>
    <t xml:space="preserve">Samar Odeh</t>
  </si>
  <si>
    <t xml:space="preserve">1994-08-09</t>
  </si>
  <si>
    <t xml:space="preserve">s.odeh@kitaptech.com</t>
  </si>
  <si>
    <t xml:space="preserve">+970712345034</t>
  </si>
  <si>
    <t xml:space="preserve">Information Systems</t>
  </si>
  <si>
    <t xml:space="preserve">Digital Inclusion &amp; E-Government Adoption Among Arab Youth</t>
  </si>
  <si>
    <t xml:space="preserve">Prof. Yasir Mansoor (Qatar University, External)</t>
  </si>
  <si>
    <t xml:space="preserve">Information Systems — Digital Government &amp; Youth Digital Inclusion</t>
  </si>
  <si>
    <t xml:space="preserve">Working paper in preparation — Digital Government &amp; Youth Digital Inclusion</t>
  </si>
  <si>
    <t xml:space="preserve">KT-PG-2022-0035</t>
  </si>
  <si>
    <t xml:space="preserve">Bassam Najjar</t>
  </si>
  <si>
    <t xml:space="preserve">b.najjar@kitaptech.com</t>
  </si>
  <si>
    <t xml:space="preserve">+212712345035</t>
  </si>
  <si>
    <t xml:space="preserve">Threat Intelligence Sharing Frameworks for GCC Financial Institutions</t>
  </si>
  <si>
    <t xml:space="preserve">Cybersecurity — Threat Intelligence &amp; Financial Sector Resilience</t>
  </si>
  <si>
    <t xml:space="preserve">Return from Leave &amp; Resume Fieldwork</t>
  </si>
  <si>
    <t xml:space="preserve">KT-PG-2020-0036</t>
  </si>
  <si>
    <t xml:space="preserve">Hanan Zahran</t>
  </si>
  <si>
    <t xml:space="preserve">h.zahran@kitaptech.com</t>
  </si>
  <si>
    <t xml:space="preserve">+967712345036</t>
  </si>
  <si>
    <t xml:space="preserve">Satellite Imagery &amp; Deep Learning for Water Scarcity Monitoring in Arid Regions</t>
  </si>
  <si>
    <t xml:space="preserve">Prof. Leila Sabbagh (KAUST, External)</t>
  </si>
  <si>
    <t xml:space="preserve">Data Science — Remote Sensing &amp; Climate Resilience</t>
  </si>
  <si>
    <t xml:space="preserve">2023-06-30</t>
  </si>
  <si>
    <t xml:space="preserve">Thesis published / archived — Remote Sensing &amp; Climate Resilience</t>
  </si>
  <si>
    <t xml:space="preserve">KT-PG-2023-0037</t>
  </si>
  <si>
    <t xml:space="preserve">Marwan Saad</t>
  </si>
  <si>
    <t xml:space="preserve">m.saad@kitaptech.com</t>
  </si>
  <si>
    <t xml:space="preserve">+973712345037</t>
  </si>
  <si>
    <t xml:space="preserve">Federated Learning for Cross-Border Mobile Money Fraud Detection</t>
  </si>
  <si>
    <t xml:space="preserve">Computer Science — Federated Learning &amp; Cross-Border FinTech</t>
  </si>
  <si>
    <t xml:space="preserve">Proposal Defense &amp; Ethics Clearance</t>
  </si>
  <si>
    <t xml:space="preserve">N/A — Early-Stage Research</t>
  </si>
  <si>
    <t xml:space="preserve">KT-PHD-2021-0038</t>
  </si>
  <si>
    <t xml:space="preserve">Nabil Farouk</t>
  </si>
  <si>
    <t xml:space="preserve">1990-02-19</t>
  </si>
  <si>
    <t xml:space="preserve">n.farouk@kitaptech.com</t>
  </si>
  <si>
    <t xml:space="preserve">+20712345038</t>
  </si>
  <si>
    <t xml:space="preserve">Explainable AI for Credit Risk Assessment in Underbanked GCC Populations</t>
  </si>
  <si>
    <t xml:space="preserve">Prof. Aisha Rahman (MBZUAI, External)</t>
  </si>
  <si>
    <t xml:space="preserve">Computer Science — Explainable AI &amp; Financial Inclusion</t>
  </si>
  <si>
    <t xml:space="preserve">Enrolled ✓ | Foundation CW ✓ | Proposal Defended ✓ | Candidacy Confirmed ✓ | Data Collection Ongoing</t>
  </si>
  <si>
    <t xml:space="preserve">Complete Data Collection &amp; Begin Thesis Writing</t>
  </si>
  <si>
    <t xml:space="preserve">Working paper in preparation — Explainable AI &amp; Financial Inclusion</t>
  </si>
  <si>
    <t xml:space="preserve">KT-PHD-2020-0039</t>
  </si>
  <si>
    <t xml:space="preserve">Soraya Bint Nasser</t>
  </si>
  <si>
    <t xml:space="preserve">1989-09-04</t>
  </si>
  <si>
    <t xml:space="preserve">+966712345039</t>
  </si>
  <si>
    <t xml:space="preserve">Data Science &amp; AI</t>
  </si>
  <si>
    <t xml:space="preserve">Deep Learning for Early-Stage Drought Prediction Across the Arabian Peninsula</t>
  </si>
  <si>
    <t xml:space="preserve">Data Science — Climate Modelling &amp; Deep Learning</t>
  </si>
  <si>
    <t xml:space="preserve">Enrolled ✓ | Foundation CW ✓ | Proposal Defended ✓ | Candidacy Confirmed ✓ | Fieldwork ✓ | Data Analysis ✓</t>
  </si>
  <si>
    <t xml:space="preserve">Submit Full Thesis Draft &amp; Schedule Viva</t>
  </si>
  <si>
    <t xml:space="preserve">Working paper in preparation — Climate Modelling &amp; Deep Learning</t>
  </si>
  <si>
    <t xml:space="preserve">KT-PHD-2023-0040</t>
  </si>
  <si>
    <t xml:space="preserve">Karam Abu Zaid</t>
  </si>
  <si>
    <t xml:space="preserve">1992-11-27</t>
  </si>
  <si>
    <t xml:space="preserve">k.zaid@kitaptech.com</t>
  </si>
  <si>
    <t xml:space="preserve">+962712345040</t>
  </si>
  <si>
    <t xml:space="preserve">2023-09-05</t>
  </si>
  <si>
    <t xml:space="preserve">Cybersecurity Governance Maturity Models for Gulf State E-Government Platforms</t>
  </si>
  <si>
    <t xml:space="preserve">Information Systems — Cybersecurity Governance &amp; Public Sector Digitalisation</t>
  </si>
  <si>
    <t xml:space="preserve">Enrolled ✓ | Foundation Coursework (PHD701 ✓) | Systematic Lit Review In Progress</t>
  </si>
  <si>
    <t xml:space="preserve">Submit Full Research Proposal to Departmental Committee</t>
  </si>
  <si>
    <t xml:space="preserve">KT-PHD-2022-0041</t>
  </si>
  <si>
    <t xml:space="preserve">Widad El-Amrani</t>
  </si>
  <si>
    <t xml:space="preserve">1991-04-13</t>
  </si>
  <si>
    <t xml:space="preserve">w.el-amrani@kitaptech.com</t>
  </si>
  <si>
    <t xml:space="preserve">+212712345041</t>
  </si>
  <si>
    <t xml:space="preserve">Low-Resource Software Testing Automation for Arabic-Script Mobile Applications</t>
  </si>
  <si>
    <t xml:space="preserve">Software Engineering — Automated Testing &amp; Localisation</t>
  </si>
  <si>
    <t xml:space="preserve">Enrolled ✓ | Foundation CW ✓ | Systematic Lit Review ✓ | Proposal Submitted (Dept Review)</t>
  </si>
  <si>
    <t xml:space="preserve">Working paper in preparation — Automated Testing &amp; Localisation</t>
  </si>
  <si>
    <t xml:space="preserve">RU-2021-0001</t>
  </si>
  <si>
    <t xml:space="preserve">Dennis Otieno</t>
  </si>
  <si>
    <t xml:space="preserve">2001-03-02</t>
  </si>
  <si>
    <t xml:space="preserve">d.otieno@rongovarsity.ac.ke</t>
  </si>
  <si>
    <t xml:space="preserve">Rongo University</t>
  </si>
  <si>
    <t xml:space="preserve">RU-2022-0002</t>
  </si>
  <si>
    <t xml:space="preserve">Sharon Achieng</t>
  </si>
  <si>
    <t xml:space="preserve">2002-07-14</t>
  </si>
  <si>
    <t xml:space="preserve">s.achieng@rongovarsity.ac.ke</t>
  </si>
  <si>
    <t xml:space="preserve">BCom</t>
  </si>
  <si>
    <t xml:space="preserve">Human Resource Management</t>
  </si>
  <si>
    <t xml:space="preserve">School of Business and Human Resource Management</t>
  </si>
  <si>
    <t xml:space="preserve">RU-2020-0003</t>
  </si>
  <si>
    <t xml:space="preserve">Collins Onyango</t>
  </si>
  <si>
    <t xml:space="preserve">2000-11-21</t>
  </si>
  <si>
    <t xml:space="preserve">c.onyango@rongovarsity.ac.ke</t>
  </si>
  <si>
    <t xml:space="preserve">+254712345003</t>
  </si>
  <si>
    <t xml:space="preserve">Journalism &amp; Mass Communication</t>
  </si>
  <si>
    <t xml:space="preserve">School of Information, Communication and Media Studies</t>
  </si>
  <si>
    <t xml:space="preserve">Specific Learning Disability (Dyslexia)</t>
  </si>
  <si>
    <t xml:space="preserve">Extended exam time; reader/scribe support</t>
  </si>
  <si>
    <t xml:space="preserve">RU-2020-0004</t>
  </si>
  <si>
    <t xml:space="preserve">Brenda Adhiambo</t>
  </si>
  <si>
    <t xml:space="preserve">1999-05-09</t>
  </si>
  <si>
    <t xml:space="preserve">b.adhiambo@rongovarsity.ac.ke</t>
  </si>
  <si>
    <t xml:space="preserve">+254712345004</t>
  </si>
  <si>
    <t xml:space="preserve">School of Science, Technology and Engineering</t>
  </si>
  <si>
    <t xml:space="preserve">RU-2023-0005</t>
  </si>
  <si>
    <t xml:space="preserve">Kevin Owino</t>
  </si>
  <si>
    <t xml:space="preserve">2003-09-28</t>
  </si>
  <si>
    <t xml:space="preserve">k.owino@rongovarsity.ac.ke</t>
  </si>
  <si>
    <t xml:space="preserve">School of Arts and Social Sciences</t>
  </si>
  <si>
    <t xml:space="preserve">RU-2021-0006</t>
  </si>
  <si>
    <t xml:space="preserve">Mercy Akinyi</t>
  </si>
  <si>
    <t xml:space="preserve">2001-01-16</t>
  </si>
  <si>
    <t xml:space="preserve">m.akinyi@rongovarsity.ac.ke</t>
  </si>
  <si>
    <t xml:space="preserve">Agricultural Science</t>
  </si>
  <si>
    <t xml:space="preserve">School of Agriculture, Natural Resources and Environmental Studies</t>
  </si>
  <si>
    <t xml:space="preserve">RU-2022-0007</t>
  </si>
  <si>
    <t xml:space="preserve">Elvis Opiyo</t>
  </si>
  <si>
    <t xml:space="preserve">2002-10-04</t>
  </si>
  <si>
    <t xml:space="preserve">e.opiyo@rongovarsity.ac.ke</t>
  </si>
  <si>
    <t xml:space="preserve">RU-2020-0008</t>
  </si>
  <si>
    <t xml:space="preserve">Joy Anyango</t>
  </si>
  <si>
    <t xml:space="preserve">2000-04-12</t>
  </si>
  <si>
    <t xml:space="preserve">j.anyango@rongovarsity.ac.ke</t>
  </si>
  <si>
    <t xml:space="preserve">+254712345008</t>
  </si>
  <si>
    <t xml:space="preserve">Curriculum Studies</t>
  </si>
  <si>
    <t xml:space="preserve">RU-2021-0009</t>
  </si>
  <si>
    <t xml:space="preserve">Moses Ochieng</t>
  </si>
  <si>
    <t xml:space="preserve">2001-12-19</t>
  </si>
  <si>
    <t xml:space="preserve">m.ochieng@rongovarsity.ac.ke</t>
  </si>
  <si>
    <t xml:space="preserve">RU-2023-0010</t>
  </si>
  <si>
    <t xml:space="preserve">Lilian Auma</t>
  </si>
  <si>
    <t xml:space="preserve">l.auma@rongovarsity.ac.ke</t>
  </si>
  <si>
    <t xml:space="preserve">Communication &amp; Media Studies</t>
  </si>
  <si>
    <t xml:space="preserve">RU-2022-0011</t>
  </si>
  <si>
    <t xml:space="preserve">Paul Oduya</t>
  </si>
  <si>
    <t xml:space="preserve">2002-08-07</t>
  </si>
  <si>
    <t xml:space="preserve">p.oduya@rongovarsity.ac.ke</t>
  </si>
  <si>
    <t xml:space="preserve">RU-2020-0012</t>
  </si>
  <si>
    <t xml:space="preserve">Janet Nyambura</t>
  </si>
  <si>
    <t xml:space="preserve">1999-06-30</t>
  </si>
  <si>
    <t xml:space="preserve">j.nyambura@rongovarsity.ac.ke</t>
  </si>
  <si>
    <t xml:space="preserve">+254712345012</t>
  </si>
  <si>
    <t xml:space="preserve">Special Needs Education</t>
  </si>
  <si>
    <t xml:space="preserve">RU-2021-0013</t>
  </si>
  <si>
    <t xml:space="preserve">Brian Omondi</t>
  </si>
  <si>
    <t xml:space="preserve">2001-07-23</t>
  </si>
  <si>
    <t xml:space="preserve">b.omondi@rongovarsity.ac.ke</t>
  </si>
  <si>
    <t xml:space="preserve">RU-2020-0014</t>
  </si>
  <si>
    <t xml:space="preserve">Beatrice Atieno</t>
  </si>
  <si>
    <t xml:space="preserve">2000-03-11</t>
  </si>
  <si>
    <t xml:space="preserve">b.atieno@rongovarsity.ac.ke</t>
  </si>
  <si>
    <t xml:space="preserve">Agribusiness Management</t>
  </si>
  <si>
    <t xml:space="preserve">RU-2023-0015</t>
  </si>
  <si>
    <t xml:space="preserve">Michael Wafula</t>
  </si>
  <si>
    <t xml:space="preserve">2003-11-08</t>
  </si>
  <si>
    <t xml:space="preserve">m.wafula@rongovarsity.ac.ke</t>
  </si>
  <si>
    <t xml:space="preserve">+256712345015</t>
  </si>
  <si>
    <t xml:space="preserve">RU-2021-0016</t>
  </si>
  <si>
    <t xml:space="preserve">Christine Achola</t>
  </si>
  <si>
    <t xml:space="preserve">2001-09-17</t>
  </si>
  <si>
    <t xml:space="preserve">c.achola@rongovarsity.ac.ke</t>
  </si>
  <si>
    <t xml:space="preserve">Marketing</t>
  </si>
  <si>
    <t xml:space="preserve">RU-2022-0017</t>
  </si>
  <si>
    <t xml:space="preserve">Steve Okoth</t>
  </si>
  <si>
    <t xml:space="preserve">2002-05-26</t>
  </si>
  <si>
    <t xml:space="preserve">s.okoth@rongovarsity.ac.ke</t>
  </si>
  <si>
    <t xml:space="preserve">Electrical &amp; Electronics Engineering</t>
  </si>
  <si>
    <t xml:space="preserve">Psychosocial Disability (Anxiety Disorder)</t>
  </si>
  <si>
    <t xml:space="preserve">Counselling support; flexible coursework deadlines</t>
  </si>
  <si>
    <t xml:space="preserve">RU-2020-0018</t>
  </si>
  <si>
    <t xml:space="preserve">Vivian Nyakundi</t>
  </si>
  <si>
    <t xml:space="preserve">2000-01-03</t>
  </si>
  <si>
    <t xml:space="preserve">v.nyakundi@rongovarsity.ac.ke</t>
  </si>
  <si>
    <t xml:space="preserve">+254712345018</t>
  </si>
  <si>
    <t xml:space="preserve">RU-2021-0019</t>
  </si>
  <si>
    <t xml:space="preserve">Erick Oyugi</t>
  </si>
  <si>
    <t xml:space="preserve">2001-06-15</t>
  </si>
  <si>
    <t xml:space="preserve">e.oyugi@rongovarsity.ac.ke</t>
  </si>
  <si>
    <t xml:space="preserve">Education (Arts)</t>
  </si>
  <si>
    <t xml:space="preserve">RU-2023-0020</t>
  </si>
  <si>
    <t xml:space="preserve">Gladys Kerubo</t>
  </si>
  <si>
    <t xml:space="preserve">2003-03-29</t>
  </si>
  <si>
    <t xml:space="preserve">g.kerubo@rongovarsity.ac.ke</t>
  </si>
  <si>
    <t xml:space="preserve">+254712345020</t>
  </si>
  <si>
    <t xml:space="preserve">Food Science &amp; Nutrition</t>
  </si>
  <si>
    <t xml:space="preserve">RU-2022-0021</t>
  </si>
  <si>
    <t xml:space="preserve">Felix Omolo</t>
  </si>
  <si>
    <t xml:space="preserve">2002-12-02</t>
  </si>
  <si>
    <t xml:space="preserve">f.omolo@rongovarsity.ac.ke</t>
  </si>
  <si>
    <t xml:space="preserve">+255712345021</t>
  </si>
  <si>
    <t xml:space="preserve">Tanzanian</t>
  </si>
  <si>
    <t xml:space="preserve">RU-2020-0022</t>
  </si>
  <si>
    <t xml:space="preserve">Margaret Awuor</t>
  </si>
  <si>
    <t xml:space="preserve">1999-10-20</t>
  </si>
  <si>
    <t xml:space="preserve">m.awuor@rongovarsity.ac.ke</t>
  </si>
  <si>
    <t xml:space="preserve">RU-2021-0023</t>
  </si>
  <si>
    <t xml:space="preserve">Dancun Wanyama</t>
  </si>
  <si>
    <t xml:space="preserve">2001-04-05</t>
  </si>
  <si>
    <t xml:space="preserve">d.wanyama@rongovarsity.ac.ke</t>
  </si>
  <si>
    <t xml:space="preserve">RU-2022-0024</t>
  </si>
  <si>
    <t xml:space="preserve">Purity Moraa</t>
  </si>
  <si>
    <t xml:space="preserve">2002-02-14</t>
  </si>
  <si>
    <t xml:space="preserve">p.moraa@rongovarsity.ac.ke</t>
  </si>
  <si>
    <t xml:space="preserve">Agricultural Economics</t>
  </si>
  <si>
    <t xml:space="preserve">RU-2023-0025</t>
  </si>
  <si>
    <t xml:space="preserve">Samuel Ogola</t>
  </si>
  <si>
    <t xml:space="preserve">2003-08-21</t>
  </si>
  <si>
    <t xml:space="preserve">s.ogola@rongovarsity.ac.ke</t>
  </si>
  <si>
    <t xml:space="preserve">RU-PG-2022-0026</t>
  </si>
  <si>
    <t xml:space="preserve">Evelyn Nyabuto</t>
  </si>
  <si>
    <t xml:space="preserve">1996-02-08</t>
  </si>
  <si>
    <t xml:space="preserve">e.nyabuto@rongovarsity.ac.ke</t>
  </si>
  <si>
    <t xml:space="preserve">+254712345026</t>
  </si>
  <si>
    <t xml:space="preserve">MEd</t>
  </si>
  <si>
    <t xml:space="preserve">Educational Administration</t>
  </si>
  <si>
    <t xml:space="preserve">MEd (Coursework)</t>
  </si>
  <si>
    <t xml:space="preserve">Prof. Richard Onyango</t>
  </si>
  <si>
    <t xml:space="preserve">Education — Institutional Leadership &amp; Policy in Public Universities</t>
  </si>
  <si>
    <t xml:space="preserve">RU-PG-2023-0027</t>
  </si>
  <si>
    <t xml:space="preserve">Antony Nyakwaka</t>
  </si>
  <si>
    <t xml:space="preserve">1994-06-17</t>
  </si>
  <si>
    <t xml:space="preserve">a.nyakwaka@rongovarsity.ac.ke</t>
  </si>
  <si>
    <t xml:space="preserve">+254712345027</t>
  </si>
  <si>
    <t xml:space="preserve">Dr. Agnes Moturi</t>
  </si>
  <si>
    <t xml:space="preserve">HRM — Talent Retention &amp; Performance Management in Public Universities</t>
  </si>
  <si>
    <t xml:space="preserve">RU-PG-2022-0028</t>
  </si>
  <si>
    <t xml:space="preserve">Caroline Adika</t>
  </si>
  <si>
    <t xml:space="preserve">1995-09-25</t>
  </si>
  <si>
    <t xml:space="preserve">c.adika@rongovarsity.ac.ke</t>
  </si>
  <si>
    <t xml:space="preserve">Dr. Patrick Owade</t>
  </si>
  <si>
    <t xml:space="preserve">Communication — Community Radio &amp; Civic Participation in Nyanza</t>
  </si>
  <si>
    <t xml:space="preserve">Capstone: Community Radio &amp; Civic Participation in Nyanza (Completed)</t>
  </si>
  <si>
    <t xml:space="preserve">RU-PG-2023-0029</t>
  </si>
  <si>
    <t xml:space="preserve">Isaac Otiende</t>
  </si>
  <si>
    <t xml:space="preserve">1997-01-30</t>
  </si>
  <si>
    <t xml:space="preserve">i.otiende@rongovarsity.ac.ke</t>
  </si>
  <si>
    <t xml:space="preserve">+254712345029</t>
  </si>
  <si>
    <t xml:space="preserve">Dr. Felix Odongo</t>
  </si>
  <si>
    <t xml:space="preserve">Computer Science — Cloud Computing for SME Digital Adoption</t>
  </si>
  <si>
    <t xml:space="preserve">Semester 2 — Achieve GPA ≥ 3.00 to Continue (MSc Computer Science)</t>
  </si>
  <si>
    <t xml:space="preserve">RU-PG-2022-0030</t>
  </si>
  <si>
    <t xml:space="preserve">Agnes Kwamboka</t>
  </si>
  <si>
    <t xml:space="preserve">1996-11-12</t>
  </si>
  <si>
    <t xml:space="preserve">a.kwamboka@rongovarsity.ac.ke</t>
  </si>
  <si>
    <t xml:space="preserve">Dr. Benard Osero</t>
  </si>
  <si>
    <t xml:space="preserve">Prof. Milka Rabuogi (School of Business &amp; HRM)</t>
  </si>
  <si>
    <t xml:space="preserve">Agri-Economics — Smallholder Value Chains &amp; Market Access in Migori County</t>
  </si>
  <si>
    <t xml:space="preserve">RU-PG-2023-0031</t>
  </si>
  <si>
    <t xml:space="preserve">Dickson Obare</t>
  </si>
  <si>
    <t xml:space="preserve">1993-04-04</t>
  </si>
  <si>
    <t xml:space="preserve">d.obare@rongovarsity.ac.ke</t>
  </si>
  <si>
    <t xml:space="preserve">+254712345031</t>
  </si>
  <si>
    <t xml:space="preserve">Strategic Management — Cooperative Governance in Sugar-Belt SACCOs</t>
  </si>
  <si>
    <t xml:space="preserve">RU-PG-2021-0032</t>
  </si>
  <si>
    <t xml:space="preserve">Mercyline Atandi</t>
  </si>
  <si>
    <t xml:space="preserve">1995-07-21</t>
  </si>
  <si>
    <t xml:space="preserve">m.atandi@rongovarsity.ac.ke</t>
  </si>
  <si>
    <t xml:space="preserve">Wetland Degradation and Livelihood Resilience Around Lake Victoria's Nyanza Gulf</t>
  </si>
  <si>
    <t xml:space="preserve">Dr. Joshua Orina (Maseno University, External)</t>
  </si>
  <si>
    <t xml:space="preserve">Environmental Science — Wetland Ecology &amp; Community Livelihoods</t>
  </si>
  <si>
    <t xml:space="preserve">Working paper in preparation — Wetland Ecology &amp; Community Livelihoods</t>
  </si>
  <si>
    <t xml:space="preserve">RU-PG-2022-0033</t>
  </si>
  <si>
    <t xml:space="preserve">Kennedy Abuga</t>
  </si>
  <si>
    <t xml:space="preserve">1996-10-14</t>
  </si>
  <si>
    <t xml:space="preserve">k.abuga@rongovarsity.ac.ke</t>
  </si>
  <si>
    <t xml:space="preserve">+254712345033</t>
  </si>
  <si>
    <t xml:space="preserve">Mobile-Based Early Warning System for Flood-Prone Communities in Migori River Basin</t>
  </si>
  <si>
    <t xml:space="preserve">Prof. Stella Okumu (Maseno University, External)</t>
  </si>
  <si>
    <t xml:space="preserve">Computer Science — Disaster-Resilient Mobile Systems</t>
  </si>
  <si>
    <t xml:space="preserve">Working paper in preparation — Disaster-Resilient Mobile Systems</t>
  </si>
  <si>
    <t xml:space="preserve">RU-PG-2021-0034</t>
  </si>
  <si>
    <t xml:space="preserve">Naomi Sianga</t>
  </si>
  <si>
    <t xml:space="preserve">1994-03-09</t>
  </si>
  <si>
    <t xml:space="preserve">n.sianga@rongovarsity.ac.ke</t>
  </si>
  <si>
    <t xml:space="preserve">Teacher Motivation &amp; Retention in Hard-to-Staff Rural Primary Schools</t>
  </si>
  <si>
    <t xml:space="preserve">Dr. Caren Nyamweya (Ministry of Education, External)</t>
  </si>
  <si>
    <t xml:space="preserve">Education — Teacher Policy &amp; Rural Education Access</t>
  </si>
  <si>
    <t xml:space="preserve">Working paper in preparation — Teacher Policy &amp; Rural Education Access</t>
  </si>
  <si>
    <t xml:space="preserve">RU-PG-2022-0035</t>
  </si>
  <si>
    <t xml:space="preserve">Robert Ratemo</t>
  </si>
  <si>
    <t xml:space="preserve">1995-12-01</t>
  </si>
  <si>
    <t xml:space="preserve">r.ratemo@rongovarsity.ac.ke</t>
  </si>
  <si>
    <t xml:space="preserve">+254712345035</t>
  </si>
  <si>
    <t xml:space="preserve">Soil Fertility Decline and Maize Yield Response to Integrated Nutrient Management in Migori County</t>
  </si>
  <si>
    <t xml:space="preserve">Agricultural Science — Soil Fertility &amp; Smallholder Agronomy</t>
  </si>
  <si>
    <t xml:space="preserve">RU-PG-2020-0036</t>
  </si>
  <si>
    <t xml:space="preserve">Josephine Moige</t>
  </si>
  <si>
    <t xml:space="preserve">1993-08-19</t>
  </si>
  <si>
    <t xml:space="preserve">j.moige@rongovarsity.ac.ke</t>
  </si>
  <si>
    <t xml:space="preserve">Vernacular FM Radio and Health Communication During Public Health Emergencies</t>
  </si>
  <si>
    <t xml:space="preserve">Communication — Health Communication &amp; Vernacular Media</t>
  </si>
  <si>
    <t xml:space="preserve">Thesis published / archived — Health Communication &amp; Vernacular Media</t>
  </si>
  <si>
    <t xml:space="preserve">RU-PG-2023-0037</t>
  </si>
  <si>
    <t xml:space="preserve">Martin Osiemo</t>
  </si>
  <si>
    <t xml:space="preserve">1997-05-26</t>
  </si>
  <si>
    <t xml:space="preserve">m.osiemo@rongovarsity.ac.ke</t>
  </si>
  <si>
    <t xml:space="preserve">Low-Cost IoT Soil Moisture Monitoring for Smallholder Irrigation Scheduling</t>
  </si>
  <si>
    <t xml:space="preserve">Computer Science — IoT Systems for Precision Agriculture</t>
  </si>
  <si>
    <t xml:space="preserve">RU-PHD-2021-0038</t>
  </si>
  <si>
    <t xml:space="preserve">Wilkista Nyaboke</t>
  </si>
  <si>
    <t xml:space="preserve">1988-01-22</t>
  </si>
  <si>
    <t xml:space="preserve">w.nyaboke@rongovarsity.ac.ke</t>
  </si>
  <si>
    <t xml:space="preserve">+254712345038</t>
  </si>
  <si>
    <t xml:space="preserve">Devolved Education Financing and Learning Outcomes in Migori and Homa Bay Counties</t>
  </si>
  <si>
    <t xml:space="preserve">Prof. James Achoka (Maseno University, External)</t>
  </si>
  <si>
    <t xml:space="preserve">Education — Education Finance &amp; Devolution</t>
  </si>
  <si>
    <t xml:space="preserve">Working paper in preparation — Education Finance &amp; Devolution</t>
  </si>
  <si>
    <t xml:space="preserve">RU-PHD-2020-0039</t>
  </si>
  <si>
    <t xml:space="preserve">Elkana Motanya</t>
  </si>
  <si>
    <t xml:space="preserve">1987-06-30</t>
  </si>
  <si>
    <t xml:space="preserve">e.motanya@rongovarsity.ac.ke</t>
  </si>
  <si>
    <t xml:space="preserve">Agriculture &amp; Natural Resources</t>
  </si>
  <si>
    <t xml:space="preserve">Climate-Resilient Cropping Systems and Food Security in the Lake Victoria Basin</t>
  </si>
  <si>
    <t xml:space="preserve">Agriculture — Climate Adaptation &amp; Food Systems</t>
  </si>
  <si>
    <t xml:space="preserve">Working paper in preparation — Climate Adaptation &amp; Food Systems</t>
  </si>
  <si>
    <t xml:space="preserve">RU-PHD-2023-0040</t>
  </si>
  <si>
    <t xml:space="preserve">Diana Nyangweso</t>
  </si>
  <si>
    <t xml:space="preserve">1990-09-15</t>
  </si>
  <si>
    <t xml:space="preserve">d.nyangweso@rongovarsity.ac.ke</t>
  </si>
  <si>
    <t xml:space="preserve">+254712345040</t>
  </si>
  <si>
    <t xml:space="preserve">SACCO Governance Reform and Smallholder Sugarcane Farmer Incomes in Western Kenya</t>
  </si>
  <si>
    <t xml:space="preserve">Prof. Milka Rabuogi (External, Kisii University)</t>
  </si>
  <si>
    <t xml:space="preserve">Business — Cooperative Governance &amp; Rural Finance</t>
  </si>
  <si>
    <t xml:space="preserve">RU-PHD-2022-0041</t>
  </si>
  <si>
    <t xml:space="preserve">Victor Anyiko</t>
  </si>
  <si>
    <t xml:space="preserve">1989-11-11</t>
  </si>
  <si>
    <t xml:space="preserve">v.anyiko@rongovarsity.ac.ke</t>
  </si>
  <si>
    <t xml:space="preserve">Federated Machine Learning for Crop Disease Surveillance Across County Extension Networks</t>
  </si>
  <si>
    <t xml:space="preserve">Computer Science — Federated Learning for Agricultural Extension</t>
  </si>
  <si>
    <t xml:space="preserve">Working paper in preparation — Federated Learning for Agricultural Extension</t>
  </si>
  <si>
    <t xml:space="preserve">TU-DEMO-UG</t>
  </si>
  <si>
    <t xml:space="preserve">Demo UG Student</t>
  </si>
  <si>
    <t xml:space="preserve">2002-06-15</t>
  </si>
  <si>
    <t xml:space="preserve">student-ug@templumis.ac</t>
  </si>
  <si>
    <t xml:space="preserve">+254712345901</t>
  </si>
  <si>
    <t xml:space="preserve">TU-DEMO-PG</t>
  </si>
  <si>
    <t xml:space="preserve">Demo PG Student</t>
  </si>
  <si>
    <t xml:space="preserve">1998-03-10</t>
  </si>
  <si>
    <t xml:space="preserve">student-pg@templumis.ac</t>
  </si>
  <si>
    <t xml:space="preserve">+254712345902</t>
  </si>
  <si>
    <t xml:space="preserve">2024-09-05</t>
  </si>
  <si>
    <t xml:space="preserve">Demo Supervisor</t>
  </si>
  <si>
    <t xml:space="preserve">Computer Science — Demo Programme (for platform walkthroughs)</t>
  </si>
  <si>
    <t xml:space="preserve">TU-DEMO-PHD</t>
  </si>
  <si>
    <t xml:space="preserve">Demo PhD Student</t>
  </si>
  <si>
    <t xml:space="preserve">1995-01-20</t>
  </si>
  <si>
    <t xml:space="preserve">student-phd@templumis.ac</t>
  </si>
  <si>
    <t xml:space="preserve">+254712345903</t>
  </si>
  <si>
    <t xml:space="preserve">2024-09-06</t>
  </si>
  <si>
    <t xml:space="preserve">2028-06-30</t>
  </si>
  <si>
    <t xml:space="preserve">Demo Research Project for Platform Walkthroughs</t>
  </si>
  <si>
    <t xml:space="preserve">Computer Science — Demo Research Track</t>
  </si>
  <si>
    <t xml:space="preserve">KT-DEMO-UG</t>
  </si>
  <si>
    <t xml:space="preserve">student-ug@kitaptech.com</t>
  </si>
  <si>
    <t xml:space="preserve">+966712345901</t>
  </si>
  <si>
    <t xml:space="preserve">KT-DEMO-PG</t>
  </si>
  <si>
    <t xml:space="preserve">student-pg@kitaptech.com</t>
  </si>
  <si>
    <t xml:space="preserve">+966712345902</t>
  </si>
  <si>
    <t xml:space="preserve">KT-DEMO-PHD</t>
  </si>
  <si>
    <t xml:space="preserve">student-phd@kitaptech.com</t>
  </si>
  <si>
    <t xml:space="preserve">+966712345903</t>
  </si>
  <si>
    <t xml:space="preserve">RU-DEMO-UG</t>
  </si>
  <si>
    <t xml:space="preserve">student-ug@rongovarsity.ac.ke</t>
  </si>
  <si>
    <t xml:space="preserve">RU-DEMO-PG</t>
  </si>
  <si>
    <t xml:space="preserve">student-pg@rongovarsity.ac.ke</t>
  </si>
  <si>
    <t xml:space="preserve">RU-DEMO-PHD</t>
  </si>
  <si>
    <t xml:space="preserve">student-phd@rongovarsity.ac.ke</t>
  </si>
  <si>
    <t xml:space="preserve">TU-2024-0042</t>
  </si>
  <si>
    <t xml:space="preserve">Alice Mumbi</t>
  </si>
  <si>
    <t xml:space="preserve">2007-07-16</t>
  </si>
  <si>
    <t xml:space="preserve">a.mumbi@templumis.ac</t>
  </si>
  <si>
    <t xml:space="preserve">+254712345900</t>
  </si>
  <si>
    <t xml:space="preserve">2026-01-15</t>
  </si>
  <si>
    <t xml:space="preserve">TU-2023-0043</t>
  </si>
  <si>
    <t xml:space="preserve">Brian Kiptoo</t>
  </si>
  <si>
    <t xml:space="preserve">2006-08-17</t>
  </si>
  <si>
    <t xml:space="preserve">b.kiptoo@templumis.ac</t>
  </si>
  <si>
    <t xml:space="preserve">TU-2025-0044</t>
  </si>
  <si>
    <t xml:space="preserve">Catherine Wafula</t>
  </si>
  <si>
    <t xml:space="preserve">2008-09-18</t>
  </si>
  <si>
    <t xml:space="preserve">c.wafula@templumis.ac</t>
  </si>
  <si>
    <t xml:space="preserve">2025-09-05</t>
  </si>
  <si>
    <t xml:space="preserve">2029-06-30</t>
  </si>
  <si>
    <t xml:space="preserve">1. Progressing — Year 1</t>
  </si>
  <si>
    <t xml:space="preserve">TU-2022-0045</t>
  </si>
  <si>
    <t xml:space="preserve">Daniel Kiprono</t>
  </si>
  <si>
    <t xml:space="preserve">2005-10-19</t>
  </si>
  <si>
    <t xml:space="preserve">d.kiprono@templumis.ac</t>
  </si>
  <si>
    <t xml:space="preserve">4. Progressing — Year 4</t>
  </si>
  <si>
    <t xml:space="preserve">TU-2024-0046</t>
  </si>
  <si>
    <t xml:space="preserve">Esther Nabwire</t>
  </si>
  <si>
    <t xml:space="preserve">2007-11-20</t>
  </si>
  <si>
    <t xml:space="preserve">e.nabwire@templumis.ac</t>
  </si>
  <si>
    <t xml:space="preserve">+254712345904</t>
  </si>
  <si>
    <t xml:space="preserve">TU-2022-0047</t>
  </si>
  <si>
    <t xml:space="preserve">Felix Wanyama</t>
  </si>
  <si>
    <t xml:space="preserve">2005-12-21</t>
  </si>
  <si>
    <t xml:space="preserve">f.wanyama@templumis.ac</t>
  </si>
  <si>
    <t xml:space="preserve">+254712345905</t>
  </si>
  <si>
    <t xml:space="preserve">TU-2023-0048</t>
  </si>
  <si>
    <t xml:space="preserve">Grace Chepkoech</t>
  </si>
  <si>
    <t xml:space="preserve">2006-01-22</t>
  </si>
  <si>
    <t xml:space="preserve">g.chepkoech@templumis.ac</t>
  </si>
  <si>
    <t xml:space="preserve">+254712345906</t>
  </si>
  <si>
    <t xml:space="preserve">Wheelchair-accessible venues; extended assignment deadlines</t>
  </si>
  <si>
    <t xml:space="preserve">TU-2025-0049</t>
  </si>
  <si>
    <t xml:space="preserve">Hussein Farah</t>
  </si>
  <si>
    <t xml:space="preserve">2008-02-23</t>
  </si>
  <si>
    <t xml:space="preserve">h.farah@templumis.ac</t>
  </si>
  <si>
    <t xml:space="preserve">+254712345907</t>
  </si>
  <si>
    <t xml:space="preserve">TU-2022-0050</t>
  </si>
  <si>
    <t xml:space="preserve">Irene Naliaka</t>
  </si>
  <si>
    <t xml:space="preserve">2005-03-24</t>
  </si>
  <si>
    <t xml:space="preserve">i.naliaka@templumis.ac</t>
  </si>
  <si>
    <t xml:space="preserve">+254712345908</t>
  </si>
  <si>
    <t xml:space="preserve">TU-2024-0051</t>
  </si>
  <si>
    <t xml:space="preserve">John Mwikya</t>
  </si>
  <si>
    <t xml:space="preserve">2007-04-25</t>
  </si>
  <si>
    <t xml:space="preserve">j.mwikya@templumis.ac</t>
  </si>
  <si>
    <t xml:space="preserve">+254712345909</t>
  </si>
  <si>
    <t xml:space="preserve">TU-2023-0052</t>
  </si>
  <si>
    <t xml:space="preserve">Karen Jepkosgei</t>
  </si>
  <si>
    <t xml:space="preserve">2006-05-26</t>
  </si>
  <si>
    <t xml:space="preserve">k.jepkosgei@templumis.ac</t>
  </si>
  <si>
    <t xml:space="preserve">+254712345910</t>
  </si>
  <si>
    <t xml:space="preserve">TU-2025-0053</t>
  </si>
  <si>
    <t xml:space="preserve">Levi Otieno</t>
  </si>
  <si>
    <t xml:space="preserve">2008-06-27</t>
  </si>
  <si>
    <t xml:space="preserve">l.otieno@templumis.ac</t>
  </si>
  <si>
    <t xml:space="preserve">+254712345911</t>
  </si>
  <si>
    <t xml:space="preserve">TU-2024-0054</t>
  </si>
  <si>
    <t xml:space="preserve">Mercy Wangeci</t>
  </si>
  <si>
    <t xml:space="preserve">2007-07-01</t>
  </si>
  <si>
    <t xml:space="preserve">m.wangeci@templumis.ac</t>
  </si>
  <si>
    <t xml:space="preserve">+254712345912</t>
  </si>
  <si>
    <t xml:space="preserve">TU-2022-0055</t>
  </si>
  <si>
    <t xml:space="preserve">Nicholas Kilonzo</t>
  </si>
  <si>
    <t xml:space="preserve">2005-08-02</t>
  </si>
  <si>
    <t xml:space="preserve">n.kilonzo@templumis.ac</t>
  </si>
  <si>
    <t xml:space="preserve">+254712345913</t>
  </si>
  <si>
    <t xml:space="preserve">TU-2024-0056</t>
  </si>
  <si>
    <t xml:space="preserve">Purity Chelangat</t>
  </si>
  <si>
    <t xml:space="preserve">2007-09-03</t>
  </si>
  <si>
    <t xml:space="preserve">p.chelangat@templumis.ac</t>
  </si>
  <si>
    <t xml:space="preserve">+254712345914</t>
  </si>
  <si>
    <t xml:space="preserve">TU-2023-0057</t>
  </si>
  <si>
    <t xml:space="preserve">Quinter Anyango</t>
  </si>
  <si>
    <t xml:space="preserve">2006-10-04</t>
  </si>
  <si>
    <t xml:space="preserve">q.anyango@templumis.ac</t>
  </si>
  <si>
    <t xml:space="preserve">+254712345915</t>
  </si>
  <si>
    <t xml:space="preserve">TU-2025-0058</t>
  </si>
  <si>
    <t xml:space="preserve">Ronald Kiplagat</t>
  </si>
  <si>
    <t xml:space="preserve">2008-11-05</t>
  </si>
  <si>
    <t xml:space="preserve">r.kiplagat@templumis.ac</t>
  </si>
  <si>
    <t xml:space="preserve">+254712345916</t>
  </si>
  <si>
    <t xml:space="preserve">TU-2022-0059</t>
  </si>
  <si>
    <t xml:space="preserve">Susan Atieno</t>
  </si>
  <si>
    <t xml:space="preserve">2005-12-06</t>
  </si>
  <si>
    <t xml:space="preserve">s.atieno@templumis.ac</t>
  </si>
  <si>
    <t xml:space="preserve">+254712345917</t>
  </si>
  <si>
    <t xml:space="preserve">TU-2024-0060</t>
  </si>
  <si>
    <t xml:space="preserve">Titus Mburu</t>
  </si>
  <si>
    <t xml:space="preserve">2007-01-07</t>
  </si>
  <si>
    <t xml:space="preserve">t.mburu@templumis.ac</t>
  </si>
  <si>
    <t xml:space="preserve">+254712345918</t>
  </si>
  <si>
    <t xml:space="preserve">TU-2024-0061</t>
  </si>
  <si>
    <t xml:space="preserve">Winnie Adhiambo</t>
  </si>
  <si>
    <t xml:space="preserve">2007-02-08</t>
  </si>
  <si>
    <t xml:space="preserve">w.adhiambo@templumis.ac</t>
  </si>
  <si>
    <t xml:space="preserve">+254712345919</t>
  </si>
  <si>
    <t xml:space="preserve">TU-2023-0062</t>
  </si>
  <si>
    <t xml:space="preserve">Thabo Nkosi</t>
  </si>
  <si>
    <t xml:space="preserve">2006-03-09</t>
  </si>
  <si>
    <t xml:space="preserve">t.nkosi@templumis.ac</t>
  </si>
  <si>
    <t xml:space="preserve">+27712345062</t>
  </si>
  <si>
    <t xml:space="preserve">TU-2024-0063</t>
  </si>
  <si>
    <t xml:space="preserve">Lindiwe Dlamini</t>
  </si>
  <si>
    <t xml:space="preserve">2007-04-10</t>
  </si>
  <si>
    <t xml:space="preserve">l.dlamini@templumis.ac</t>
  </si>
  <si>
    <t xml:space="preserve">+27712345063</t>
  </si>
  <si>
    <t xml:space="preserve">Psychology</t>
  </si>
  <si>
    <t xml:space="preserve">TU-2022-0064</t>
  </si>
  <si>
    <t xml:space="preserve">Sipho Mabaso</t>
  </si>
  <si>
    <t xml:space="preserve">2005-05-11</t>
  </si>
  <si>
    <t xml:space="preserve">s.mabaso@templumis.ac</t>
  </si>
  <si>
    <t xml:space="preserve">+27712345064</t>
  </si>
  <si>
    <t xml:space="preserve">TU-2025-0065</t>
  </si>
  <si>
    <t xml:space="preserve">Nomvula Khumalo</t>
  </si>
  <si>
    <t xml:space="preserve">2008-06-12</t>
  </si>
  <si>
    <t xml:space="preserve">n.khumalo@templumis.ac</t>
  </si>
  <si>
    <t xml:space="preserve">+27712345065</t>
  </si>
  <si>
    <t xml:space="preserve">TU-2023-0066</t>
  </si>
  <si>
    <t xml:space="preserve">Bongani Zulu</t>
  </si>
  <si>
    <t xml:space="preserve">2006-07-13</t>
  </si>
  <si>
    <t xml:space="preserve">b.zulu@templumis.ac</t>
  </si>
  <si>
    <t xml:space="preserve">+27712345066</t>
  </si>
  <si>
    <t xml:space="preserve">TU-2024-0067</t>
  </si>
  <si>
    <t xml:space="preserve">Precious Mahlangu</t>
  </si>
  <si>
    <t xml:space="preserve">2007-08-14</t>
  </si>
  <si>
    <t xml:space="preserve">p.mahlangu@templumis.ac</t>
  </si>
  <si>
    <t xml:space="preserve">+27712345067</t>
  </si>
  <si>
    <t xml:space="preserve">TU-2022-0068</t>
  </si>
  <si>
    <t xml:space="preserve">Kagiso Mokoena</t>
  </si>
  <si>
    <t xml:space="preserve">2005-09-15</t>
  </si>
  <si>
    <t xml:space="preserve">k.mokoena@templumis.ac</t>
  </si>
  <si>
    <t xml:space="preserve">+27712345068</t>
  </si>
  <si>
    <t xml:space="preserve">TU-2025-0069</t>
  </si>
  <si>
    <t xml:space="preserve">Palesa Sithole</t>
  </si>
  <si>
    <t xml:space="preserve">2008-10-16</t>
  </si>
  <si>
    <t xml:space="preserve">p.sithole@templumis.ac</t>
  </si>
  <si>
    <t xml:space="preserve">+27712345069</t>
  </si>
  <si>
    <t xml:space="preserve">TU-2023-0070</t>
  </si>
  <si>
    <t xml:space="preserve">Mandla Cele</t>
  </si>
  <si>
    <t xml:space="preserve">2006-11-17</t>
  </si>
  <si>
    <t xml:space="preserve">m.cele@templumis.ac</t>
  </si>
  <si>
    <t xml:space="preserve">+27712345070</t>
  </si>
  <si>
    <t xml:space="preserve">TU-2022-0071</t>
  </si>
  <si>
    <t xml:space="preserve">Zanele Ngcobo</t>
  </si>
  <si>
    <t xml:space="preserve">2005-12-18</t>
  </si>
  <si>
    <t xml:space="preserve">z.ngcobo@templumis.ac</t>
  </si>
  <si>
    <t xml:space="preserve">+27712345071</t>
  </si>
  <si>
    <t xml:space="preserve">Chronic Illness (Type 1 Diabetes)</t>
  </si>
  <si>
    <t xml:space="preserve">Flexible exam scheduling around medical management; rest breaks</t>
  </si>
  <si>
    <t xml:space="preserve">TU-2024-0072</t>
  </si>
  <si>
    <t xml:space="preserve">Tshepo Molefe</t>
  </si>
  <si>
    <t xml:space="preserve">2007-01-19</t>
  </si>
  <si>
    <t xml:space="preserve">t.molefe@templumis.ac</t>
  </si>
  <si>
    <t xml:space="preserve">+27712345072</t>
  </si>
  <si>
    <t xml:space="preserve">TU-2025-0073</t>
  </si>
  <si>
    <t xml:space="preserve">Ayanda Radebe</t>
  </si>
  <si>
    <t xml:space="preserve">2008-02-20</t>
  </si>
  <si>
    <t xml:space="preserve">a.radebe@templumis.ac</t>
  </si>
  <si>
    <t xml:space="preserve">+27712345073</t>
  </si>
  <si>
    <t xml:space="preserve">TU-PG-2025-0074</t>
  </si>
  <si>
    <t xml:space="preserve">Karabo Mokwena</t>
  </si>
  <si>
    <t xml:space="preserve">2002-03-21</t>
  </si>
  <si>
    <t xml:space="preserve">k.mokwena@templumis.ac</t>
  </si>
  <si>
    <t xml:space="preserve">+27712345074</t>
  </si>
  <si>
    <t xml:space="preserve">MSc (Coursework) — Data Science</t>
  </si>
  <si>
    <t xml:space="preserve">TU-PG-2025-0075</t>
  </si>
  <si>
    <t xml:space="preserve">Onthatile Sekgota</t>
  </si>
  <si>
    <t xml:space="preserve">2002-04-22</t>
  </si>
  <si>
    <t xml:space="preserve">o.sekgota@templumis.ac</t>
  </si>
  <si>
    <t xml:space="preserve">+27712345075</t>
  </si>
  <si>
    <t xml:space="preserve">Ms. Ruth Kariuki</t>
  </si>
  <si>
    <t xml:space="preserve">MBA (Coursework) — Business Administration</t>
  </si>
  <si>
    <t xml:space="preserve">Orientation ✓ | Core Modules In Progress</t>
  </si>
  <si>
    <t xml:space="preserve">Complete Semester 1 Coursework</t>
  </si>
  <si>
    <t xml:space="preserve">TU-PG-2024-0076</t>
  </si>
  <si>
    <t xml:space="preserve">Refilwe Motaung</t>
  </si>
  <si>
    <t xml:space="preserve">2001-05-23</t>
  </si>
  <si>
    <t xml:space="preserve">r.motaung@templumis.ac</t>
  </si>
  <si>
    <t xml:space="preserve">+27712345076</t>
  </si>
  <si>
    <t xml:space="preserve">Educational Leadership</t>
  </si>
  <si>
    <t xml:space="preserve">MEd (Coursework) — Educational Leadership</t>
  </si>
  <si>
    <t xml:space="preserve">TU-PG-2024-0077</t>
  </si>
  <si>
    <t xml:space="preserve">Sibusiso Ndlovu</t>
  </si>
  <si>
    <t xml:space="preserve">2001-06-24</t>
  </si>
  <si>
    <t xml:space="preserve">s.ndlovu@templumis.ac</t>
  </si>
  <si>
    <t xml:space="preserve">+27712345077</t>
  </si>
  <si>
    <t xml:space="preserve">Youth Unemployment and Social Cohesion in Post-Apartheid Urban Townships</t>
  </si>
  <si>
    <t xml:space="preserve">Dr. Zawadi Amani</t>
  </si>
  <si>
    <t xml:space="preserve">Sociology — NSFAS-funded postgraduate research</t>
  </si>
  <si>
    <t xml:space="preserve">Registered ✓ | Lit Review ✓ | Fieldwork Instruments Approved ✓ | Data Collection Ongoing</t>
  </si>
  <si>
    <t xml:space="preserve">Complete Fieldwork &amp; Begin Thematic Analysis</t>
  </si>
  <si>
    <t xml:space="preserve">Conference Paper: SA Sociological Association Colloquium 2025 (submitted)</t>
  </si>
  <si>
    <t xml:space="preserve">TU-PG-2024-0078</t>
  </si>
  <si>
    <t xml:space="preserve">Naledi Motshegwa</t>
  </si>
  <si>
    <t xml:space="preserve">2001-07-25</t>
  </si>
  <si>
    <t xml:space="preserve">n.motshegwa@templumis.ac</t>
  </si>
  <si>
    <t xml:space="preserve">+27712345078</t>
  </si>
  <si>
    <t xml:space="preserve">Climate-Resilient Water Resource Management in the Limpopo Basin</t>
  </si>
  <si>
    <t xml:space="preserve">Literature Review</t>
  </si>
  <si>
    <t xml:space="preserve">Environmental Science — NSFAS-funded postgraduate research</t>
  </si>
  <si>
    <t xml:space="preserve">Registered ✓ | Proposal Approved ✓ | Ethics Clearance ✓</t>
  </si>
  <si>
    <t xml:space="preserve">Begin Water-Quality Field Sampling (Limpopo Basin Sites)</t>
  </si>
  <si>
    <t xml:space="preserve">N/A — appeal on household income verification lodged; disbursement pending outcome</t>
  </si>
  <si>
    <t xml:space="preserve">TU-PHD-2024-0079</t>
  </si>
  <si>
    <t xml:space="preserve">Vusi Maseko</t>
  </si>
  <si>
    <t xml:space="preserve">2001-08-26</t>
  </si>
  <si>
    <t xml:space="preserve">v.maseko@templumis.ac</t>
  </si>
  <si>
    <t xml:space="preserve">+27712345079</t>
  </si>
  <si>
    <t xml:space="preserve">Federated Edge Intelligence for Low-Connectivity Rural Healthcare Networks</t>
  </si>
  <si>
    <t xml:space="preserve">Candidacy Confirmed — Data Collection</t>
  </si>
  <si>
    <t xml:space="preserve">Computer Science — NSFAS-funded postgraduate research</t>
  </si>
  <si>
    <t xml:space="preserve">Enrolled ✓ | Foundation CW ✓ | Proposal Defended ✓ | Candidacy Confirmed ✓ | Edge Testbed Deployed ✓</t>
  </si>
  <si>
    <t xml:space="preserve">Complete Rural Clinic Data Collection (3 sites) &amp; Begin Federated Model Training</t>
  </si>
  <si>
    <t xml:space="preserve">Poster: African AI Summit 2025 | Working Paper: IEEE IoT Journal (in preparation)</t>
  </si>
  <si>
    <t xml:space="preserve">Ground-floor lab access; extended fieldwork/lab timelines</t>
  </si>
  <si>
    <t xml:space="preserve">TU-PHD-2023-0080</t>
  </si>
  <si>
    <t xml:space="preserve">Thandeka Buthelezi</t>
  </si>
  <si>
    <t xml:space="preserve">2000-09-27</t>
  </si>
  <si>
    <t xml:space="preserve">t.buthelezi@templumis.ac</t>
  </si>
  <si>
    <t xml:space="preserve">+27712345080</t>
  </si>
  <si>
    <t xml:space="preserve">Community Health Worker Models for NCD Screening in Peri-Urban Kenya</t>
  </si>
  <si>
    <t xml:space="preserve">Thesis Writing</t>
  </si>
  <si>
    <t xml:space="preserve">Public Health — NSFAS-funded postgraduate research</t>
  </si>
  <si>
    <t xml:space="preserve">Enrolled ✓ | Coursework ✓ | Proposal Defended ✓ | Data Collection ✓ | Analysis Underway</t>
  </si>
  <si>
    <t xml:space="preserve">Complete Thesis Draft Chapters 4–5 &amp; Schedule Internal Review</t>
  </si>
  <si>
    <t xml:space="preserve">Working Paper: BMC Public Health (under review) | Policy Brief: County Health Dept.</t>
  </si>
  <si>
    <t xml:space="preserve">TU-PG-2025-0081</t>
  </si>
  <si>
    <t xml:space="preserve">Given Mthembu</t>
  </si>
  <si>
    <t xml:space="preserve">2002-10-01</t>
  </si>
  <si>
    <t xml:space="preserve">g.mthembu@templumis.ac</t>
  </si>
  <si>
    <t xml:space="preserve">+27712345081</t>
  </si>
  <si>
    <t xml:space="preserve">MA (Coursework) — Economics</t>
  </si>
  <si>
    <t xml:space="preserve">Orientation ✓ | Semester 1 Coursework — Incomplete</t>
  </si>
  <si>
    <t xml:space="preserve">Academic Progress Review Meeting with Programme Coordinator (NSFAS continuation at risk)</t>
  </si>
  <si>
    <t xml:space="preserve">course_code</t>
  </si>
  <si>
    <t xml:space="preserve">title</t>
  </si>
  <si>
    <t xml:space="preserve">instructor</t>
  </si>
  <si>
    <t xml:space="preserve">credits</t>
  </si>
  <si>
    <t xml:space="preserve">enrolled_count</t>
  </si>
  <si>
    <t xml:space="preserve">type</t>
  </si>
  <si>
    <t xml:space="preserve">schedule</t>
  </si>
  <si>
    <t xml:space="preserve">room</t>
  </si>
  <si>
    <t xml:space="preserve">CS301</t>
  </si>
  <si>
    <t xml:space="preserve">Data Structures &amp; Algorithms</t>
  </si>
  <si>
    <t xml:space="preserve">Core</t>
  </si>
  <si>
    <t xml:space="preserve">Mon/Wed 8–10am</t>
  </si>
  <si>
    <t xml:space="preserve">LH-201</t>
  </si>
  <si>
    <t xml:space="preserve">CS201</t>
  </si>
  <si>
    <t xml:space="preserve">Object-Oriented Programming</t>
  </si>
  <si>
    <t xml:space="preserve">Tue/Thu 10–12pm</t>
  </si>
  <si>
    <t xml:space="preserve">LH-202</t>
  </si>
  <si>
    <t xml:space="preserve">ECO201</t>
  </si>
  <si>
    <t xml:space="preserve">Microeconomics</t>
  </si>
  <si>
    <t xml:space="preserve">Mon/Wed 2–4pm</t>
  </si>
  <si>
    <t xml:space="preserve">BH-101</t>
  </si>
  <si>
    <t xml:space="preserve">ACC301</t>
  </si>
  <si>
    <t xml:space="preserve">Intermediate Accounting</t>
  </si>
  <si>
    <t xml:space="preserve">Tue/Thu 8–10am</t>
  </si>
  <si>
    <t xml:space="preserve">BH-102</t>
  </si>
  <si>
    <t xml:space="preserve">CE401</t>
  </si>
  <si>
    <t xml:space="preserve">Structural Engineering</t>
  </si>
  <si>
    <t xml:space="preserve">Mon 8–12pm</t>
  </si>
  <si>
    <t xml:space="preserve">EH-301</t>
  </si>
  <si>
    <t xml:space="preserve">EE401</t>
  </si>
  <si>
    <t xml:space="preserve">Power Systems</t>
  </si>
  <si>
    <t xml:space="preserve">Prof. James Mwema</t>
  </si>
  <si>
    <t xml:space="preserve">Wed 8–12pm</t>
  </si>
  <si>
    <t xml:space="preserve">EH-302</t>
  </si>
  <si>
    <t xml:space="preserve">LAW301</t>
  </si>
  <si>
    <t xml:space="preserve">Contract Law</t>
  </si>
  <si>
    <t xml:space="preserve">Prof. Adhiambo Orengo</t>
  </si>
  <si>
    <t xml:space="preserve">Tue/Thu 2–4pm</t>
  </si>
  <si>
    <t xml:space="preserve">LW-101</t>
  </si>
  <si>
    <t xml:space="preserve">BCH201</t>
  </si>
  <si>
    <t xml:space="preserve">Biochemistry I</t>
  </si>
  <si>
    <t xml:space="preserve">Dr. Mwangi Kiarie</t>
  </si>
  <si>
    <t xml:space="preserve">Mon/Wed 10–12pm</t>
  </si>
  <si>
    <t xml:space="preserve">SC-201</t>
  </si>
  <si>
    <t xml:space="preserve">NUR301</t>
  </si>
  <si>
    <t xml:space="preserve">Clinical Nursing Practice</t>
  </si>
  <si>
    <t xml:space="preserve">Fri 8am–2pm</t>
  </si>
  <si>
    <t xml:space="preserve">HS-401</t>
  </si>
  <si>
    <t xml:space="preserve">EDU201</t>
  </si>
  <si>
    <t xml:space="preserve">Curriculum Development</t>
  </si>
  <si>
    <t xml:space="preserve">Tue/Thu 12–2pm</t>
  </si>
  <si>
    <t xml:space="preserve">ED-101</t>
  </si>
  <si>
    <t xml:space="preserve">SOC201</t>
  </si>
  <si>
    <t xml:space="preserve">Sociological Theory</t>
  </si>
  <si>
    <t xml:space="preserve">Mon/Wed 12–2pm</t>
  </si>
  <si>
    <t xml:space="preserve">SS-101</t>
  </si>
  <si>
    <t xml:space="preserve">COM101</t>
  </si>
  <si>
    <t xml:space="preserve">Introduction to Mass Media</t>
  </si>
  <si>
    <t xml:space="preserve">Mon/Wed 4–6pm</t>
  </si>
  <si>
    <t xml:space="preserve">AR-101</t>
  </si>
  <si>
    <t xml:space="preserve">MATH201</t>
  </si>
  <si>
    <t xml:space="preserve">Calculus II</t>
  </si>
  <si>
    <t xml:space="preserve">Prof. Kipkemoi Ruto</t>
  </si>
  <si>
    <t xml:space="preserve">Mon–Thu 7–8am</t>
  </si>
  <si>
    <t xml:space="preserve">SC-101</t>
  </si>
  <si>
    <t xml:space="preserve">STAT201</t>
  </si>
  <si>
    <t xml:space="preserve">Probability &amp; Statistics</t>
  </si>
  <si>
    <t xml:space="preserve">Tue/Thu 4–6pm</t>
  </si>
  <si>
    <t xml:space="preserve">SC-102</t>
  </si>
  <si>
    <t xml:space="preserve">IT201</t>
  </si>
  <si>
    <t xml:space="preserve">Database Management Systems</t>
  </si>
  <si>
    <t xml:space="preserve">Wed/Fri 10–12pm</t>
  </si>
  <si>
    <t xml:space="preserve">LH-203</t>
  </si>
  <si>
    <t xml:space="preserve">ENV201</t>
  </si>
  <si>
    <t xml:space="preserve">Environmental Ecology</t>
  </si>
  <si>
    <t xml:space="preserve">Elective</t>
  </si>
  <si>
    <t xml:space="preserve">Fri 10am–1pm</t>
  </si>
  <si>
    <t xml:space="preserve">SC-301</t>
  </si>
  <si>
    <t xml:space="preserve">FIN201</t>
  </si>
  <si>
    <t xml:space="preserve">Principles of Finance</t>
  </si>
  <si>
    <t xml:space="preserve">Mr. Odhiambo Yusuf</t>
  </si>
  <si>
    <t xml:space="preserve">BH-103</t>
  </si>
  <si>
    <t xml:space="preserve">PHAR301</t>
  </si>
  <si>
    <t xml:space="preserve">Pharmacology I</t>
  </si>
  <si>
    <t xml:space="preserve">HS-201</t>
  </si>
  <si>
    <t xml:space="preserve">CS101</t>
  </si>
  <si>
    <t xml:space="preserve">Introduction to Programming</t>
  </si>
  <si>
    <t xml:space="preserve">LH-101</t>
  </si>
  <si>
    <t xml:space="preserve">GEN101</t>
  </si>
  <si>
    <t xml:space="preserve">Communication Skills</t>
  </si>
  <si>
    <t xml:space="preserve">Fri 2–4pm</t>
  </si>
  <si>
    <t xml:space="preserve">AR-201</t>
  </si>
  <si>
    <t xml:space="preserve">PGR601</t>
  </si>
  <si>
    <t xml:space="preserve">Research Methods &amp; Academic Writing</t>
  </si>
  <si>
    <t xml:space="preserve">Graduate School</t>
  </si>
  <si>
    <t xml:space="preserve">Dr. Susan Wangari</t>
  </si>
  <si>
    <t xml:space="preserve">PG Core</t>
  </si>
  <si>
    <t xml:space="preserve">PG-Lab-01</t>
  </si>
  <si>
    <t xml:space="preserve">PGR602</t>
  </si>
  <si>
    <t xml:space="preserve">Thesis Writing &amp; Scholarly Communication</t>
  </si>
  <si>
    <t xml:space="preserve">Fri 9–11am</t>
  </si>
  <si>
    <t xml:space="preserve">PGR603</t>
  </si>
  <si>
    <t xml:space="preserve">Graduate Research Colloquium &amp; Seminar</t>
  </si>
  <si>
    <t xml:space="preserve">Wed 4–5pm</t>
  </si>
  <si>
    <t xml:space="preserve">PG-Seminar</t>
  </si>
  <si>
    <t xml:space="preserve">PGR604</t>
  </si>
  <si>
    <t xml:space="preserve">Research Ethics, Integrity &amp; Publishing</t>
  </si>
  <si>
    <t xml:space="preserve">Tue 4–5pm</t>
  </si>
  <si>
    <t xml:space="preserve">PG-Lab-02</t>
  </si>
  <si>
    <t xml:space="preserve">MBA601</t>
  </si>
  <si>
    <t xml:space="preserve">Strategic Leadership &amp; Corporate Governance</t>
  </si>
  <si>
    <t xml:space="preserve">MBA Core</t>
  </si>
  <si>
    <t xml:space="preserve">BH-301</t>
  </si>
  <si>
    <t xml:space="preserve">MBA602</t>
  </si>
  <si>
    <t xml:space="preserve">Advanced Financial Management</t>
  </si>
  <si>
    <t xml:space="preserve">BH-302</t>
  </si>
  <si>
    <t xml:space="preserve">MBA603</t>
  </si>
  <si>
    <t xml:space="preserve">Innovation, Entrepreneurship &amp; Strategy</t>
  </si>
  <si>
    <t xml:space="preserve">Fri 9am–12pm</t>
  </si>
  <si>
    <t xml:space="preserve">BH-303</t>
  </si>
  <si>
    <t xml:space="preserve">MSC601</t>
  </si>
  <si>
    <t xml:space="preserve">Advanced Data Science &amp; Machine Learning</t>
  </si>
  <si>
    <t xml:space="preserve">MSc Core</t>
  </si>
  <si>
    <t xml:space="preserve">LH-301</t>
  </si>
  <si>
    <t xml:space="preserve">MSC602</t>
  </si>
  <si>
    <t xml:space="preserve">Advanced Environmental Research Methods</t>
  </si>
  <si>
    <t xml:space="preserve">SC-401</t>
  </si>
  <si>
    <t xml:space="preserve">PHD701</t>
  </si>
  <si>
    <t xml:space="preserve">Advanced Research Design &amp; Epistemology</t>
  </si>
  <si>
    <t xml:space="preserve">PhD Core</t>
  </si>
  <si>
    <t xml:space="preserve">PHD702</t>
  </si>
  <si>
    <t xml:space="preserve">Doctoral Seminar Series</t>
  </si>
  <si>
    <t xml:space="preserve">Fri 3–4pm</t>
  </si>
  <si>
    <t xml:space="preserve">PHD703</t>
  </si>
  <si>
    <t xml:space="preserve">PhD Comprehensive Exam Preparation</t>
  </si>
  <si>
    <t xml:space="preserve">Mon 4–6pm</t>
  </si>
  <si>
    <t xml:space="preserve">KT-CS101</t>
  </si>
  <si>
    <t xml:space="preserve">Sun/Tue 8–10am</t>
  </si>
  <si>
    <t xml:space="preserve">CSB-101</t>
  </si>
  <si>
    <t xml:space="preserve">KT-CS201</t>
  </si>
  <si>
    <t xml:space="preserve">CSB-102</t>
  </si>
  <si>
    <t xml:space="preserve">KT-CS301</t>
  </si>
  <si>
    <t xml:space="preserve">Dr. Nabil Farouk</t>
  </si>
  <si>
    <t xml:space="preserve">Sun/Tue 12–2pm</t>
  </si>
  <si>
    <t xml:space="preserve">CSB-201</t>
  </si>
  <si>
    <t xml:space="preserve">KT-SE201</t>
  </si>
  <si>
    <t xml:space="preserve">Object-Oriented Software Design</t>
  </si>
  <si>
    <t xml:space="preserve">SEB-101</t>
  </si>
  <si>
    <t xml:space="preserve">KT-SE301</t>
  </si>
  <si>
    <t xml:space="preserve">DevOps &amp; Cloud-Native Engineering</t>
  </si>
  <si>
    <t xml:space="preserve">SEB-201</t>
  </si>
  <si>
    <t xml:space="preserve">KT-DS201</t>
  </si>
  <si>
    <t xml:space="preserve">Statistics &amp; Probability for Data Science</t>
  </si>
  <si>
    <t xml:space="preserve">Sun–Wed 7–8am</t>
  </si>
  <si>
    <t xml:space="preserve">DSB-101</t>
  </si>
  <si>
    <t xml:space="preserve">KT-DS301</t>
  </si>
  <si>
    <t xml:space="preserve">Machine Learning Foundations</t>
  </si>
  <si>
    <t xml:space="preserve">DSB-201</t>
  </si>
  <si>
    <t xml:space="preserve">KT-DS401</t>
  </si>
  <si>
    <t xml:space="preserve">Deep Learning &amp; Neural Networks</t>
  </si>
  <si>
    <t xml:space="preserve">DSB-202</t>
  </si>
  <si>
    <t xml:space="preserve">KT-IT201</t>
  </si>
  <si>
    <t xml:space="preserve">Networks &amp; Systems Administration</t>
  </si>
  <si>
    <t xml:space="preserve">Sun/Tue 2–4pm</t>
  </si>
  <si>
    <t xml:space="preserve">ITB-101</t>
  </si>
  <si>
    <t xml:space="preserve">KT-IT301</t>
  </si>
  <si>
    <t xml:space="preserve">Cybersecurity Fundamentals</t>
  </si>
  <si>
    <t xml:space="preserve">ITB-201</t>
  </si>
  <si>
    <t xml:space="preserve">KT-IT302</t>
  </si>
  <si>
    <t xml:space="preserve">Digital Forensics &amp; Incident Response</t>
  </si>
  <si>
    <t xml:space="preserve">Thu 10am–1pm</t>
  </si>
  <si>
    <t xml:space="preserve">ITB-202</t>
  </si>
  <si>
    <t xml:space="preserve">KT-FT201</t>
  </si>
  <si>
    <t xml:space="preserve">Principles of Financial Technology</t>
  </si>
  <si>
    <t xml:space="preserve">Sun/Tue 10–12pm</t>
  </si>
  <si>
    <t xml:space="preserve">FTB-101</t>
  </si>
  <si>
    <t xml:space="preserve">KT-FT301</t>
  </si>
  <si>
    <t xml:space="preserve">Blockchain &amp; Digital Currencies</t>
  </si>
  <si>
    <t xml:space="preserve">Wed 2–5pm</t>
  </si>
  <si>
    <t xml:space="preserve">FTB-201</t>
  </si>
  <si>
    <t xml:space="preserve">KT-GEN101</t>
  </si>
  <si>
    <t xml:space="preserve">Academic &amp; Professional Communication</t>
  </si>
  <si>
    <t xml:space="preserve">Thu 2–4pm</t>
  </si>
  <si>
    <t xml:space="preserve">GSB-101</t>
  </si>
  <si>
    <t xml:space="preserve">KT-MATH201</t>
  </si>
  <si>
    <t xml:space="preserve">Discrete Mathematics</t>
  </si>
  <si>
    <t xml:space="preserve">CSB-103</t>
  </si>
  <si>
    <t xml:space="preserve">KT-PGR601</t>
  </si>
  <si>
    <t xml:space="preserve">GS-Lab-01</t>
  </si>
  <si>
    <t xml:space="preserve">KT-PGR602</t>
  </si>
  <si>
    <t xml:space="preserve">Thu 9–11am</t>
  </si>
  <si>
    <t xml:space="preserve">KT-PGR603</t>
  </si>
  <si>
    <t xml:space="preserve">GS-Seminar</t>
  </si>
  <si>
    <t xml:space="preserve">KT-MBA601</t>
  </si>
  <si>
    <t xml:space="preserve">Digital Transformation &amp; Tech Strategy</t>
  </si>
  <si>
    <t xml:space="preserve">FTB-301</t>
  </si>
  <si>
    <t xml:space="preserve">KT-MSC601</t>
  </si>
  <si>
    <t xml:space="preserve">Advanced Machine Learning &amp; AI Systems</t>
  </si>
  <si>
    <t xml:space="preserve">DSB-301</t>
  </si>
  <si>
    <t xml:space="preserve">KT-PHD701</t>
  </si>
  <si>
    <t xml:space="preserve">GS-Lab-02</t>
  </si>
  <si>
    <t xml:space="preserve">KT-PHD702</t>
  </si>
  <si>
    <t xml:space="preserve">Thu 3–4pm</t>
  </si>
  <si>
    <t xml:space="preserve">RU-EDU101</t>
  </si>
  <si>
    <t xml:space="preserve">Foundations of Education</t>
  </si>
  <si>
    <t xml:space="preserve">EDU-101</t>
  </si>
  <si>
    <t xml:space="preserve">RU-EDU201</t>
  </si>
  <si>
    <t xml:space="preserve">Dr. Caren Mobegi</t>
  </si>
  <si>
    <t xml:space="preserve">EDU-102</t>
  </si>
  <si>
    <t xml:space="preserve">RU-BUS201</t>
  </si>
  <si>
    <t xml:space="preserve">Principles of Human Resource Management</t>
  </si>
  <si>
    <t xml:space="preserve">BUS-101</t>
  </si>
  <si>
    <t xml:space="preserve">RU-BUS301</t>
  </si>
  <si>
    <t xml:space="preserve">Financial Accounting III</t>
  </si>
  <si>
    <t xml:space="preserve">Mr. Geoffrey Okumu</t>
  </si>
  <si>
    <t xml:space="preserve">BUS-201</t>
  </si>
  <si>
    <t xml:space="preserve">RU-ICM201</t>
  </si>
  <si>
    <t xml:space="preserve">Newswriting &amp; Reporting</t>
  </si>
  <si>
    <t xml:space="preserve">ICM-101</t>
  </si>
  <si>
    <t xml:space="preserve">RU-ICM301</t>
  </si>
  <si>
    <t xml:space="preserve">Development Communication</t>
  </si>
  <si>
    <t xml:space="preserve">ICM-201</t>
  </si>
  <si>
    <t xml:space="preserve">RU-ASS201</t>
  </si>
  <si>
    <t xml:space="preserve">Introduction to Sociology</t>
  </si>
  <si>
    <t xml:space="preserve">Dr. Monica Bichang'a</t>
  </si>
  <si>
    <t xml:space="preserve">ASS-101</t>
  </si>
  <si>
    <t xml:space="preserve">RU-ASS301</t>
  </si>
  <si>
    <t xml:space="preserve">Political Systems &amp; Governance</t>
  </si>
  <si>
    <t xml:space="preserve">Mr. Tom Onkoba</t>
  </si>
  <si>
    <t xml:space="preserve">ASS-201</t>
  </si>
  <si>
    <t xml:space="preserve">RU-STE201</t>
  </si>
  <si>
    <t xml:space="preserve">STE-101</t>
  </si>
  <si>
    <t xml:space="preserve">RU-STE301</t>
  </si>
  <si>
    <t xml:space="preserve">Database Systems</t>
  </si>
  <si>
    <t xml:space="preserve">STE-201</t>
  </si>
  <si>
    <t xml:space="preserve">RU-STE302</t>
  </si>
  <si>
    <t xml:space="preserve">Electrical Circuit Theory</t>
  </si>
  <si>
    <t xml:space="preserve">Mr. Dennis Kiboi</t>
  </si>
  <si>
    <t xml:space="preserve">Mon 8am–12pm</t>
  </si>
  <si>
    <t xml:space="preserve">STE-202</t>
  </si>
  <si>
    <t xml:space="preserve">RU-STE201B</t>
  </si>
  <si>
    <t xml:space="preserve">Dr. Millicent Abong'o</t>
  </si>
  <si>
    <t xml:space="preserve">STE-102</t>
  </si>
  <si>
    <t xml:space="preserve">RU-ANR201</t>
  </si>
  <si>
    <t xml:space="preserve">Principles of Crop Production</t>
  </si>
  <si>
    <t xml:space="preserve">ANR-101</t>
  </si>
  <si>
    <t xml:space="preserve">RU-ANR301</t>
  </si>
  <si>
    <t xml:space="preserve">Environmental Impact Assessment</t>
  </si>
  <si>
    <t xml:space="preserve">Dr. Joyce Kemunto</t>
  </si>
  <si>
    <t xml:space="preserve">Fri 2–5pm</t>
  </si>
  <si>
    <t xml:space="preserve">ANR-201</t>
  </si>
  <si>
    <t xml:space="preserve">RU-ANR302</t>
  </si>
  <si>
    <t xml:space="preserve">Agribusiness &amp; Value Chain Management</t>
  </si>
  <si>
    <t xml:space="preserve">ANR-202</t>
  </si>
  <si>
    <t xml:space="preserve">RU-GEN101</t>
  </si>
  <si>
    <t xml:space="preserve">Directorate of Graduate Studies</t>
  </si>
  <si>
    <t xml:space="preserve">GS-101</t>
  </si>
  <si>
    <t xml:space="preserve">RU-PGR601</t>
  </si>
  <si>
    <t xml:space="preserve">RU-PGR602</t>
  </si>
  <si>
    <t xml:space="preserve">RU-PGR603</t>
  </si>
  <si>
    <t xml:space="preserve">RU-MBA601</t>
  </si>
  <si>
    <t xml:space="preserve">Strategic Leadership &amp; Governance</t>
  </si>
  <si>
    <t xml:space="preserve">BUS-301</t>
  </si>
  <si>
    <t xml:space="preserve">RU-MED601</t>
  </si>
  <si>
    <t xml:space="preserve">Educational Leadership &amp; Policy</t>
  </si>
  <si>
    <t xml:space="preserve">MEd Core</t>
  </si>
  <si>
    <t xml:space="preserve">EDU-301</t>
  </si>
  <si>
    <t xml:space="preserve">RU-PHD701</t>
  </si>
  <si>
    <t xml:space="preserve">RU-PHD702</t>
  </si>
  <si>
    <t xml:space="preserve">enrolment_id</t>
  </si>
  <si>
    <t xml:space="preserve">student_name</t>
  </si>
  <si>
    <t xml:space="preserve">course_title</t>
  </si>
  <si>
    <t xml:space="preserve">enrol_date</t>
  </si>
  <si>
    <t xml:space="preserve">midterm_score</t>
  </si>
  <si>
    <t xml:space="preserve">current_grade</t>
  </si>
  <si>
    <t xml:space="preserve">ENR-0001</t>
  </si>
  <si>
    <t xml:space="preserve">Enrolled</t>
  </si>
  <si>
    <t xml:space="preserve">ENR-0002</t>
  </si>
  <si>
    <t xml:space="preserve">ENR-0003</t>
  </si>
  <si>
    <t xml:space="preserve">ENR-0004</t>
  </si>
  <si>
    <t xml:space="preserve">ENR-0005</t>
  </si>
  <si>
    <t xml:space="preserve">ENR-0006</t>
  </si>
  <si>
    <t xml:space="preserve">ENR-0007</t>
  </si>
  <si>
    <t xml:space="preserve">ENR-0008</t>
  </si>
  <si>
    <t xml:space="preserve">ENR-0009</t>
  </si>
  <si>
    <t xml:space="preserve">ENR-0010</t>
  </si>
  <si>
    <t xml:space="preserve">ENR-0011</t>
  </si>
  <si>
    <t xml:space="preserve">ENR-0012</t>
  </si>
  <si>
    <t xml:space="preserve">ENR-0013</t>
  </si>
  <si>
    <t xml:space="preserve">ENR-0014</t>
  </si>
  <si>
    <t xml:space="preserve">ENR-0015</t>
  </si>
  <si>
    <t xml:space="preserve">ENR-0016</t>
  </si>
  <si>
    <t xml:space="preserve">ENR-0017</t>
  </si>
  <si>
    <t xml:space="preserve">ENR-0018</t>
  </si>
  <si>
    <t xml:space="preserve">ENR-0019</t>
  </si>
  <si>
    <t xml:space="preserve">ENR-0020</t>
  </si>
  <si>
    <t xml:space="preserve">ENR-0021</t>
  </si>
  <si>
    <t xml:space="preserve">ENR-0022</t>
  </si>
  <si>
    <t xml:space="preserve">ENR-0023</t>
  </si>
  <si>
    <t xml:space="preserve">ENR-0024</t>
  </si>
  <si>
    <t xml:space="preserve">ENR-0025</t>
  </si>
  <si>
    <t xml:space="preserve">ENR-0026</t>
  </si>
  <si>
    <t xml:space="preserve">ENR-0027</t>
  </si>
  <si>
    <t xml:space="preserve">ENR-0028</t>
  </si>
  <si>
    <t xml:space="preserve">ENR-0029</t>
  </si>
  <si>
    <t xml:space="preserve">ENR-0030</t>
  </si>
  <si>
    <t xml:space="preserve">ENR-0031</t>
  </si>
  <si>
    <t xml:space="preserve">ENR-0032</t>
  </si>
  <si>
    <t xml:space="preserve">ENR-0033</t>
  </si>
  <si>
    <t xml:space="preserve">ENR-0034</t>
  </si>
  <si>
    <t xml:space="preserve">ENR-0035</t>
  </si>
  <si>
    <t xml:space="preserve">ENR-0036</t>
  </si>
  <si>
    <t xml:space="preserve">ENR-0037</t>
  </si>
  <si>
    <t xml:space="preserve">ENR-0038</t>
  </si>
  <si>
    <t xml:space="preserve">ENR-0039</t>
  </si>
  <si>
    <t xml:space="preserve">ENR-0040</t>
  </si>
  <si>
    <t xml:space="preserve">ENR-0041</t>
  </si>
  <si>
    <t xml:space="preserve">ENR-0042</t>
  </si>
  <si>
    <t xml:space="preserve">ENR-0043</t>
  </si>
  <si>
    <t xml:space="preserve">ENR-0044</t>
  </si>
  <si>
    <t xml:space="preserve">Dropped</t>
  </si>
  <si>
    <t xml:space="preserve">ENR-0045</t>
  </si>
  <si>
    <t xml:space="preserve">ENR-0046</t>
  </si>
  <si>
    <t xml:space="preserve">ENR-0047</t>
  </si>
  <si>
    <t xml:space="preserve">ENR-0048</t>
  </si>
  <si>
    <t xml:space="preserve">ENR-0049</t>
  </si>
  <si>
    <t xml:space="preserve">ENR-0050</t>
  </si>
  <si>
    <t xml:space="preserve">ENR-0051</t>
  </si>
  <si>
    <t xml:space="preserve">ENR-0052</t>
  </si>
  <si>
    <t xml:space="preserve">ENR-0053</t>
  </si>
  <si>
    <t xml:space="preserve">ENR-0054</t>
  </si>
  <si>
    <t xml:space="preserve">ENR-0055</t>
  </si>
  <si>
    <t xml:space="preserve">ENR-0056</t>
  </si>
  <si>
    <t xml:space="preserve">ENR-0057</t>
  </si>
  <si>
    <t xml:space="preserve">ENR-0058</t>
  </si>
  <si>
    <t xml:space="preserve">ENR-0059</t>
  </si>
  <si>
    <t xml:space="preserve">ENR-0060</t>
  </si>
  <si>
    <t xml:space="preserve">ENR-0061</t>
  </si>
  <si>
    <t xml:space="preserve">ENR-0062</t>
  </si>
  <si>
    <t xml:space="preserve">ENR-0063</t>
  </si>
  <si>
    <t xml:space="preserve">ENR-0064</t>
  </si>
  <si>
    <t xml:space="preserve">ENR-0065</t>
  </si>
  <si>
    <t xml:space="preserve">ENR-0066</t>
  </si>
  <si>
    <t xml:space="preserve">ENR-0067</t>
  </si>
  <si>
    <t xml:space="preserve">ENR-0068</t>
  </si>
  <si>
    <t xml:space="preserve">ENR-0069</t>
  </si>
  <si>
    <t xml:space="preserve">ENR-0070</t>
  </si>
  <si>
    <t xml:space="preserve">ENR-0071</t>
  </si>
  <si>
    <t xml:space="preserve">ENR-0072</t>
  </si>
  <si>
    <t xml:space="preserve">ENR-0073</t>
  </si>
  <si>
    <t xml:space="preserve">ENR-0074</t>
  </si>
  <si>
    <t xml:space="preserve">ENR-0075</t>
  </si>
  <si>
    <t xml:space="preserve">ENR-0076</t>
  </si>
  <si>
    <t xml:space="preserve">ENR-0077</t>
  </si>
  <si>
    <t xml:space="preserve">ENR-0078</t>
  </si>
  <si>
    <t xml:space="preserve">ENR-0079</t>
  </si>
  <si>
    <t xml:space="preserve">ENR-0080</t>
  </si>
  <si>
    <t xml:space="preserve">ENR-0081</t>
  </si>
  <si>
    <t xml:space="preserve">ENR-0082</t>
  </si>
  <si>
    <t xml:space="preserve">ENR-0083</t>
  </si>
  <si>
    <t xml:space="preserve">ENR-0084</t>
  </si>
  <si>
    <t xml:space="preserve">ENR-0085</t>
  </si>
  <si>
    <t xml:space="preserve">ENR-0086</t>
  </si>
  <si>
    <t xml:space="preserve">ENR-0087</t>
  </si>
  <si>
    <t xml:space="preserve">ENR-0088</t>
  </si>
  <si>
    <t xml:space="preserve">ENR-0089</t>
  </si>
  <si>
    <t xml:space="preserve">ENR-0090</t>
  </si>
  <si>
    <t xml:space="preserve">ENR-0091</t>
  </si>
  <si>
    <t xml:space="preserve">ENR-0092</t>
  </si>
  <si>
    <t xml:space="preserve">ENR-0093</t>
  </si>
  <si>
    <t xml:space="preserve">ENR-0094</t>
  </si>
  <si>
    <t xml:space="preserve">ENR-0095</t>
  </si>
  <si>
    <t xml:space="preserve">ENR-0096</t>
  </si>
  <si>
    <t xml:space="preserve">ENR-0097</t>
  </si>
  <si>
    <t xml:space="preserve">ENR-0098</t>
  </si>
  <si>
    <t xml:space="preserve">ENR-0099</t>
  </si>
  <si>
    <t xml:space="preserve">ENR-0100</t>
  </si>
  <si>
    <t xml:space="preserve">ENR-0101</t>
  </si>
  <si>
    <t xml:space="preserve">ENR-0102</t>
  </si>
  <si>
    <t xml:space="preserve">ENR-0103</t>
  </si>
  <si>
    <t xml:space="preserve">ENR-0104</t>
  </si>
  <si>
    <t xml:space="preserve">ENR-0105</t>
  </si>
  <si>
    <t xml:space="preserve">ENR-0106</t>
  </si>
  <si>
    <t xml:space="preserve">ENR-0107</t>
  </si>
  <si>
    <t xml:space="preserve">ENR-0108</t>
  </si>
  <si>
    <t xml:space="preserve">ENR-0109</t>
  </si>
  <si>
    <t xml:space="preserve">ENR-0110</t>
  </si>
  <si>
    <t xml:space="preserve">ENR-0111</t>
  </si>
  <si>
    <t xml:space="preserve">ENR-0112</t>
  </si>
  <si>
    <t xml:space="preserve">ENR-0113</t>
  </si>
  <si>
    <t xml:space="preserve">ENR-0114</t>
  </si>
  <si>
    <t xml:space="preserve">ENR-0115</t>
  </si>
  <si>
    <t xml:space="preserve">ENR-0116</t>
  </si>
  <si>
    <t xml:space="preserve">ENR-0117</t>
  </si>
  <si>
    <t xml:space="preserve">ENR-0118</t>
  </si>
  <si>
    <t xml:space="preserve">ENR-0119</t>
  </si>
  <si>
    <t xml:space="preserve">ENR-0120</t>
  </si>
  <si>
    <t xml:space="preserve">ENR-0121</t>
  </si>
  <si>
    <t xml:space="preserve">ENR-0122</t>
  </si>
  <si>
    <t xml:space="preserve">ENR-0123</t>
  </si>
  <si>
    <t xml:space="preserve">ENR-0124</t>
  </si>
  <si>
    <t xml:space="preserve">ENR-0125</t>
  </si>
  <si>
    <t xml:space="preserve">ENR-0126</t>
  </si>
  <si>
    <t xml:space="preserve">ENR-0127</t>
  </si>
  <si>
    <t xml:space="preserve">ENR-0128</t>
  </si>
  <si>
    <t xml:space="preserve">ENR-0129</t>
  </si>
  <si>
    <t xml:space="preserve">ENR-0130</t>
  </si>
  <si>
    <t xml:space="preserve">ENR-0131</t>
  </si>
  <si>
    <t xml:space="preserve">ENR-0132</t>
  </si>
  <si>
    <t xml:space="preserve">ENR-0133</t>
  </si>
  <si>
    <t xml:space="preserve">ENR-0134</t>
  </si>
  <si>
    <t xml:space="preserve">ENR-0135</t>
  </si>
  <si>
    <t xml:space="preserve">ENR-0136</t>
  </si>
  <si>
    <t xml:space="preserve">ENR-0137</t>
  </si>
  <si>
    <t xml:space="preserve">ENR-0138</t>
  </si>
  <si>
    <t xml:space="preserve">ENR-0139</t>
  </si>
  <si>
    <t xml:space="preserve">ENR-0140</t>
  </si>
  <si>
    <t xml:space="preserve">ENR-0141</t>
  </si>
  <si>
    <t xml:space="preserve">ENR-0142</t>
  </si>
  <si>
    <t xml:space="preserve">ENR-0143</t>
  </si>
  <si>
    <t xml:space="preserve">ENR-0144</t>
  </si>
  <si>
    <t xml:space="preserve">ENR-0145</t>
  </si>
  <si>
    <t xml:space="preserve">ENR-0146</t>
  </si>
  <si>
    <t xml:space="preserve">ENR-0147</t>
  </si>
  <si>
    <t xml:space="preserve">ENR-0148</t>
  </si>
  <si>
    <t xml:space="preserve">ENR-0149</t>
  </si>
  <si>
    <t xml:space="preserve">ENR-0150</t>
  </si>
  <si>
    <t xml:space="preserve">ENR-0151</t>
  </si>
  <si>
    <t xml:space="preserve">ENR-0152</t>
  </si>
  <si>
    <t xml:space="preserve">ENR-0153</t>
  </si>
  <si>
    <t xml:space="preserve">ENR-0154</t>
  </si>
  <si>
    <t xml:space="preserve">ENR-0155</t>
  </si>
  <si>
    <t xml:space="preserve">ENR-0156</t>
  </si>
  <si>
    <t xml:space="preserve">ENR-0157</t>
  </si>
  <si>
    <t xml:space="preserve">ENR-0158</t>
  </si>
  <si>
    <t xml:space="preserve">ENR-0159</t>
  </si>
  <si>
    <t xml:space="preserve">ENR-0160</t>
  </si>
  <si>
    <t xml:space="preserve">ENR-0161</t>
  </si>
  <si>
    <t xml:space="preserve">ENR-0162</t>
  </si>
  <si>
    <t xml:space="preserve">ENR-0163</t>
  </si>
  <si>
    <t xml:space="preserve">ENR-0164</t>
  </si>
  <si>
    <t xml:space="preserve">ENR-0165</t>
  </si>
  <si>
    <t xml:space="preserve">ENR-0166</t>
  </si>
  <si>
    <t xml:space="preserve">ENR-0167</t>
  </si>
  <si>
    <t xml:space="preserve">ENR-0168</t>
  </si>
  <si>
    <t xml:space="preserve">ENR-0169</t>
  </si>
  <si>
    <t xml:space="preserve">ENR-0170</t>
  </si>
  <si>
    <t xml:space="preserve">ENR-0171</t>
  </si>
  <si>
    <t xml:space="preserve">ENR-0172</t>
  </si>
  <si>
    <t xml:space="preserve">ENR-0173</t>
  </si>
  <si>
    <t xml:space="preserve">ENR-0174</t>
  </si>
  <si>
    <t xml:space="preserve">ENR-0175</t>
  </si>
  <si>
    <t xml:space="preserve">ENR-0176</t>
  </si>
  <si>
    <t xml:space="preserve">ENR-0177</t>
  </si>
  <si>
    <t xml:space="preserve">ENR-0178</t>
  </si>
  <si>
    <t xml:space="preserve">ENR-0179</t>
  </si>
  <si>
    <t xml:space="preserve">ENR-0180</t>
  </si>
  <si>
    <t xml:space="preserve">ENR-0181</t>
  </si>
  <si>
    <t xml:space="preserve">ENR-0182</t>
  </si>
  <si>
    <t xml:space="preserve">ENR-0183</t>
  </si>
  <si>
    <t xml:space="preserve">ENR-0184</t>
  </si>
  <si>
    <t xml:space="preserve">ENR-0185</t>
  </si>
  <si>
    <t xml:space="preserve">ENR-0186</t>
  </si>
  <si>
    <t xml:space="preserve">ENR-0187</t>
  </si>
  <si>
    <t xml:space="preserve">ENR-0188</t>
  </si>
  <si>
    <t xml:space="preserve">ENR-0189</t>
  </si>
  <si>
    <t xml:space="preserve">ENR-0190</t>
  </si>
  <si>
    <t xml:space="preserve">ENR-0191</t>
  </si>
  <si>
    <t xml:space="preserve">ENR-0192</t>
  </si>
  <si>
    <t xml:space="preserve">ENR-0193</t>
  </si>
  <si>
    <t xml:space="preserve">ENR-0194</t>
  </si>
  <si>
    <t xml:space="preserve">ENR-0195</t>
  </si>
  <si>
    <t xml:space="preserve">ENR-0196</t>
  </si>
  <si>
    <t xml:space="preserve">ENR-0197</t>
  </si>
  <si>
    <t xml:space="preserve">ENR-0198</t>
  </si>
  <si>
    <t xml:space="preserve">ENR-0199</t>
  </si>
  <si>
    <t xml:space="preserve">ENR-0200</t>
  </si>
  <si>
    <t xml:space="preserve">ENR-0201</t>
  </si>
  <si>
    <t xml:space="preserve">ENR-0202</t>
  </si>
  <si>
    <t xml:space="preserve">ENR-0203</t>
  </si>
  <si>
    <t xml:space="preserve">ENR-0204</t>
  </si>
  <si>
    <t xml:space="preserve">ENR-0205</t>
  </si>
  <si>
    <t xml:space="preserve">ENR-0206</t>
  </si>
  <si>
    <t xml:space="preserve">ENR-0207</t>
  </si>
  <si>
    <t xml:space="preserve">ENR-0208</t>
  </si>
  <si>
    <t xml:space="preserve">ENR-0209</t>
  </si>
  <si>
    <t xml:space="preserve">ENR-0210</t>
  </si>
  <si>
    <t xml:space="preserve">ENR-0211</t>
  </si>
  <si>
    <t xml:space="preserve">ENR-0212</t>
  </si>
  <si>
    <t xml:space="preserve">ENR-0213</t>
  </si>
  <si>
    <t xml:space="preserve">ENR-0214</t>
  </si>
  <si>
    <t xml:space="preserve">ENR-0215</t>
  </si>
  <si>
    <t xml:space="preserve">ENR-0216</t>
  </si>
  <si>
    <t xml:space="preserve">ENR-0217</t>
  </si>
  <si>
    <t xml:space="preserve">ENR-0218</t>
  </si>
  <si>
    <t xml:space="preserve">ENR-0219</t>
  </si>
  <si>
    <t xml:space="preserve">ENR-0220</t>
  </si>
  <si>
    <t xml:space="preserve">ENR-0221</t>
  </si>
  <si>
    <t xml:space="preserve">ENR-0222</t>
  </si>
  <si>
    <t xml:space="preserve">ENR-0223</t>
  </si>
  <si>
    <t xml:space="preserve">ENR-0224</t>
  </si>
  <si>
    <t xml:space="preserve">ENR-0225</t>
  </si>
  <si>
    <t xml:space="preserve">ENR-0226</t>
  </si>
  <si>
    <t xml:space="preserve">ENR-0227</t>
  </si>
  <si>
    <t xml:space="preserve">ENR-0228</t>
  </si>
  <si>
    <t xml:space="preserve">ENR-0229</t>
  </si>
  <si>
    <t xml:space="preserve">ENR-0230</t>
  </si>
  <si>
    <t xml:space="preserve">ENR-0231</t>
  </si>
  <si>
    <t xml:space="preserve">ENR-0232</t>
  </si>
  <si>
    <t xml:space="preserve">ENR-0233</t>
  </si>
  <si>
    <t xml:space="preserve">ENR-0234</t>
  </si>
  <si>
    <t xml:space="preserve">ENR-0235</t>
  </si>
  <si>
    <t xml:space="preserve">ENR-0236</t>
  </si>
  <si>
    <t xml:space="preserve">ENR-0237</t>
  </si>
  <si>
    <t xml:space="preserve">ENR-0238</t>
  </si>
  <si>
    <t xml:space="preserve">ENR-0239</t>
  </si>
  <si>
    <t xml:space="preserve">ENR-0240</t>
  </si>
  <si>
    <t xml:space="preserve">ENR-0241</t>
  </si>
  <si>
    <t xml:space="preserve">ENR-0242</t>
  </si>
  <si>
    <t xml:space="preserve">ENR-0243</t>
  </si>
  <si>
    <t xml:space="preserve">ENR-0244</t>
  </si>
  <si>
    <t xml:space="preserve">ENR-0245</t>
  </si>
  <si>
    <t xml:space="preserve">ENR-0246</t>
  </si>
  <si>
    <t xml:space="preserve">ENR-0247</t>
  </si>
  <si>
    <t xml:space="preserve">ENR-0248</t>
  </si>
  <si>
    <t xml:space="preserve">ENR-0249</t>
  </si>
  <si>
    <t xml:space="preserve">ENR-0250</t>
  </si>
  <si>
    <t xml:space="preserve">ENR-0251</t>
  </si>
  <si>
    <t xml:space="preserve">ENR-0252</t>
  </si>
  <si>
    <t xml:space="preserve">ENR-0253</t>
  </si>
  <si>
    <t xml:space="preserve">ENR-0254</t>
  </si>
  <si>
    <t xml:space="preserve">ENR-0255</t>
  </si>
  <si>
    <t xml:space="preserve">ENR-0256</t>
  </si>
  <si>
    <t xml:space="preserve">ENR-0257</t>
  </si>
  <si>
    <t xml:space="preserve">ENR-0258</t>
  </si>
  <si>
    <t xml:space="preserve">ENR-0259</t>
  </si>
  <si>
    <t xml:space="preserve">ENR-0260</t>
  </si>
  <si>
    <t xml:space="preserve">ENR-0261</t>
  </si>
  <si>
    <t xml:space="preserve">ENR-0262</t>
  </si>
  <si>
    <t xml:space="preserve">ENR-0263</t>
  </si>
  <si>
    <t xml:space="preserve">ENR-0264</t>
  </si>
  <si>
    <t xml:space="preserve">ENR-0265</t>
  </si>
  <si>
    <t xml:space="preserve">ENR-0266</t>
  </si>
  <si>
    <t xml:space="preserve">ENR-0267</t>
  </si>
  <si>
    <t xml:space="preserve">ENR-0268</t>
  </si>
  <si>
    <t xml:space="preserve">ENR-0269</t>
  </si>
  <si>
    <t xml:space="preserve">ENR-0270</t>
  </si>
  <si>
    <t xml:space="preserve">ENR-0271</t>
  </si>
  <si>
    <t xml:space="preserve">ENR-0272</t>
  </si>
  <si>
    <t xml:space="preserve">ENR-0273</t>
  </si>
  <si>
    <t xml:space="preserve">ENR-0274</t>
  </si>
  <si>
    <t xml:space="preserve">ENR-0275</t>
  </si>
  <si>
    <t xml:space="preserve">ENR-0276</t>
  </si>
  <si>
    <t xml:space="preserve">ENR-0277</t>
  </si>
  <si>
    <t xml:space="preserve">ENR-0278</t>
  </si>
  <si>
    <t xml:space="preserve">ENR-0279</t>
  </si>
  <si>
    <t xml:space="preserve">ENR-0280</t>
  </si>
  <si>
    <t xml:space="preserve">ENR-0281</t>
  </si>
  <si>
    <t xml:space="preserve">ENR-0282</t>
  </si>
  <si>
    <t xml:space="preserve">ENR-0283</t>
  </si>
  <si>
    <t xml:space="preserve">ENR-0284</t>
  </si>
  <si>
    <t xml:space="preserve">ENR-0285</t>
  </si>
  <si>
    <t xml:space="preserve">ENR-0286</t>
  </si>
  <si>
    <t xml:space="preserve">ENR-0287</t>
  </si>
  <si>
    <t xml:space="preserve">ENR-0288</t>
  </si>
  <si>
    <t xml:space="preserve">ENR-0289</t>
  </si>
  <si>
    <t xml:space="preserve">ENR-0290</t>
  </si>
  <si>
    <t xml:space="preserve">ENR-0291</t>
  </si>
  <si>
    <t xml:space="preserve">ENR-0292</t>
  </si>
  <si>
    <t xml:space="preserve">ENR-0293</t>
  </si>
  <si>
    <t xml:space="preserve">ENR-0294</t>
  </si>
  <si>
    <t xml:space="preserve">ENR-0295</t>
  </si>
  <si>
    <t xml:space="preserve">ENR-0296</t>
  </si>
  <si>
    <t xml:space="preserve">ENR-0297</t>
  </si>
  <si>
    <t xml:space="preserve">ENR-0298</t>
  </si>
  <si>
    <t xml:space="preserve">ENR-0299</t>
  </si>
  <si>
    <t xml:space="preserve">ENR-0300</t>
  </si>
  <si>
    <t xml:space="preserve">ENR-0301</t>
  </si>
  <si>
    <t xml:space="preserve">ENR-0302</t>
  </si>
  <si>
    <t xml:space="preserve">ENR-0303</t>
  </si>
  <si>
    <t xml:space="preserve">ENR-0304</t>
  </si>
  <si>
    <t xml:space="preserve">ENR-0305</t>
  </si>
  <si>
    <t xml:space="preserve">ENR-0306</t>
  </si>
  <si>
    <t xml:space="preserve">ENR-0307</t>
  </si>
  <si>
    <t xml:space="preserve">ENR-0308</t>
  </si>
  <si>
    <t xml:space="preserve">ENR-0309</t>
  </si>
  <si>
    <t xml:space="preserve">ENR-0310</t>
  </si>
  <si>
    <t xml:space="preserve">ENR-0311</t>
  </si>
  <si>
    <t xml:space="preserve">ENR-0312</t>
  </si>
  <si>
    <t xml:space="preserve">ENR-0313</t>
  </si>
  <si>
    <t xml:space="preserve">ENR-0314</t>
  </si>
  <si>
    <t xml:space="preserve">ENR-0315</t>
  </si>
  <si>
    <t xml:space="preserve">ENR-0316</t>
  </si>
  <si>
    <t xml:space="preserve">ENR-0317</t>
  </si>
  <si>
    <t xml:space="preserve">ENR-0318</t>
  </si>
  <si>
    <t xml:space="preserve">ENR-0319</t>
  </si>
  <si>
    <t xml:space="preserve">ENR-0320</t>
  </si>
  <si>
    <t xml:space="preserve">ENR-0321</t>
  </si>
  <si>
    <t xml:space="preserve">ENR-0322</t>
  </si>
  <si>
    <t xml:space="preserve">ENR-0323</t>
  </si>
  <si>
    <t xml:space="preserve">ENR-0324</t>
  </si>
  <si>
    <t xml:space="preserve">ENR-0325</t>
  </si>
  <si>
    <t xml:space="preserve">ENR-0326</t>
  </si>
  <si>
    <t xml:space="preserve">ENR-0327</t>
  </si>
  <si>
    <t xml:space="preserve">ENR-0328</t>
  </si>
  <si>
    <t xml:space="preserve">ENR-0329</t>
  </si>
  <si>
    <t xml:space="preserve">ENR-0330</t>
  </si>
  <si>
    <t xml:space="preserve">ENR-0331</t>
  </si>
  <si>
    <t xml:space="preserve">ENR-0332</t>
  </si>
  <si>
    <t xml:space="preserve">ENR-0333</t>
  </si>
  <si>
    <t xml:space="preserve">ENR-0334</t>
  </si>
  <si>
    <t xml:space="preserve">ENR-0335</t>
  </si>
  <si>
    <t xml:space="preserve">ENR-0336</t>
  </si>
  <si>
    <t xml:space="preserve">ENR-0337</t>
  </si>
  <si>
    <t xml:space="preserve">ENR-0338</t>
  </si>
  <si>
    <t xml:space="preserve">ENR-0339</t>
  </si>
  <si>
    <t xml:space="preserve">ENR-0340</t>
  </si>
  <si>
    <t xml:space="preserve">ENR-0341</t>
  </si>
  <si>
    <t xml:space="preserve">ENR-0342</t>
  </si>
  <si>
    <t xml:space="preserve">ENR-0343</t>
  </si>
  <si>
    <t xml:space="preserve">ENR-0344</t>
  </si>
  <si>
    <t xml:space="preserve">ENR-0345</t>
  </si>
  <si>
    <t xml:space="preserve">ENR-0346</t>
  </si>
  <si>
    <t xml:space="preserve">ENR-0347</t>
  </si>
  <si>
    <t xml:space="preserve">ENR-0348</t>
  </si>
  <si>
    <t xml:space="preserve">ENR-0349</t>
  </si>
  <si>
    <t xml:space="preserve">ENR-0350</t>
  </si>
  <si>
    <t xml:space="preserve">ENR-0351</t>
  </si>
  <si>
    <t xml:space="preserve">ENR-0352</t>
  </si>
  <si>
    <t xml:space="preserve">ENR-0353</t>
  </si>
  <si>
    <t xml:space="preserve">ENR-0354</t>
  </si>
  <si>
    <t xml:space="preserve">ENR-0355</t>
  </si>
  <si>
    <t xml:space="preserve">ENR-0356</t>
  </si>
  <si>
    <t xml:space="preserve">ENR-0357</t>
  </si>
  <si>
    <t xml:space="preserve">ENR-0358</t>
  </si>
  <si>
    <t xml:space="preserve">ENR-0359</t>
  </si>
  <si>
    <t xml:space="preserve">ENR-0360</t>
  </si>
  <si>
    <t xml:space="preserve">ENR-0361</t>
  </si>
  <si>
    <t xml:space="preserve">ENR-0362</t>
  </si>
  <si>
    <t xml:space="preserve">ENR-0363</t>
  </si>
  <si>
    <t xml:space="preserve">ENR-0364</t>
  </si>
  <si>
    <t xml:space="preserve">ENR-0365</t>
  </si>
  <si>
    <t xml:space="preserve">ENR-0366</t>
  </si>
  <si>
    <t xml:space="preserve">ENR-0367</t>
  </si>
  <si>
    <t xml:space="preserve">ENR-0368</t>
  </si>
  <si>
    <t xml:space="preserve">ENR-0369</t>
  </si>
  <si>
    <t xml:space="preserve">ENR-0370</t>
  </si>
  <si>
    <t xml:space="preserve">ENR-0371</t>
  </si>
  <si>
    <t xml:space="preserve">ENR-0372</t>
  </si>
  <si>
    <t xml:space="preserve">ENR-0373</t>
  </si>
  <si>
    <t xml:space="preserve">ENR-0374</t>
  </si>
  <si>
    <t xml:space="preserve">ENR-0375</t>
  </si>
  <si>
    <t xml:space="preserve">ENR-0376</t>
  </si>
  <si>
    <t xml:space="preserve">ENR-0377</t>
  </si>
  <si>
    <t xml:space="preserve">ENR-0378</t>
  </si>
  <si>
    <t xml:space="preserve">ENR-0379</t>
  </si>
  <si>
    <t xml:space="preserve">ENR-0380</t>
  </si>
  <si>
    <t xml:space="preserve">ENR-0381</t>
  </si>
  <si>
    <t xml:space="preserve">ENR-0382</t>
  </si>
  <si>
    <t xml:space="preserve">ENR-0383</t>
  </si>
  <si>
    <t xml:space="preserve">ENR-0384</t>
  </si>
  <si>
    <t xml:space="preserve">ENR-0385</t>
  </si>
  <si>
    <t xml:space="preserve">ENR-0386</t>
  </si>
  <si>
    <t xml:space="preserve">ENR-0387</t>
  </si>
  <si>
    <t xml:space="preserve">ENR-0388</t>
  </si>
  <si>
    <t xml:space="preserve">ENR-0389</t>
  </si>
  <si>
    <t xml:space="preserve">ENR-0390</t>
  </si>
  <si>
    <t xml:space="preserve">grade_id</t>
  </si>
  <si>
    <t xml:space="preserve">assignment_1</t>
  </si>
  <si>
    <t xml:space="preserve">assignment_2</t>
  </si>
  <si>
    <t xml:space="preserve">midterm</t>
  </si>
  <si>
    <t xml:space="preserve">final</t>
  </si>
  <si>
    <t xml:space="preserve">total</t>
  </si>
  <si>
    <t xml:space="preserve">letter_grade</t>
  </si>
  <si>
    <t xml:space="preserve">GRD-0001</t>
  </si>
  <si>
    <t xml:space="preserve">B</t>
  </si>
  <si>
    <t xml:space="preserve">GRD-0002</t>
  </si>
  <si>
    <t xml:space="preserve">GRD-0003</t>
  </si>
  <si>
    <t xml:space="preserve">GRD-0004</t>
  </si>
  <si>
    <t xml:space="preserve">A</t>
  </si>
  <si>
    <t xml:space="preserve">GRD-0005</t>
  </si>
  <si>
    <t xml:space="preserve">GRD-0006</t>
  </si>
  <si>
    <t xml:space="preserve">GRD-0007</t>
  </si>
  <si>
    <t xml:space="preserve">D</t>
  </si>
  <si>
    <t xml:space="preserve">GRD-0008</t>
  </si>
  <si>
    <t xml:space="preserve">GRD-0009</t>
  </si>
  <si>
    <t xml:space="preserve">F</t>
  </si>
  <si>
    <t xml:space="preserve">GRD-0010</t>
  </si>
  <si>
    <t xml:space="preserve">GRD-0011</t>
  </si>
  <si>
    <t xml:space="preserve">GRD-0012</t>
  </si>
  <si>
    <t xml:space="preserve">GRD-0013</t>
  </si>
  <si>
    <t xml:space="preserve">GRD-0014</t>
  </si>
  <si>
    <t xml:space="preserve">GRD-0015</t>
  </si>
  <si>
    <t xml:space="preserve">GRD-0016</t>
  </si>
  <si>
    <t xml:space="preserve">GRD-0017</t>
  </si>
  <si>
    <t xml:space="preserve">GRD-0018</t>
  </si>
  <si>
    <t xml:space="preserve">GRD-0019</t>
  </si>
  <si>
    <t xml:space="preserve">GRD-0020</t>
  </si>
  <si>
    <t xml:space="preserve">GRD-0021</t>
  </si>
  <si>
    <t xml:space="preserve">C</t>
  </si>
  <si>
    <t xml:space="preserve">GRD-0022</t>
  </si>
  <si>
    <t xml:space="preserve">GRD-0023</t>
  </si>
  <si>
    <t xml:space="preserve">GRD-0024</t>
  </si>
  <si>
    <t xml:space="preserve">GRD-0025</t>
  </si>
  <si>
    <t xml:space="preserve">GRD-0026</t>
  </si>
  <si>
    <t xml:space="preserve">GRD-0027</t>
  </si>
  <si>
    <t xml:space="preserve">GRD-0028</t>
  </si>
  <si>
    <t xml:space="preserve">GRD-0029</t>
  </si>
  <si>
    <t xml:space="preserve">GRD-0030</t>
  </si>
  <si>
    <t xml:space="preserve">GRD-0031</t>
  </si>
  <si>
    <t xml:space="preserve">GRD-0032</t>
  </si>
  <si>
    <t xml:space="preserve">GRD-0033</t>
  </si>
  <si>
    <t xml:space="preserve">GRD-0034</t>
  </si>
  <si>
    <t xml:space="preserve">GRD-0035</t>
  </si>
  <si>
    <t xml:space="preserve">GRD-0036</t>
  </si>
  <si>
    <t xml:space="preserve">GRD-0037</t>
  </si>
  <si>
    <t xml:space="preserve">GRD-0038</t>
  </si>
  <si>
    <t xml:space="preserve">GRD-0039</t>
  </si>
  <si>
    <t xml:space="preserve">GRD-0040</t>
  </si>
  <si>
    <t xml:space="preserve">GRD-0041</t>
  </si>
  <si>
    <t xml:space="preserve">GRD-0042</t>
  </si>
  <si>
    <t xml:space="preserve">GRD-0043</t>
  </si>
  <si>
    <t xml:space="preserve">GRD-0044</t>
  </si>
  <si>
    <t xml:space="preserve">GRD-0045</t>
  </si>
  <si>
    <t xml:space="preserve">GRD-0046</t>
  </si>
  <si>
    <t xml:space="preserve">GRD-0047</t>
  </si>
  <si>
    <t xml:space="preserve">GRD-0048</t>
  </si>
  <si>
    <t xml:space="preserve">GRD-0049</t>
  </si>
  <si>
    <t xml:space="preserve">GRD-0050</t>
  </si>
  <si>
    <t xml:space="preserve">GRD-0051</t>
  </si>
  <si>
    <t xml:space="preserve">GRD-0052</t>
  </si>
  <si>
    <t xml:space="preserve">GRD-0053</t>
  </si>
  <si>
    <t xml:space="preserve">GRD-0054</t>
  </si>
  <si>
    <t xml:space="preserve">GRD-0055</t>
  </si>
  <si>
    <t xml:space="preserve">GRD-0056</t>
  </si>
  <si>
    <t xml:space="preserve">GRD-0057</t>
  </si>
  <si>
    <t xml:space="preserve">GRD-0058</t>
  </si>
  <si>
    <t xml:space="preserve">GRD-0059</t>
  </si>
  <si>
    <t xml:space="preserve">GRD-0060</t>
  </si>
  <si>
    <t xml:space="preserve">GRD-0061</t>
  </si>
  <si>
    <t xml:space="preserve">GRD-0062</t>
  </si>
  <si>
    <t xml:space="preserve">GRD-0063</t>
  </si>
  <si>
    <t xml:space="preserve">GRD-0064</t>
  </si>
  <si>
    <t xml:space="preserve">GRD-0065</t>
  </si>
  <si>
    <t xml:space="preserve">GRD-0066</t>
  </si>
  <si>
    <t xml:space="preserve">GRD-0067</t>
  </si>
  <si>
    <t xml:space="preserve">GRD-0068</t>
  </si>
  <si>
    <t xml:space="preserve">GRD-0069</t>
  </si>
  <si>
    <t xml:space="preserve">GRD-0070</t>
  </si>
  <si>
    <t xml:space="preserve">GRD-0071</t>
  </si>
  <si>
    <t xml:space="preserve">GRD-0072</t>
  </si>
  <si>
    <t xml:space="preserve">GRD-0073</t>
  </si>
  <si>
    <t xml:space="preserve">GRD-0074</t>
  </si>
  <si>
    <t xml:space="preserve">GRD-0075</t>
  </si>
  <si>
    <t xml:space="preserve">GRD-0076</t>
  </si>
  <si>
    <t xml:space="preserve">GRD-0077</t>
  </si>
  <si>
    <t xml:space="preserve">GRD-0078</t>
  </si>
  <si>
    <t xml:space="preserve">GRD-0079</t>
  </si>
  <si>
    <t xml:space="preserve">GRD-0080</t>
  </si>
  <si>
    <t xml:space="preserve">GRD-0081</t>
  </si>
  <si>
    <t xml:space="preserve">GRD-0082</t>
  </si>
  <si>
    <t xml:space="preserve">GRD-0083</t>
  </si>
  <si>
    <t xml:space="preserve">GRD-0084</t>
  </si>
  <si>
    <t xml:space="preserve">GRD-0085</t>
  </si>
  <si>
    <t xml:space="preserve">GRD-0086</t>
  </si>
  <si>
    <t xml:space="preserve">GRD-0087</t>
  </si>
  <si>
    <t xml:space="preserve">GRD-0088</t>
  </si>
  <si>
    <t xml:space="preserve">GRD-0089</t>
  </si>
  <si>
    <t xml:space="preserve">GRD-0090</t>
  </si>
  <si>
    <t xml:space="preserve">GRD-0091</t>
  </si>
  <si>
    <t xml:space="preserve">GRD-0092</t>
  </si>
  <si>
    <t xml:space="preserve">GRD-0093</t>
  </si>
  <si>
    <t xml:space="preserve">GRD-0094</t>
  </si>
  <si>
    <t xml:space="preserve">GRD-0095</t>
  </si>
  <si>
    <t xml:space="preserve">GRD-0096</t>
  </si>
  <si>
    <t xml:space="preserve">GRD-0097</t>
  </si>
  <si>
    <t xml:space="preserve">GRD-0098</t>
  </si>
  <si>
    <t xml:space="preserve">GRD-0099</t>
  </si>
  <si>
    <t xml:space="preserve">GRD-0100</t>
  </si>
  <si>
    <t xml:space="preserve">GRD-0101</t>
  </si>
  <si>
    <t xml:space="preserve">GRD-0102</t>
  </si>
  <si>
    <t xml:space="preserve">GRD-0103</t>
  </si>
  <si>
    <t xml:space="preserve">GRD-0104</t>
  </si>
  <si>
    <t xml:space="preserve">GRD-0105</t>
  </si>
  <si>
    <t xml:space="preserve">GRD-0106</t>
  </si>
  <si>
    <t xml:space="preserve">GRD-0107</t>
  </si>
  <si>
    <t xml:space="preserve">GRD-0108</t>
  </si>
  <si>
    <t xml:space="preserve">GRD-0109</t>
  </si>
  <si>
    <t xml:space="preserve">GRD-0110</t>
  </si>
  <si>
    <t xml:space="preserve">GRD-0111</t>
  </si>
  <si>
    <t xml:space="preserve">GRD-0112</t>
  </si>
  <si>
    <t xml:space="preserve">GRD-0113</t>
  </si>
  <si>
    <t xml:space="preserve">GRD-0114</t>
  </si>
  <si>
    <t xml:space="preserve">GRD-0115</t>
  </si>
  <si>
    <t xml:space="preserve">GRD-0116</t>
  </si>
  <si>
    <t xml:space="preserve">GRD-0117</t>
  </si>
  <si>
    <t xml:space="preserve">GRD-0118</t>
  </si>
  <si>
    <t xml:space="preserve">GRD-0119</t>
  </si>
  <si>
    <t xml:space="preserve">GRD-0120</t>
  </si>
  <si>
    <t xml:space="preserve">GRD-0121</t>
  </si>
  <si>
    <t xml:space="preserve">GRD-0122</t>
  </si>
  <si>
    <t xml:space="preserve">GRD-0123</t>
  </si>
  <si>
    <t xml:space="preserve">GRD-0124</t>
  </si>
  <si>
    <t xml:space="preserve">GRD-0125</t>
  </si>
  <si>
    <t xml:space="preserve">GRD-0126</t>
  </si>
  <si>
    <t xml:space="preserve">GRD-0127</t>
  </si>
  <si>
    <t xml:space="preserve">GRD-0128</t>
  </si>
  <si>
    <t xml:space="preserve">GRD-0129</t>
  </si>
  <si>
    <t xml:space="preserve">GRD-0130</t>
  </si>
  <si>
    <t xml:space="preserve">GRD-0131</t>
  </si>
  <si>
    <t xml:space="preserve">GRD-0132</t>
  </si>
  <si>
    <t xml:space="preserve">GRD-0133</t>
  </si>
  <si>
    <t xml:space="preserve">GRD-0134</t>
  </si>
  <si>
    <t xml:space="preserve">GRD-0135</t>
  </si>
  <si>
    <t xml:space="preserve">GRD-0136</t>
  </si>
  <si>
    <t xml:space="preserve">GRD-0137</t>
  </si>
  <si>
    <t xml:space="preserve">GRD-0138</t>
  </si>
  <si>
    <t xml:space="preserve">GRD-0139</t>
  </si>
  <si>
    <t xml:space="preserve">GRD-0140</t>
  </si>
  <si>
    <t xml:space="preserve">GRD-0141</t>
  </si>
  <si>
    <t xml:space="preserve">GRD-0142</t>
  </si>
  <si>
    <t xml:space="preserve">GRD-0143</t>
  </si>
  <si>
    <t xml:space="preserve">GRD-0144</t>
  </si>
  <si>
    <t xml:space="preserve">GRD-0145</t>
  </si>
  <si>
    <t xml:space="preserve">GRD-0146</t>
  </si>
  <si>
    <t xml:space="preserve">GRD-0147</t>
  </si>
  <si>
    <t xml:space="preserve">GRD-0148</t>
  </si>
  <si>
    <t xml:space="preserve">GRD-0149</t>
  </si>
  <si>
    <t xml:space="preserve">GRD-0150</t>
  </si>
  <si>
    <t xml:space="preserve">GRD-0151</t>
  </si>
  <si>
    <t xml:space="preserve">GRD-0152</t>
  </si>
  <si>
    <t xml:space="preserve">GRD-0153</t>
  </si>
  <si>
    <t xml:space="preserve">GRD-0154</t>
  </si>
  <si>
    <t xml:space="preserve">GRD-0155</t>
  </si>
  <si>
    <t xml:space="preserve">GRD-0156</t>
  </si>
  <si>
    <t xml:space="preserve">GRD-0157</t>
  </si>
  <si>
    <t xml:space="preserve">GRD-0158</t>
  </si>
  <si>
    <t xml:space="preserve">GRD-0159</t>
  </si>
  <si>
    <t xml:space="preserve">GRD-0160</t>
  </si>
  <si>
    <t xml:space="preserve">GRD-0161</t>
  </si>
  <si>
    <t xml:space="preserve">GRD-0162</t>
  </si>
  <si>
    <t xml:space="preserve">GRD-0163</t>
  </si>
  <si>
    <t xml:space="preserve">GRD-0164</t>
  </si>
  <si>
    <t xml:space="preserve">GRD-0165</t>
  </si>
  <si>
    <t xml:space="preserve">GRD-0166</t>
  </si>
  <si>
    <t xml:space="preserve">GRD-0167</t>
  </si>
  <si>
    <t xml:space="preserve">GRD-0168</t>
  </si>
  <si>
    <t xml:space="preserve">GRD-0169</t>
  </si>
  <si>
    <t xml:space="preserve">GRD-0170</t>
  </si>
  <si>
    <t xml:space="preserve">GRD-0171</t>
  </si>
  <si>
    <t xml:space="preserve">GRD-0172</t>
  </si>
  <si>
    <t xml:space="preserve">GRD-0173</t>
  </si>
  <si>
    <t xml:space="preserve">GRD-0174</t>
  </si>
  <si>
    <t xml:space="preserve">GRD-0175</t>
  </si>
  <si>
    <t xml:space="preserve">GRD-0176</t>
  </si>
  <si>
    <t xml:space="preserve">GRD-0177</t>
  </si>
  <si>
    <t xml:space="preserve">GRD-0178</t>
  </si>
  <si>
    <t xml:space="preserve">GRD-0179</t>
  </si>
  <si>
    <t xml:space="preserve">GRD-0180</t>
  </si>
  <si>
    <t xml:space="preserve">GRD-0181</t>
  </si>
  <si>
    <t xml:space="preserve">GRD-0182</t>
  </si>
  <si>
    <t xml:space="preserve">GRD-0183</t>
  </si>
  <si>
    <t xml:space="preserve">GRD-0184</t>
  </si>
  <si>
    <t xml:space="preserve">GRD-0185</t>
  </si>
  <si>
    <t xml:space="preserve">GRD-0186</t>
  </si>
  <si>
    <t xml:space="preserve">GRD-0187</t>
  </si>
  <si>
    <t xml:space="preserve">GRD-0188</t>
  </si>
  <si>
    <t xml:space="preserve">GRD-0189</t>
  </si>
  <si>
    <t xml:space="preserve">GRD-0190</t>
  </si>
  <si>
    <t xml:space="preserve">GRD-0191</t>
  </si>
  <si>
    <t xml:space="preserve">GRD-0192</t>
  </si>
  <si>
    <t xml:space="preserve">GRD-0193</t>
  </si>
  <si>
    <t xml:space="preserve">GRD-0194</t>
  </si>
  <si>
    <t xml:space="preserve">GRD-0195</t>
  </si>
  <si>
    <t xml:space="preserve">GRD-0196</t>
  </si>
  <si>
    <t xml:space="preserve">GRD-0197</t>
  </si>
  <si>
    <t xml:space="preserve">GRD-0198</t>
  </si>
  <si>
    <t xml:space="preserve">GRD-0199</t>
  </si>
  <si>
    <t xml:space="preserve">GRD-0200</t>
  </si>
  <si>
    <t xml:space="preserve">GRD-0201</t>
  </si>
  <si>
    <t xml:space="preserve">GRD-0202</t>
  </si>
  <si>
    <t xml:space="preserve">GRD-0203</t>
  </si>
  <si>
    <t xml:space="preserve">GRD-0204</t>
  </si>
  <si>
    <t xml:space="preserve">GRD-0205</t>
  </si>
  <si>
    <t xml:space="preserve">GRD-0206</t>
  </si>
  <si>
    <t xml:space="preserve">GRD-0207</t>
  </si>
  <si>
    <t xml:space="preserve">GRD-0208</t>
  </si>
  <si>
    <t xml:space="preserve">GRD-0209</t>
  </si>
  <si>
    <t xml:space="preserve">GRD-0210</t>
  </si>
  <si>
    <t xml:space="preserve">GRD-0211</t>
  </si>
  <si>
    <t xml:space="preserve">GRD-0212</t>
  </si>
  <si>
    <t xml:space="preserve">GRD-0213</t>
  </si>
  <si>
    <t xml:space="preserve">GRD-0214</t>
  </si>
  <si>
    <t xml:space="preserve">GRD-0215</t>
  </si>
  <si>
    <t xml:space="preserve">GRD-0216</t>
  </si>
  <si>
    <t xml:space="preserve">GRD-0217</t>
  </si>
  <si>
    <t xml:space="preserve">GRD-0218</t>
  </si>
  <si>
    <t xml:space="preserve">attendance_id</t>
  </si>
  <si>
    <t xml:space="preserve">total_sessions</t>
  </si>
  <si>
    <t xml:space="preserve">present</t>
  </si>
  <si>
    <t xml:space="preserve">absent</t>
  </si>
  <si>
    <t xml:space="preserve">late</t>
  </si>
  <si>
    <t xml:space="preserve">attendance_pct</t>
  </si>
  <si>
    <t xml:space="preserve">risk_level</t>
  </si>
  <si>
    <t xml:space="preserve">ATT-0001</t>
  </si>
  <si>
    <t xml:space="preserve">Good</t>
  </si>
  <si>
    <t xml:space="preserve">ATT-0002</t>
  </si>
  <si>
    <t xml:space="preserve">ATT-0003</t>
  </si>
  <si>
    <t xml:space="preserve">At Risk</t>
  </si>
  <si>
    <t xml:space="preserve">ATT-0004</t>
  </si>
  <si>
    <t xml:space="preserve">ATT-0005</t>
  </si>
  <si>
    <t xml:space="preserve">ATT-0006</t>
  </si>
  <si>
    <t xml:space="preserve">ATT-0007</t>
  </si>
  <si>
    <t xml:space="preserve">Warning</t>
  </si>
  <si>
    <t xml:space="preserve">ATT-0008</t>
  </si>
  <si>
    <t xml:space="preserve">ATT-0009</t>
  </si>
  <si>
    <t xml:space="preserve">ATT-0010</t>
  </si>
  <si>
    <t xml:space="preserve">ATT-0011</t>
  </si>
  <si>
    <t xml:space="preserve">ATT-0012</t>
  </si>
  <si>
    <t xml:space="preserve">ATT-0013</t>
  </si>
  <si>
    <t xml:space="preserve">ATT-0014</t>
  </si>
  <si>
    <t xml:space="preserve">ATT-0015</t>
  </si>
  <si>
    <t xml:space="preserve">ATT-0016</t>
  </si>
  <si>
    <t xml:space="preserve">ATT-0017</t>
  </si>
  <si>
    <t xml:space="preserve">ATT-0018</t>
  </si>
  <si>
    <t xml:space="preserve">ATT-0019</t>
  </si>
  <si>
    <t xml:space="preserve">ATT-0020</t>
  </si>
  <si>
    <t xml:space="preserve">ATT-0021</t>
  </si>
  <si>
    <t xml:space="preserve">ATT-0022</t>
  </si>
  <si>
    <t xml:space="preserve">ATT-0023</t>
  </si>
  <si>
    <t xml:space="preserve">ATT-0024</t>
  </si>
  <si>
    <t xml:space="preserve">ATT-0025</t>
  </si>
  <si>
    <t xml:space="preserve">ATT-0026</t>
  </si>
  <si>
    <t xml:space="preserve">ATT-0027</t>
  </si>
  <si>
    <t xml:space="preserve">ATT-0028</t>
  </si>
  <si>
    <t xml:space="preserve">ATT-0029</t>
  </si>
  <si>
    <t xml:space="preserve">ATT-0030</t>
  </si>
  <si>
    <t xml:space="preserve">ATT-0031</t>
  </si>
  <si>
    <t xml:space="preserve">ATT-0032</t>
  </si>
  <si>
    <t xml:space="preserve">ATT-0033</t>
  </si>
  <si>
    <t xml:space="preserve">ATT-0034</t>
  </si>
  <si>
    <t xml:space="preserve">ATT-0035</t>
  </si>
  <si>
    <t xml:space="preserve">ATT-0036</t>
  </si>
  <si>
    <t xml:space="preserve">ATT-0037</t>
  </si>
  <si>
    <t xml:space="preserve">ATT-0038</t>
  </si>
  <si>
    <t xml:space="preserve">ATT-0039</t>
  </si>
  <si>
    <t xml:space="preserve">ATT-0040</t>
  </si>
  <si>
    <t xml:space="preserve">ATT-0041</t>
  </si>
  <si>
    <t xml:space="preserve">ATT-0042</t>
  </si>
  <si>
    <t xml:space="preserve">ATT-0043</t>
  </si>
  <si>
    <t xml:space="preserve">ATT-0044</t>
  </si>
  <si>
    <t xml:space="preserve">ATT-0045</t>
  </si>
  <si>
    <t xml:space="preserve">ATT-0046</t>
  </si>
  <si>
    <t xml:space="preserve">ATT-0047</t>
  </si>
  <si>
    <t xml:space="preserve">ATT-0048</t>
  </si>
  <si>
    <t xml:space="preserve">ATT-0049</t>
  </si>
  <si>
    <t xml:space="preserve">ATT-0050</t>
  </si>
  <si>
    <t xml:space="preserve">ATT-0051</t>
  </si>
  <si>
    <t xml:space="preserve">ATT-0052</t>
  </si>
  <si>
    <t xml:space="preserve">ATT-0053</t>
  </si>
  <si>
    <t xml:space="preserve">ATT-0054</t>
  </si>
  <si>
    <t xml:space="preserve">ATT-0055</t>
  </si>
  <si>
    <t xml:space="preserve">ATT-0056</t>
  </si>
  <si>
    <t xml:space="preserve">ATT-0057</t>
  </si>
  <si>
    <t xml:space="preserve">ATT-0058</t>
  </si>
  <si>
    <t xml:space="preserve">ATT-0059</t>
  </si>
  <si>
    <t xml:space="preserve">ATT-0060</t>
  </si>
  <si>
    <t xml:space="preserve">ATT-0061</t>
  </si>
  <si>
    <t xml:space="preserve">ATT-0062</t>
  </si>
  <si>
    <t xml:space="preserve">ATT-0063</t>
  </si>
  <si>
    <t xml:space="preserve">ATT-0064</t>
  </si>
  <si>
    <t xml:space="preserve">ATT-0065</t>
  </si>
  <si>
    <t xml:space="preserve">ATT-0066</t>
  </si>
  <si>
    <t xml:space="preserve">ATT-0067</t>
  </si>
  <si>
    <t xml:space="preserve">ATT-0068</t>
  </si>
  <si>
    <t xml:space="preserve">ATT-0069</t>
  </si>
  <si>
    <t xml:space="preserve">ATT-0070</t>
  </si>
  <si>
    <t xml:space="preserve">ATT-0071</t>
  </si>
  <si>
    <t xml:space="preserve">ATT-0072</t>
  </si>
  <si>
    <t xml:space="preserve">ATT-0073</t>
  </si>
  <si>
    <t xml:space="preserve">ATT-0074</t>
  </si>
  <si>
    <t xml:space="preserve">ATT-0075</t>
  </si>
  <si>
    <t xml:space="preserve">ATT-0076</t>
  </si>
  <si>
    <t xml:space="preserve">ATT-0077</t>
  </si>
  <si>
    <t xml:space="preserve">ATT-0078</t>
  </si>
  <si>
    <t xml:space="preserve">ATT-0079</t>
  </si>
  <si>
    <t xml:space="preserve">ATT-0080</t>
  </si>
  <si>
    <t xml:space="preserve">ATT-0081</t>
  </si>
  <si>
    <t xml:space="preserve">ATT-0082</t>
  </si>
  <si>
    <t xml:space="preserve">ATT-0083</t>
  </si>
  <si>
    <t xml:space="preserve">ATT-0084</t>
  </si>
  <si>
    <t xml:space="preserve">ATT-0085</t>
  </si>
  <si>
    <t xml:space="preserve">ATT-0086</t>
  </si>
  <si>
    <t xml:space="preserve">ATT-0087</t>
  </si>
  <si>
    <t xml:space="preserve">ATT-0088</t>
  </si>
  <si>
    <t xml:space="preserve">ATT-0089</t>
  </si>
  <si>
    <t xml:space="preserve">ATT-0090</t>
  </si>
  <si>
    <t xml:space="preserve">ATT-0091</t>
  </si>
  <si>
    <t xml:space="preserve">ATT-0092</t>
  </si>
  <si>
    <t xml:space="preserve">ATT-0093</t>
  </si>
  <si>
    <t xml:space="preserve">ATT-0094</t>
  </si>
  <si>
    <t xml:space="preserve">ATT-0095</t>
  </si>
  <si>
    <t xml:space="preserve">ATT-0096</t>
  </si>
  <si>
    <t xml:space="preserve">ATT-0097</t>
  </si>
  <si>
    <t xml:space="preserve">ATT-0098</t>
  </si>
  <si>
    <t xml:space="preserve">ATT-0099</t>
  </si>
  <si>
    <t xml:space="preserve">ATT-0100</t>
  </si>
  <si>
    <t xml:space="preserve">ATT-0101</t>
  </si>
  <si>
    <t xml:space="preserve">ATT-0102</t>
  </si>
  <si>
    <t xml:space="preserve">ATT-0103</t>
  </si>
  <si>
    <t xml:space="preserve">ATT-0104</t>
  </si>
  <si>
    <t xml:space="preserve">ATT-0105</t>
  </si>
  <si>
    <t xml:space="preserve">ATT-0106</t>
  </si>
  <si>
    <t xml:space="preserve">ATT-0107</t>
  </si>
  <si>
    <t xml:space="preserve">ATT-0108</t>
  </si>
  <si>
    <t xml:space="preserve">ATT-0109</t>
  </si>
  <si>
    <t xml:space="preserve">ATT-0110</t>
  </si>
  <si>
    <t xml:space="preserve">ATT-0111</t>
  </si>
  <si>
    <t xml:space="preserve">ATT-0112</t>
  </si>
  <si>
    <t xml:space="preserve">ATT-0113</t>
  </si>
  <si>
    <t xml:space="preserve">ATT-0114</t>
  </si>
  <si>
    <t xml:space="preserve">ATT-0115</t>
  </si>
  <si>
    <t xml:space="preserve">ATT-0116</t>
  </si>
  <si>
    <t xml:space="preserve">ATT-0117</t>
  </si>
  <si>
    <t xml:space="preserve">ATT-0118</t>
  </si>
  <si>
    <t xml:space="preserve">ATT-0119</t>
  </si>
  <si>
    <t xml:space="preserve">ATT-0120</t>
  </si>
  <si>
    <t xml:space="preserve">ATT-0121</t>
  </si>
  <si>
    <t xml:space="preserve">ATT-0122</t>
  </si>
  <si>
    <t xml:space="preserve">ATT-0123</t>
  </si>
  <si>
    <t xml:space="preserve">ATT-0124</t>
  </si>
  <si>
    <t xml:space="preserve">ATT-0125</t>
  </si>
  <si>
    <t xml:space="preserve">ATT-0126</t>
  </si>
  <si>
    <t xml:space="preserve">ATT-0127</t>
  </si>
  <si>
    <t xml:space="preserve">ATT-0128</t>
  </si>
  <si>
    <t xml:space="preserve">ATT-0129</t>
  </si>
  <si>
    <t xml:space="preserve">ATT-0130</t>
  </si>
  <si>
    <t xml:space="preserve">ATT-0131</t>
  </si>
  <si>
    <t xml:space="preserve">ATT-0132</t>
  </si>
  <si>
    <t xml:space="preserve">ATT-0133</t>
  </si>
  <si>
    <t xml:space="preserve">ATT-0134</t>
  </si>
  <si>
    <t xml:space="preserve">ATT-0135</t>
  </si>
  <si>
    <t xml:space="preserve">ATT-0136</t>
  </si>
  <si>
    <t xml:space="preserve">ATT-0137</t>
  </si>
  <si>
    <t xml:space="preserve">ATT-0138</t>
  </si>
  <si>
    <t xml:space="preserve">ATT-0139</t>
  </si>
  <si>
    <t xml:space="preserve">ATT-0140</t>
  </si>
  <si>
    <t xml:space="preserve">ATT-0141</t>
  </si>
  <si>
    <t xml:space="preserve">ATT-0142</t>
  </si>
  <si>
    <t xml:space="preserve">ATT-0143</t>
  </si>
  <si>
    <t xml:space="preserve">ATT-0144</t>
  </si>
  <si>
    <t xml:space="preserve">ATT-0145</t>
  </si>
  <si>
    <t xml:space="preserve">ATT-0146</t>
  </si>
  <si>
    <t xml:space="preserve">ATT-0147</t>
  </si>
  <si>
    <t xml:space="preserve">ATT-0148</t>
  </si>
  <si>
    <t xml:space="preserve">ATT-0149</t>
  </si>
  <si>
    <t xml:space="preserve">ATT-0150</t>
  </si>
  <si>
    <t xml:space="preserve">ATT-0151</t>
  </si>
  <si>
    <t xml:space="preserve">ATT-0152</t>
  </si>
  <si>
    <t xml:space="preserve">ATT-0153</t>
  </si>
  <si>
    <t xml:space="preserve">ATT-0154</t>
  </si>
  <si>
    <t xml:space="preserve">ATT-0155</t>
  </si>
  <si>
    <t xml:space="preserve">ATT-0156</t>
  </si>
  <si>
    <t xml:space="preserve">ATT-0157</t>
  </si>
  <si>
    <t xml:space="preserve">ATT-0158</t>
  </si>
  <si>
    <t xml:space="preserve">ATT-0159</t>
  </si>
  <si>
    <t xml:space="preserve">ATT-0160</t>
  </si>
  <si>
    <t xml:space="preserve">ATT-0161</t>
  </si>
  <si>
    <t xml:space="preserve">ATT-0162</t>
  </si>
  <si>
    <t xml:space="preserve">ATT-0163</t>
  </si>
  <si>
    <t xml:space="preserve">ATT-0164</t>
  </si>
  <si>
    <t xml:space="preserve">ATT-0165</t>
  </si>
  <si>
    <t xml:space="preserve">ATT-0166</t>
  </si>
  <si>
    <t xml:space="preserve">ATT-0167</t>
  </si>
  <si>
    <t xml:space="preserve">ATT-0168</t>
  </si>
  <si>
    <t xml:space="preserve">ATT-0169</t>
  </si>
  <si>
    <t xml:space="preserve">ATT-0170</t>
  </si>
  <si>
    <t xml:space="preserve">ATT-0171</t>
  </si>
  <si>
    <t xml:space="preserve">ATT-0172</t>
  </si>
  <si>
    <t xml:space="preserve">ATT-0173</t>
  </si>
  <si>
    <t xml:space="preserve">ATT-0174</t>
  </si>
  <si>
    <t xml:space="preserve">ATT-0175</t>
  </si>
  <si>
    <t xml:space="preserve">ATT-0176</t>
  </si>
  <si>
    <t xml:space="preserve">ATT-0177</t>
  </si>
  <si>
    <t xml:space="preserve">ATT-0178</t>
  </si>
  <si>
    <t xml:space="preserve">ATT-0179</t>
  </si>
  <si>
    <t xml:space="preserve">ATT-0180</t>
  </si>
  <si>
    <t xml:space="preserve">ATT-0181</t>
  </si>
  <si>
    <t xml:space="preserve">ATT-0182</t>
  </si>
  <si>
    <t xml:space="preserve">ATT-0183</t>
  </si>
  <si>
    <t xml:space="preserve">ATT-0184</t>
  </si>
  <si>
    <t xml:space="preserve">ATT-0185</t>
  </si>
  <si>
    <t xml:space="preserve">ATT-0186</t>
  </si>
  <si>
    <t xml:space="preserve">ATT-0187</t>
  </si>
  <si>
    <t xml:space="preserve">ATT-0188</t>
  </si>
  <si>
    <t xml:space="preserve">ATT-0189</t>
  </si>
  <si>
    <t xml:space="preserve">ATT-0190</t>
  </si>
  <si>
    <t xml:space="preserve">ATT-0191</t>
  </si>
  <si>
    <t xml:space="preserve">ATT-0192</t>
  </si>
  <si>
    <t xml:space="preserve">ATT-0193</t>
  </si>
  <si>
    <t xml:space="preserve">ATT-0194</t>
  </si>
  <si>
    <t xml:space="preserve">ATT-0195</t>
  </si>
  <si>
    <t xml:space="preserve">ATT-0196</t>
  </si>
  <si>
    <t xml:space="preserve">ATT-0197</t>
  </si>
  <si>
    <t xml:space="preserve">ATT-0198</t>
  </si>
  <si>
    <t xml:space="preserve">ATT-0199</t>
  </si>
  <si>
    <t xml:space="preserve">ATT-0200</t>
  </si>
  <si>
    <t xml:space="preserve">ATT-0201</t>
  </si>
  <si>
    <t xml:space="preserve">ATT-0202</t>
  </si>
  <si>
    <t xml:space="preserve">ATT-0203</t>
  </si>
  <si>
    <t xml:space="preserve">ATT-0204</t>
  </si>
  <si>
    <t xml:space="preserve">ATT-0205</t>
  </si>
  <si>
    <t xml:space="preserve">ATT-0206</t>
  </si>
  <si>
    <t xml:space="preserve">ATT-0207</t>
  </si>
  <si>
    <t xml:space="preserve">ATT-0208</t>
  </si>
  <si>
    <t xml:space="preserve">ATT-0209</t>
  </si>
  <si>
    <t xml:space="preserve">ATT-0210</t>
  </si>
  <si>
    <t xml:space="preserve">ATT-0211</t>
  </si>
  <si>
    <t xml:space="preserve">ATT-0212</t>
  </si>
  <si>
    <t xml:space="preserve">ATT-0213</t>
  </si>
  <si>
    <t xml:space="preserve">ATT-0214</t>
  </si>
  <si>
    <t xml:space="preserve">ATT-0215</t>
  </si>
  <si>
    <t xml:space="preserve">ATT-0216</t>
  </si>
  <si>
    <t xml:space="preserve">ATT-0217</t>
  </si>
  <si>
    <t xml:space="preserve">ATT-0218</t>
  </si>
  <si>
    <t xml:space="preserve">Templumis University — Student Fee Records</t>
  </si>
  <si>
    <t xml:space="preserve">Academic Year 2023/24 · Semester 1  |  All amounts in KES</t>
  </si>
  <si>
    <t xml:space="preserve">Fee Record ID</t>
  </si>
  <si>
    <t xml:space="preserve">Student ID</t>
  </si>
  <si>
    <t xml:space="preserve">Student Name</t>
  </si>
  <si>
    <t xml:space="preserve">Programme</t>
  </si>
  <si>
    <t xml:space="preserve">Department</t>
  </si>
  <si>
    <t xml:space="preserve">Sem Fee (KES)</t>
  </si>
  <si>
    <t xml:space="preserve">Reg Fee (KES)</t>
  </si>
  <si>
    <t xml:space="preserve">Total Billed (KES)</t>
  </si>
  <si>
    <t xml:space="preserve">Amount Paid (KES)</t>
  </si>
  <si>
    <t xml:space="preserve">Balance (KES)</t>
  </si>
  <si>
    <t xml:space="preserve">Fee Status</t>
  </si>
  <si>
    <t xml:space="preserve">FR-0001</t>
  </si>
  <si>
    <t xml:space="preserve">FR-0002</t>
  </si>
  <si>
    <t xml:space="preserve">FR-0003</t>
  </si>
  <si>
    <t xml:space="preserve">FR-0004</t>
  </si>
  <si>
    <t xml:space="preserve">FR-0005</t>
  </si>
  <si>
    <t xml:space="preserve">FR-0006</t>
  </si>
  <si>
    <t xml:space="preserve">FR-0007</t>
  </si>
  <si>
    <t xml:space="preserve">FR-0008</t>
  </si>
  <si>
    <t xml:space="preserve">FR-0009</t>
  </si>
  <si>
    <t xml:space="preserve">FR-0010</t>
  </si>
  <si>
    <t xml:space="preserve">FR-0011</t>
  </si>
  <si>
    <t xml:space="preserve">FR-0012</t>
  </si>
  <si>
    <t xml:space="preserve">FR-0013</t>
  </si>
  <si>
    <t xml:space="preserve">FR-0014</t>
  </si>
  <si>
    <t xml:space="preserve">FR-0015</t>
  </si>
  <si>
    <t xml:space="preserve">FR-0016</t>
  </si>
  <si>
    <t xml:space="preserve">FR-0017</t>
  </si>
  <si>
    <t xml:space="preserve">FR-0018</t>
  </si>
  <si>
    <t xml:space="preserve">FR-0019</t>
  </si>
  <si>
    <t xml:space="preserve">FR-0020</t>
  </si>
  <si>
    <t xml:space="preserve">FR-0021</t>
  </si>
  <si>
    <t xml:space="preserve">FR-0022</t>
  </si>
  <si>
    <t xml:space="preserve">FR-0023</t>
  </si>
  <si>
    <t xml:space="preserve">FR-0024</t>
  </si>
  <si>
    <t xml:space="preserve">FR-0025</t>
  </si>
  <si>
    <t xml:space="preserve">Arrears</t>
  </si>
  <si>
    <t xml:space="preserve">FR-0026</t>
  </si>
  <si>
    <t xml:space="preserve">FR-0027</t>
  </si>
  <si>
    <t xml:space="preserve">FR-0028</t>
  </si>
  <si>
    <t xml:space="preserve">FR-0029</t>
  </si>
  <si>
    <t xml:space="preserve">FR-0030</t>
  </si>
  <si>
    <t xml:space="preserve">FR-0031</t>
  </si>
  <si>
    <t xml:space="preserve">FR-0032</t>
  </si>
  <si>
    <t xml:space="preserve">FR-0033</t>
  </si>
  <si>
    <t xml:space="preserve">FR-0034</t>
  </si>
  <si>
    <t xml:space="preserve">FR-0035</t>
  </si>
  <si>
    <t xml:space="preserve">FR-0036</t>
  </si>
  <si>
    <t xml:space="preserve">FR-0037</t>
  </si>
  <si>
    <t xml:space="preserve">FR-0038</t>
  </si>
  <si>
    <t xml:space="preserve">PhD (Research)</t>
  </si>
  <si>
    <t xml:space="preserve">FR-0039</t>
  </si>
  <si>
    <t xml:space="preserve">FR-0040</t>
  </si>
  <si>
    <t xml:space="preserve">FR-0041</t>
  </si>
  <si>
    <t xml:space="preserve">FR-0042</t>
  </si>
  <si>
    <t xml:space="preserve">FR-0043</t>
  </si>
  <si>
    <t xml:space="preserve">FR-0044</t>
  </si>
  <si>
    <t xml:space="preserve">FR-0045</t>
  </si>
  <si>
    <t xml:space="preserve">FR-0046</t>
  </si>
  <si>
    <t xml:space="preserve">FR-0047</t>
  </si>
  <si>
    <t xml:space="preserve">FR-0048</t>
  </si>
  <si>
    <t xml:space="preserve">FR-0049</t>
  </si>
  <si>
    <t xml:space="preserve">FR-0050</t>
  </si>
  <si>
    <t xml:space="preserve">FR-0051</t>
  </si>
  <si>
    <t xml:space="preserve">FR-0052</t>
  </si>
  <si>
    <t xml:space="preserve">FR-0053</t>
  </si>
  <si>
    <t xml:space="preserve">FR-0054</t>
  </si>
  <si>
    <t xml:space="preserve">FR-0055</t>
  </si>
  <si>
    <t xml:space="preserve">FR-0056</t>
  </si>
  <si>
    <t xml:space="preserve">FR-0057</t>
  </si>
  <si>
    <t xml:space="preserve">FR-0058</t>
  </si>
  <si>
    <t xml:space="preserve">FR-0059</t>
  </si>
  <si>
    <t xml:space="preserve">FR-0060</t>
  </si>
  <si>
    <t xml:space="preserve">FR-0061</t>
  </si>
  <si>
    <t xml:space="preserve">FR-0062</t>
  </si>
  <si>
    <t xml:space="preserve">FR-0063</t>
  </si>
  <si>
    <t xml:space="preserve">FR-0064</t>
  </si>
  <si>
    <t xml:space="preserve">FR-0065</t>
  </si>
  <si>
    <t xml:space="preserve">FR-0066</t>
  </si>
  <si>
    <t xml:space="preserve">FR-0067</t>
  </si>
  <si>
    <t xml:space="preserve">FR-0068</t>
  </si>
  <si>
    <t xml:space="preserve">FR-0069</t>
  </si>
  <si>
    <t xml:space="preserve">FR-0070</t>
  </si>
  <si>
    <t xml:space="preserve">FR-0071</t>
  </si>
  <si>
    <t xml:space="preserve">FR-0072</t>
  </si>
  <si>
    <t xml:space="preserve">FR-0073</t>
  </si>
  <si>
    <t xml:space="preserve">FR-0074</t>
  </si>
  <si>
    <t xml:space="preserve">FR-0075</t>
  </si>
  <si>
    <t xml:space="preserve">FR-0076</t>
  </si>
  <si>
    <t xml:space="preserve">FR-0077</t>
  </si>
  <si>
    <t xml:space="preserve">FR-0078</t>
  </si>
  <si>
    <t xml:space="preserve">FR-0079</t>
  </si>
  <si>
    <t xml:space="preserve">FR-0080</t>
  </si>
  <si>
    <t xml:space="preserve">FR-0081</t>
  </si>
  <si>
    <t xml:space="preserve">FR-0082</t>
  </si>
  <si>
    <t xml:space="preserve">FR-0083</t>
  </si>
  <si>
    <t xml:space="preserve">FR-0084</t>
  </si>
  <si>
    <t xml:space="preserve">FR-0085</t>
  </si>
  <si>
    <t xml:space="preserve">FR-0086</t>
  </si>
  <si>
    <t xml:space="preserve">FR-0087</t>
  </si>
  <si>
    <t xml:space="preserve">FR-0088</t>
  </si>
  <si>
    <t xml:space="preserve">FR-0089</t>
  </si>
  <si>
    <t xml:space="preserve">FR-0090</t>
  </si>
  <si>
    <t xml:space="preserve">FR-0091</t>
  </si>
  <si>
    <t xml:space="preserve">FR-0092</t>
  </si>
  <si>
    <t xml:space="preserve">FR-0093</t>
  </si>
  <si>
    <t xml:space="preserve">FR-0094</t>
  </si>
  <si>
    <t xml:space="preserve">FR-0095</t>
  </si>
  <si>
    <t xml:space="preserve">FR-0096</t>
  </si>
  <si>
    <t xml:space="preserve">FR-0097</t>
  </si>
  <si>
    <t xml:space="preserve">FR-0098</t>
  </si>
  <si>
    <t xml:space="preserve">FR-0099</t>
  </si>
  <si>
    <t xml:space="preserve">FR-0100</t>
  </si>
  <si>
    <t xml:space="preserve">FR-0101</t>
  </si>
  <si>
    <t xml:space="preserve">FR-0102</t>
  </si>
  <si>
    <t xml:space="preserve">FR-0103</t>
  </si>
  <si>
    <t xml:space="preserve">FR-0104</t>
  </si>
  <si>
    <t xml:space="preserve">FR-0105</t>
  </si>
  <si>
    <t xml:space="preserve">FR-0106</t>
  </si>
  <si>
    <t xml:space="preserve">FR-0107</t>
  </si>
  <si>
    <t xml:space="preserve">FR-0108</t>
  </si>
  <si>
    <t xml:space="preserve">FR-0109</t>
  </si>
  <si>
    <t xml:space="preserve">FR-0110</t>
  </si>
  <si>
    <t xml:space="preserve">FR-0111</t>
  </si>
  <si>
    <t xml:space="preserve">FR-0112</t>
  </si>
  <si>
    <t xml:space="preserve">FR-0113</t>
  </si>
  <si>
    <t xml:space="preserve">FR-0114</t>
  </si>
  <si>
    <t xml:space="preserve">FR-0115</t>
  </si>
  <si>
    <t xml:space="preserve">FR-0116</t>
  </si>
  <si>
    <t xml:space="preserve">FR-0117</t>
  </si>
  <si>
    <t xml:space="preserve">FR-0118</t>
  </si>
  <si>
    <t xml:space="preserve">FR-0119</t>
  </si>
  <si>
    <t xml:space="preserve">FR-0120</t>
  </si>
  <si>
    <t xml:space="preserve">FR-0121</t>
  </si>
  <si>
    <t xml:space="preserve">FR-0122</t>
  </si>
  <si>
    <t xml:space="preserve">FR-0123</t>
  </si>
  <si>
    <t xml:space="preserve">FR-0124</t>
  </si>
  <si>
    <t xml:space="preserve">FR-0125</t>
  </si>
  <si>
    <t xml:space="preserve">FR-0126</t>
  </si>
  <si>
    <t xml:space="preserve">FR-0127</t>
  </si>
  <si>
    <t xml:space="preserve">FR-0128</t>
  </si>
  <si>
    <t xml:space="preserve">FR-0129</t>
  </si>
  <si>
    <t xml:space="preserve">FR-0130</t>
  </si>
  <si>
    <t xml:space="preserve">FR-0131</t>
  </si>
  <si>
    <t xml:space="preserve">FR-0132</t>
  </si>
  <si>
    <t xml:space="preserve">FR-0133</t>
  </si>
  <si>
    <t xml:space="preserve">FR-0134</t>
  </si>
  <si>
    <t xml:space="preserve">FR-0135</t>
  </si>
  <si>
    <t xml:space="preserve">FR-0136</t>
  </si>
  <si>
    <t xml:space="preserve">FR-0137</t>
  </si>
  <si>
    <t xml:space="preserve">FR-0138</t>
  </si>
  <si>
    <t xml:space="preserve">FR-0139</t>
  </si>
  <si>
    <t xml:space="preserve">FR-0140</t>
  </si>
  <si>
    <t xml:space="preserve">FR-0141</t>
  </si>
  <si>
    <t xml:space="preserve">FR-0142</t>
  </si>
  <si>
    <t xml:space="preserve">FR-0143</t>
  </si>
  <si>
    <t xml:space="preserve">FR-0144</t>
  </si>
  <si>
    <t xml:space="preserve">FR-0145</t>
  </si>
  <si>
    <t xml:space="preserve">FR-0146</t>
  </si>
  <si>
    <t xml:space="preserve">FR-0147</t>
  </si>
  <si>
    <t xml:space="preserve">FR-0148</t>
  </si>
  <si>
    <t xml:space="preserve">FR-0149</t>
  </si>
  <si>
    <t xml:space="preserve">FR-0150</t>
  </si>
  <si>
    <t xml:space="preserve">FR-0151</t>
  </si>
  <si>
    <t xml:space="preserve">FR-0152</t>
  </si>
  <si>
    <t xml:space="preserve">FR-0153</t>
  </si>
  <si>
    <t xml:space="preserve">FR-0154</t>
  </si>
  <si>
    <t xml:space="preserve">FR-0155</t>
  </si>
  <si>
    <t xml:space="preserve">FR-0156</t>
  </si>
  <si>
    <t xml:space="preserve">FR-0157</t>
  </si>
  <si>
    <t xml:space="preserve">FR-0158</t>
  </si>
  <si>
    <t xml:space="preserve">FR-0159</t>
  </si>
  <si>
    <t xml:space="preserve">FR-0160</t>
  </si>
  <si>
    <t xml:space="preserve">FR-0161</t>
  </si>
  <si>
    <t xml:space="preserve">FR-0162</t>
  </si>
  <si>
    <t xml:space="preserve">FR-0163</t>
  </si>
  <si>
    <t xml:space="preserve">FR-0164</t>
  </si>
  <si>
    <t xml:space="preserve">FR-0165</t>
  </si>
  <si>
    <t xml:space="preserve">FR-0166</t>
  </si>
  <si>
    <t xml:space="preserve">FR-0167</t>
  </si>
  <si>
    <t xml:space="preserve">FR-0168</t>
  </si>
  <si>
    <t xml:space="preserve">FR-0169</t>
  </si>
  <si>
    <t xml:space="preserve">FR-0170</t>
  </si>
  <si>
    <t xml:space="preserve">FR-0171</t>
  </si>
  <si>
    <t xml:space="preserve">FR-0172</t>
  </si>
  <si>
    <t xml:space="preserve">TOTALS</t>
  </si>
  <si>
    <t xml:space="preserve">Templumis University — Payment Transactions</t>
  </si>
  <si>
    <t xml:space="preserve">Payment ID</t>
  </si>
  <si>
    <t xml:space="preserve">Payment Date</t>
  </si>
  <si>
    <t xml:space="preserve">Payment Method</t>
  </si>
  <si>
    <t xml:space="preserve">Reference No.</t>
  </si>
  <si>
    <t xml:space="preserve">Amount (KES)</t>
  </si>
  <si>
    <t xml:space="preserve">Payment Type</t>
  </si>
  <si>
    <t xml:space="preserve">Processed By</t>
  </si>
  <si>
    <t xml:space="preserve">Receipt No.</t>
  </si>
  <si>
    <t xml:space="preserve">Status</t>
  </si>
  <si>
    <t xml:space="preserve">PAY-0001</t>
  </si>
  <si>
    <t xml:space="preserve">2023-09-08</t>
  </si>
  <si>
    <t xml:space="preserve">M-Pesa</t>
  </si>
  <si>
    <t xml:space="preserve">REF529696</t>
  </si>
  <si>
    <t xml:space="preserve">Tuition &amp; Registration</t>
  </si>
  <si>
    <t xml:space="preserve">Bursar</t>
  </si>
  <si>
    <t xml:space="preserve">RCT-0001</t>
  </si>
  <si>
    <t xml:space="preserve">Confirmed</t>
  </si>
  <si>
    <t xml:space="preserve">PAY-0002</t>
  </si>
  <si>
    <t xml:space="preserve">2023-09-11</t>
  </si>
  <si>
    <t xml:space="preserve">REF184441</t>
  </si>
  <si>
    <t xml:space="preserve">Finance Office</t>
  </si>
  <si>
    <t xml:space="preserve">RCT-0002</t>
  </si>
  <si>
    <t xml:space="preserve">PAY-0003</t>
  </si>
  <si>
    <t xml:space="preserve">Bank Transfer</t>
  </si>
  <si>
    <t xml:space="preserve">REF600208</t>
  </si>
  <si>
    <t xml:space="preserve">RCT-0003</t>
  </si>
  <si>
    <t xml:space="preserve">PAY-0004</t>
  </si>
  <si>
    <t xml:space="preserve">2023-09-13</t>
  </si>
  <si>
    <t xml:space="preserve">REF749605</t>
  </si>
  <si>
    <t xml:space="preserve">RCT-0004</t>
  </si>
  <si>
    <t xml:space="preserve">PAY-0005</t>
  </si>
  <si>
    <t xml:space="preserve">REF404242</t>
  </si>
  <si>
    <t xml:space="preserve">Partial Tuition</t>
  </si>
  <si>
    <t xml:space="preserve">RCT-0005</t>
  </si>
  <si>
    <t xml:space="preserve">PAY-0006</t>
  </si>
  <si>
    <t xml:space="preserve">REF432622</t>
  </si>
  <si>
    <t xml:space="preserve">RCT-0006</t>
  </si>
  <si>
    <t xml:space="preserve">PAY-0007</t>
  </si>
  <si>
    <t xml:space="preserve">REF503029</t>
  </si>
  <si>
    <t xml:space="preserve">RCT-0007</t>
  </si>
  <si>
    <t xml:space="preserve">PAY-0008</t>
  </si>
  <si>
    <t xml:space="preserve">2023-09-14</t>
  </si>
  <si>
    <t xml:space="preserve">REF650659</t>
  </si>
  <si>
    <t xml:space="preserve">RCT-0008</t>
  </si>
  <si>
    <t xml:space="preserve">PAY-0009</t>
  </si>
  <si>
    <t xml:space="preserve">—</t>
  </si>
  <si>
    <t xml:space="preserve">Deferred — Leave of Absence</t>
  </si>
  <si>
    <t xml:space="preserve">Registrar</t>
  </si>
  <si>
    <t xml:space="preserve">RCT-0009</t>
  </si>
  <si>
    <t xml:space="preserve">PAY-0010</t>
  </si>
  <si>
    <t xml:space="preserve">REF890008</t>
  </si>
  <si>
    <t xml:space="preserve">RCT-0010</t>
  </si>
  <si>
    <t xml:space="preserve">PAY-0011</t>
  </si>
  <si>
    <t xml:space="preserve">2023-09-10</t>
  </si>
  <si>
    <t xml:space="preserve">REF723142</t>
  </si>
  <si>
    <t xml:space="preserve">RCT-0011</t>
  </si>
  <si>
    <t xml:space="preserve">PAY-0012</t>
  </si>
  <si>
    <t xml:space="preserve">REF746509</t>
  </si>
  <si>
    <t xml:space="preserve">RCT-0012</t>
  </si>
  <si>
    <t xml:space="preserve">PAY-0013</t>
  </si>
  <si>
    <t xml:space="preserve">REF834564</t>
  </si>
  <si>
    <t xml:space="preserve">RCT-0013</t>
  </si>
  <si>
    <t xml:space="preserve">PAY-0014</t>
  </si>
  <si>
    <t xml:space="preserve">2023-09-21</t>
  </si>
  <si>
    <t xml:space="preserve">REF313688</t>
  </si>
  <si>
    <t xml:space="preserve">RCT-0014</t>
  </si>
  <si>
    <t xml:space="preserve">PAY-0015</t>
  </si>
  <si>
    <t xml:space="preserve">REF357865</t>
  </si>
  <si>
    <t xml:space="preserve">RCT-0015</t>
  </si>
  <si>
    <t xml:space="preserve">PAY-0016</t>
  </si>
  <si>
    <t xml:space="preserve">2023-09-09</t>
  </si>
  <si>
    <t xml:space="preserve">REF121357</t>
  </si>
  <si>
    <t xml:space="preserve">RCT-0016</t>
  </si>
  <si>
    <t xml:space="preserve">PAY-0017</t>
  </si>
  <si>
    <t xml:space="preserve">2023-09-03</t>
  </si>
  <si>
    <t xml:space="preserve">REF635445</t>
  </si>
  <si>
    <t xml:space="preserve">RCT-0017</t>
  </si>
  <si>
    <t xml:space="preserve">PAY-0018</t>
  </si>
  <si>
    <t xml:space="preserve">REF222058</t>
  </si>
  <si>
    <t xml:space="preserve">RCT-0018</t>
  </si>
  <si>
    <t xml:space="preserve">PAY-0019</t>
  </si>
  <si>
    <t xml:space="preserve">REF193437</t>
  </si>
  <si>
    <t xml:space="preserve">RCT-0019</t>
  </si>
  <si>
    <t xml:space="preserve">PAY-0020</t>
  </si>
  <si>
    <t xml:space="preserve">REF354366</t>
  </si>
  <si>
    <t xml:space="preserve">RCT-0020</t>
  </si>
  <si>
    <t xml:space="preserve">PAY-0021</t>
  </si>
  <si>
    <t xml:space="preserve">2023-09-01</t>
  </si>
  <si>
    <t xml:space="preserve">RCT-0021</t>
  </si>
  <si>
    <t xml:space="preserve">PAY-0022</t>
  </si>
  <si>
    <t xml:space="preserve">REF977426</t>
  </si>
  <si>
    <t xml:space="preserve">RCT-0022</t>
  </si>
  <si>
    <t xml:space="preserve">PAY-0023</t>
  </si>
  <si>
    <t xml:space="preserve">REF581637</t>
  </si>
  <si>
    <t xml:space="preserve">RCT-0023</t>
  </si>
  <si>
    <t xml:space="preserve">PAY-0024</t>
  </si>
  <si>
    <t xml:space="preserve">REF340643</t>
  </si>
  <si>
    <t xml:space="preserve">RCT-0024</t>
  </si>
  <si>
    <t xml:space="preserve">PAY-0025</t>
  </si>
  <si>
    <t xml:space="preserve">REF670556</t>
  </si>
  <si>
    <t xml:space="preserve">Registration Fee Only</t>
  </si>
  <si>
    <t xml:space="preserve">RCT-0025</t>
  </si>
  <si>
    <t xml:space="preserve">Partial — Tuition Arrears KES 75,000</t>
  </si>
  <si>
    <t xml:space="preserve">PAY-0026</t>
  </si>
  <si>
    <t xml:space="preserve">REF864661</t>
  </si>
  <si>
    <t xml:space="preserve">RCT-0026</t>
  </si>
  <si>
    <t xml:space="preserve">PAY-0027</t>
  </si>
  <si>
    <t xml:space="preserve">2023-09-12</t>
  </si>
  <si>
    <t xml:space="preserve">REF268175</t>
  </si>
  <si>
    <t xml:space="preserve">RCT-0027</t>
  </si>
  <si>
    <t xml:space="preserve">PAY-0028</t>
  </si>
  <si>
    <t xml:space="preserve">REF438948</t>
  </si>
  <si>
    <t xml:space="preserve">RCT-0028</t>
  </si>
  <si>
    <t xml:space="preserve">PAY-0029</t>
  </si>
  <si>
    <t xml:space="preserve">REF831747</t>
  </si>
  <si>
    <t xml:space="preserve">RCT-0029</t>
  </si>
  <si>
    <t xml:space="preserve">PAY-0030</t>
  </si>
  <si>
    <t xml:space="preserve">REF306824</t>
  </si>
  <si>
    <t xml:space="preserve">RCT-0030</t>
  </si>
  <si>
    <t xml:space="preserve">PAY-0031</t>
  </si>
  <si>
    <t xml:space="preserve">REF216452</t>
  </si>
  <si>
    <t xml:space="preserve">RCT-0031</t>
  </si>
  <si>
    <t xml:space="preserve">PAY-0032</t>
  </si>
  <si>
    <t xml:space="preserve">REF292726</t>
  </si>
  <si>
    <t xml:space="preserve">RCT-0032</t>
  </si>
  <si>
    <t xml:space="preserve">PAY-0033</t>
  </si>
  <si>
    <t xml:space="preserve">REF461197</t>
  </si>
  <si>
    <t xml:space="preserve">RCT-0033</t>
  </si>
  <si>
    <t xml:space="preserve">PAY-0034</t>
  </si>
  <si>
    <t xml:space="preserve">REF525912</t>
  </si>
  <si>
    <t xml:space="preserve">RCT-0034</t>
  </si>
  <si>
    <t xml:space="preserve">PAY-0035</t>
  </si>
  <si>
    <t xml:space="preserve">RCT-0035</t>
  </si>
  <si>
    <t xml:space="preserve">PAY-0036</t>
  </si>
  <si>
    <t xml:space="preserve">REF944370</t>
  </si>
  <si>
    <t xml:space="preserve">RCT-0036</t>
  </si>
  <si>
    <t xml:space="preserve">PAY-0037</t>
  </si>
  <si>
    <t xml:space="preserve">REF361964</t>
  </si>
  <si>
    <t xml:space="preserve">RCT-0037</t>
  </si>
  <si>
    <t xml:space="preserve">PAY-0038</t>
  </si>
  <si>
    <t xml:space="preserve">REF821034</t>
  </si>
  <si>
    <t xml:space="preserve">RCT-0038</t>
  </si>
  <si>
    <t xml:space="preserve">PAY-0039</t>
  </si>
  <si>
    <t xml:space="preserve">REF672891</t>
  </si>
  <si>
    <t xml:space="preserve">RCT-0039</t>
  </si>
  <si>
    <t xml:space="preserve">PAY-0040</t>
  </si>
  <si>
    <t xml:space="preserve">REF543217</t>
  </si>
  <si>
    <t xml:space="preserve">RCT-0040</t>
  </si>
  <si>
    <t xml:space="preserve">PAY-0041</t>
  </si>
  <si>
    <t xml:space="preserve">REF309845</t>
  </si>
  <si>
    <t xml:space="preserve">RCT-0041</t>
  </si>
  <si>
    <t xml:space="preserve">PAY-0042</t>
  </si>
  <si>
    <t xml:space="preserve">REF600001</t>
  </si>
  <si>
    <t xml:space="preserve">RCT-0042</t>
  </si>
  <si>
    <t xml:space="preserve">PAY-0043</t>
  </si>
  <si>
    <t xml:space="preserve">REF600002</t>
  </si>
  <si>
    <t xml:space="preserve">RCT-0043</t>
  </si>
  <si>
    <t xml:space="preserve">PAY-0044</t>
  </si>
  <si>
    <t xml:space="preserve">REF600003</t>
  </si>
  <si>
    <t xml:space="preserve">RCT-0044</t>
  </si>
  <si>
    <t xml:space="preserve">PAY-0045</t>
  </si>
  <si>
    <t xml:space="preserve">REF600004</t>
  </si>
  <si>
    <t xml:space="preserve">RCT-0045</t>
  </si>
  <si>
    <t xml:space="preserve">PAY-0046</t>
  </si>
  <si>
    <t xml:space="preserve">REF600005</t>
  </si>
  <si>
    <t xml:space="preserve">RCT-0046</t>
  </si>
  <si>
    <t xml:space="preserve">PAY-0047</t>
  </si>
  <si>
    <t xml:space="preserve">REF600006</t>
  </si>
  <si>
    <t xml:space="preserve">RCT-0047</t>
  </si>
  <si>
    <t xml:space="preserve">PAY-0048</t>
  </si>
  <si>
    <t xml:space="preserve">REF600007</t>
  </si>
  <si>
    <t xml:space="preserve">RCT-0048</t>
  </si>
  <si>
    <t xml:space="preserve">PAY-0049</t>
  </si>
  <si>
    <t xml:space="preserve">REF600008</t>
  </si>
  <si>
    <t xml:space="preserve">RCT-0049</t>
  </si>
  <si>
    <t xml:space="preserve">PAY-0050</t>
  </si>
  <si>
    <t xml:space="preserve">RCT-0050</t>
  </si>
  <si>
    <t xml:space="preserve">PAY-0051</t>
  </si>
  <si>
    <t xml:space="preserve">REF600010</t>
  </si>
  <si>
    <t xml:space="preserve">RCT-0051</t>
  </si>
  <si>
    <t xml:space="preserve">PAY-0052</t>
  </si>
  <si>
    <t xml:space="preserve">REF600011</t>
  </si>
  <si>
    <t xml:space="preserve">RCT-0052</t>
  </si>
  <si>
    <t xml:space="preserve">PAY-0053</t>
  </si>
  <si>
    <t xml:space="preserve">REF600012</t>
  </si>
  <si>
    <t xml:space="preserve">RCT-0053</t>
  </si>
  <si>
    <t xml:space="preserve">PAY-0054</t>
  </si>
  <si>
    <t xml:space="preserve">REF600013</t>
  </si>
  <si>
    <t xml:space="preserve">RCT-0054</t>
  </si>
  <si>
    <t xml:space="preserve">PAY-0055</t>
  </si>
  <si>
    <t xml:space="preserve">REF600014</t>
  </si>
  <si>
    <t xml:space="preserve">Partial Tuition (Overdue)</t>
  </si>
  <si>
    <t xml:space="preserve">RCT-0055</t>
  </si>
  <si>
    <t xml:space="preserve">PAY-0056</t>
  </si>
  <si>
    <t xml:space="preserve">REF600015</t>
  </si>
  <si>
    <t xml:space="preserve">RCT-0056</t>
  </si>
  <si>
    <t xml:space="preserve">PAY-0057</t>
  </si>
  <si>
    <t xml:space="preserve">REF600016</t>
  </si>
  <si>
    <t xml:space="preserve">RCT-0057</t>
  </si>
  <si>
    <t xml:space="preserve">PAY-0058</t>
  </si>
  <si>
    <t xml:space="preserve">REF600017</t>
  </si>
  <si>
    <t xml:space="preserve">RCT-0058</t>
  </si>
  <si>
    <t xml:space="preserve">PAY-0059</t>
  </si>
  <si>
    <t xml:space="preserve">REF600018</t>
  </si>
  <si>
    <t xml:space="preserve">RCT-0059</t>
  </si>
  <si>
    <t xml:space="preserve">PAY-0060</t>
  </si>
  <si>
    <t xml:space="preserve">REF600019</t>
  </si>
  <si>
    <t xml:space="preserve">RCT-0060</t>
  </si>
  <si>
    <t xml:space="preserve">PAY-0061</t>
  </si>
  <si>
    <t xml:space="preserve">REF600020</t>
  </si>
  <si>
    <t xml:space="preserve">RCT-0061</t>
  </si>
  <si>
    <t xml:space="preserve">PAY-0062</t>
  </si>
  <si>
    <t xml:space="preserve">REF600021</t>
  </si>
  <si>
    <t xml:space="preserve">RCT-0062</t>
  </si>
  <si>
    <t xml:space="preserve">PAY-0063</t>
  </si>
  <si>
    <t xml:space="preserve">REF600022</t>
  </si>
  <si>
    <t xml:space="preserve">RCT-0063</t>
  </si>
  <si>
    <t xml:space="preserve">PAY-0064</t>
  </si>
  <si>
    <t xml:space="preserve">RCT-0064</t>
  </si>
  <si>
    <t xml:space="preserve">PAY-0065</t>
  </si>
  <si>
    <t xml:space="preserve">REF600024</t>
  </si>
  <si>
    <t xml:space="preserve">RCT-0065</t>
  </si>
  <si>
    <t xml:space="preserve">PAY-0066</t>
  </si>
  <si>
    <t xml:space="preserve">REF600025</t>
  </si>
  <si>
    <t xml:space="preserve">RCT-0066</t>
  </si>
  <si>
    <t xml:space="preserve">PAY-0067</t>
  </si>
  <si>
    <t xml:space="preserve">REF600026</t>
  </si>
  <si>
    <t xml:space="preserve">RCT-0067</t>
  </si>
  <si>
    <t xml:space="preserve">PAY-0068</t>
  </si>
  <si>
    <t xml:space="preserve">REF600027</t>
  </si>
  <si>
    <t xml:space="preserve">RCT-0068</t>
  </si>
  <si>
    <t xml:space="preserve">PAY-0069</t>
  </si>
  <si>
    <t xml:space="preserve">REF600028</t>
  </si>
  <si>
    <t xml:space="preserve">RCT-0069</t>
  </si>
  <si>
    <t xml:space="preserve">PAY-0070</t>
  </si>
  <si>
    <t xml:space="preserve">REF600029</t>
  </si>
  <si>
    <t xml:space="preserve">RCT-0070</t>
  </si>
  <si>
    <t xml:space="preserve">PAY-0071</t>
  </si>
  <si>
    <t xml:space="preserve">REF600030</t>
  </si>
  <si>
    <t xml:space="preserve">RCT-0071</t>
  </si>
  <si>
    <t xml:space="preserve">PAY-0072</t>
  </si>
  <si>
    <t xml:space="preserve">REF600031</t>
  </si>
  <si>
    <t xml:space="preserve">RCT-0072</t>
  </si>
  <si>
    <t xml:space="preserve">PAY-0073</t>
  </si>
  <si>
    <t xml:space="preserve">REF600032</t>
  </si>
  <si>
    <t xml:space="preserve">RCT-0073</t>
  </si>
  <si>
    <t xml:space="preserve">PAY-0074</t>
  </si>
  <si>
    <t xml:space="preserve">REF600033</t>
  </si>
  <si>
    <t xml:space="preserve">RCT-0074</t>
  </si>
  <si>
    <t xml:space="preserve">PAY-0075</t>
  </si>
  <si>
    <t xml:space="preserve">REF600034</t>
  </si>
  <si>
    <t xml:space="preserve">RCT-0075</t>
  </si>
  <si>
    <t xml:space="preserve">PAY-0076</t>
  </si>
  <si>
    <t xml:space="preserve">RCT-0076</t>
  </si>
  <si>
    <t xml:space="preserve">PAY-0077</t>
  </si>
  <si>
    <t xml:space="preserve">REF600036</t>
  </si>
  <si>
    <t xml:space="preserve">RCT-0077</t>
  </si>
  <si>
    <t xml:space="preserve">PAY-0078</t>
  </si>
  <si>
    <t xml:space="preserve">REF600037</t>
  </si>
  <si>
    <t xml:space="preserve">RCT-0078</t>
  </si>
  <si>
    <t xml:space="preserve">PAY-0079</t>
  </si>
  <si>
    <t xml:space="preserve">REF600038</t>
  </si>
  <si>
    <t xml:space="preserve">RCT-0079</t>
  </si>
  <si>
    <t xml:space="preserve">PAY-0080</t>
  </si>
  <si>
    <t xml:space="preserve">REF600039</t>
  </si>
  <si>
    <t xml:space="preserve">RCT-0080</t>
  </si>
  <si>
    <t xml:space="preserve">PAY-0081</t>
  </si>
  <si>
    <t xml:space="preserve">REF600040</t>
  </si>
  <si>
    <t xml:space="preserve">RCT-0081</t>
  </si>
  <si>
    <t xml:space="preserve">PAY-0082</t>
  </si>
  <si>
    <t xml:space="preserve">REF600041</t>
  </si>
  <si>
    <t xml:space="preserve">RCT-0082</t>
  </si>
  <si>
    <t xml:space="preserve">PAY-0083</t>
  </si>
  <si>
    <t xml:space="preserve">REF600042</t>
  </si>
  <si>
    <t xml:space="preserve">RCT-0083</t>
  </si>
  <si>
    <t xml:space="preserve">PAY-0084</t>
  </si>
  <si>
    <t xml:space="preserve">REF600043</t>
  </si>
  <si>
    <t xml:space="preserve">RCT-0084</t>
  </si>
  <si>
    <t xml:space="preserve">PAY-0085</t>
  </si>
  <si>
    <t xml:space="preserve">REF600044</t>
  </si>
  <si>
    <t xml:space="preserve">RCT-0085</t>
  </si>
  <si>
    <t xml:space="preserve">PAY-0086</t>
  </si>
  <si>
    <t xml:space="preserve">REF600045</t>
  </si>
  <si>
    <t xml:space="preserve">RCT-0086</t>
  </si>
  <si>
    <t xml:space="preserve">PAY-0087</t>
  </si>
  <si>
    <t xml:space="preserve">REF600046</t>
  </si>
  <si>
    <t xml:space="preserve">RCT-0087</t>
  </si>
  <si>
    <t xml:space="preserve">PAY-0088</t>
  </si>
  <si>
    <t xml:space="preserve">REF600047</t>
  </si>
  <si>
    <t xml:space="preserve">RCT-0088</t>
  </si>
  <si>
    <t xml:space="preserve">PAY-0089</t>
  </si>
  <si>
    <t xml:space="preserve">REF600048</t>
  </si>
  <si>
    <t xml:space="preserve">RCT-0089</t>
  </si>
  <si>
    <t xml:space="preserve">PAY-0090</t>
  </si>
  <si>
    <t xml:space="preserve">REF600049</t>
  </si>
  <si>
    <t xml:space="preserve">RCT-0090</t>
  </si>
  <si>
    <t xml:space="preserve">PAY-0091</t>
  </si>
  <si>
    <t xml:space="preserve">RCT-0091</t>
  </si>
  <si>
    <t xml:space="preserve">PAY-0092</t>
  </si>
  <si>
    <t xml:space="preserve">REF600051</t>
  </si>
  <si>
    <t xml:space="preserve">RCT-0092</t>
  </si>
  <si>
    <t xml:space="preserve">PAY-0093</t>
  </si>
  <si>
    <t xml:space="preserve">REF600052</t>
  </si>
  <si>
    <t xml:space="preserve">RCT-0093</t>
  </si>
  <si>
    <t xml:space="preserve">PAY-0094</t>
  </si>
  <si>
    <t xml:space="preserve">REF600053</t>
  </si>
  <si>
    <t xml:space="preserve">RCT-0094</t>
  </si>
  <si>
    <t xml:space="preserve">PAY-0095</t>
  </si>
  <si>
    <t xml:space="preserve">REF600054</t>
  </si>
  <si>
    <t xml:space="preserve">RCT-0095</t>
  </si>
  <si>
    <t xml:space="preserve">PAY-0096</t>
  </si>
  <si>
    <t xml:space="preserve">REF600055</t>
  </si>
  <si>
    <t xml:space="preserve">RCT-0096</t>
  </si>
  <si>
    <t xml:space="preserve">PAY-0097</t>
  </si>
  <si>
    <t xml:space="preserve">REF600056</t>
  </si>
  <si>
    <t xml:space="preserve">RCT-0097</t>
  </si>
  <si>
    <t xml:space="preserve">PAY-0098</t>
  </si>
  <si>
    <t xml:space="preserve">REF600057</t>
  </si>
  <si>
    <t xml:space="preserve">RCT-0098</t>
  </si>
  <si>
    <t xml:space="preserve">PAY-0099</t>
  </si>
  <si>
    <t xml:space="preserve">REF600058</t>
  </si>
  <si>
    <t xml:space="preserve">RCT-0099</t>
  </si>
  <si>
    <t xml:space="preserve">PAY-0100</t>
  </si>
  <si>
    <t xml:space="preserve">REF600059</t>
  </si>
  <si>
    <t xml:space="preserve">RCT-0100</t>
  </si>
  <si>
    <t xml:space="preserve">PAY-0101</t>
  </si>
  <si>
    <t xml:space="preserve">REF600060</t>
  </si>
  <si>
    <t xml:space="preserve">RCT-0101</t>
  </si>
  <si>
    <t xml:space="preserve">PAY-0102</t>
  </si>
  <si>
    <t xml:space="preserve">REF600061</t>
  </si>
  <si>
    <t xml:space="preserve">RCT-0102</t>
  </si>
  <si>
    <t xml:space="preserve">PAY-0103</t>
  </si>
  <si>
    <t xml:space="preserve">REF600062</t>
  </si>
  <si>
    <t xml:space="preserve">RCT-0103</t>
  </si>
  <si>
    <t xml:space="preserve">PAY-0104</t>
  </si>
  <si>
    <t xml:space="preserve">REF600063</t>
  </si>
  <si>
    <t xml:space="preserve">RCT-0104</t>
  </si>
  <si>
    <t xml:space="preserve">PAY-0105</t>
  </si>
  <si>
    <t xml:space="preserve">RCT-0105</t>
  </si>
  <si>
    <t xml:space="preserve">PAY-0106</t>
  </si>
  <si>
    <t xml:space="preserve">REF600065</t>
  </si>
  <si>
    <t xml:space="preserve">RCT-0106</t>
  </si>
  <si>
    <t xml:space="preserve">PAY-0107</t>
  </si>
  <si>
    <t xml:space="preserve">REF600066</t>
  </si>
  <si>
    <t xml:space="preserve">RCT-0107</t>
  </si>
  <si>
    <t xml:space="preserve">PAY-0108</t>
  </si>
  <si>
    <t xml:space="preserve">REF600067</t>
  </si>
  <si>
    <t xml:space="preserve">RCT-0108</t>
  </si>
  <si>
    <t xml:space="preserve">PAY-0109</t>
  </si>
  <si>
    <t xml:space="preserve">REF600068</t>
  </si>
  <si>
    <t xml:space="preserve">RCT-0109</t>
  </si>
  <si>
    <t xml:space="preserve">PAY-0110</t>
  </si>
  <si>
    <t xml:space="preserve">REF600069</t>
  </si>
  <si>
    <t xml:space="preserve">RCT-0110</t>
  </si>
  <si>
    <t xml:space="preserve">PAY-0111</t>
  </si>
  <si>
    <t xml:space="preserve">REF600070</t>
  </si>
  <si>
    <t xml:space="preserve">RCT-0111</t>
  </si>
  <si>
    <t xml:space="preserve">PAY-0112</t>
  </si>
  <si>
    <t xml:space="preserve">REF600071</t>
  </si>
  <si>
    <t xml:space="preserve">RCT-0112</t>
  </si>
  <si>
    <t xml:space="preserve">PAY-0113</t>
  </si>
  <si>
    <t xml:space="preserve">REF600072</t>
  </si>
  <si>
    <t xml:space="preserve">RCT-0113</t>
  </si>
  <si>
    <t xml:space="preserve">PAY-0114</t>
  </si>
  <si>
    <t xml:space="preserve">REF600073</t>
  </si>
  <si>
    <t xml:space="preserve">RCT-0114</t>
  </si>
  <si>
    <t xml:space="preserve">PAY-0115</t>
  </si>
  <si>
    <t xml:space="preserve">REF600074</t>
  </si>
  <si>
    <t xml:space="preserve">RCT-0115</t>
  </si>
  <si>
    <t xml:space="preserve">PAY-0116</t>
  </si>
  <si>
    <t xml:space="preserve">REF600075</t>
  </si>
  <si>
    <t xml:space="preserve">RCT-0116</t>
  </si>
  <si>
    <t xml:space="preserve">PAY-0117</t>
  </si>
  <si>
    <t xml:space="preserve">RCT-0117</t>
  </si>
  <si>
    <t xml:space="preserve">PAY-0118</t>
  </si>
  <si>
    <t xml:space="preserve">REF600077</t>
  </si>
  <si>
    <t xml:space="preserve">RCT-0118</t>
  </si>
  <si>
    <t xml:space="preserve">PAY-0119</t>
  </si>
  <si>
    <t xml:space="preserve">REF600078</t>
  </si>
  <si>
    <t xml:space="preserve">RCT-0119</t>
  </si>
  <si>
    <t xml:space="preserve">PAY-0120</t>
  </si>
  <si>
    <t xml:space="preserve">REF600079</t>
  </si>
  <si>
    <t xml:space="preserve">RCT-0120</t>
  </si>
  <si>
    <t xml:space="preserve">PAY-0121</t>
  </si>
  <si>
    <t xml:space="preserve">REF600080</t>
  </si>
  <si>
    <t xml:space="preserve">RCT-0121</t>
  </si>
  <si>
    <t xml:space="preserve">PAY-0122</t>
  </si>
  <si>
    <t xml:space="preserve">REF600081</t>
  </si>
  <si>
    <t xml:space="preserve">RCT-0122</t>
  </si>
  <si>
    <t xml:space="preserve">PAY-0123</t>
  </si>
  <si>
    <t xml:space="preserve">REF600082</t>
  </si>
  <si>
    <t xml:space="preserve">RCT-0123</t>
  </si>
  <si>
    <t xml:space="preserve">PAY-0124</t>
  </si>
  <si>
    <t xml:space="preserve">REF700001</t>
  </si>
  <si>
    <t xml:space="preserve">RCT-0124</t>
  </si>
  <si>
    <t xml:space="preserve">PAY-0125</t>
  </si>
  <si>
    <t xml:space="preserve">REF700002</t>
  </si>
  <si>
    <t xml:space="preserve">RCT-0125</t>
  </si>
  <si>
    <t xml:space="preserve">PAY-0126</t>
  </si>
  <si>
    <t xml:space="preserve">REF700003</t>
  </si>
  <si>
    <t xml:space="preserve">RCT-0126</t>
  </si>
  <si>
    <t xml:space="preserve">PAY-0127</t>
  </si>
  <si>
    <t xml:space="preserve">REF700004</t>
  </si>
  <si>
    <t xml:space="preserve">RCT-0127</t>
  </si>
  <si>
    <t xml:space="preserve">PAY-0128</t>
  </si>
  <si>
    <t xml:space="preserve">REF700005</t>
  </si>
  <si>
    <t xml:space="preserve">RCT-0128</t>
  </si>
  <si>
    <t xml:space="preserve">PAY-0129</t>
  </si>
  <si>
    <t xml:space="preserve">REF700006</t>
  </si>
  <si>
    <t xml:space="preserve">RCT-0129</t>
  </si>
  <si>
    <t xml:space="preserve">PAY-0130</t>
  </si>
  <si>
    <t xml:space="preserve">REF700007</t>
  </si>
  <si>
    <t xml:space="preserve">RCT-0130</t>
  </si>
  <si>
    <t xml:space="preserve">PAY-0131</t>
  </si>
  <si>
    <t xml:space="preserve">REF700008</t>
  </si>
  <si>
    <t xml:space="preserve">RCT-0131</t>
  </si>
  <si>
    <t xml:space="preserve">PAY-0132</t>
  </si>
  <si>
    <t xml:space="preserve">REF700009</t>
  </si>
  <si>
    <t xml:space="preserve">RCT-0132</t>
  </si>
  <si>
    <t xml:space="preserve">PAY-0133</t>
  </si>
  <si>
    <t xml:space="preserve">2024-09-16</t>
  </si>
  <si>
    <t xml:space="preserve">REF700052</t>
  </si>
  <si>
    <t xml:space="preserve">NSFAS Disbursement — Tuition &amp; Registration</t>
  </si>
  <si>
    <t xml:space="preserve">NSFAS Liaison Office</t>
  </si>
  <si>
    <t xml:space="preserve">RCT-0133</t>
  </si>
  <si>
    <t xml:space="preserve">PAY-0134</t>
  </si>
  <si>
    <t xml:space="preserve">2023-09-17</t>
  </si>
  <si>
    <t xml:space="preserve">REF700053</t>
  </si>
  <si>
    <t xml:space="preserve">NSFAS Disbursement — Registration Only (Means Verification Pending)</t>
  </si>
  <si>
    <t xml:space="preserve">RCT-0134</t>
  </si>
  <si>
    <t xml:space="preserve">Partial — Tuition Pending NSFAS Confirmation KES 65,000</t>
  </si>
  <si>
    <t xml:space="preserve">PAY-0135</t>
  </si>
  <si>
    <t xml:space="preserve">2025-09-18</t>
  </si>
  <si>
    <t xml:space="preserve">REF700054</t>
  </si>
  <si>
    <t xml:space="preserve">RCT-0135</t>
  </si>
  <si>
    <t xml:space="preserve">PAY-0136</t>
  </si>
  <si>
    <t xml:space="preserve">2022-09-19</t>
  </si>
  <si>
    <t xml:space="preserve">REF700055</t>
  </si>
  <si>
    <t xml:space="preserve">RCT-0136</t>
  </si>
  <si>
    <t xml:space="preserve">PAY-0137</t>
  </si>
  <si>
    <t xml:space="preserve">2024-09-20</t>
  </si>
  <si>
    <t xml:space="preserve">REF700056</t>
  </si>
  <si>
    <t xml:space="preserve">RCT-0137</t>
  </si>
  <si>
    <t xml:space="preserve">PAY-0138</t>
  </si>
  <si>
    <t xml:space="preserve">2022-09-21</t>
  </si>
  <si>
    <t xml:space="preserve">REF700057</t>
  </si>
  <si>
    <t xml:space="preserve">Family Contribution — Partial (NSFAS Funding Discontinued)</t>
  </si>
  <si>
    <t xml:space="preserve">RCT-0138</t>
  </si>
  <si>
    <t xml:space="preserve">Partial — Balance KES 50,000 (Funding Discontinued)</t>
  </si>
  <si>
    <t xml:space="preserve">PAY-0139</t>
  </si>
  <si>
    <t xml:space="preserve">2023-09-22</t>
  </si>
  <si>
    <t xml:space="preserve">REF700058</t>
  </si>
  <si>
    <t xml:space="preserve">RCT-0139</t>
  </si>
  <si>
    <t xml:space="preserve">PAY-0140</t>
  </si>
  <si>
    <t xml:space="preserve">2025-09-23</t>
  </si>
  <si>
    <t xml:space="preserve">REF700059</t>
  </si>
  <si>
    <t xml:space="preserve">RCT-0140</t>
  </si>
  <si>
    <t xml:space="preserve">Partial — Tuition Pending NSFAS Confirmation KES 75,000</t>
  </si>
  <si>
    <t xml:space="preserve">PAY-0141</t>
  </si>
  <si>
    <t xml:space="preserve">2022-09-24</t>
  </si>
  <si>
    <t xml:space="preserve">REF700060</t>
  </si>
  <si>
    <t xml:space="preserve">RCT-0141</t>
  </si>
  <si>
    <t xml:space="preserve">PAY-0142</t>
  </si>
  <si>
    <t xml:space="preserve">2024-09-25</t>
  </si>
  <si>
    <t xml:space="preserve">REF700061</t>
  </si>
  <si>
    <t xml:space="preserve">RCT-0142</t>
  </si>
  <si>
    <t xml:space="preserve">PAY-0143</t>
  </si>
  <si>
    <t xml:space="preserve">2023-09-26</t>
  </si>
  <si>
    <t xml:space="preserve">REF700062</t>
  </si>
  <si>
    <t xml:space="preserve">RCT-0143</t>
  </si>
  <si>
    <t xml:space="preserve">PAY-0144</t>
  </si>
  <si>
    <t xml:space="preserve">2025-09-27</t>
  </si>
  <si>
    <t xml:space="preserve">No Disbursement — NSFAS Appeal Under Review</t>
  </si>
  <si>
    <t xml:space="preserve">RCT-0144</t>
  </si>
  <si>
    <t xml:space="preserve">Pending — Full Balance KES 80,000 Held for Appeal Outcome</t>
  </si>
  <si>
    <t xml:space="preserve">PAY-0145</t>
  </si>
  <si>
    <t xml:space="preserve">2024-09-01</t>
  </si>
  <si>
    <t xml:space="preserve">REF700064</t>
  </si>
  <si>
    <t xml:space="preserve">RCT-0145</t>
  </si>
  <si>
    <t xml:space="preserve">PAY-0146</t>
  </si>
  <si>
    <t xml:space="preserve">REF700065</t>
  </si>
  <si>
    <t xml:space="preserve">RCT-0146</t>
  </si>
  <si>
    <t xml:space="preserve">PAY-0147</t>
  </si>
  <si>
    <t xml:space="preserve">2024-09-03</t>
  </si>
  <si>
    <t xml:space="preserve">REF700066</t>
  </si>
  <si>
    <t xml:space="preserve">RCT-0147</t>
  </si>
  <si>
    <t xml:space="preserve">PAY-0148</t>
  </si>
  <si>
    <t xml:space="preserve">REF700067</t>
  </si>
  <si>
    <t xml:space="preserve">RCT-0148</t>
  </si>
  <si>
    <t xml:space="preserve">PAY-0149</t>
  </si>
  <si>
    <t xml:space="preserve">REF700068</t>
  </si>
  <si>
    <t xml:space="preserve">RCT-0149</t>
  </si>
  <si>
    <t xml:space="preserve">PAY-0150</t>
  </si>
  <si>
    <t xml:space="preserve">RCT-0150</t>
  </si>
  <si>
    <t xml:space="preserve">PAY-0151</t>
  </si>
  <si>
    <t xml:space="preserve">2024-09-07</t>
  </si>
  <si>
    <t xml:space="preserve">REF700070</t>
  </si>
  <si>
    <t xml:space="preserve">RCT-0151</t>
  </si>
  <si>
    <t xml:space="preserve">PAY-0152</t>
  </si>
  <si>
    <t xml:space="preserve">2024-09-08</t>
  </si>
  <si>
    <t xml:space="preserve">RCT-0152</t>
  </si>
  <si>
    <t xml:space="preserve">PAY-0153</t>
  </si>
  <si>
    <t xml:space="preserve">REF700072</t>
  </si>
  <si>
    <t xml:space="preserve">RCT-0153</t>
  </si>
  <si>
    <t xml:space="preserve">PAY-0154</t>
  </si>
  <si>
    <t xml:space="preserve">2024-09-10</t>
  </si>
  <si>
    <t xml:space="preserve">REF700073</t>
  </si>
  <si>
    <t xml:space="preserve">RCT-0154</t>
  </si>
  <si>
    <t xml:space="preserve">PAY-0155</t>
  </si>
  <si>
    <t xml:space="preserve">2022-09-11</t>
  </si>
  <si>
    <t xml:space="preserve">REF700074</t>
  </si>
  <si>
    <t xml:space="preserve">RCT-0155</t>
  </si>
  <si>
    <t xml:space="preserve">PAY-0156</t>
  </si>
  <si>
    <t xml:space="preserve">2025-09-12</t>
  </si>
  <si>
    <t xml:space="preserve">REF700075</t>
  </si>
  <si>
    <t xml:space="preserve">RCT-0156</t>
  </si>
  <si>
    <t xml:space="preserve">PAY-0157</t>
  </si>
  <si>
    <t xml:space="preserve">RCT-0157</t>
  </si>
  <si>
    <t xml:space="preserve">Pending — Full Balance KES 75,000 Held for Appeal Outcome</t>
  </si>
  <si>
    <t xml:space="preserve">PAY-0158</t>
  </si>
  <si>
    <t xml:space="preserve">2024-09-14</t>
  </si>
  <si>
    <t xml:space="preserve">REF700077</t>
  </si>
  <si>
    <t xml:space="preserve">RCT-0158</t>
  </si>
  <si>
    <t xml:space="preserve">PAY-0159</t>
  </si>
  <si>
    <t xml:space="preserve">2022-09-15</t>
  </si>
  <si>
    <t xml:space="preserve">REF700078</t>
  </si>
  <si>
    <t xml:space="preserve">RCT-0159</t>
  </si>
  <si>
    <t xml:space="preserve">PAY-0160</t>
  </si>
  <si>
    <t xml:space="preserve">2025-09-16</t>
  </si>
  <si>
    <t xml:space="preserve">REF700079</t>
  </si>
  <si>
    <t xml:space="preserve">RCT-0160</t>
  </si>
  <si>
    <t xml:space="preserve">PAY-0161</t>
  </si>
  <si>
    <t xml:space="preserve">REF700080</t>
  </si>
  <si>
    <t xml:space="preserve">RCT-0161</t>
  </si>
  <si>
    <t xml:space="preserve">PAY-0162</t>
  </si>
  <si>
    <t xml:space="preserve">2022-09-18</t>
  </si>
  <si>
    <t xml:space="preserve">REF700081</t>
  </si>
  <si>
    <t xml:space="preserve">RCT-0162</t>
  </si>
  <si>
    <t xml:space="preserve">PAY-0163</t>
  </si>
  <si>
    <t xml:space="preserve">2024-09-19</t>
  </si>
  <si>
    <t xml:space="preserve">REF700082</t>
  </si>
  <si>
    <t xml:space="preserve">RCT-0163</t>
  </si>
  <si>
    <t xml:space="preserve">PAY-0164</t>
  </si>
  <si>
    <t xml:space="preserve">2025-09-20</t>
  </si>
  <si>
    <t xml:space="preserve">RCT-0164</t>
  </si>
  <si>
    <t xml:space="preserve">Pending — Full Balance KES 70,000 Held for Appeal Outcome</t>
  </si>
  <si>
    <t xml:space="preserve">PAY-0165</t>
  </si>
  <si>
    <t xml:space="preserve">2025-09-21</t>
  </si>
  <si>
    <t xml:space="preserve">REF700084</t>
  </si>
  <si>
    <t xml:space="preserve">RCT-0165</t>
  </si>
  <si>
    <t xml:space="preserve">PAY-0166</t>
  </si>
  <si>
    <t xml:space="preserve">2025-09-22</t>
  </si>
  <si>
    <t xml:space="preserve">REF700085</t>
  </si>
  <si>
    <t xml:space="preserve">RCT-0166</t>
  </si>
  <si>
    <t xml:space="preserve">Partial — Tuition Pending NSFAS Confirmation KES 160,000</t>
  </si>
  <si>
    <t xml:space="preserve">PAY-0167</t>
  </si>
  <si>
    <t xml:space="preserve">2024-09-23</t>
  </si>
  <si>
    <t xml:space="preserve">REF700086</t>
  </si>
  <si>
    <t xml:space="preserve">RCT-0167</t>
  </si>
  <si>
    <t xml:space="preserve">PAY-0168</t>
  </si>
  <si>
    <t xml:space="preserve">2024-09-24</t>
  </si>
  <si>
    <t xml:space="preserve">REF700087</t>
  </si>
  <si>
    <t xml:space="preserve">RCT-0168</t>
  </si>
  <si>
    <t xml:space="preserve">PAY-0169</t>
  </si>
  <si>
    <t xml:space="preserve">RCT-0169</t>
  </si>
  <si>
    <t xml:space="preserve">Pending — Full Balance KES 91,000 Held for Appeal Outcome</t>
  </si>
  <si>
    <t xml:space="preserve">PAY-0170</t>
  </si>
  <si>
    <t xml:space="preserve">2024-09-26</t>
  </si>
  <si>
    <t xml:space="preserve">REF700089</t>
  </si>
  <si>
    <t xml:space="preserve">RCT-0170</t>
  </si>
  <si>
    <t xml:space="preserve">PAY-0171</t>
  </si>
  <si>
    <t xml:space="preserve">2023-09-27</t>
  </si>
  <si>
    <t xml:space="preserve">REF700090</t>
  </si>
  <si>
    <t xml:space="preserve">RCT-0171</t>
  </si>
  <si>
    <t xml:space="preserve">PAY-0172</t>
  </si>
  <si>
    <t xml:space="preserve">2025-09-01</t>
  </si>
  <si>
    <t xml:space="preserve">REF700091</t>
  </si>
  <si>
    <t xml:space="preserve">RCT-0172</t>
  </si>
  <si>
    <t xml:space="preserve">Partial — Balance KES 82,000 (Funding Discontinued)</t>
  </si>
  <si>
    <t xml:space="preserve">TOTAL PAYMENTS RECEIVED</t>
  </si>
  <si>
    <t xml:space="preserve">Templumis University — Scholarship Programmes</t>
  </si>
  <si>
    <t xml:space="preserve">Active &amp; Available Scholarships · Academic Year 2023/24</t>
  </si>
  <si>
    <t xml:space="preserve">Scholarship ID</t>
  </si>
  <si>
    <t xml:space="preserve">Scholarship Name</t>
  </si>
  <si>
    <t xml:space="preserve">Type</t>
  </si>
  <si>
    <t xml:space="preserve">Criteria</t>
  </si>
  <si>
    <t xml:space="preserve">Value (KES)</t>
  </si>
  <si>
    <t xml:space="preserve">Coverage</t>
  </si>
  <si>
    <t xml:space="preserve">Slots Available</t>
  </si>
  <si>
    <t xml:space="preserve">Slots Filled</t>
  </si>
  <si>
    <t xml:space="preserve">SCH-001</t>
  </si>
  <si>
    <t xml:space="preserve">Vice Chancellor's Merit Award</t>
  </si>
  <si>
    <t xml:space="preserve">Merit</t>
  </si>
  <si>
    <t xml:space="preserve">Top 5% GPA; minimum GPA 3.80</t>
  </si>
  <si>
    <t xml:space="preserve">Full Tuition</t>
  </si>
  <si>
    <t xml:space="preserve">SCH-002</t>
  </si>
  <si>
    <t xml:space="preserve">Dean's Excellence Bursary</t>
  </si>
  <si>
    <t xml:space="preserve">GPA 3.50–3.79; Good Standing</t>
  </si>
  <si>
    <t xml:space="preserve">50% Tuition</t>
  </si>
  <si>
    <t xml:space="preserve">SCH-003</t>
  </si>
  <si>
    <t xml:space="preserve">STEM Advancement Fund</t>
  </si>
  <si>
    <t xml:space="preserve">Merit + Need</t>
  </si>
  <si>
    <t xml:space="preserve">BSc/MSc programmes; GPA ≥ 3.20</t>
  </si>
  <si>
    <t xml:space="preserve">40% Tuition</t>
  </si>
  <si>
    <t xml:space="preserve">SCH-004</t>
  </si>
  <si>
    <t xml:space="preserve">Pan-African Diversity Grant</t>
  </si>
  <si>
    <t xml:space="preserve">Diversity</t>
  </si>
  <si>
    <t xml:space="preserve">Non-Kenyan international students</t>
  </si>
  <si>
    <t xml:space="preserve">SCH-005</t>
  </si>
  <si>
    <t xml:space="preserve">Women in Science Scholarship</t>
  </si>
  <si>
    <t xml:space="preserve">Equity</t>
  </si>
  <si>
    <t xml:space="preserve">Female students in Science/Engineering</t>
  </si>
  <si>
    <t xml:space="preserve">SCH-006</t>
  </si>
  <si>
    <t xml:space="preserve">Bursary for Needy Students</t>
  </si>
  <si>
    <t xml:space="preserve">Need-Based</t>
  </si>
  <si>
    <t xml:space="preserve">Demonstrated financial hardship; GPA ≥ 2.50</t>
  </si>
  <si>
    <t xml:space="preserve">SCH-007</t>
  </si>
  <si>
    <t xml:space="preserve">Postgraduate Research Fellowship</t>
  </si>
  <si>
    <t xml:space="preserve">Research</t>
  </si>
  <si>
    <t xml:space="preserve">MSc/MA by Research students; supervisor endorsement</t>
  </si>
  <si>
    <t xml:space="preserve">Full Tuition + Stipend</t>
  </si>
  <si>
    <t xml:space="preserve">SCH-008</t>
  </si>
  <si>
    <t xml:space="preserve">Community Leaders Award</t>
  </si>
  <si>
    <t xml:space="preserve">Leadership</t>
  </si>
  <si>
    <t xml:space="preserve">Community engagement evidence; essay required</t>
  </si>
  <si>
    <t xml:space="preserve">Flat Grant</t>
  </si>
  <si>
    <t xml:space="preserve">SCH-009</t>
  </si>
  <si>
    <t xml:space="preserve">Health Sciences Sponsorship</t>
  </si>
  <si>
    <t xml:space="preserve">Sectoral</t>
  </si>
  <si>
    <t xml:space="preserve">BSc Nursing / BPharm / BSc Nutrition students</t>
  </si>
  <si>
    <t xml:space="preserve">SCH-010</t>
  </si>
  <si>
    <t xml:space="preserve">Law &amp; Justice Fund</t>
  </si>
  <si>
    <t xml:space="preserve">LLB students; moot court participation</t>
  </si>
  <si>
    <t xml:space="preserve">SCH-011</t>
  </si>
  <si>
    <t xml:space="preserve">Financial Hardship Emergency Bursary</t>
  </si>
  <si>
    <t xml:space="preserve">Documented fee arrears; household income statement; GPA ≥ 2.50; active enrolment</t>
  </si>
  <si>
    <t xml:space="preserve">Outstanding Tuition Balance (up to KES 75,000)</t>
  </si>
  <si>
    <t xml:space="preserve">SCH-012</t>
  </si>
  <si>
    <t xml:space="preserve">Founder's Merit Scholarship</t>
  </si>
  <si>
    <t xml:space="preserve">SCH-013</t>
  </si>
  <si>
    <t xml:space="preserve">SCH-014</t>
  </si>
  <si>
    <t xml:space="preserve">BSc/MSc tech programmes; GPA ≥ 3.20</t>
  </si>
  <si>
    <t xml:space="preserve">SCH-015</t>
  </si>
  <si>
    <t xml:space="preserve">GCC Regional Diversity Grant</t>
  </si>
  <si>
    <t xml:space="preserve">Non-home-country GCC/MENA students</t>
  </si>
  <si>
    <t xml:space="preserve">SCH-016</t>
  </si>
  <si>
    <t xml:space="preserve">Women in Tech Scholarship</t>
  </si>
  <si>
    <t xml:space="preserve">Female students in Computing/Engineering</t>
  </si>
  <si>
    <t xml:space="preserve">SCH-017</t>
  </si>
  <si>
    <t xml:space="preserve">SCH-018</t>
  </si>
  <si>
    <t xml:space="preserve">SCH-019</t>
  </si>
  <si>
    <t xml:space="preserve">SCH-020</t>
  </si>
  <si>
    <t xml:space="preserve">Cybersecurity Sector Sponsorship</t>
  </si>
  <si>
    <t xml:space="preserve">BSc/MSc Cybersecurity students</t>
  </si>
  <si>
    <t xml:space="preserve">SCH-021</t>
  </si>
  <si>
    <t xml:space="preserve">FinTech Innovation Fund</t>
  </si>
  <si>
    <t xml:space="preserve">FinTech/Financial Technology students; project pitch required</t>
  </si>
  <si>
    <t xml:space="preserve">SCH-022</t>
  </si>
  <si>
    <t xml:space="preserve">SCH-023</t>
  </si>
  <si>
    <t xml:space="preserve">SCH-024</t>
  </si>
  <si>
    <t xml:space="preserve">SCH-025</t>
  </si>
  <si>
    <t xml:space="preserve">HELB-Linked Needy Students Bursary</t>
  </si>
  <si>
    <t xml:space="preserve">SCH-026</t>
  </si>
  <si>
    <t xml:space="preserve">County Government Sponsorship (Migori/Homa Bay)</t>
  </si>
  <si>
    <t xml:space="preserve">Sponsorship</t>
  </si>
  <si>
    <t xml:space="preserve">County-resident students; bonding agreement</t>
  </si>
  <si>
    <t xml:space="preserve">SCH-027</t>
  </si>
  <si>
    <t xml:space="preserve">Women in STEM Scholarship</t>
  </si>
  <si>
    <t xml:space="preserve">Female students in Science/Engineering/Agriculture</t>
  </si>
  <si>
    <t xml:space="preserve">SCH-028</t>
  </si>
  <si>
    <t xml:space="preserve">Agricultural Research Fellowship</t>
  </si>
  <si>
    <t xml:space="preserve">MSc/PhD Agriculture &amp; Environmental students; supervisor endorsement</t>
  </si>
  <si>
    <t xml:space="preserve">SCH-029</t>
  </si>
  <si>
    <t xml:space="preserve">SCH-030</t>
  </si>
  <si>
    <t xml:space="preserve">Education Sector Sponsorship (TSC-linked)</t>
  </si>
  <si>
    <t xml:space="preserve">BEd/MEd students; teaching bond required</t>
  </si>
  <si>
    <t xml:space="preserve">SCH-031</t>
  </si>
  <si>
    <t xml:space="preserve">BSc/MSc STE programmes; GPA ≥ 3.20</t>
  </si>
  <si>
    <t xml:space="preserve">SCH-032</t>
  </si>
  <si>
    <t xml:space="preserve">Media &amp; Communication Bursary</t>
  </si>
  <si>
    <t xml:space="preserve">BA/MA Communication &amp; Media Studies students</t>
  </si>
  <si>
    <t xml:space="preserve">30% Tuition</t>
  </si>
  <si>
    <t xml:space="preserve">SCH-033</t>
  </si>
  <si>
    <t xml:space="preserve">SCH-034</t>
  </si>
  <si>
    <t xml:space="preserve">NSFAS Bursary Programme (National Student Financial Aid Scheme)</t>
  </si>
  <si>
    <t xml:space="preserve">Need-Based (Government)</t>
  </si>
  <si>
    <t xml:space="preserve">South African-model means-tested aid, adapted for Templumis University; household income threshold and full academic-progress rules apply — see 'NSFAS Student Tracking' sheet</t>
  </si>
  <si>
    <t xml:space="preserve">Varies by allowance category (Tuition, Accommodation/Transport, Living, Learning Materials, Disability Top-up)</t>
  </si>
  <si>
    <t xml:space="preserve">Full Tuition + Allowances</t>
  </si>
  <si>
    <t xml:space="preserve">Multi-Institution LMS &amp; SIS Dashboard</t>
  </si>
  <si>
    <t xml:space="preserve">Academic Year 2023/24 · Semester 1</t>
  </si>
  <si>
    <t xml:space="preserve">Templumis University — Institution Detail (below)   |   See "All Institutions — Comparative Overview" further down for Kitaptech University &amp; Rongo University</t>
  </si>
  <si>
    <t xml:space="preserve">Students</t>
  </si>
  <si>
    <t xml:space="preserve">Courses &amp; Enrolments</t>
  </si>
  <si>
    <t xml:space="preserve">Total Students</t>
  </si>
  <si>
    <t xml:space="preserve">Total Courses</t>
  </si>
  <si>
    <t xml:space="preserve">Active Courses</t>
  </si>
  <si>
    <t xml:space="preserve">On Probation</t>
  </si>
  <si>
    <t xml:space="preserve">Total Enrolments</t>
  </si>
  <si>
    <t xml:space="preserve">Currently Enrolled</t>
  </si>
  <si>
    <t xml:space="preserve">Average GPA</t>
  </si>
  <si>
    <t xml:space="preserve">Avg Current Grade</t>
  </si>
  <si>
    <t xml:space="preserve">Total Credit Hours</t>
  </si>
  <si>
    <t xml:space="preserve">Grade A Count</t>
  </si>
  <si>
    <t xml:space="preserve">── Postgraduate Summary ──</t>
  </si>
  <si>
    <t xml:space="preserve">Student Lookup</t>
  </si>
  <si>
    <t xml:space="preserve">PG Students</t>
  </si>
  <si>
    <t xml:space="preserve">Enter Student ID →</t>
  </si>
  <si>
    <t xml:space="preserve">MSc Coursework</t>
  </si>
  <si>
    <t xml:space="preserve">Name</t>
  </si>
  <si>
    <t xml:space="preserve">Program</t>
  </si>
  <si>
    <t xml:space="preserve">GPA</t>
  </si>
  <si>
    <t xml:space="preserve">Avg Attendance %</t>
  </si>
  <si>
    <t xml:space="preserve">ALL INSTITUTIONS — COMPARATIVE OVERVIEW</t>
  </si>
  <si>
    <t xml:space="preserve">UG</t>
  </si>
  <si>
    <t xml:space="preserve">PG (Masters)</t>
  </si>
  <si>
    <t xml:space="preserve">Avg GPA</t>
  </si>
  <si>
    <t xml:space="preserve">ALL INSTITUTIONS</t>
  </si>
  <si>
    <t xml:space="preserve">A. STUDENT PROFILE</t>
  </si>
  <si>
    <t xml:space="preserve">B. ACADEMIC PROGRESSION</t>
  </si>
  <si>
    <t xml:space="preserve">C. ACADEMIC STANDING</t>
  </si>
  <si>
    <t xml:space="preserve">D. FINANCIAL CLEARANCE</t>
  </si>
  <si>
    <t xml:space="preserve">E. RESEARCH / THESIS</t>
  </si>
  <si>
    <t xml:space="preserve">F. GRADUATION</t>
  </si>
  <si>
    <t xml:space="preserve">Full Name</t>
  </si>
  <si>
    <t xml:space="preserve">Enrolment Date</t>
  </si>
  <si>
    <t xml:space="preserve">Current Year/Sem</t>
  </si>
  <si>
    <t xml:space="preserve">Sem 1 Status</t>
  </si>
  <si>
    <t xml:space="preserve">Sem 2 Status</t>
  </si>
  <si>
    <t xml:space="preserve">Year 2 Progression</t>
  </si>
  <si>
    <t xml:space="preserve">Year 3+ Progression</t>
  </si>
  <si>
    <t xml:space="preserve">Last Review Date</t>
  </si>
  <si>
    <t xml:space="preserve">Fees — Sem 1</t>
  </si>
  <si>
    <t xml:space="preserve">Fees — Sem 2</t>
  </si>
  <si>
    <t xml:space="preserve">Proposal Status</t>
  </si>
  <si>
    <t xml:space="preserve">Data/Coursework Phase</t>
  </si>
  <si>
    <t xml:space="preserve">Thesis Submission</t>
  </si>
  <si>
    <t xml:space="preserve">Thesis Defence</t>
  </si>
  <si>
    <t xml:space="preserve">Clearance Date</t>
  </si>
  <si>
    <t xml:space="preserve">Graduation Date</t>
  </si>
  <si>
    <t xml:space="preserve">Complete</t>
  </si>
  <si>
    <t xml:space="preserve">Sem Year 3</t>
  </si>
  <si>
    <t xml:space="preserve">Sem Year 2</t>
  </si>
  <si>
    <t xml:space="preserve">Sem Year 4</t>
  </si>
  <si>
    <t xml:space="preserve">Sem Year 1</t>
  </si>
  <si>
    <t xml:space="preserve">Paid (Reg. Only)</t>
  </si>
  <si>
    <t xml:space="preserve">Arrears — KES 75,000</t>
  </si>
  <si>
    <t xml:space="preserve">Submitted</t>
  </si>
  <si>
    <t xml:space="preserve">Passed</t>
  </si>
  <si>
    <t xml:space="preserve">Complete ✓</t>
  </si>
  <si>
    <t xml:space="preserve">Proposal Defended ✓ — Candidacy Confirmed</t>
  </si>
  <si>
    <t xml:space="preserve">Data Collection Active (Year 3)</t>
  </si>
  <si>
    <t xml:space="preserve">Data Collection Complete ✓</t>
  </si>
  <si>
    <t xml:space="preserve">In Progress — Writing</t>
  </si>
  <si>
    <t xml:space="preserve">In Progress — Draft Proposal Stage</t>
  </si>
  <si>
    <t xml:space="preserve">Foundation Coursework (Year 1)</t>
  </si>
  <si>
    <t xml:space="preserve">Submitted — Awaiting Proposal Defense</t>
  </si>
  <si>
    <t xml:space="preserve">Pre-Candidacy Phase (Year 2)</t>
  </si>
  <si>
    <t xml:space="preserve">TemplumIS University — Global Ranking Indicators Dashboard (Templumis University Deep-Dive)</t>
  </si>
  <si>
    <t xml:space="preserve">Academic Year 2023/24 · Semester 1  |  Data sourced from LMS/SIS institutional records</t>
  </si>
  <si>
    <t xml:space="preserve">INSTITUTIONAL SUMMARY</t>
  </si>
  <si>
    <t xml:space="preserve">37</t>
  </si>
  <si>
    <t xml:space="preserve">3.32 / 4.0</t>
  </si>
  <si>
    <t xml:space="preserve">International Students</t>
  </si>
  <si>
    <t xml:space="preserve">35.1%</t>
  </si>
  <si>
    <t xml:space="preserve">Female Ratio</t>
  </si>
  <si>
    <t xml:space="preserve">48.6%</t>
  </si>
  <si>
    <t xml:space="preserve">UG Students</t>
  </si>
  <si>
    <t xml:space="preserve">25</t>
  </si>
  <si>
    <t xml:space="preserve">Active Students</t>
  </si>
  <si>
    <t xml:space="preserve">Research Students</t>
  </si>
  <si>
    <t xml:space="preserve">6</t>
  </si>
  <si>
    <t xml:space="preserve">Nationalities</t>
  </si>
  <si>
    <t xml:space="preserve">10</t>
  </si>
  <si>
    <t xml:space="preserve">12</t>
  </si>
  <si>
    <t xml:space="preserve">Graduates</t>
  </si>
  <si>
    <t xml:space="preserve">5</t>
  </si>
  <si>
    <t xml:space="preserve">Student:Faculty Ratio</t>
  </si>
  <si>
    <t xml:space="preserve">2.5 : 1</t>
  </si>
  <si>
    <t xml:space="preserve">Schools / Faculties</t>
  </si>
  <si>
    <t xml:space="preserve">9</t>
  </si>
  <si>
    <t xml:space="preserve">Faculty (Instructors)</t>
  </si>
  <si>
    <t xml:space="preserve">15</t>
  </si>
  <si>
    <t xml:space="preserve">19</t>
  </si>
  <si>
    <t xml:space="preserve">Avg Attendance</t>
  </si>
  <si>
    <t xml:space="preserve">83%</t>
  </si>
  <si>
    <t xml:space="preserve">Avg Grade</t>
  </si>
  <si>
    <t xml:space="preserve">77.6%</t>
  </si>
  <si>
    <t xml:space="preserve">WEBOMETRICS Ranking of World Universities</t>
  </si>
  <si>
    <t xml:space="preserve">Focus: Web presence, openness &amp; academic output</t>
  </si>
  <si>
    <t xml:space="preserve">Indicator</t>
  </si>
  <si>
    <t xml:space="preserve">Weight</t>
  </si>
  <si>
    <t xml:space="preserve">Score Estimate</t>
  </si>
  <si>
    <t xml:space="preserve">Notes / TemplumIS Evidence</t>
  </si>
  <si>
    <t xml:space="preserve">Visibility / Impact (Web links)</t>
  </si>
  <si>
    <t xml:space="preserve">50%</t>
  </si>
  <si>
    <t xml:space="preserve">~20%</t>
  </si>
  <si>
    <t xml:space="preserve">Institutional website not indexed in dataset; no inlink data available</t>
  </si>
  <si>
    <t xml:space="preserve">⚠</t>
  </si>
  <si>
    <t xml:space="preserve">Openness / Transparency (OA repos)</t>
  </si>
  <si>
    <t xml:space="preserve">10%</t>
  </si>
  <si>
    <t xml:space="preserve">~25%</t>
  </si>
  <si>
    <t xml:space="preserve">6 research dissertations in progress; no open access repository evidenced</t>
  </si>
  <si>
    <t xml:space="preserve">Excellence (Google Scholar output)</t>
  </si>
  <si>
    <t xml:space="preserve">~15%</t>
  </si>
  <si>
    <t xml:space="preserve">Research topics active (malaria, AI, NLP) but publications not yet confirmed</t>
  </si>
  <si>
    <t xml:space="preserve">✗</t>
  </si>
  <si>
    <t xml:space="preserve">Presence (indexed web pages)</t>
  </si>
  <si>
    <t xml:space="preserve">5%</t>
  </si>
  <si>
    <t xml:space="preserve">~30%</t>
  </si>
  <si>
    <t xml:space="preserve">Domain @templumis.ac confirmed; web footprint/page count unknown</t>
  </si>
  <si>
    <t xml:space="preserve">OVERALL DATA READINESS</t>
  </si>
  <si>
    <t xml:space="preserve">~22%</t>
  </si>
  <si>
    <t xml:space="preserve">Weighted estimate based on available institutional data</t>
  </si>
  <si>
    <t xml:space="preserve">THE World University Rankings</t>
  </si>
  <si>
    <t xml:space="preserve">Focus: Teaching, research, citations &amp; international outlook</t>
  </si>
  <si>
    <t xml:space="preserve">Teaching — Learning Environment</t>
  </si>
  <si>
    <t xml:space="preserve">29.5%</t>
  </si>
  <si>
    <t xml:space="preserve">~62%</t>
  </si>
  <si>
    <t xml:space="preserve">SFR 2.5:1 (excellent); avg GPA 3.32; 9 schools; 20 active courses; reputation survey data N/A</t>
  </si>
  <si>
    <t xml:space="preserve">✓</t>
  </si>
  <si>
    <t xml:space="preserve">Research — Environment &amp; Productivity</t>
  </si>
  <si>
    <t xml:space="preserve">29%</t>
  </si>
  <si>
    <t xml:space="preserve">~18%</t>
  </si>
  <si>
    <t xml:space="preserve">6 research students; dissertations in health, CS, engineering; research income data unavailable</t>
  </si>
  <si>
    <t xml:space="preserve">Citations — Research Influence (Scopus)</t>
  </si>
  <si>
    <t xml:space="preserve">30%</t>
  </si>
  <si>
    <t xml:space="preserve">~5%</t>
  </si>
  <si>
    <t xml:space="preserve">No citation records in institutional data; requires Scopus indexing</t>
  </si>
  <si>
    <t xml:space="preserve">International Outlook</t>
  </si>
  <si>
    <t xml:space="preserve">7.5%</t>
  </si>
  <si>
    <t xml:space="preserve">~58%</t>
  </si>
  <si>
    <t xml:space="preserve">35.1% international students; 10 nationalities; strong Pan-African diversity</t>
  </si>
  <si>
    <t xml:space="preserve">Industry Income per Academic</t>
  </si>
  <si>
    <t xml:space="preserve">4%</t>
  </si>
  <si>
    <t xml:space="preserve">No industry partnership or income data recorded in dataset</t>
  </si>
  <si>
    <t xml:space="preserve">~26%</t>
  </si>
  <si>
    <t xml:space="preserve">THE Sub-Saharan Africa Rankings (SSA)</t>
  </si>
  <si>
    <t xml:space="preserve">Focus: Regionally adapted THE criteria for African universities</t>
  </si>
  <si>
    <t xml:space="preserve">Teaching &amp; Learning</t>
  </si>
  <si>
    <t xml:space="preserve">25%</t>
  </si>
  <si>
    <t xml:space="preserve">~70%</t>
  </si>
  <si>
    <t xml:space="preserve">SFR 2.5:1; 20 courses; 5 graduates; avg grade 77.6%; strong student support systems</t>
  </si>
  <si>
    <t xml:space="preserve">~35%</t>
  </si>
  <si>
    <t xml:space="preserve">6 active research students (16.2%); applied African topics; no citation data</t>
  </si>
  <si>
    <t xml:space="preserve">Knowledge Transfer to Society</t>
  </si>
  <si>
    <t xml:space="preserve">20%</t>
  </si>
  <si>
    <t xml:space="preserve">~40%</t>
  </si>
  <si>
    <t xml:space="preserve">Dissertations on maternal health, Swahili NLP, solar desalination — locally relevant</t>
  </si>
  <si>
    <t xml:space="preserve">15%</t>
  </si>
  <si>
    <t xml:space="preserve">~65%</t>
  </si>
  <si>
    <t xml:space="preserve">10 nationalities; 35.1% international; Pan-African student mix across 10 countries</t>
  </si>
  <si>
    <t xml:space="preserve">Access &amp; Inclusion</t>
  </si>
  <si>
    <t xml:space="preserve">~68%</t>
  </si>
  <si>
    <t xml:space="preserve">48.6% female; academic support processes (probation, standing review) evidenced</t>
  </si>
  <si>
    <t xml:space="preserve">~50%</t>
  </si>
  <si>
    <t xml:space="preserve">Shanghai ARWU (Academic Ranking of World Universities)</t>
  </si>
  <si>
    <t xml:space="preserve">Focus: Research output, Nobel laureates &amp; high-impact publications</t>
  </si>
  <si>
    <t xml:space="preserve">Alumni — Nobel / Fields Medal winners</t>
  </si>
  <si>
    <t xml:space="preserve">~0%</t>
  </si>
  <si>
    <t xml:space="preserve">5 graduates confirmed; no Nobel/Fields alumni data applicable at this stage</t>
  </si>
  <si>
    <t xml:space="preserve">Staff — Nobel / Fields Medal winners</t>
  </si>
  <si>
    <t xml:space="preserve">No data on faculty international awards of this calibre</t>
  </si>
  <si>
    <t xml:space="preserve">Highly Cited Researchers (Clarivate HiCi)</t>
  </si>
  <si>
    <t xml:space="preserve">No citation records; Clarivate HiCi designation not evidenced</t>
  </si>
  <si>
    <t xml:space="preserve">Papers in Nature &amp; Science</t>
  </si>
  <si>
    <t xml:space="preserve">Research in dissertation phase; no Nature/Science publications confirmed</t>
  </si>
  <si>
    <t xml:space="preserve">Papers in SCI / SSCI (Web of Science)</t>
  </si>
  <si>
    <t xml:space="preserve">6 research dissertations underway; journal publishing pipeline not recorded</t>
  </si>
  <si>
    <t xml:space="preserve">Per capita academic performance (PCP)</t>
  </si>
  <si>
    <t xml:space="preserve">~8%</t>
  </si>
  <si>
    <t xml:space="preserve">15 faculty; small institution could score relatively if output begins</t>
  </si>
  <si>
    <t xml:space="preserve">QS World University Rankings</t>
  </si>
  <si>
    <t xml:space="preserve">Focus: Reputation, faculty ratio, citations &amp; international diversity</t>
  </si>
  <si>
    <t xml:space="preserve">Academic Reputation (survey)</t>
  </si>
  <si>
    <t xml:space="preserve">~10%</t>
  </si>
  <si>
    <t xml:space="preserve">No global survey presence; institution not yet globally known</t>
  </si>
  <si>
    <t xml:space="preserve">Employer Reputation (survey)</t>
  </si>
  <si>
    <t xml:space="preserve">5 graduates; no employment tracking or employer survey data available</t>
  </si>
  <si>
    <t xml:space="preserve">Faculty/Student Ratio</t>
  </si>
  <si>
    <t xml:space="preserve">~88%</t>
  </si>
  <si>
    <t xml:space="preserve">2.5:1 ratio — exceptional; well within global top-tier benchmarks (&lt;10:1)</t>
  </si>
  <si>
    <t xml:space="preserve">Citations per Faculty (Scopus)</t>
  </si>
  <si>
    <t xml:space="preserve">No Scopus citation records in dataset; requires active publication base</t>
  </si>
  <si>
    <t xml:space="preserve">International Faculty Ratio</t>
  </si>
  <si>
    <t xml:space="preserve">All 15 instructors appear local; international faculty not distinguishable from data</t>
  </si>
  <si>
    <t xml:space="preserve">International Student Ratio</t>
  </si>
  <si>
    <t xml:space="preserve">~72%</t>
  </si>
  <si>
    <t xml:space="preserve">35.1% international students — strong; 13 students from 9 non-Kenyan countries</t>
  </si>
  <si>
    <t xml:space="preserve">Sustainability (ESG metrics)</t>
  </si>
  <si>
    <t xml:space="preserve">Community-focused research topics noted; formal sustainability reporting not evidenced</t>
  </si>
  <si>
    <t xml:space="preserve">Employment Outcomes</t>
  </si>
  <si>
    <t xml:space="preserve">5 confirmed graduates; no employment rate or alumni outcomes tracking data</t>
  </si>
  <si>
    <t xml:space="preserve">~32%</t>
  </si>
  <si>
    <t xml:space="preserve">CWTS Leiden Ranking</t>
  </si>
  <si>
    <t xml:space="preserve">Focus: Bibliometric research performance (Web of Science)</t>
  </si>
  <si>
    <t xml:space="preserve">P — Scientific output (WoS papers)</t>
  </si>
  <si>
    <t xml:space="preserve">6 research theses in progress; malaria, AI/UAV, NLP topics; none confirmed indexed</t>
  </si>
  <si>
    <t xml:space="preserve">PP(top 10%) — Citation impact</t>
  </si>
  <si>
    <t xml:space="preserve">~3%</t>
  </si>
  <si>
    <t xml:space="preserve">No Web of Science citation records available; requires published indexed output</t>
  </si>
  <si>
    <t xml:space="preserve">MCS — Mean citation score (normalised)</t>
  </si>
  <si>
    <t xml:space="preserve">Citation tracking requires published and indexed output in WoS</t>
  </si>
  <si>
    <t xml:space="preserve">PP(collab) — International co-authorship</t>
  </si>
  <si>
    <t xml:space="preserve">Multi-national student body; potential for collaboration; no co-authorship data recorded</t>
  </si>
  <si>
    <t xml:space="preserve">PP(gender) — Female authorship</t>
  </si>
  <si>
    <t xml:space="preserve">Supplementary</t>
  </si>
  <si>
    <t xml:space="preserve">~45%</t>
  </si>
  <si>
    <t xml:space="preserve">48.6% female students; 3 of 6 research students are female — strong potential</t>
  </si>
  <si>
    <t xml:space="preserve">PP(OA) — Open Access publications</t>
  </si>
  <si>
    <t xml:space="preserve">No open access repository or infrastructure evidenced in institutional data</t>
  </si>
  <si>
    <t xml:space="preserve">METHODOLOGY NOTE</t>
  </si>
  <si>
    <t xml:space="preserve">Score estimates are proxies derived from institutional LMS/SIS data available in the TemplumIS dataset. Indicators requiring external data (Scopus, Web of Science, employer surveys, academic reputation surveys, Clarivate HiCi lists) cannot be fully evaluated from internal records alone. Status symbols: ✓ = Performing well, ⚠ = Limited/partial data, ✗ = No data or not applicable. Scores represent current data readiness relative to each ranking's criteria, not projected global ranking positions.</t>
  </si>
  <si>
    <t xml:space="preserve">ALL INSTITUTIONS — INSTITUTIONAL SUMMARY COMPARISON</t>
  </si>
  <si>
    <t xml:space="preserve">Snapshot across Templumis University, Kitaptech University &amp; Rongo University — sourced from current LMS/SIS institutional records</t>
  </si>
  <si>
    <t xml:space="preserve">Metric</t>
  </si>
  <si>
    <t xml:space="preserve">41</t>
  </si>
  <si>
    <t xml:space="preserve">29</t>
  </si>
  <si>
    <t xml:space="preserve">30</t>
  </si>
  <si>
    <t xml:space="preserve">Graduates (to date)</t>
  </si>
  <si>
    <t xml:space="preserve">4</t>
  </si>
  <si>
    <t xml:space="preserve">UG / PG (Masters) / PhD</t>
  </si>
  <si>
    <t xml:space="preserve">25 / 12 / 4</t>
  </si>
  <si>
    <t xml:space="preserve">Research Students (MSc/MA/PhD by Research)</t>
  </si>
  <si>
    <t xml:space="preserve">48.8%</t>
  </si>
  <si>
    <t xml:space="preserve">Nationalities Represented</t>
  </si>
  <si>
    <t xml:space="preserve">11</t>
  </si>
  <si>
    <t xml:space="preserve">16 (Pan-Regional GCC/MENA)</t>
  </si>
  <si>
    <t xml:space="preserve">3 (predominantly Kenyan)</t>
  </si>
  <si>
    <t xml:space="preserve">3.35</t>
  </si>
  <si>
    <t xml:space="preserve">3.33</t>
  </si>
  <si>
    <t xml:space="preserve">3.29</t>
  </si>
  <si>
    <t xml:space="preserve">88%</t>
  </si>
  <si>
    <t xml:space="preserve">96%</t>
  </si>
  <si>
    <t xml:space="preserve">5 (tech-focused)</t>
  </si>
  <si>
    <t xml:space="preserve">6 (per rongovarsity.ac.ke)</t>
  </si>
  <si>
    <t xml:space="preserve">16</t>
  </si>
  <si>
    <t xml:space="preserve">7</t>
  </si>
  <si>
    <t xml:space="preserve">Student : Faculty Ratio</t>
  </si>
  <si>
    <t xml:space="preserve">2.6 : 1</t>
  </si>
  <si>
    <t xml:space="preserve">5.9 : 1</t>
  </si>
  <si>
    <t xml:space="preserve">3.4 : 1</t>
  </si>
  <si>
    <t xml:space="preserve">31</t>
  </si>
  <si>
    <t xml:space="preserve">22</t>
  </si>
  <si>
    <t xml:space="preserve">23</t>
  </si>
  <si>
    <t xml:space="preserve">Domain</t>
  </si>
  <si>
    <t xml:space="preserve">templumis.ac</t>
  </si>
  <si>
    <t xml:space="preserve">kitaptech.com</t>
  </si>
  <si>
    <t xml:space="preserve">rongovarsity.ac.ke</t>
  </si>
  <si>
    <t xml:space="preserve">Note: Kitaptech University's student body spans the GCC/MENA region with no single dominant home nationality, so "international %" is not a meaningful metric there — diversity is instead expressed as the count of nationalities represented. Rongo University figures are grounded in its real academic structure (rongovarsity.ac.ke); Kitaptech University's tech-focused schools and Templumis University's general catalogue are both illustrative. All other ranking-framework tables above (WEBOMETRICS, THE, THE SSA, ARWU, QS, CWTS Leiden) remain Templumis University-specific deep dives.</t>
  </si>
  <si>
    <t xml:space="preserve">Templumis University — Postgraduate Research Tracker</t>
  </si>
  <si>
    <t xml:space="preserve">Academic Years 2023/24–2025/26  |  All Active &amp; Graduated Postgraduate Students  |  SIS — Research Management Module</t>
  </si>
  <si>
    <t xml:space="preserve">Supervisor</t>
  </si>
  <si>
    <t xml:space="preserve">Research / Capstone Title</t>
  </si>
  <si>
    <t xml:space="preserve">Research Area / Specialisation</t>
  </si>
  <si>
    <t xml:space="preserve">Programme Status</t>
  </si>
  <si>
    <t xml:space="preserve">Current Stage</t>
  </si>
  <si>
    <t xml:space="preserve">Stage Reference</t>
  </si>
  <si>
    <t xml:space="preserve">M1: Enrolment &amp; Orientation</t>
  </si>
  <si>
    <t xml:space="preserve">M2: Proposal / Yr 1 Coursework</t>
  </si>
  <si>
    <t xml:space="preserve">M3: Lit Review / Yr 2 Coursework</t>
  </si>
  <si>
    <t xml:space="preserve">M4: Data Collection / Capstone</t>
  </si>
  <si>
    <t xml:space="preserve">M5: Analysis &amp; Writing</t>
  </si>
  <si>
    <t xml:space="preserve">M6: Thesis / Report Submission</t>
  </si>
  <si>
    <t xml:space="preserve">M7: Defence / Viva / Presentation</t>
  </si>
  <si>
    <t xml:space="preserve">Overall Progress (%)</t>
  </si>
  <si>
    <t xml:space="preserve">Expected Completion</t>
  </si>
  <si>
    <t xml:space="preserve">Next Review Date</t>
  </si>
  <si>
    <t xml:space="preserve">Stage Notes</t>
  </si>
  <si>
    <t xml:space="preserve">Predictive Modeling for Urban Traffic Flow Optimization in Nairobi</t>
  </si>
  <si>
    <t xml:space="preserve">Capstone Writing Phase</t>
  </si>
  <si>
    <t xml:space="preserve">N/A (Coursework)</t>
  </si>
  <si>
    <t xml:space="preserve">On track for June 2024 graduation; data analysis complete; capstone writing in progress</t>
  </si>
  <si>
    <t xml:space="preserve">TBD — Capstone topic selection due Semester 3</t>
  </si>
  <si>
    <t xml:space="preserve">Business Administration — Marketing Analytics &amp; Consumer Strategy</t>
  </si>
  <si>
    <t xml:space="preserve">Coursework Phase — Semester 2</t>
  </si>
  <si>
    <t xml:space="preserve">GPA 3.41 in Sem 1; performing well in Sem 2; capstone topic selection due Sem 3</t>
  </si>
  <si>
    <t xml:space="preserve">Kenya's Export Diversification: The Role of Regional Trade Agreements in the EAC</t>
  </si>
  <si>
    <t xml:space="preserve">Economics — International Trade, Regional Integration &amp; Development Policy</t>
  </si>
  <si>
    <t xml:space="preserve">Graduated ✓</t>
  </si>
  <si>
    <t xml:space="preserve">Graduated Good Standing; GPA 3.55; capstone commended by panel; alumni network active</t>
  </si>
  <si>
    <t xml:space="preserve">N/A — Academic Review; Capstone phase not yet reached</t>
  </si>
  <si>
    <t xml:space="preserve">Environmental Science — Climate Change Adaptation &amp; Sustainability</t>
  </si>
  <si>
    <t xml:space="preserve">Academic Review — Probation</t>
  </si>
  <si>
    <t xml:space="preserve">In Progress (Below Standard)</t>
  </si>
  <si>
    <t xml:space="preserve">N/A — Academic Review</t>
  </si>
  <si>
    <t xml:space="preserve">GPA 2.81 — must attain ≥ 3.00 in Sem 2; academic support plan &amp; counselling in place</t>
  </si>
  <si>
    <t xml:space="preserve">Social Media Influence on Political Participation Among Youth in East Africa</t>
  </si>
  <si>
    <t xml:space="preserve">Communication Studies — Digital Media, Civic Engagement &amp; Political Discourse</t>
  </si>
  <si>
    <t xml:space="preserve">On track for June 2024; survey data (n=650 youth, 6 countries) collected &amp; analysed; draft introduction submitted</t>
  </si>
  <si>
    <t xml:space="preserve">Business Administration — Strategic Management &amp; Organisational Leadership</t>
  </si>
  <si>
    <t xml:space="preserve">GPA 3.22; Pan-African Diversity Grant awarded; strong Sem 1; capstone topic selection due Sem 3</t>
  </si>
  <si>
    <t xml:space="preserve">Biochemistry — Antimalarial Drug Discovery, Enzyme Kinetics &amp; Parasitology</t>
  </si>
  <si>
    <t xml:space="preserve">⚠ Thesis Writing — CHALLENGE: Ch.3 Major Revision Required</t>
  </si>
  <si>
    <t xml:space="preserve">⚠ Revision Required — Kinetic Model Error Identified</t>
  </si>
  <si>
    <t xml:space="preserve">Conference Paper: East Africa Biochem Symposium 2024</t>
  </si>
  <si>
    <t xml:space="preserve">⚠ CASE-PG-001 ACTIVE | Supervisor returned Ch.3 (48pp): enzyme kinetics must use Hill equation not Michaelis-Menten for cooperative binding system. All QA reanalysis needed (8–10 wks). Co-supervisor Dr. Njomo on WHO field duty until Apr 2024 — Dr. Ouma appointed interim. LC-MS/MS booked March 4–8 2024. Viva rescheduled: Oct 2024.</t>
  </si>
  <si>
    <t xml:space="preserve">Computer Science — Computer Vision, Deep Learning &amp; Precision Agriculture</t>
  </si>
  <si>
    <t xml:space="preserve">⚠ Data Collection — CHALLENGE: Dataset Crisis + Paper Revisions</t>
  </si>
  <si>
    <t xml:space="preserve">⚠ Dataset Rebuild Required (31% images unusable — ethics amendment filed)</t>
  </si>
  <si>
    <t xml:space="preserve">Paper submitted — AAAI Africa 2025 Workshop on AI for Agriculture</t>
  </si>
  <si>
    <t xml:space="preserve">⚠ CASE-PG-002 ACTIVE | Dataset audit: 155/500 UAV images unusable (motion blur, overexposure, obstruction). Ethics amendment for 2 new counties filed (6–8 wk approval). AAAI paper: Major Revisions — add 3 baselines, ablation study, significance tests. Supervisor on sabbatical Jan–Feb 2024. Revised completion: Nov 2025.</t>
  </si>
  <si>
    <t xml:space="preserve">Education Studies — EdTech, Instructional Design &amp; Learning Outcomes in SSA</t>
  </si>
  <si>
    <t xml:space="preserve">Thesis Writing Phase — Research Year 3</t>
  </si>
  <si>
    <t xml:space="preserve">Fieldwork: 12 secondary schools, n=480 students surveyed; full analysis complete; Chapters 1–4 approved; Ch 5 in progress</t>
  </si>
  <si>
    <t xml:space="preserve">Mechanical Engineering — Renewable Energy Systems &amp; Rural Water Security</t>
  </si>
  <si>
    <t xml:space="preserve">On Leave — Proposal Approved (Research Year 2)</t>
  </si>
  <si>
    <t xml:space="preserve">Pending — On Leave</t>
  </si>
  <si>
    <t xml:space="preserve">Proposal approved with commendation; prototype design ready; fieldwork paused; expected return: Sem 1 2024/25</t>
  </si>
  <si>
    <t xml:space="preserve">Public Health — Maternal &amp; Child Health, Community Medicine &amp; Health Systems</t>
  </si>
  <si>
    <t xml:space="preserve">Graduated ✓ (Research)</t>
  </si>
  <si>
    <t xml:space="preserve">Graduated highest distinction; thesis commended by external examiners; publication peer-reviewed &amp; indexed in Scopus; Postgraduate Research Fellowship holder</t>
  </si>
  <si>
    <t xml:space="preserve">Computer Science — Natural Language Processing &amp; African Language AI</t>
  </si>
  <si>
    <t xml:space="preserve">Research Proposal Phase — Research Year 1</t>
  </si>
  <si>
    <t xml:space="preserve">Proposal submitted to dept committee; ethics clearance pending; background literature review in progress; dataset scoping begun</t>
  </si>
  <si>
    <t xml:space="preserve">Computer Science — Federated Learning, Privacy-Preserving ML &amp; mHealth</t>
  </si>
  <si>
    <t xml:space="preserve">Data Collection Phase — Research Year 3</t>
  </si>
  <si>
    <t xml:space="preserve">5. Candidacy Confirmed — Data Collection</t>
  </si>
  <si>
    <t xml:space="preserve">FL model architecture designed; 4 hospital sites IRB-approved; 2 hospitals onboarded; data collection ongoing</t>
  </si>
  <si>
    <t xml:space="preserve">Public Health — Community Health Systems, Child Survival &amp; Health Systems Strengthening</t>
  </si>
  <si>
    <t xml:space="preserve">Thesis Writing Phase — Research Year 4</t>
  </si>
  <si>
    <t xml:space="preserve">14 counties fieldwork complete; n=2,400 CHW interviews analysed; Chapters 1–4 approved; writing Chapter 5</t>
  </si>
  <si>
    <t xml:space="preserve">Research Proposal Writing — Year 1</t>
  </si>
  <si>
    <t xml:space="preserve">N/A — Foundation Phase Year 1</t>
  </si>
  <si>
    <t xml:space="preserve">Foundation CW complete; lit review 60% done; World Bank/UNCTAD panel dataset identified; proposal draft 40% written</t>
  </si>
  <si>
    <t xml:space="preserve">Environmental Science — Carbon Cycling, Forest Ecology &amp; Climate Change Mitigation</t>
  </si>
  <si>
    <t xml:space="preserve">Proposal Defense — Pre-Candidacy Phase — Year 2</t>
  </si>
  <si>
    <t xml:space="preserve">3. Proposal Defense — Pre-Candidacy</t>
  </si>
  <si>
    <t xml:space="preserve">N/A — Pre-Candidacy Phase</t>
  </si>
  <si>
    <t xml:space="preserve">Systematic lit review complete; pilot site confirmed (Aberdares Forest, 500ha); proposal submitted to dept; UNEP partnership confirmed; awaiting defense date</t>
  </si>
  <si>
    <t xml:space="preserve">Thesis Writing Phase</t>
  </si>
  <si>
    <t xml:space="preserve">Data Collection &amp; Analysis Phase</t>
  </si>
  <si>
    <t xml:space="preserve">On Leave — Data Collection &amp; Analysis Phase (Research Year 2)</t>
  </si>
  <si>
    <t xml:space="preserve">Research Proposal Phase</t>
  </si>
  <si>
    <t xml:space="preserve">Proposal Defense — Pre-Candidacy Phase</t>
  </si>
  <si>
    <t xml:space="preserve">Templumis University — PG Academic Support &amp; Challenge Log</t>
  </si>
  <si>
    <t xml:space="preserve">Active cases: challenges, bottlenecks and interventions for currently enrolled PG students  |  SIS — Student Support Module  |  Updated: January 2024</t>
  </si>
  <si>
    <t xml:space="preserve">Case ID</t>
  </si>
  <si>
    <t xml:space="preserve">Year</t>
  </si>
  <si>
    <t xml:space="preserve">Challenge Type</t>
  </si>
  <si>
    <t xml:space="preserve">Challenge Category</t>
  </si>
  <si>
    <t xml:space="preserve">Challenge Title</t>
  </si>
  <si>
    <t xml:space="preserve">Detailed Description</t>
  </si>
  <si>
    <t xml:space="preserve">Date Identified</t>
  </si>
  <si>
    <t xml:space="preserve">Severity</t>
  </si>
  <si>
    <t xml:space="preserve">Timeline Impact</t>
  </si>
  <si>
    <t xml:space="preserve">Original Completion</t>
  </si>
  <si>
    <t xml:space="preserve">Revised Completion</t>
  </si>
  <si>
    <t xml:space="preserve">Intervention 1</t>
  </si>
  <si>
    <t xml:space="preserve">Intervention 2</t>
  </si>
  <si>
    <t xml:space="preserve">Intervention 3</t>
  </si>
  <si>
    <t xml:space="preserve">Resources Assigned</t>
  </si>
  <si>
    <t xml:space="preserve">Support Officer</t>
  </si>
  <si>
    <t xml:space="preserve">Next Review</t>
  </si>
  <si>
    <t xml:space="preserve">Resolution Notes</t>
  </si>
  <si>
    <t xml:space="preserve">CASE-PG-001a</t>
  </si>
  <si>
    <t xml:space="preserve">Research Methodology</t>
  </si>
  <si>
    <t xml:space="preserve">Data Analysis / Statistical Modelling</t>
  </si>
  <si>
    <t xml:space="preserve">Chapter 3 Major Revision: Incorrect Kinetic Model Applied</t>
  </si>
  <si>
    <t xml:space="preserve">Supervisor returned Chapter 3 (Results &amp; Analysis, 48pp) marked "Major Revision Required". Enzyme inhibition kinetics was modelled using Michaelis-Menten equation; however the system exhibits cooperative binding behaviour requiring the Hill equation for accurate IC50 determination and cooperative binding coefficient (nH) analysis. All 48 pages of quantitative analysis must be re-run using the corrected model in GraphPad Prism 10.</t>
  </si>
  <si>
    <t xml:space="preserve">High</t>
  </si>
  <si>
    <t xml:space="preserve">8–10 weeks</t>
  </si>
  <si>
    <t xml:space="preserve">Enrol: Enzyme Kinetics Computational Analysis Workshop (School of Science, Feb 2024)</t>
  </si>
  <si>
    <t xml:space="preserve">4 one-on-one methodology sessions with Dr. Mwangi Kiarie (Biochem Dept) for model remediation</t>
  </si>
  <si>
    <t xml:space="preserve">Re-run all kinetic experiments using Hill equation in GraphPad Prism 10; submit revised Ch.3 draft to supervisor by 15 March 2024</t>
  </si>
  <si>
    <t xml:space="preserve">GraphPad Prism 10 license (IT Dept) | Motulsky "Intuitive Biostatistics" (Library LIB-021) | Cornish-Bowden "Enzyme Kinetics" (Library)</t>
  </si>
  <si>
    <t xml:space="preserve">Dr. Susan Wangari (PG Coordinator)</t>
  </si>
  <si>
    <t xml:space="preserve">Open</t>
  </si>
  <si>
    <t xml:space="preserve">Remediation plan confirmed; workshop scheduled Feb 8 2024; Dr. Kiarie sessions booked Tuesdays 2–4pm</t>
  </si>
  <si>
    <t xml:space="preserve">CASE-PG-001b</t>
  </si>
  <si>
    <t xml:space="preserve">Supervisory</t>
  </si>
  <si>
    <t xml:space="preserve">Supervisory Continuity / Administrative</t>
  </si>
  <si>
    <t xml:space="preserve">Co-Supervisor Unavailability — WHO Field Assignment (DRC)</t>
  </si>
  <si>
    <t xml:space="preserve">Co-Supervisor Dr. Daniel Njomo (KEMRI) deployed on WHO field assignment in the DRC Republic until April 2024. All feedback on Chapters 2 and 4 delayed 6–8 weeks; standard 2-supervisor review requirement cannot be met. Risk of further delay if WHO assignment is extended.</t>
  </si>
  <si>
    <t xml:space="preserve">Medium</t>
  </si>
  <si>
    <t xml:space="preserve">6–8 weeks</t>
  </si>
  <si>
    <t xml:space="preserve">Formal request to HoD Science for interim co-supervisor: Dr. Atieno Ouma — approved 2024-01-20</t>
  </si>
  <si>
    <t xml:space="preserve">Asynchronous feedback protocol with Dr. Njomo via email — bi-weekly summary progress reports</t>
  </si>
  <si>
    <t xml:space="preserve">All major thesis decisions to be made by Principal Supervisor (Prof. Wangari) until Dr. Njomo returns April 2024</t>
  </si>
  <si>
    <t xml:space="preserve">N/A — Administrative resolution</t>
  </si>
  <si>
    <t xml:space="preserve">Prof. Margaret Wangari (Principal Supervisor)</t>
  </si>
  <si>
    <t xml:space="preserve">Dr. Ouma confirmed as interim co-supervisor from Jan 2024; email update cadence agreed with Dr. Njomo</t>
  </si>
  <si>
    <t xml:space="preserve">CASE-PG-001c</t>
  </si>
  <si>
    <t xml:space="preserve">Resource Access</t>
  </si>
  <si>
    <t xml:space="preserve">Laboratory / Equipment Availability</t>
  </si>
  <si>
    <t xml:space="preserve">LC-MS/MS Facility Fully Booked — Confirmatory Proteomics Analysis Blocked</t>
  </si>
  <si>
    <t xml:space="preserve">Mass spectrometry facility (LC-MS/MS unit, shared across Biochemistry, Chemistry, Pharmacy) fully booked Jan–Feb 2024 by two other research groups. Helen's planned confirmatory proteomics analysis for Chapter 3 validation is blocked for 2 months. Without this data, the chapter cannot be considered complete even after kinetic model correction.</t>
  </si>
  <si>
    <t xml:space="preserve">8 weeks</t>
  </si>
  <si>
    <t xml:space="preserve">Priority booking granted: March 4–8, 2024 (5 consecutive days — approved by HoD Science 2024-01-15)</t>
  </si>
  <si>
    <t xml:space="preserve">Exploratory MS analysis at University of Nairobi (MOU in place) — booked Feb 14 2024 for interim partial progress</t>
  </si>
  <si>
    <t xml:space="preserve">In the interim: complete remaining Ch.3 statistical corrections and begin Ch.4 discussion writing to optimise timeline</t>
  </si>
  <si>
    <t xml:space="preserve">UoN Chemistry Dept contact letter (PG Coordinator) | Priority LC-MS/MS access code issued</t>
  </si>
  <si>
    <t xml:space="preserve">Lab Manager, School of Science</t>
  </si>
  <si>
    <t xml:space="preserve">UoN session confirmed Feb 14; Templumis LC-MS/MS booking confirmed March 4–8; Ch.4 writing commenced</t>
  </si>
  <si>
    <t xml:space="preserve">CASE-PG-002a</t>
  </si>
  <si>
    <t xml:space="preserve">Research Output</t>
  </si>
  <si>
    <t xml:space="preserve">Academic Writing / Publication Strategy</t>
  </si>
  <si>
    <t xml:space="preserve">AAAI Africa 2025 Paper: Major Revisions Required (Near-Rejection)</t>
  </si>
  <si>
    <t xml:space="preserve">Paper "AI-Based Crop Disease Detection Using UAV Imagery" received Major Revisions Required. Reviewer issues: (1) Only ResNet-50 baseline — must compare YOLOv8, EfficientDet &amp; ViT; (2) 345 images insufficient for generalisability — reviewers recommend ≥1,000; (3) No ablation study to validate model component contributions; (4) Statistical significance tests absent from accuracy comparisons.</t>
  </si>
  <si>
    <t xml:space="preserve">12–16 weeks</t>
  </si>
  <si>
    <t xml:space="preserve">Supervisor-led session to identify and implement YOLOv8, EfficientDet, ViT baselines — scheduled Feb 2024</t>
  </si>
  <si>
    <t xml:space="preserve">Enrol: Academic Research Writing for CS Workshop (Graduate School, March 2024)</t>
  </si>
  <si>
    <t xml:space="preserve">Design ablation study with Prof. Mwema; add significance framework; resubmit to CVPR Africa 2025 or IEEE Access after full revision</t>
  </si>
  <si>
    <t xml:space="preserve">"Deep Learning" Goodfellow et al. (Library LIB-015) | "AI: A Modern Approach" (LIB-016) | Overleaf IEEE LaTeX template</t>
  </si>
  <si>
    <t xml:space="preserve">Supervisor revision plan review scheduled Jan 30 2024; Writing workshop registration confirmed March 2024</t>
  </si>
  <si>
    <t xml:space="preserve">CASE-PG-002b</t>
  </si>
  <si>
    <t xml:space="preserve">Dataset Quality / Research Methodology</t>
  </si>
  <si>
    <t xml:space="preserve">UAV Imagery Dataset Quality Crisis — 31% of Images Unusable</t>
  </si>
  <si>
    <t xml:space="preserve">Quality audit of UAV imagery dataset (500 images) revealed 155 images (31%) unusable: motion blur — 82 images (high wind during collection); overexposure — 43 images (mid-day collection, no ND filter); obstructed crop rows — 30 images. Effective dataset: 345 images, below the 400-image minimum in the methodology. Current CNN model training is invalid; sample size justification fails.</t>
  </si>
  <si>
    <t xml:space="preserve">Critical</t>
  </si>
  <si>
    <t xml:space="preserve">12–14 weeks</t>
  </si>
  <si>
    <t xml:space="preserve">Submit Ethics Amendment to Research Ethics Committee — expand data collection to Kakamega &amp; Meru counties (6–8 wk approval timeline)</t>
  </si>
  <si>
    <t xml:space="preserve">Develop revised UAV collection protocol: ND4 filter mandatory; optimal windows 8–10am &amp; 3–5pm; wind abort threshold 25 km/h; GPS-tagged systematic grid; on-site QC workflow</t>
  </si>
  <si>
    <t xml:space="preserve">Collaborate with School of Engineering Drone Lab (Prof. Mwema, co-supervisor) for supervised collection; target ≥1,000 validated images across 5 counties</t>
  </si>
  <si>
    <t xml:space="preserve">UAV Operations Manual (Eng Drone Lab) | Ethics amendment forms (Research Office) | Field data SOP template | Power analysis guide (LIB-008)</t>
  </si>
  <si>
    <t xml:space="preserve">Ethics amendment submitted Jan 25 2024; Prof. Mwema Drone Lab collaboration confirmed; new collection protocol approved by supervisors</t>
  </si>
  <si>
    <t xml:space="preserve">CASE-PG-002c</t>
  </si>
  <si>
    <t xml:space="preserve">Principal Supervisor on Research Sabbatical — Supervision Reduced to 1hr/week</t>
  </si>
  <si>
    <t xml:space="preserve">Dr. Kamande Njoroge on 2-month research sabbatical (Jan–Feb 2024). Supervision reduced from standard 3hrs/week to 1hr/week. This coincides with the critical decision-making period following paper rejection and dataset quality crisis. Delayed decisions on ethics amendment strategy, paper revision approach, and UAV protocol risk compounding the existing timeline challenges.</t>
  </si>
  <si>
    <t xml:space="preserve">Interim supervision: Dr. Cynthia Aluoch (co-supervisor) takes lead — confirmed at 2hrs/week Jan–Feb 2024</t>
  </si>
  <si>
    <t xml:space="preserve">Structured bi-weekly email progress reports to Dr. Njoroge during sabbatical; strict agenda for 1hr weekly sessions</t>
  </si>
  <si>
    <t xml:space="preserve">Pre-approved decision framework: Dr. Aluoch authorised to approve ethics amendment and collection protocol without waiting for Dr. Njoroge</t>
  </si>
  <si>
    <t xml:space="preserve">Dr. Aluoch confirmed as interim lead Jan 2024; reporting schedule agreed; Dr. Njoroge returns March 2024</t>
  </si>
  <si>
    <t xml:space="preserve">CASE-PG-KT01a</t>
  </si>
  <si>
    <t xml:space="preserve">Data Access</t>
  </si>
  <si>
    <t xml:space="preserve">Partner Data Governance / Compliance</t>
  </si>
  <si>
    <t xml:space="preserve">Bank Partner Suspends Transaction Data Feed — Compliance Review Triggered</t>
  </si>
  <si>
    <t xml:space="preserve">Partner bank's compliance team suspended the anonymised mobile-payment transaction feed (90,000 records) pending an internal data-sharing review, after a routine audit flagged the original MoU as not explicitly covering academic research use. Model validation on live transaction patterns is blocked until a revised data-sharing agreement is signed.</t>
  </si>
  <si>
    <t xml:space="preserve">2024-01-11</t>
  </si>
  <si>
    <t xml:space="preserve">6–9 weeks</t>
  </si>
  <si>
    <t xml:space="preserve">2025-05-15</t>
  </si>
  <si>
    <t xml:space="preserve">2025-09-30</t>
  </si>
  <si>
    <t xml:space="preserve">Research Office drafting revised data-sharing MoU explicitly scoping academic/non-commercial research use — submitted to bank compliance 2024-01-22</t>
  </si>
  <si>
    <t xml:space="preserve">Interim work on a synthetic transaction dataset (same schema, statistically matched distributions) to keep model development moving</t>
  </si>
  <si>
    <t xml:space="preserve">Escalation meeting requested with bank's Head of Data Governance via Research Office — targeted for February 2024</t>
  </si>
  <si>
    <t xml:space="preserve">Synthetic data generation toolkit (Dept licence) | Revised MoU template (Research Office)</t>
  </si>
  <si>
    <t xml:space="preserve">Dr. Huda Ibrahim (PG Coordinator)</t>
  </si>
  <si>
    <t xml:space="preserve">2024-02-20</t>
  </si>
  <si>
    <t xml:space="preserve">Revised MoU drafted and submitted; synthetic dataset generation underway as interim measure; escalation meeting pending bank response</t>
  </si>
  <si>
    <t xml:space="preserve">CASE-PG-KT01b</t>
  </si>
  <si>
    <t xml:space="preserve">Co-Supervisor Unreachable — Conference Travel Extended</t>
  </si>
  <si>
    <t xml:space="preserve">External co-supervisor Dr. Rafiq Qadri (MBZUAI) extended conference/research travel by 5 weeks with limited connectivity, delaying sign-off on the revised experimental design needed before the bank-data review clears.</t>
  </si>
  <si>
    <t xml:space="preserve">Low</t>
  </si>
  <si>
    <t xml:space="preserve">3–4 weeks</t>
  </si>
  <si>
    <t xml:space="preserve">Principal supervisor Dr. Badawi authorised to approve interim design decisions in Dr. Qadri's absence</t>
  </si>
  <si>
    <t xml:space="preserve">Async review via shared document with comments; Dr. Qadri to confirm on return</t>
  </si>
  <si>
    <t xml:space="preserve">N/A — administrative workaround, no formal intervention required</t>
  </si>
  <si>
    <t xml:space="preserve">Dr. Karim Badawi (Principal Supervisor)</t>
  </si>
  <si>
    <t xml:space="preserve">2024-02-10</t>
  </si>
  <si>
    <t xml:space="preserve">Dr. Badawi proceeding with interim approvals; Dr. Qadri expected back early February 2024</t>
  </si>
  <si>
    <t xml:space="preserve">CASE-PG-RU01a</t>
  </si>
  <si>
    <t xml:space="preserve">Fieldwork / Equipment</t>
  </si>
  <si>
    <t xml:space="preserve">Field Equipment / Environmental Damage</t>
  </si>
  <si>
    <t xml:space="preserve">IoT Sensor Array Damaged by Seasonal Flooding — Data Gap in Migori River Basin</t>
  </si>
  <si>
    <t xml:space="preserve">Seven of twelve low-cost water-level/flood sensors deployed along the Migori River basin were submerged and damaged during unseasonal early flooding, creating a 6-week data gap exactly during the early-warning validation window the study depends on.</t>
  </si>
  <si>
    <t xml:space="preserve">2024-01-09</t>
  </si>
  <si>
    <t xml:space="preserve">Emergency procurement of 7 replacement sensor units via Dept petty cash + School of STE equipment fund — approved 2024-01-18</t>
  </si>
  <si>
    <t xml:space="preserve">Redeploy replacements to waterproof, elevated mounts (above 2024 flood line) co-designed with County Disaster Management Unit</t>
  </si>
  <si>
    <t xml:space="preserve">Use County Meteorological Dept's rainfall records to statistically interpolate the 6-week gap for the affected reach</t>
  </si>
  <si>
    <t xml:space="preserve">Replacement sensor units (School of STE fund) | County Meteorological Dept data-sharing letter</t>
  </si>
  <si>
    <t xml:space="preserve">Dr. Benard Osero (PG Coordinator, School of ANR)</t>
  </si>
  <si>
    <t xml:space="preserve">2024-03-01</t>
  </si>
  <si>
    <t xml:space="preserve">Replacement units procured and redeployed on elevated mounts; interpolation approach agreed with supervisor; County MoU for rainfall data signed</t>
  </si>
  <si>
    <t xml:space="preserve">CASE-PG-RU01b</t>
  </si>
  <si>
    <t xml:space="preserve">Connectivity / Field Infrastructure</t>
  </si>
  <si>
    <t xml:space="preserve">Unreliable Mobile Network Coverage Delays Real-Time Sensor Data Transmission</t>
  </si>
  <si>
    <t xml:space="preserve">Two of the five sensor sites have intermittent 2G-only coverage, causing transmission delays of up to 18 hours for flood-alert data — undermining the 'real-time' early-warning claim central to the research design.</t>
  </si>
  <si>
    <t xml:space="preserve">2024-01-20</t>
  </si>
  <si>
    <t xml:space="preserve">4–6 weeks</t>
  </si>
  <si>
    <t xml:space="preserve">Switched affected sites to store-and-forward SMS-based transmission as a fallback, reducing effective delay to under 2 hours</t>
  </si>
  <si>
    <t xml:space="preserve">Requested signal-boosting antenna loan from Dept of Engineering's telecom lab for the two weakest sites</t>
  </si>
  <si>
    <t xml:space="preserve">Reframed thesis methodology section to explicitly report store-and-forward latency as a finding rather than a limitation</t>
  </si>
  <si>
    <t xml:space="preserve">SMS gateway module (Dept IT) | Signal antenna loan (Engineering Telecom Lab)</t>
  </si>
  <si>
    <t xml:space="preserve">Dr. Felix Odongo (Principal Supervisor)</t>
  </si>
  <si>
    <t xml:space="preserve">2024-02-25</t>
  </si>
  <si>
    <t xml:space="preserve">SMS fallback live on both affected sites; antenna loan approved for installation in February 2024</t>
  </si>
  <si>
    <t xml:space="preserve">Templumis University — Postgraduate Library &amp; Learning Resources</t>
  </si>
  <si>
    <t xml:space="preserve">🔎  Search Guide: Filter column B (Type) | column D (Discipline) | column E (Best For: your programme) | column F (Stage: your current phase) | column G (Access: Free/Open/Subscription)  —  Use Excel AutoFilter (Data → Filter) to find your resources instantly</t>
  </si>
  <si>
    <t xml:space="preserve">ID</t>
  </si>
  <si>
    <t xml:space="preserve">Title</t>
  </si>
  <si>
    <t xml:space="preserve">Discipline(s)</t>
  </si>
  <si>
    <t xml:space="preserve">Best For</t>
  </si>
  <si>
    <t xml:space="preserve">Research Stage</t>
  </si>
  <si>
    <t xml:space="preserve">Access</t>
  </si>
  <si>
    <t xml:space="preserve">Author(s) / Publisher</t>
  </si>
  <si>
    <t xml:space="preserve">URL / DOI / Location</t>
  </si>
  <si>
    <t xml:space="preserve">⭐ Rating</t>
  </si>
  <si>
    <t xml:space="preserve">Format</t>
  </si>
  <si>
    <t xml:space="preserve">Description / Key Topics</t>
  </si>
  <si>
    <t xml:space="preserve">Recommended By</t>
  </si>
  <si>
    <t xml:space="preserve">LIB-001</t>
  </si>
  <si>
    <t xml:space="preserve">Book</t>
  </si>
  <si>
    <t xml:space="preserve">Research Design: Qualitative, Quantitative &amp; Mixed Methods (7th ed.)</t>
  </si>
  <si>
    <t xml:space="preserve">All Disciplines</t>
  </si>
  <si>
    <t xml:space="preserve">All PG</t>
  </si>
  <si>
    <t xml:space="preserve">Proposal | All Stages</t>
  </si>
  <si>
    <t xml:space="preserve">Library Sub</t>
  </si>
  <si>
    <t xml:space="preserve">Creswell J.W. &amp; Creswell J.D. | SAGE</t>
  </si>
  <si>
    <t xml:space="preserve">ISBN 978-1071817940</t>
  </si>
  <si>
    <t xml:space="preserve">Physical/eBook</t>
  </si>
  <si>
    <t xml:space="preserve">Foundational text on research paradigms; covers design strategies, data collection and analysis for all methodological approaches</t>
  </si>
  <si>
    <t xml:space="preserve">PG Coordinator</t>
  </si>
  <si>
    <t xml:space="preserve">All Institutions</t>
  </si>
  <si>
    <t xml:space="preserve">LIB-002</t>
  </si>
  <si>
    <t xml:space="preserve">Research Methods for Business Students (9th ed.)</t>
  </si>
  <si>
    <t xml:space="preserve">Business | Economics</t>
  </si>
  <si>
    <t xml:space="preserve">MBA | PhD Economics | MA</t>
  </si>
  <si>
    <t xml:space="preserve">Proposal | Analysis | All</t>
  </si>
  <si>
    <t xml:space="preserve">Saunders M., Lewis P. &amp; Thornhill A. | Pearson</t>
  </si>
  <si>
    <t xml:space="preserve">ISBN 978-1292402727</t>
  </si>
  <si>
    <t xml:space="preserve">Comprehensive guide for business research; excellent for MBA capstone and management PhD students; strong on philosophy and strategy</t>
  </si>
  <si>
    <t xml:space="preserve">LIB-003</t>
  </si>
  <si>
    <t xml:space="preserve">Social Research Methods (6th ed.)</t>
  </si>
  <si>
    <t xml:space="preserve">Social Sciences | Education</t>
  </si>
  <si>
    <t xml:space="preserve">MA Research | PhD</t>
  </si>
  <si>
    <t xml:space="preserve">All Stages</t>
  </si>
  <si>
    <t xml:space="preserve">Bryman A. | Oxford University Press</t>
  </si>
  <si>
    <t xml:space="preserve">ISBN 978-0199689453</t>
  </si>
  <si>
    <t xml:space="preserve">Authoritative text for social science research; surveys, interviews, ethnography, content analysis; strong ethics chapter</t>
  </si>
  <si>
    <t xml:space="preserve">LIB-004</t>
  </si>
  <si>
    <t xml:space="preserve">Research Methodology: A Step-by-Step Guide (6th ed.)</t>
  </si>
  <si>
    <t xml:space="preserve">Proposal | Data Collection</t>
  </si>
  <si>
    <t xml:space="preserve">Kumar R. | SAGE Publications</t>
  </si>
  <si>
    <t xml:space="preserve">ISBN 978-1529609769</t>
  </si>
  <si>
    <t xml:space="preserve">Beginner-friendly step-by-step guide; useful for Year 1 PhD and MSc students structuring their first research proposal</t>
  </si>
  <si>
    <t xml:space="preserve">LIB-005</t>
  </si>
  <si>
    <t xml:space="preserve">Qualitative Data Analysis: A Methods Sourcebook (4th ed.)</t>
  </si>
  <si>
    <t xml:space="preserve">Analysis | Writing</t>
  </si>
  <si>
    <t xml:space="preserve">Miles M.B., Huberman A.M. &amp; Saldaña J. | SAGE</t>
  </si>
  <si>
    <t xml:space="preserve">ISBN 978-1544372228</t>
  </si>
  <si>
    <t xml:space="preserve">Definitive resource for qualitative analysis; coding, matrices, displays and interpretation; essential for education and social science research</t>
  </si>
  <si>
    <t xml:space="preserve">LIB-006</t>
  </si>
  <si>
    <t xml:space="preserve">Discovering Statistics Using IBM SPSS (6th ed.)</t>
  </si>
  <si>
    <t xml:space="preserve">Analysis</t>
  </si>
  <si>
    <t xml:space="preserve">Field A. | SAGE Publications</t>
  </si>
  <si>
    <t xml:space="preserve">ISBN 978-1529672138</t>
  </si>
  <si>
    <t xml:space="preserve">Engaging, humorous guide to statistics; from basic to advanced; covers ANOVA, regression, factor analysis; includes SPSS and R outputs</t>
  </si>
  <si>
    <t xml:space="preserve">LIB-007</t>
  </si>
  <si>
    <t xml:space="preserve">Introductory Econometrics: A Modern Approach (7th ed.)</t>
  </si>
  <si>
    <t xml:space="preserve">Economics | Business</t>
  </si>
  <si>
    <t xml:space="preserve">PhD Economics | MBA</t>
  </si>
  <si>
    <t xml:space="preserve">Wooldridge J.M. | Cengage Learning</t>
  </si>
  <si>
    <t xml:space="preserve">ISBN 978-1337558860</t>
  </si>
  <si>
    <t xml:space="preserve">Gold standard for econometrics; cross-sectional, time series and panel data; essential for economics PhD and development studies research</t>
  </si>
  <si>
    <t xml:space="preserve">LIB-008</t>
  </si>
  <si>
    <t xml:space="preserve">An Introduction to Statistical Learning with R (3rd ed.)</t>
  </si>
  <si>
    <t xml:space="preserve">CS | Data Science | All</t>
  </si>
  <si>
    <t xml:space="preserve">MSc CS | PhD | All PG</t>
  </si>
  <si>
    <t xml:space="preserve">Free Online</t>
  </si>
  <si>
    <t xml:space="preserve">James G. et al. | Springer</t>
  </si>
  <si>
    <t xml:space="preserve">https://www.statlearning.com</t>
  </si>
  <si>
    <t xml:space="preserve">Free PDF/eBook</t>
  </si>
  <si>
    <t xml:space="preserve">Accessible machine learning textbook; regression, classification, clustering, tree methods; free PDF at statlearning.com; R code included</t>
  </si>
  <si>
    <t xml:space="preserve">LIB-009</t>
  </si>
  <si>
    <t xml:space="preserve">Multivariate Data Analysis (9th ed.)</t>
  </si>
  <si>
    <t xml:space="preserve">PhD | MSc Research</t>
  </si>
  <si>
    <t xml:space="preserve">Hair J.F. et al. | Cengage</t>
  </si>
  <si>
    <t xml:space="preserve">ISBN 978-1473756540</t>
  </si>
  <si>
    <t xml:space="preserve">Comprehensive multivariate methods: SEM, CFA, cluster, discriminant analysis; widely cited in business, health and social science research</t>
  </si>
  <si>
    <t xml:space="preserve">LIB-010</t>
  </si>
  <si>
    <t xml:space="preserve">How to Write a Thesis (5th ed.)</t>
  </si>
  <si>
    <t xml:space="preserve">Murray R. | Open University Press</t>
  </si>
  <si>
    <t xml:space="preserve">ISBN 978-0335250691</t>
  </si>
  <si>
    <t xml:space="preserve">Practical, structured guide for thesis writing; covers structure, argument development, writer's block, supervision; relevant across all disciplines</t>
  </si>
  <si>
    <t xml:space="preserve">LIB-011</t>
  </si>
  <si>
    <t xml:space="preserve">Authoring a PhD: Plan, Draft, Write &amp; Finish a Doctoral Thesis</t>
  </si>
  <si>
    <t xml:space="preserve">Proposal | Writing</t>
  </si>
  <si>
    <t xml:space="preserve">Dunleavy P. | Palgrave Macmillan</t>
  </si>
  <si>
    <t xml:space="preserve">ISBN 978-0230576049</t>
  </si>
  <si>
    <t xml:space="preserve">Essential reading for PhD students; covers intellectual structure, argument, framing, and navigating the doctoral process to completion</t>
  </si>
  <si>
    <t xml:space="preserve">LIB-012</t>
  </si>
  <si>
    <t xml:space="preserve">Academic Writing for Graduate Students (4th ed.)</t>
  </si>
  <si>
    <t xml:space="preserve">Swales J.M. &amp; Feak C.B. | Univ. of Michigan</t>
  </si>
  <si>
    <t xml:space="preserve">ISBN 978-0472036950</t>
  </si>
  <si>
    <t xml:space="preserve">Discipline-specific academic writing tasks; literature reviews, methods sections, hedging language; especially useful for international students</t>
  </si>
  <si>
    <t xml:space="preserve">LIB-013</t>
  </si>
  <si>
    <t xml:space="preserve">Online Guide</t>
  </si>
  <si>
    <t xml:space="preserve">Purdue OWL: Online Writing Lab</t>
  </si>
  <si>
    <t xml:space="preserve">Writing | Proposal</t>
  </si>
  <si>
    <t xml:space="preserve">Purdue University</t>
  </si>
  <si>
    <t xml:space="preserve">https://owl.purdue.edu</t>
  </si>
  <si>
    <t xml:space="preserve">Website</t>
  </si>
  <si>
    <t xml:space="preserve">Comprehensive free guide to academic writing, citation styles (APA, MLA, Chicago), grammar, and research writing; use for citation formatting</t>
  </si>
  <si>
    <t xml:space="preserve">LIB-014</t>
  </si>
  <si>
    <t xml:space="preserve">Scribbr: Academic Writing &amp; Citation Guide</t>
  </si>
  <si>
    <t xml:space="preserve">Scribbr</t>
  </si>
  <si>
    <t xml:space="preserve">https://www.scribbr.com</t>
  </si>
  <si>
    <t xml:space="preserve">Clear guides on paraphrasing, plagiarism, thesis structure, APA/Harvard referencing, and proofreading; also offers citation generator</t>
  </si>
  <si>
    <t xml:space="preserve">LIB-015</t>
  </si>
  <si>
    <t xml:space="preserve">Deep Learning</t>
  </si>
  <si>
    <t xml:space="preserve">CS | AI | Data Science</t>
  </si>
  <si>
    <t xml:space="preserve">MSc CS | PhD CS</t>
  </si>
  <si>
    <t xml:space="preserve">Lit Review | Analysis</t>
  </si>
  <si>
    <t xml:space="preserve">Goodfellow I., Bengio Y. &amp; Courville A. | MIT Press</t>
  </si>
  <si>
    <t xml:space="preserve">https://www.deeplearningbook.org</t>
  </si>
  <si>
    <t xml:space="preserve">Free PDF</t>
  </si>
  <si>
    <t xml:space="preserve">Definitive deep learning reference; neural networks, CNNs, RNNs, generative models; free at deeplearningbook.org; essential for Ibrahim and Amina</t>
  </si>
  <si>
    <t xml:space="preserve">LIB-016</t>
  </si>
  <si>
    <t xml:space="preserve">Artificial Intelligence: A Modern Approach (4th ed.)</t>
  </si>
  <si>
    <t xml:space="preserve">CS | AI</t>
  </si>
  <si>
    <t xml:space="preserve">Lit Review | Proposal</t>
  </si>
  <si>
    <t xml:space="preserve">Russell S. &amp; Norvig P. | Pearson</t>
  </si>
  <si>
    <t xml:space="preserve">ISBN 978-0134610993</t>
  </si>
  <si>
    <t xml:space="preserve">Authoritative AI textbook; search, logic, probabilistic reasoning, ML, NLP, robotics; required reading for any AI/CS research proposal</t>
  </si>
  <si>
    <t xml:space="preserve">LIB-017</t>
  </si>
  <si>
    <t xml:space="preserve">Pattern Recognition and Machine Learning</t>
  </si>
  <si>
    <t xml:space="preserve">CS | Data Science | Statistics</t>
  </si>
  <si>
    <t xml:space="preserve">Bishop C.M. | Springer</t>
  </si>
  <si>
    <t xml:space="preserve">ISBN 978-0387310732</t>
  </si>
  <si>
    <t xml:space="preserve">Advanced ML reference; Bayesian methods, graphical models, EM algorithm; recommended for students doing model-based ML research</t>
  </si>
  <si>
    <t xml:space="preserve">LIB-018</t>
  </si>
  <si>
    <t xml:space="preserve">Journal</t>
  </si>
  <si>
    <t xml:space="preserve">IEEE Transactions on Medical Informatics</t>
  </si>
  <si>
    <t xml:space="preserve">CS | Health | AI</t>
  </si>
  <si>
    <t xml:space="preserve">PhD CS | MSc CS | PhD Health</t>
  </si>
  <si>
    <t xml:space="preserve">IEEE | IEEE Xplore</t>
  </si>
  <si>
    <t xml:space="preserve">https://ieeexplore.ieee.org/xpl/RecentIssue.jsp?punumber=4233</t>
  </si>
  <si>
    <t xml:space="preserve">Online Journal</t>
  </si>
  <si>
    <t xml:space="preserve">Premier journal for health informatics, medical AI, and clinical data systems; highly relevant for Amina's federated learning research</t>
  </si>
  <si>
    <t xml:space="preserve">LIB-019</t>
  </si>
  <si>
    <t xml:space="preserve">Database</t>
  </si>
  <si>
    <t xml:space="preserve">IEEE Xplore Digital Library</t>
  </si>
  <si>
    <t xml:space="preserve">CS | Engineering | IT</t>
  </si>
  <si>
    <t xml:space="preserve">MSc CS | PhD CS | MSc Eng</t>
  </si>
  <si>
    <t xml:space="preserve">Lit Review | All</t>
  </si>
  <si>
    <t xml:space="preserve">IEEE | https://ieeexplore.ieee.org</t>
  </si>
  <si>
    <t xml:space="preserve">https://ieeexplore.ieee.org</t>
  </si>
  <si>
    <t xml:space="preserve">Access to IEEE journals, conference papers and standards; essential for CS, engineering, and AI research; covers UAV, embedded systems, ML papers</t>
  </si>
  <si>
    <t xml:space="preserve">LIB-020</t>
  </si>
  <si>
    <t xml:space="preserve">Biochemistry (10th ed.)</t>
  </si>
  <si>
    <t xml:space="preserve">Biochemistry | Health</t>
  </si>
  <si>
    <t xml:space="preserve">MSc Biochem | PhD</t>
  </si>
  <si>
    <t xml:space="preserve">Lit Review</t>
  </si>
  <si>
    <t xml:space="preserve">Berg J.M., Tymoczko J.L. &amp; Stryer L. | W.H. Freeman</t>
  </si>
  <si>
    <t xml:space="preserve">ISBN 978-1319245795</t>
  </si>
  <si>
    <t xml:space="preserve">Comprehensive biochemistry textbook; enzyme kinetics, metabolism, molecular biology; essential reference for Helen's enzyme inhibition research</t>
  </si>
  <si>
    <t xml:space="preserve">LIB-021</t>
  </si>
  <si>
    <t xml:space="preserve">Intuitive Biostatistics (4th ed.)</t>
  </si>
  <si>
    <t xml:space="preserve">Biochemistry | Health | Biomedical</t>
  </si>
  <si>
    <t xml:space="preserve">MSc Research | PhD Health</t>
  </si>
  <si>
    <t xml:space="preserve">Motulsky H. | Oxford University Press</t>
  </si>
  <si>
    <t xml:space="preserve">ISBN 978-0190643560</t>
  </si>
  <si>
    <t xml:space="preserve">Non-intimidating biostatistics guide; curve fitting, kinetic models, t-tests, ANOVA, survival analysis; essential for Helen's kinetic model correction</t>
  </si>
  <si>
    <t xml:space="preserve">LIB-022</t>
  </si>
  <si>
    <t xml:space="preserve">Enzyme Kinetics: An Introduction</t>
  </si>
  <si>
    <t xml:space="preserve">MSc Biochem</t>
  </si>
  <si>
    <t xml:space="preserve">Data Collection | Analysis</t>
  </si>
  <si>
    <t xml:space="preserve">Bisswanger H. | Wiley-VCH</t>
  </si>
  <si>
    <t xml:space="preserve">ISBN 978-3527345472</t>
  </si>
  <si>
    <t xml:space="preserve">Dedicated enzyme kinetics reference; Michaelis-Menten, Hill equation, inhibition models, GraphPad usage; critical for Helen's Chapter 3 revision</t>
  </si>
  <si>
    <t xml:space="preserve">LIB-023</t>
  </si>
  <si>
    <t xml:space="preserve">East African Medical Journal (EAMJ)</t>
  </si>
  <si>
    <t xml:space="preserve">Health Sciences | Public Health</t>
  </si>
  <si>
    <t xml:space="preserve">MSc Health | PhD | MA</t>
  </si>
  <si>
    <t xml:space="preserve">Open Access</t>
  </si>
  <si>
    <t xml:space="preserve">EAMJ Editorial Board</t>
  </si>
  <si>
    <t xml:space="preserve">https://eamj.or.ke</t>
  </si>
  <si>
    <t xml:space="preserve">Open Access Journal</t>
  </si>
  <si>
    <t xml:space="preserve">Long-established peer-reviewed journal for East African health sciences; open access; good for contextualising Kenya/East Africa health research</t>
  </si>
  <si>
    <t xml:space="preserve">LIB-024</t>
  </si>
  <si>
    <t xml:space="preserve">PubMed / MEDLINE</t>
  </si>
  <si>
    <t xml:space="preserve">Biomedical | Health | Biochemistry</t>
  </si>
  <si>
    <t xml:space="preserve">MSc Biochem | PhD Health | MSc PH</t>
  </si>
  <si>
    <t xml:space="preserve">Free</t>
  </si>
  <si>
    <t xml:space="preserve">NIH / NLM | https://pubmed.ncbi.nlm.nih.gov</t>
  </si>
  <si>
    <t xml:space="preserve">https://pubmed.ncbi.nlm.nih.gov</t>
  </si>
  <si>
    <t xml:space="preserve">Free Database</t>
  </si>
  <si>
    <t xml:space="preserve">Premier free biomedical literature database; 35+ million citations; use MeSH terms for precise searches; essential starting point for all health/biomedical literature reviews</t>
  </si>
  <si>
    <t xml:space="preserve">LIB-025</t>
  </si>
  <si>
    <t xml:space="preserve">Environmental Science: Earth as a Living Planet (11th ed.)</t>
  </si>
  <si>
    <t xml:space="preserve">MSc Env | PhD Env</t>
  </si>
  <si>
    <t xml:space="preserve">Botkin D.B. &amp; Keller E.A. | Wiley</t>
  </si>
  <si>
    <t xml:space="preserve">ISBN 978-1119784210</t>
  </si>
  <si>
    <t xml:space="preserve">Comprehensive environmental science textbook; ecosystems, climate, carbon cycles, biodiversity; good foundation text for Derrick and Peter</t>
  </si>
  <si>
    <t xml:space="preserve">LIB-026</t>
  </si>
  <si>
    <t xml:space="preserve">Principles of Terrestrial Ecosystem Ecology (3rd ed.)</t>
  </si>
  <si>
    <t xml:space="preserve">Environmental Science | Carbon Science</t>
  </si>
  <si>
    <t xml:space="preserve">PhD Env | MSc Env</t>
  </si>
  <si>
    <t xml:space="preserve">Chapin F.S. et al. | Springer</t>
  </si>
  <si>
    <t xml:space="preserve">ISBN 978-3030433512</t>
  </si>
  <si>
    <t xml:space="preserve">Advanced ecosystem ecology; carbon and nutrient cycling, net ecosystem production, land-atmosphere exchange; essential for Peter's carbon sequestration PhD</t>
  </si>
  <si>
    <t xml:space="preserve">LIB-027</t>
  </si>
  <si>
    <t xml:space="preserve">IPCC Sixth Assessment Report (AR6) — Working Group I-III</t>
  </si>
  <si>
    <t xml:space="preserve">Environmental Science | Climate</t>
  </si>
  <si>
    <t xml:space="preserve">PhD Env | MSc Env | All PG</t>
  </si>
  <si>
    <t xml:space="preserve">IPCC</t>
  </si>
  <si>
    <t xml:space="preserve">https://www.ipcc.ch/assessment-report/ar6/</t>
  </si>
  <si>
    <t xml:space="preserve">Free PDF/Online</t>
  </si>
  <si>
    <t xml:space="preserve">Definitive global climate science report; carbon budgets, sequestration, mitigation pathways; essential reference for Peter's carbon research and Derrick's environmental studies</t>
  </si>
  <si>
    <t xml:space="preserve">LIB-028</t>
  </si>
  <si>
    <t xml:space="preserve">Environmental Science &amp; Technology (ACS)</t>
  </si>
  <si>
    <t xml:space="preserve">ACS Publications | American Chemical Society</t>
  </si>
  <si>
    <t xml:space="preserve">https://pubs.acs.org/journal/esthag</t>
  </si>
  <si>
    <t xml:space="preserve">Top-ranked ES&amp;T journal; environmental analysis, remediation, climate science, carbon quantification; high impact, peer-reviewed; relevant for Peter</t>
  </si>
  <si>
    <t xml:space="preserve">LIB-029</t>
  </si>
  <si>
    <t xml:space="preserve">Research Methods in Education (9th ed.)</t>
  </si>
  <si>
    <t xml:space="preserve">MA Research | PhD Edu</t>
  </si>
  <si>
    <t xml:space="preserve">Cohen L., Manion L. &amp; Morrison K. | Routledge</t>
  </si>
  <si>
    <t xml:space="preserve">ISBN 978-1032122380</t>
  </si>
  <si>
    <t xml:space="preserve">Standard text for educational research; covers case study, survey, ethnography, interviews, triangulation; essential for Janet and any education research student</t>
  </si>
  <si>
    <t xml:space="preserve">LIB-030</t>
  </si>
  <si>
    <t xml:space="preserve">Education and Technology: Key Issues and Debates (4th ed.)</t>
  </si>
  <si>
    <t xml:space="preserve">Education | EdTech</t>
  </si>
  <si>
    <t xml:space="preserve">Selwyn N. | Bloomsbury Academic</t>
  </si>
  <si>
    <t xml:space="preserve">ISBN 978-1350261723</t>
  </si>
  <si>
    <t xml:space="preserve">Critical analysis of EdTech; digital pedagogy, e-learning, equity; directly relevant to Janet's research on digital pedagogy in Kenyan schools</t>
  </si>
  <si>
    <t xml:space="preserve">LIB-031</t>
  </si>
  <si>
    <t xml:space="preserve">British Journal of Educational Technology (BJET)</t>
  </si>
  <si>
    <t xml:space="preserve">MA Edu | PhD Edu</t>
  </si>
  <si>
    <t xml:space="preserve">Wiley | British Educational Research Association</t>
  </si>
  <si>
    <t xml:space="preserve">https://bera-journals.onlinelibrary.wiley.com/journal/14678535</t>
  </si>
  <si>
    <t xml:space="preserve">Premier EdTech journal; learning technologies, digital pedagogy, e-learning outcomes; highly relevant for Janet's PhD scope; good citation source</t>
  </si>
  <si>
    <t xml:space="preserve">LIB-032</t>
  </si>
  <si>
    <t xml:space="preserve">Marketing Management (17th ed.)</t>
  </si>
  <si>
    <t xml:space="preserve">Marketing | Business</t>
  </si>
  <si>
    <t xml:space="preserve">MBA | MA</t>
  </si>
  <si>
    <t xml:space="preserve">Kotler P. &amp; Keller K.L. | Pearson</t>
  </si>
  <si>
    <t xml:space="preserve">ISBN 978-0138240530</t>
  </si>
  <si>
    <t xml:space="preserve">Standard MBA marketing text; consumer behaviour, digital marketing, brand strategy; core reading for Benjamin's MBA marketing analytics specialisation</t>
  </si>
  <si>
    <t xml:space="preserve">LIB-033</t>
  </si>
  <si>
    <t xml:space="preserve">Competitive Strategy</t>
  </si>
  <si>
    <t xml:space="preserve">MBA | PhD Business</t>
  </si>
  <si>
    <t xml:space="preserve">Porter M.E. | Free Press</t>
  </si>
  <si>
    <t xml:space="preserve">ISBN 978-0684841489</t>
  </si>
  <si>
    <t xml:space="preserve">Classic strategic management text; Five Forces, value chain, competitive positioning; essential foundation reading for MBA strategic management track</t>
  </si>
  <si>
    <t xml:space="preserve">LIB-034</t>
  </si>
  <si>
    <t xml:space="preserve">Advanced Microeconomic Theory (3rd ed.)</t>
  </si>
  <si>
    <t xml:space="preserve">PhD Economics | MA Economics</t>
  </si>
  <si>
    <t xml:space="preserve">Jehle G.A. &amp; Reny P.J. | Pearson</t>
  </si>
  <si>
    <t xml:space="preserve">ISBN 978-1292087023</t>
  </si>
  <si>
    <t xml:space="preserve">Graduate-level microeconomics; utility, production, game theory, general equilibrium; essential for Fatima's PhD in international economics</t>
  </si>
  <si>
    <t xml:space="preserve">LIB-035</t>
  </si>
  <si>
    <t xml:space="preserve">African Development Review</t>
  </si>
  <si>
    <t xml:space="preserve">Economics | Development</t>
  </si>
  <si>
    <t xml:space="preserve">PhD Economics | MA</t>
  </si>
  <si>
    <t xml:space="preserve">Wiley / African Development Bank</t>
  </si>
  <si>
    <t xml:space="preserve">https://onlinelibrary.wiley.com/journal/14678268</t>
  </si>
  <si>
    <t xml:space="preserve">AfDB-affiliated journal; Africa-specific economics, FDI, trade, structural transformation; highly relevant for Fatima's panel data analysis research</t>
  </si>
  <si>
    <t xml:space="preserve">Dr. Emmanuel Kiprotich</t>
  </si>
  <si>
    <t xml:space="preserve">LIB-036</t>
  </si>
  <si>
    <t xml:space="preserve">Business Source Complete (EBSCOhost)</t>
  </si>
  <si>
    <t xml:space="preserve">Business | Economics | Management</t>
  </si>
  <si>
    <t xml:space="preserve">MBA | PhD Business | MA</t>
  </si>
  <si>
    <t xml:space="preserve">EBSCO | https://www.ebsco.com</t>
  </si>
  <si>
    <t xml:space="preserve">Library portal → EBSCOhost</t>
  </si>
  <si>
    <t xml:space="preserve">Comprehensive business database; journals, case studies, company profiles, industry reports; essential for MBA capstone and business PhD literature reviews</t>
  </si>
  <si>
    <t xml:space="preserve">LIB-037</t>
  </si>
  <si>
    <t xml:space="preserve">Epidemiology (6th ed.)</t>
  </si>
  <si>
    <t xml:space="preserve">Public Health | Health Sciences</t>
  </si>
  <si>
    <t xml:space="preserve">PhD PH | MSc PH</t>
  </si>
  <si>
    <t xml:space="preserve">Gordis L. &amp; Celentano D.D. | Elsevier</t>
  </si>
  <si>
    <t xml:space="preserve">ISBN 978-0323547338</t>
  </si>
  <si>
    <t xml:space="preserve">Standard epidemiology textbook; study design, bias, confounding, causality, outbreak investigation; essential for Samuel's community health research</t>
  </si>
  <si>
    <t xml:space="preserve">LIB-038</t>
  </si>
  <si>
    <t xml:space="preserve">Global Health: Disease, Programs, Systems &amp; Policies (5th ed.)</t>
  </si>
  <si>
    <t xml:space="preserve">Public Health | Global Health</t>
  </si>
  <si>
    <t xml:space="preserve">Merson M.H. et al. | Jones &amp; Bartlett</t>
  </si>
  <si>
    <t xml:space="preserve">ISBN 978-1284145045</t>
  </si>
  <si>
    <t xml:space="preserve">Comprehensive global health text; health systems, CHW programs, maternal health, under-5 mortality; directly relevant for Samuel's PhD research context</t>
  </si>
  <si>
    <t xml:space="preserve">LIB-039</t>
  </si>
  <si>
    <t xml:space="preserve">PLOS Global Health</t>
  </si>
  <si>
    <t xml:space="preserve">Public Health | Global Health | All</t>
  </si>
  <si>
    <t xml:space="preserve">PhD | MSc Health</t>
  </si>
  <si>
    <t xml:space="preserve">PLOS | Public Library of Science</t>
  </si>
  <si>
    <t xml:space="preserve">https://journals.plos.org/globalpublichealth/</t>
  </si>
  <si>
    <t xml:space="preserve">New open-access flagship for global health; peer-reviewed, indexed in PubMed; no access barriers; relevant for Samuel's CHW integration research</t>
  </si>
  <si>
    <t xml:space="preserve">LIB-040</t>
  </si>
  <si>
    <t xml:space="preserve">Thermodynamics: An Engineering Approach (10th ed.)</t>
  </si>
  <si>
    <t xml:space="preserve">Engineering</t>
  </si>
  <si>
    <t xml:space="preserve">MSc Eng | PhD Eng</t>
  </si>
  <si>
    <t xml:space="preserve">Cengel Y.A. &amp; Boles M.A. | McGraw-Hill</t>
  </si>
  <si>
    <t xml:space="preserve">ISBN 978-1259822674</t>
  </si>
  <si>
    <t xml:space="preserve">Standard engineering thermodynamics; energy systems, heat transfer, exergy; relevant for Kenneth's solar desalination PhD research</t>
  </si>
  <si>
    <t xml:space="preserve">LIB-041</t>
  </si>
  <si>
    <t xml:space="preserve">Renewable Energy Resources (4th ed.)</t>
  </si>
  <si>
    <t xml:space="preserve">Engineering | Environmental</t>
  </si>
  <si>
    <t xml:space="preserve">MSc Eng | PhD Env</t>
  </si>
  <si>
    <t xml:space="preserve">Twidell J. &amp; Weir T. | Routledge</t>
  </si>
  <si>
    <t xml:space="preserve">ISBN 978-1032055749</t>
  </si>
  <si>
    <t xml:space="preserve">Comprehensive renewable energy text; solar thermal, photovoltaics, desalination, wind, biomass; essential for Kenneth's low-cost solar desalination work</t>
  </si>
  <si>
    <t xml:space="preserve">LIB-042</t>
  </si>
  <si>
    <t xml:space="preserve">Energy (Elsevier)</t>
  </si>
  <si>
    <t xml:space="preserve">Elsevier | ScienceDirect</t>
  </si>
  <si>
    <t xml:space="preserve">https://www.sciencedirect.com/journal/energy</t>
  </si>
  <si>
    <t xml:space="preserve">High-impact energy journal; solar, desalination, renewables for development; relevant for Kenneth's rural water security research</t>
  </si>
  <si>
    <t xml:space="preserve">LIB-043</t>
  </si>
  <si>
    <t xml:space="preserve">Scopus</t>
  </si>
  <si>
    <t xml:space="preserve">All PG | PhD</t>
  </si>
  <si>
    <t xml:space="preserve">Elsevier | https://www.scopus.com</t>
  </si>
  <si>
    <t xml:space="preserve">https://www.scopus.com</t>
  </si>
  <si>
    <t xml:space="preserve">World's largest abstract and citation database; 88 million records; use for systematic literature reviews, citation analysis, author metrics; essential for PhD students</t>
  </si>
  <si>
    <t xml:space="preserve">LIB-044</t>
  </si>
  <si>
    <t xml:space="preserve">Web of Science (WoS)</t>
  </si>
  <si>
    <t xml:space="preserve">Clarivate | https://www.webofscience.com</t>
  </si>
  <si>
    <t xml:space="preserve">https://www.webofscience.com</t>
  </si>
  <si>
    <t xml:space="preserve">Leading citation index; Journal Citation Reports (JCR) impact factors; essential for identifying high-quality journals and cited reference searching</t>
  </si>
  <si>
    <t xml:space="preserve">LIB-045</t>
  </si>
  <si>
    <t xml:space="preserve">JSTOR</t>
  </si>
  <si>
    <t xml:space="preserve">Social Sciences | Humanities | Education</t>
  </si>
  <si>
    <t xml:space="preserve">JSTOR | https://www.jstor.org</t>
  </si>
  <si>
    <t xml:space="preserve">https://www.jstor.org</t>
  </si>
  <si>
    <t xml:space="preserve">Extensive archive of academic journals, books, and primary sources; strong in social sciences, humanities, education; older articles especially well covered</t>
  </si>
  <si>
    <t xml:space="preserve">LIB-046</t>
  </si>
  <si>
    <t xml:space="preserve">Google Scholar</t>
  </si>
  <si>
    <t xml:space="preserve">Google | https://scholar.google.com</t>
  </si>
  <si>
    <t xml:space="preserve">https://scholar.google.com</t>
  </si>
  <si>
    <t xml:space="preserve">Free broad academic search; useful for grey literature, thesis discovery, and citation tracking; use alongside Scopus/WoS for systematic reviews</t>
  </si>
  <si>
    <t xml:space="preserve">LIB-047</t>
  </si>
  <si>
    <t xml:space="preserve">ScienceDirect (Elsevier)</t>
  </si>
  <si>
    <t xml:space="preserve">Science | Health | Engineering | CS</t>
  </si>
  <si>
    <t xml:space="preserve">Elsevier | https://www.sciencedirect.com</t>
  </si>
  <si>
    <t xml:space="preserve">https://www.sciencedirect.com</t>
  </si>
  <si>
    <t xml:space="preserve">Access to 2,500+ Elsevier journals and 40,000+ ebooks; excellent for science, health, engineering disciplines; search full-text articles directly</t>
  </si>
  <si>
    <t xml:space="preserve">LIB-048</t>
  </si>
  <si>
    <t xml:space="preserve">African Journals Online (AJOL)</t>
  </si>
  <si>
    <t xml:space="preserve">All Disciplines — Africa Focus</t>
  </si>
  <si>
    <t xml:space="preserve">Free (Registered)</t>
  </si>
  <si>
    <t xml:space="preserve">AJOL | https://www.ajol.info</t>
  </si>
  <si>
    <t xml:space="preserve">https://www.ajol.info</t>
  </si>
  <si>
    <t xml:space="preserve">Pan-African journal aggregator; 500+ African peer-reviewed journals; essential for Africa-contextualised literature across all disciplines; register free</t>
  </si>
  <si>
    <t xml:space="preserve">LIB-049</t>
  </si>
  <si>
    <t xml:space="preserve">Research4Life (Hinari/AGORA/OARE/GOALI)</t>
  </si>
  <si>
    <t xml:space="preserve">Health | Agriculture | Environment | Law</t>
  </si>
  <si>
    <t xml:space="preserve">Free (Institutional)</t>
  </si>
  <si>
    <t xml:space="preserve">WHO / FAO / UNEP | https://www.research4life.org</t>
  </si>
  <si>
    <t xml:space="preserve">https://www.research4life.org</t>
  </si>
  <si>
    <t xml:space="preserve">Free access to thousands of journals for eligible institutions in low-income countries; register via institutional email; covers health (Hinari), environment (OARE), agriculture (AGORA)</t>
  </si>
  <si>
    <t xml:space="preserve">LIB-050</t>
  </si>
  <si>
    <t xml:space="preserve">Dataset</t>
  </si>
  <si>
    <t xml:space="preserve">World Bank Open Data</t>
  </si>
  <si>
    <t xml:space="preserve">Economics | Development | All</t>
  </si>
  <si>
    <t xml:space="preserve">PhD Economics | MA | All PG</t>
  </si>
  <si>
    <t xml:space="preserve">World Bank | https://data.worldbank.org</t>
  </si>
  <si>
    <t xml:space="preserve">https://data.worldbank.org</t>
  </si>
  <si>
    <t xml:space="preserve">Online Dataset</t>
  </si>
  <si>
    <t xml:space="preserve">Free access to development indicators, GDP, FDI, trade, health, education data for 200+ countries; essential for Fatima's FDI panel data analysis</t>
  </si>
  <si>
    <t xml:space="preserve">LIB-051</t>
  </si>
  <si>
    <t xml:space="preserve">WHO Global Health Observatory (GHO)</t>
  </si>
  <si>
    <t xml:space="preserve">WHO | https://www.who.int/data/gho</t>
  </si>
  <si>
    <t xml:space="preserve">https://www.who.int/data/gho</t>
  </si>
  <si>
    <t xml:space="preserve">WHO health statistics database; mortality, morbidity, health systems, CHW data by country; useful for Samuel's under-5 mortality research</t>
  </si>
  <si>
    <t xml:space="preserve">LIB-052</t>
  </si>
  <si>
    <t xml:space="preserve">Kenya National Bureau of Statistics (KNBS)</t>
  </si>
  <si>
    <t xml:space="preserve">Kenya Studies | Economics | Health</t>
  </si>
  <si>
    <t xml:space="preserve">All PG — Kenya</t>
  </si>
  <si>
    <t xml:space="preserve">KNBS | https://www.knbs.or.ke</t>
  </si>
  <si>
    <t xml:space="preserve">https://www.knbs.or.ke</t>
  </si>
  <si>
    <t xml:space="preserve">Official Kenya statistical data; census, KDHS, economic surveys, county-level data; essential for any Kenya-specific research including Janet, Samuel, Peter</t>
  </si>
  <si>
    <t xml:space="preserve">LIB-053</t>
  </si>
  <si>
    <t xml:space="preserve">Course</t>
  </si>
  <si>
    <t xml:space="preserve">Research Methods: Quantitative &amp; Qualitative (Coursera)</t>
  </si>
  <si>
    <t xml:space="preserve">Proposal | Methods | All</t>
  </si>
  <si>
    <t xml:space="preserve">Free (Audit)</t>
  </si>
  <si>
    <t xml:space="preserve">Duke University / Coursera | https://www.coursera.org</t>
  </si>
  <si>
    <t xml:space="preserve">https://www.coursera.org/learn/research-methods</t>
  </si>
  <si>
    <t xml:space="preserve">Online Video + Quiz</t>
  </si>
  <si>
    <t xml:space="preserve">8-week course covering experimental, survey, and qualitative research design; free to audit; useful for Year 1 PhD and MSc students building research foundations</t>
  </si>
  <si>
    <t xml:space="preserve">LIB-054</t>
  </si>
  <si>
    <t xml:space="preserve">Machine Learning Specialization (Coursera)</t>
  </si>
  <si>
    <t xml:space="preserve">Stanford University (Andrew Ng) / Coursera</t>
  </si>
  <si>
    <t xml:space="preserve">https://www.coursera.org/specializations/machine-learning-introduction</t>
  </si>
  <si>
    <t xml:space="preserve">Online Video + Assignment</t>
  </si>
  <si>
    <t xml:space="preserve">3-course specialization; supervised/unsupervised learning, neural networks; free to audit; essential supplementary learning for Ibrahim and Amina's ML research</t>
  </si>
  <si>
    <t xml:space="preserve">LIB-055</t>
  </si>
  <si>
    <t xml:space="preserve">Data Analysis for Life Sciences (edX/HarvardX)</t>
  </si>
  <si>
    <t xml:space="preserve">Health | Biomedical | Statistics</t>
  </si>
  <si>
    <t xml:space="preserve">MSc Biochem | PhD Health</t>
  </si>
  <si>
    <t xml:space="preserve">Harvard University / edX | https://www.edx.org</t>
  </si>
  <si>
    <t xml:space="preserve">https://www.edx.org/learn/data-analysis</t>
  </si>
  <si>
    <t xml:space="preserve">R-based biostatistics for life sciences; hypothesis testing, regression, high-dimensional data; directly supports Helen's and Samuel's quantitative analysis work</t>
  </si>
  <si>
    <t xml:space="preserve">LIB-056</t>
  </si>
  <si>
    <t xml:space="preserve">MIT OpenCourseWare — Free STEM Courses</t>
  </si>
  <si>
    <t xml:space="preserve">CS | Engineering | Science | Maths</t>
  </si>
  <si>
    <t xml:space="preserve">MSc CS | PhD | MSc Eng</t>
  </si>
  <si>
    <t xml:space="preserve">Massachusetts Institute of Technology | https://ocw.mit.edu</t>
  </si>
  <si>
    <t xml:space="preserve">https://ocw.mit.edu</t>
  </si>
  <si>
    <t xml:space="preserve">Free Lecture Notes + Assignments</t>
  </si>
  <si>
    <t xml:space="preserve">Free access to MIT course materials; thermodynamics, algorithms, ML, biology, economics; no registration required; use as supplementary depth material</t>
  </si>
  <si>
    <t xml:space="preserve">LIB-057</t>
  </si>
  <si>
    <t xml:space="preserve">Zotero Reference Manager (Free)</t>
  </si>
  <si>
    <t xml:space="preserve">Writing | Lit Review</t>
  </si>
  <si>
    <t xml:space="preserve">Zotero | https://www.zotero.org</t>
  </si>
  <si>
    <t xml:space="preserve">https://www.zotero.org</t>
  </si>
  <si>
    <t xml:space="preserve">Free Software</t>
  </si>
  <si>
    <t xml:space="preserve">Free reference manager; browser plugin for one-click citation saving; auto-generates bibliographies in any style; essential tool for all PG students managing large literature reviews</t>
  </si>
  <si>
    <t xml:space="preserve">COLOUR KEY:  🟢 Book   🔵 Journal   🟣 Database   🟡 Course   🟠 Dataset   🟩 Online Guide     |     ACCESS:  Open Access = free with account  |  Free Online = no login  |  Library Sub = access via library portal</t>
  </si>
  <si>
    <t xml:space="preserve">Templumis University — PhD Student Journey Tracker</t>
  </si>
  <si>
    <t xml:space="preserve">▪ Green = Complete ✓   ▪ Blue = In Progress   ▪ Grey = Not Yet   ▪ Orange = ⚠ Active Challenge   |   Doctoral milestone progression — tracked from Enrolment to Graduation   |   Updated: January 2024</t>
  </si>
  <si>
    <t xml:space="preserve">● STUDENT PROFILE</t>
  </si>
  <si>
    <t xml:space="preserve">● PROGRAMME</t>
  </si>
  <si>
    <t xml:space="preserve">● DOCTORAL MILESTONE TRACKING  M1 → M12</t>
  </si>
  <si>
    <t xml:space="preserve">● KEY DATES</t>
  </si>
  <si>
    <t xml:space="preserve">● ACADEMIC STANDING</t>
  </si>
  <si>
    <t xml:space="preserve">● SUPERVISION &amp; PROGRESS NOTES</t>
  </si>
  <si>
    <t xml:space="preserve">School / Department</t>
  </si>
  <si>
    <t xml:space="preserve">Research Title</t>
  </si>
  <si>
    <t xml:space="preserve">Principal Supervisor</t>
  </si>
  <si>
    <t xml:space="preserve">Co-Supervisor / External Partner</t>
  </si>
  <si>
    <t xml:space="preserve">Research Year</t>
  </si>
  <si>
    <t xml:space="preserve">Overall
Progress (%)</t>
  </si>
  <si>
    <t xml:space="preserve">M1
Enrolment &amp;
Orientation</t>
  </si>
  <si>
    <t xml:space="preserve">M2
Foundation
Coursework</t>
  </si>
  <si>
    <t xml:space="preserve">M3
Systematic
Lit Review</t>
  </si>
  <si>
    <t xml:space="preserve">M4
Research
Proposal
Written</t>
  </si>
  <si>
    <t xml:space="preserve">M5
Proposal
Defense</t>
  </si>
  <si>
    <t xml:space="preserve">M6
Candidacy
Confirmed</t>
  </si>
  <si>
    <t xml:space="preserve">M7
Data
Collection</t>
  </si>
  <si>
    <t xml:space="preserve">M8
Data Analysis
&amp; Chapter
Writing</t>
  </si>
  <si>
    <t xml:space="preserve">M9
Pre-Submission
Seminar</t>
  </si>
  <si>
    <t xml:space="preserve">M10
Thesis
Submission</t>
  </si>
  <si>
    <t xml:space="preserve">M11
Viva Voce /
External Exam</t>
  </si>
  <si>
    <t xml:space="preserve">M12
Final Approval
&amp; Graduation</t>
  </si>
  <si>
    <t xml:space="preserve">Expected
Thesis
Submission</t>
  </si>
  <si>
    <t xml:space="preserve">Expected
Viva Date</t>
  </si>
  <si>
    <t xml:space="preserve">Expected
Graduation</t>
  </si>
  <si>
    <t xml:space="preserve">Extensions /
Deferrals</t>
  </si>
  <si>
    <t xml:space="preserve">Current
GPA</t>
  </si>
  <si>
    <t xml:space="preserve">Academic
Standing</t>
  </si>
  <si>
    <t xml:space="preserve">Fees
Status</t>
  </si>
  <si>
    <t xml:space="preserve">Last Progress
Review Date</t>
  </si>
  <si>
    <t xml:space="preserve">Stage Notes &amp; Active Flags</t>
  </si>
  <si>
    <t xml:space="preserve">Prof. Ruth Mutua (Strathmore University)</t>
  </si>
  <si>
    <t xml:space="preserve">55%</t>
  </si>
  <si>
    <t xml:space="preserve">FL architecture designed; IRBs approved at all 4 hospital sites; 2 sites data collection active. Next: complete remaining 2 sites + begin federated model training. Working paper submitted to IEEE Trans. Medical Informatics (under review).</t>
  </si>
  <si>
    <t xml:space="preserve">Dr. Rebecca Adero (WHO Kenya)</t>
  </si>
  <si>
    <t xml:space="preserve">78%</t>
  </si>
  <si>
    <t xml:space="preserve">Fieldwork complete (14 counties, n=2,400 CHW interviews). Data fully analysed. Chapters 1–4 approved by supervisor. Currently writing Chapter 5 (Conclusions &amp; Policy Recommendations). 2 publications: African J. Primary Health Care (published 2024) + PLOS Global Health (under review).</t>
  </si>
  <si>
    <t xml:space="preserve">Dr. Emmanuel Kiprotich (IMF Africa Division)</t>
  </si>
  <si>
    <t xml:space="preserve">Foundation coursework ongoing (PHD701 complete ✓, PHD702/703 in progress). Systematic lit review 60% done. World Bank WDI + UNCTAD FDI panel dataset identified. Proposal draft 40% written. Target: full proposal to Dept Committee April 2024.</t>
  </si>
  <si>
    <t xml:space="preserve">Dr. Osei Kwame (UNEP Kenya)</t>
  </si>
  <si>
    <t xml:space="preserve">38%</t>
  </si>
  <si>
    <t xml:space="preserve">Systematic lit review complete. Proposal submitted to Dept Committee. Awaiting defense date (target: March 2024). Pilot site confirmed: Aberdares Forest Reserve (500ha). UNEP partnership signed. Ethics clearance application in preparation.</t>
  </si>
  <si>
    <t xml:space="preserve">52%</t>
  </si>
  <si>
    <t xml:space="preserve">2025-08-31</t>
  </si>
  <si>
    <t xml:space="preserve">2025-11-30</t>
  </si>
  <si>
    <t xml:space="preserve">76%</t>
  </si>
  <si>
    <t xml:space="preserve">2024-08-31</t>
  </si>
  <si>
    <t xml:space="preserve">2024-11-30</t>
  </si>
  <si>
    <t xml:space="preserve">18%</t>
  </si>
  <si>
    <t xml:space="preserve">2027-08-31</t>
  </si>
  <si>
    <t xml:space="preserve">2027-11-30</t>
  </si>
  <si>
    <t xml:space="preserve">34%</t>
  </si>
  <si>
    <t xml:space="preserve">2026-08-31</t>
  </si>
  <si>
    <t xml:space="preserve">2026-11-30</t>
  </si>
  <si>
    <t xml:space="preserve">54%</t>
  </si>
  <si>
    <t xml:space="preserve">80%</t>
  </si>
  <si>
    <t xml:space="preserve">36%</t>
  </si>
  <si>
    <t xml:space="preserve">2028-08-31</t>
  </si>
  <si>
    <t xml:space="preserve">2028-11-30</t>
  </si>
  <si>
    <t xml:space="preserve">LEGEND:  ■ Complete ✓ (Green) = Milestone achieved &amp; supervisor-verified  │  ■ In Progress (Blue) = Currently active  │  ■ Not Yet (Grey) = Future milestone — not yet started  │  ■ ⚠ Challenge (Orange) = Active bottleneck — see PG Academic Support sheet for case details</t>
  </si>
  <si>
    <t xml:space="preserve">Templumis University — PhD Student Academic Support Guide</t>
  </si>
  <si>
    <t xml:space="preserve">A comprehensive reference guide for doctoral students at every stage of their PhD journey  |  Graduate School, Templumis University  |  Academic Year 2023–2024</t>
  </si>
  <si>
    <t xml:space="preserve">◆  SECTION 1 — DOCTORAL STAGE-BY-STAGE SUPPORT GUIDE  (Stages 1–12)</t>
  </si>
  <si>
    <t xml:space="preserve">Stage
#</t>
  </si>
  <si>
    <t xml:space="preserve">Stage Name</t>
  </si>
  <si>
    <t xml:space="preserve">Typical
Year</t>
  </si>
  <si>
    <t xml:space="preserve">Duration</t>
  </si>
  <si>
    <t xml:space="preserve">Key Tasks &amp; Deliverables</t>
  </si>
  <si>
    <t xml:space="preserve">Academic Support Available</t>
  </si>
  <si>
    <t xml:space="preserve">Key Library Resources
(see Library Resources sheet)</t>
  </si>
  <si>
    <t xml:space="preserve">Workshops &amp; Training</t>
  </si>
  <si>
    <t xml:space="preserve">Key Contacts</t>
  </si>
  <si>
    <t xml:space="preserve">Common Challenges
&amp; How to Address Them</t>
  </si>
  <si>
    <t xml:space="preserve">Required Forms /
Submissions</t>
  </si>
  <si>
    <t xml:space="preserve">Milestone Target</t>
  </si>
  <si>
    <t xml:space="preserve">Enrolment &amp; Orientation</t>
  </si>
  <si>
    <t xml:space="preserve">Year 1
(Mths 1–2)</t>
  </si>
  <si>
    <t xml:space="preserve">1–2 months</t>
  </si>
  <si>
    <t xml:space="preserve">• Complete official registration &amp; ID
• Attend PhD orientation programme
• First supervisor meeting — agree on supervision schedule
• Sign Supervision Agreement
• Set up research tools: Zotero, Overleaf, NVivo/SPSS
• Access all library databases
• Join PhD student community/WhatsApp group
• Identify first reading list with supervisor</t>
  </si>
  <si>
    <t xml:space="preserve">• Graduate School orientation (3-day induction)
• Library Research Induction (2-hr session)
• IT tools setup support
• PG peer buddy system (connect with Year 2+ PhD student)
• Writing Centre introduction session</t>
  </si>
  <si>
    <t xml:space="preserve">LIB-010: How to Write a Thesis
LIB-011: Authoring a PhD
LIB-057: Zotero (Reference Manager)
LIB-013: Purdue OWL Writing Guide</t>
  </si>
  <si>
    <t xml:space="preserve">• PhD Orientation Workshop (Graduate School)
• Library Database Induction
• Research Ethics Overview (1hr)
• Zotero Reference Manager Setup Workshop</t>
  </si>
  <si>
    <t xml:space="preserve">Graduate School: Dr. Susan Wangari
s.wangari@templumis.ac
Room 201, Admin Block
Library Services: library.pg@templumis.ac
IT Helpdesk: helpdesk@templumis.ac</t>
  </si>
  <si>
    <t xml:space="preserve">CHALLENGE: Admin delays in system access
→ Contact IT and Registry immediately; escalate via PG Coordinator if unresolved in 5 days
CHALLENGE: Unclear expectations from supervisor
→ Agree on written Supervision Agreement in Week 2</t>
  </si>
  <si>
    <t xml:space="preserve">• PhD Registration Form
• Supervision Agreement (signed by supervisor + HoD)
• Ethics Awareness Declaration
• Library Access Form</t>
  </si>
  <si>
    <t xml:space="preserve">✓ Fully registered, tools set up, Supervision Agreement signed, first supervisor meeting completed</t>
  </si>
  <si>
    <t xml:space="preserve">Foundation Coursework</t>
  </si>
  <si>
    <t xml:space="preserve">Year 1
(Mths 2–8)</t>
  </si>
  <si>
    <t xml:space="preserve">6–8 months</t>
  </si>
  <si>
    <t xml:space="preserve">• Complete all PhD foundation modules:
  – PHD701: Advanced Research Design &amp; Epistemology
  – PHD702: Doctoral Seminar Series
  – PHD703: Comprehensive Exam Preparation
• Attend departmental research seminars (monthly)
• Begin broad literature reading in research area
• Form initial research question and focus
• Write reading reflections/weekly notes</t>
  </si>
  <si>
    <t xml:space="preserve">• Academic Writing Centre: free weekly drop-ins
• Statistics Support Unit: drop-in Mondays 2–4pm
• Peer PhD writing group (Thursdays 2–5pm)
• Course instructors: office hours for 1-on-1 support
• Online Coursera/edX supplementary courses (free audit)</t>
  </si>
  <si>
    <t xml:space="preserve">LIB-001: Research Design (Creswell)
LIB-004: Research Methodology (Kumar)
LIB-006: Statistics (Field)
LIB-053: Coursera Research Methods</t>
  </si>
  <si>
    <t xml:space="preserve">• Academic Writing for Doctoral Students (Wk 4)
• Introduction to Statistical Software: R/SPSS/NVivo
• Research Philosophy &amp; Paradigms Workshop
• Doctoral Seminar (PHD702) — monthly presentations</t>
  </si>
  <si>
    <t xml:space="preserve">Course Instructors: Dr. Susan Wangari
Academic Writing: writing.centre@templumis.ac
Stats Support: stats.support@templumis.ac
Peer Writing Group: via Graduate School</t>
  </si>
  <si>
    <t xml:space="preserve">CHALLENGE: Balancing coursework &amp; early research
→ Block 2hrs/day for independent research reading; discuss priority with supervisor
CHALLENGE: Grade below B in foundation course
→ Immediate academic support; may need to repeat module</t>
  </si>
  <si>
    <t xml:space="preserve">• Course Registration Confirmation
• Coursework completion with minimum grade B
• PhD Training Log (updated each semester)</t>
  </si>
  <si>
    <t xml:space="preserve">✓ All PhD foundation courses completed with minimum B grade average</t>
  </si>
  <si>
    <t xml:space="preserve">Systematic Literature Review</t>
  </si>
  <si>
    <t xml:space="preserve">Year 1
(Mths 6–12)</t>
  </si>
  <si>
    <t xml:space="preserve">4–6 months
(overlaps with CW)</t>
  </si>
  <si>
    <t xml:space="preserve">• Define inclusion/exclusion criteria for systematic review
• Search all major databases systematically (Scopus, WoS, PubMed, JSTOR, AJOL)
• Screen &amp; select 80–150+ relevant sources
• Read critically — note research gaps, theoretical debates
• Develop theoretical/conceptual framework
• Write first full draft of Literature Review chapter
• Submit draft to supervisor for feedback
• Revise based on feedback</t>
  </si>
  <si>
    <t xml:space="preserve">• Subject Librarian for discipline-specific database training (book via library portal)
• Systematic Review Support Sessions (Library, quarterly)
• Supervisor chapter feedback meetings (bi-weekly)
• PG Writing Group — lit review chapter critique sessions
• Reference management workshop (Zotero)</t>
  </si>
  <si>
    <t xml:space="preserve">LIB-043: Scopus
LIB-044: Web of Science
LIB-046: Google Scholar
LIB-048: AJOL (African journals)
LIB-049: Research4Life/Hinari (free access)
LIB-057: Zotero</t>
  </si>
  <si>
    <t xml:space="preserve">• Database Search Strategies Training (Library)
• Systematic Review Methods Workshop
• Critical Reading &amp; Annotation Workshop
• Zotero Advanced Features Workshop</t>
  </si>
  <si>
    <t xml:space="preserve">Subject Librarian: library.pg@templumis.ac
Supervisor: scheduled bi-weekly meetings
PG Writing Group: Thursdays 2–5pm
Grad School: Dr. Susan Wangari</t>
  </si>
  <si>
    <t xml:space="preserve">CHALLENGE: Too broad — can't manage 1,000+ papers
→ Apply PICO/SPIDER framework; set strict inclusion criteria with supervisor
CHALLENGE: Finding Africa-specific literature
→ Use AJOL + Research4Life; also Google Scholar for grey lit and conference papers</t>
  </si>
  <si>
    <t xml:space="preserve">• Literature Search Log (databases searched, dates, terms)
• Reference list in Zotero (exported to supervisor)
• Literature Review Draft Chapter
• Research Gap Identification Summary</t>
  </si>
  <si>
    <t xml:space="preserve">✓ Comprehensive lit review draft approved by supervisor with research gaps clearly identified</t>
  </si>
  <si>
    <t xml:space="preserve">Research Proposal Writing</t>
  </si>
  <si>
    <t xml:space="preserve">Year 1
(Mths 9–14)</t>
  </si>
  <si>
    <t xml:space="preserve">3–5 months</t>
  </si>
  <si>
    <t xml:space="preserve">• Write full research proposal (15–25 pages):
  – Title, Abstract, Background
  – Research Problem, Questions &amp; Objectives
  – Theoretical Framework
  – Research Methodology (design, sample, tools)
  – Timeline &amp; Budget
  – References (50+ minimum)
• Prepare ethics application
• Multiple rounds of supervisor review &amp; revision
• Peer review by PhD cohort
• Final polish before departmental submission</t>
  </si>
  <si>
    <t xml:space="preserve">• Proposal Writing Workshop (Graduate School — twice yearly)
• Supervisor review: minimum 3 draft rounds
• Writing Centre — 1-on-1 proposal consultation
• Ethics Office — pre-application guidance session
• IMRaD &amp; proposal structure templates (available from Graduate School)</t>
  </si>
  <si>
    <t xml:space="preserve">LIB-001: Research Design
LIB-010: How to Write a Thesis
LIB-011: Authoring a PhD
LIB-012: Academic Writing for Grad Students
LIB-002/003: Methods for your discipline</t>
  </si>
  <si>
    <t xml:space="preserve">• Research Proposal Writing Workshop (Grad School)
• Ethics Application Writing Training
• Academic Argument &amp; Structure Workshop
• Budget Planning for PhD Research (Finance Office)</t>
  </si>
  <si>
    <t xml:space="preserve">PG Coordinator: Dr. Susan Wangari
Research Ethics: ethics@templumis.ac
Writing Centre: writing.centre@templumis.ac
Your supervisor &amp; co-supervisor</t>
  </si>
  <si>
    <t xml:space="preserve">CHALLENGE: Scope too broad — supervisor says "do less"
→ Focus on 1–2 clear research questions; depth &gt; breadth for PhD
CHALLENGE: Methodology not aligned to research questions
→ Re-read Creswell Ch. 3–5; discuss paradigm fit with supervisor in dedicated session</t>
  </si>
  <si>
    <t xml:space="preserve">• Research Proposal Submission Form
• Ethics Application (if involving human subjects, animals, or fieldwork)
• Budget Justification Form
• Plagiarism Check (Turnitin &lt;20% similarity)</t>
  </si>
  <si>
    <t xml:space="preserve">✓ Full research proposal submitted to Departmental PhD Committee</t>
  </si>
  <si>
    <t xml:space="preserve">Proposal Defense (Pre-Candidacy)</t>
  </si>
  <si>
    <t xml:space="preserve">Year 1–2
(Mths 12–18)</t>
  </si>
  <si>
    <t xml:space="preserve">1–2 months
preparation</t>
  </si>
  <si>
    <t xml:space="preserve">• Prepare 20-min defense presentation + 15-min Q&amp;A
• Review all feedback from supervisor on proposal
• Anticipate panel questions (methodology, scope, lit gaps)
• Submit final proposal to panel (2 weeks before defense)
• Attend proposal defense before 3-member faculty panel
• Respond to panel questions confidently
• Receive outcome: Pass / Pass with revisions / Fail
• Complete any required post-defense revisions within 4 weeks</t>
  </si>
  <si>
    <t xml:space="preserve">• Mock defense practice (Graduate School — 2 sessions)
• One-on-one presentation coaching with supervisor
• Peer feedback: present to PhD cohort beforehand
• Previous defense recordings available (Graduate School library)
• Presentation slides template (Templumis branded)</t>
  </si>
  <si>
    <t xml:space="preserve">LIB-010: How to Write a Thesis
LIB-011: Authoring a PhD
LIB-012: Academic Writing
LIB-014: Scribbr — argument clarity</t>
  </si>
  <si>
    <t xml:space="preserve">• Academic Presentation Skills Workshop (Grad School)
• Mock Proposal Defense Practice Sessions
• Q&amp;A Handling &amp; Academic Argumentation Workshop</t>
  </si>
  <si>
    <t xml:space="preserve">PG Coordinator: Dr. Susan Wangari
Dept PhD Committee: via supervisor
Grad School Admin: for defense scheduling
Supervisor: pre-defense coaching sessions</t>
  </si>
  <si>
    <t xml:space="preserve">CHALLENGE: Panel challenges your methodology
→ Prepare detailed rationale for every methodological choice; cite published studies using same approach in similar contexts
CHALLENGE: Outcome = Pass with Major Revisions
→ Do not panic — very common; create a structured revision plan with supervisor within 1 week</t>
  </si>
  <si>
    <t xml:space="preserve">• Proposal Defense Application Form
• Final Proposal (submitted to panel 2 weeks prior)
• Presentation Slides (submitted to Graduate School)
• Post-Defense Revision Plan (if revisions required)</t>
  </si>
  <si>
    <t xml:space="preserve">✓ Proposal defense passed — advance to formal PhD candidacy</t>
  </si>
  <si>
    <t xml:space="preserve">Candidacy Confirmation</t>
  </si>
  <si>
    <t xml:space="preserve">Year 2
(Mths 15–18)</t>
  </si>
  <si>
    <t xml:space="preserve">1 month</t>
  </si>
  <si>
    <t xml:space="preserve">• Submit revised proposal incorporating panel feedback
• Sign Candidacy Declaration Form
• Apply for formal ethics clearance (if not yet approved)
• Finalise data collection plan and site access agreements
• Meet co-supervisor to align on research plan
• Submit Year 1 Annual Progress Report
• Update Supervision Log
• Confirm research timeline with supervisor</t>
  </si>
  <si>
    <t xml:space="preserve">• Research Ethics Office: pre-application support session
• Co-supervisor collaboration meeting (arrange via supervisor)
• Research Data Management guidance (Library, 2nd Floor)
• Graduate School: annual review support</t>
  </si>
  <si>
    <t xml:space="preserve">LIB-004: Research Methodology
LIB-001: Research Design
Ethics guidelines: research.ethics@templumis.ac
Data Management Plan template: Graduate School</t>
  </si>
  <si>
    <t xml:space="preserve">• Research Ethics Compliance Workshop
• Data Management &amp; Storage Best Practices (IT + Library)
• Fieldwork Safety &amp; Logistics (for field-based research)</t>
  </si>
  <si>
    <t xml:space="preserve">Research Ethics Committee: ethics@templumis.ac
Research Data Officer: datamanagement@templumis.ac
Supervisor &amp; Co-supervisor
Grad School: Dr. Susan Wangari</t>
  </si>
  <si>
    <t xml:space="preserve">CHALLENGE: Ethics clearance delayed (6–8 weeks)
→ Submit early; use waiting period for finalising instruments, piloting tools, and writing Methodology chapter draft
CHALLENGE: Site access issues
→ Engage co-supervisor / external partner early; consider alternative sites</t>
  </si>
  <si>
    <t xml:space="preserve">• Candidacy Declaration Form (signed by student + supervisor)
• Ethics Clearance Certificate (from Ethics Committee)
• Data Management Plan
• Year 1 Annual Progress Report</t>
  </si>
  <si>
    <t xml:space="preserve">✓ Candidacy confirmed — student is now a formal PhD Candidate</t>
  </si>
  <si>
    <t xml:space="preserve">Year 2–3
(Mths 18–30)</t>
  </si>
  <si>
    <t xml:space="preserve">6–18 months
(varies by discipline)</t>
  </si>
  <si>
    <t xml:space="preserve">• Execute data collection per approved ethics protocol
• Maintain detailed field notes / lab notebooks
• Back up data daily (cloud + local copy minimum)
• Regular progress updates to supervisor (bi-weekly)
• Monitor data quality as you go — fix issues immediately
• Flag any scope changes to Ethics Committee (amendment required)
• Document all deviations from original protocol
• Engage co-supervisor and field partners regularly</t>
  </si>
  <si>
    <t xml:space="preserve">• Supervisor bi-weekly check-ins: mandatory
• Co-supervisor / field partner coordination meetings
• Research Data Management support (Library)
• Lab Manager / Field Research Coordinator assistance
• Ethics Office: for amendment applications if needed
• IT: secure data storage and backup systems</t>
  </si>
  <si>
    <t xml:space="preserve">Relevant to your discipline:
CS/AI: LIB-015 (Deep Learning), LIB-016 (AI Modern Approach)
Health: LIB-024 (PubMed), LIB-037/38 (Public Health)
Economics: LIB-050 (World Bank Data), LIB-051 (WHO GHO)
Environmental: LIB-026 (Ecosystem Ecology), LIB-027 (IPCC AR6)
General: LIB-043 (Scopus), LIB-008 (Statistical Learning)</t>
  </si>
  <si>
    <t xml:space="preserve">• Research Data Management Workshop (Library)
• Field/Lab Research Methods (by discipline)
• Qualitative Coding: NVivo Workshop
• Quantitative Analysis: R/SPSS/Stata Workshop
• Academic Integrity &amp; Data Ethics Refresher</t>
  </si>
  <si>
    <t xml:space="preserve">Supervisor: bi-weekly progress meetings
Co-supervisor / External Partner
Lab Manager / Field Coordinator
Ethics Office: ethics@templumis.ac
Data Officer: datamanagement@templumis.ac</t>
  </si>
  <si>
    <t xml:space="preserve">CHALLENGE: Low response rate / poor sample
→ Notify supervisor immediately; explore ethics amendment for expanded sample; do not hide the issue
CHALLENGE: Equipment failure / weather disruption
→ Activate contingency plan (discuss with supervisor); document all disruptions formally
CHALLENGE: Supervisor not responsive
→ Escalate to PG Coordinator (Dr. Wangari); maintain supervision log as evidence</t>
  </si>
  <si>
    <t xml:space="preserve">• Data Collection Log (weekly)
• Supervision Meeting Log (mandatory — 8+ per year)
• Mid-Year Progress Report (Year 2/3)
• Ethics Amendment Form (if scope changes)
• Data Storage Declaration</t>
  </si>
  <si>
    <t xml:space="preserve">✓ Target dataset fully collected and quality-validated against methodology benchmarks</t>
  </si>
  <si>
    <t xml:space="preserve">Data Analysis &amp; Chapter Writing</t>
  </si>
  <si>
    <t xml:space="preserve">Year 3
(Mths 28–42)</t>
  </si>
  <si>
    <t xml:space="preserve">8–18 months</t>
  </si>
  <si>
    <t xml:space="preserve">• Systematic analysis of collected dataset
• Write Results &amp; Analysis chapters (typically Ch.3–4)
• Submit each chapter to supervisor for approval before moving on
• Attend monthly PhD seminars — present progress
• Link analysis back to Literature Review (Ch.2)
• Explore publication of 1–2 papers (peer-reviewed journals)
• Begin writing Introduction and Conclusion outlines
• Keep Supervision Log current</t>
  </si>
  <si>
    <t xml:space="preserve">• Statistics Support Unit: analysis consults (Mon 2–4pm + by appointment)
• Writing Centre: chapter structure and argument reviews
• Supervisor chapter feedback: minimum 2 revision rounds per chapter
• PhD writing group: chapter peer review sessions
• PhD Writing Retreats (February and August — 2 days each)</t>
  </si>
  <si>
    <t xml:space="preserve">By discipline — check Library Resources sheet:
LIB-006: SPSS Statistics, LIB-007: Econometrics
LIB-008: Statistical Learning (R)
LIB-009: Multivariate Data Analysis
LIB-015/16: Deep Learning / AI (CS students)
LIB-053/54/55: Online courses for method support</t>
  </si>
  <si>
    <t xml:space="preserve">• Advanced Statistical Analysis Workshop
• Academic Paper Writing Workshop (incl. journal selection)
• Data Visualisation for Research (R/Python/Excel)
• PhD Annual Seminar Presentation (required)</t>
  </si>
  <si>
    <t xml:space="preserve">Statistics Support: stats.support@templumis.ac
Writing Centre: writing.centre@templumis.ac
Supervisor: chapter review meetings
Journal editor guidance via supervisor
Grad School: annual review coordination</t>
  </si>
  <si>
    <t xml:space="preserve">CHALLENGE: Writer's block on thesis chapters
→ Use the "shitty first draft" technique — write fast, edit later; join writing group; PhD retreats very effective
CHALLENGE: Negative or unexpected results
→ Null results are publishable; re-examine theoretical framework; consult supervisor — do NOT hide unexpected findings
CHALLENGE: Supervisor keeps requesting major revisions
→ Request explicit, written criteria for chapter approval at start of each chapter</t>
  </si>
  <si>
    <t xml:space="preserve">• Chapter Approval Form (signed by supervisor per chapter)
• Year 3 Annual Progress Report
• Seminar Presentation (Grad School requirement)
• Research Output Summary (papers, presentations)</t>
  </si>
  <si>
    <t xml:space="preserve">✓ All analysis/results chapters approved by supervisor in writing</t>
  </si>
  <si>
    <t xml:space="preserve">Pre-Submission Seminar</t>
  </si>
  <si>
    <t xml:space="preserve">Year 3–4
(Mths 36–48)</t>
  </si>
  <si>
    <t xml:space="preserve">• Prepare full thesis presentation (30–45 min + 20 min Q&amp;A)
• Submit complete or near-complete thesis draft to supervisor
• Present to departmental faculty panel (broader audience than proposal)
• Receive comprehensive feedback — this is your last internal safety net
• Create structured plan to address all feedback
• Complete Introduction (Ch.1) and Conclusion (Ch.5/6) writing
• Begin final thesis formatting</t>
  </si>
  <si>
    <t xml:space="preserve">• Graduate School: Pre-Submission Seminar scheduling and support
• Supervisor: pre-seminar coaching on full thesis coherence
• Writing Centre: Introduction and Conclusion chapters review
• Thesis formatting guide and template (Graduate School website)
• PhD peer support: run a mock pre-submission seminar</t>
  </si>
  <si>
    <t xml:space="preserve">LIB-010: How to Write a Thesis
LIB-011: Authoring a PhD
LIB-012: Academic Writing for Grad Students
LIB-014: Scribbr (for final proofread &amp; citations)</t>
  </si>
  <si>
    <t xml:space="preserve">• Pre-Submission Seminar Preparation Coaching
• Thesis Formatting &amp; Submission Workshop
• Turnitin &amp; Academic Integrity Final Session
• Academic Presentation: Advanced Workshop</t>
  </si>
  <si>
    <t xml:space="preserve">PG Coordinator: Dr. Susan Wangari
Dept PhD Committee: via supervisor
Writing Centre: writing.centre@templumis.ac
Grad School Admin: for seminar scheduling</t>
  </si>
  <si>
    <t xml:space="preserve">CHALLENGE: Feedback reveals major structural gaps
→ Do not panic; create a chapter-by-chapter revision plan; agree timeline with supervisor; supervisor must explicitly re-approve each revised section
CHALLENGE: Time pressure before seminar
→ Submit to Grad School minimum 3 weeks in advance; do not rush — delay if necessary</t>
  </si>
  <si>
    <t xml:space="preserve">• Pre-Submission Seminar Application Form
• Full or Near-Complete Thesis Draft
• Presentation Slides
• Post-Seminar Revision Plan (within 2 weeks of seminar)</t>
  </si>
  <si>
    <t xml:space="preserve">✓ Pre-submission seminar passed — thesis approved for final editing and submission</t>
  </si>
  <si>
    <t xml:space="preserve">Year 4
(Mths 42–54)</t>
  </si>
  <si>
    <t xml:space="preserve">3–6 months
final writing</t>
  </si>
  <si>
    <t xml:space="preserve">• Complete and polish all chapters
• Ensure all supervisor approvals documented
• Format thesis strictly per Templumis PhD guidelines
• Full proofreading (self + Writing Centre)
• Run Turnitin check (must be &lt;30% similarity)
• Get supervisor Declaration of Completion signed
• Submit digitally + 3 bound hardcopies to Graduate School
• Nominate external examiner (via supervisor + Graduate School)</t>
  </si>
  <si>
    <t xml:space="preserve">• Writing Centre: final thesis proofreading service (book 4 weeks in advance)
• Library: thesis formatting compliance check
• Graduate School: submission checklist walkthrough
• IT: secure digital submission portal support
• Finance: confirm no outstanding fees before submission</t>
  </si>
  <si>
    <t xml:space="preserve">LIB-010: How to Write a Thesis
LIB-013: Purdue OWL (citation formatting)
LIB-014: Scribbr (reference check)
LIB-046: Google Scholar (citation verification)</t>
  </si>
  <si>
    <t xml:space="preserve">• Thesis Formatting &amp; Submission Workshop
• Turnitin Academic Integrity Final Check
• Soft-binding &amp; Hard-binding Guidance (Library)</t>
  </si>
  <si>
    <t xml:space="preserve">Grad School Office: Dr. Susan Wangari
Library (binding/format): library.pg@templumis.ac
IT Portal Support: helpdesk@templumis.ac
Finance: finance.pg@templumis.ac
Supervisor: final Declaration sign-off</t>
  </si>
  <si>
    <t xml:space="preserve">CHALLENGE: Turnitin similarity &gt;30%
→ Review highlighted sections; rewrite/paraphrase; self-plagiarism from published papers requires proper citation; do not submit until below 30%
CHALLENGE: Last-minute supervisor feedback after Declaration signed
→ Graduate School must be notified; supervisor must amend Declaration; do not submit without resolution</t>
  </si>
  <si>
    <t xml:space="preserve">• Thesis Submission Form
• Supervisor Declaration of Completion (signed)
• Turnitin Similarity Report (must be &lt;30%)
• External Examiner Nomination Form
• Library Copy Deposit Form
• Outstanding Fees Clearance Certificate</t>
  </si>
  <si>
    <t xml:space="preserve">✓ Thesis submitted to Graduate School — under external examination</t>
  </si>
  <si>
    <t xml:space="preserve">Viva Voce / External Examination</t>
  </si>
  <si>
    <t xml:space="preserve">Year 4–5</t>
  </si>
  <si>
    <t xml:space="preserve">1–3 months
post-submission</t>
  </si>
  <si>
    <t xml:space="preserve">• Receive external examiner report (4–8 weeks after submission)
• Prepare intensively: re-read entire thesis + know it deeply
• Rehearse key arguments, methodological decisions, and limitations
• Anticipate common viva questions (list from Grad School)
• Attend viva (typically 2–4 hours): examination panel + supervisor as observer
• Respond to questions with confidence and academic precision
• Receive outcome: Pass / Minor Corrections / Major Corrections / Resubmission
• If corrections required: receive written list within 2 weeks</t>
  </si>
  <si>
    <t xml:space="preserve">• Graduate School: mock viva sessions (2 × 90 min; book 3 weeks before viva)
• Supervisor: intensive pre-viva coaching (3–5 sessions)
• Peer support: recent PhD graduates as mock examiners
• Graduate School: viva preparation guide + common questions list
• Wellbeing support: counselling available pre- and post-viva</t>
  </si>
  <si>
    <t xml:space="preserve">LIB-011: Authoring a PhD — viva preparation chapter
Recent Templumis PhD theses (Library archive)
Common viva question lists (Graduate School)</t>
  </si>
  <si>
    <t xml:space="preserve">• Viva Preparation Workshop (Graduate School)
• Mock Viva Practice Sessions (2 sessions)
• Post-Viva Coping &amp; Corrections Planning (Grad School)</t>
  </si>
  <si>
    <t xml:space="preserve">Grad School: Dr. Susan Wangari
Supervisor: pre-viva coaching
External Examiner: via Grad School only
Wellbeing: wellbeing@templumis.ac</t>
  </si>
  <si>
    <t xml:space="preserve">CHALLENGE: Outcome = Major Corrections
→ This is not failure — it is very common; create corrections plan within 1 week; agree timeline with supervisor; corrections must be completed within 12 months
CHALLENGE: Examination anxiety
→ Access counselling; practice with mock vivas; remember: you know your research better than anyone in that room</t>
  </si>
  <si>
    <t xml:space="preserve">• Viva Application Form
• Post-Viva Outcome Form (signed by panel)
• Corrections Plan (if required — within 2 weeks)
• Post-Viva Progress Report</t>
  </si>
  <si>
    <t xml:space="preserve">✓ Viva passed (with or without corrections) — PhD award pending final clearance</t>
  </si>
  <si>
    <t xml:space="preserve">Corrections, Final Approval &amp; Graduation</t>
  </si>
  <si>
    <t xml:space="preserve">1–6 months
(by corrections type)</t>
  </si>
  <si>
    <t xml:space="preserve">• Complete all examiner-required corrections precisely
• Resubmit corrected thesis to supervisor for review
• Supervisor confirms corrections completed → submit to Graduate School
• Graduate School confirms to external examiner
• Receive final approval certificate
• Pay graduation fee (Finance Office)
• Attend graduation ceremony
• Submit 3 final bound hardcopies + digital copy to Library
• Update ORCID, academic CV, LinkedIn
• Apply for post-PhD opportunities (Careers Centre)</t>
  </si>
  <si>
    <t xml:space="preserve">• Graduate School: corrections submission and tracking support
• Supervisor: corrections review and sign-off
• Library: final binding, digital repository submission
• Finance: graduation fee payment + clearance
• Careers Centre: post-PhD career planning services
• Wellbeing: celebration and transition support</t>
  </si>
  <si>
    <t xml:space="preserve">LIB-057: Zotero (final reference sweep)
Graduation portal: grad.templumis.ac
Careers resources: careers.templumis.ac</t>
  </si>
  <si>
    <t xml:space="preserve">• Post-PhD Career Planning Workshop (Careers Centre)
• Knowledge Translation &amp; Policy Brief Writing
• Academic Job Market Preparation (if applicable)
• Graduation Ceremony Preparation Briefing</t>
  </si>
  <si>
    <t xml:space="preserve">Grad School Office: Dr. Susan Wangari
Finance: finance.pg@templumis.ac
Library: library.pg@templumis.ac
Careers Centre: careers@templumis.ac
Supervisor: reference letter + final sign-off</t>
  </si>
  <si>
    <t xml:space="preserve">CHALLENGE: Corrections take longer than expected
→ Communicate proactively with supervisor and Grad School; request extension if needed (minor = 3 months; major = 12 months max)
CHALLENGE: Re-examination required (for major corrections)
→ Treat as second viva; extensive supervisor coaching; Grad School tracks timeline</t>
  </si>
  <si>
    <t xml:space="preserve">• Corrections Submission Form
• Supervisor Corrections Approval Declaration
• Final Examiner Approval Certificate
• Graduation Application Form
• Library Deposit Form (3 bound + 1 digital copy)
• Outstanding Fees Clearance</t>
  </si>
  <si>
    <t xml:space="preserve">🎓 PhD AWARDED — Doctor of Philosophy, Templumis University</t>
  </si>
  <si>
    <t xml:space="preserve">◆  SECTION 2 — ESSENTIAL CONTACTS &amp; SUPPORT SERVICES</t>
  </si>
  <si>
    <t xml:space="preserve">Role</t>
  </si>
  <si>
    <t xml:space="preserve">Name / Office</t>
  </si>
  <si>
    <t xml:space="preserve">Email</t>
  </si>
  <si>
    <t xml:space="preserve">Location</t>
  </si>
  <si>
    <t xml:space="preserve">Office Hours</t>
  </si>
  <si>
    <t xml:space="preserve">When to Contact</t>
  </si>
  <si>
    <t xml:space="preserve">(Additional details / notes)</t>
  </si>
  <si>
    <t xml:space="preserve">PhD Coordinator / Graduate School</t>
  </si>
  <si>
    <t xml:space="preserve">s.wangari@templumis.ac</t>
  </si>
  <si>
    <t xml:space="preserve">Room 201, Admin Block</t>
  </si>
  <si>
    <t xml:space="preserve">Mon–Fri  8am–5pm</t>
  </si>
  <si>
    <t xml:space="preserve">Any PhD issue: enrollment, supervision, milestone forms, annual reviews, academic concerns</t>
  </si>
  <si>
    <t xml:space="preserve">Research Ethics Committee (REC)</t>
  </si>
  <si>
    <t xml:space="preserve">Dr. Otieno Simiyu (Chair)</t>
  </si>
  <si>
    <t xml:space="preserve">ethics@templumis.ac</t>
  </si>
  <si>
    <t xml:space="preserve">Room 105, Research Centre</t>
  </si>
  <si>
    <t xml:space="preserve">Tuesdays 9am–12pm (drop-in)</t>
  </si>
  <si>
    <t xml:space="preserve">Ethics applications, amendments, clearance certificates, ethical concerns during research</t>
  </si>
  <si>
    <t xml:space="preserve">Library — PG Research Services</t>
  </si>
  <si>
    <t xml:space="preserve">Postgrad Research Librarian</t>
  </si>
  <si>
    <t xml:space="preserve">library.pg@templumis.ac</t>
  </si>
  <si>
    <t xml:space="preserve">Main Library, 1st Floor</t>
  </si>
  <si>
    <t xml:space="preserve">Mon–Fri  8am–6pm</t>
  </si>
  <si>
    <t xml:space="preserve">Database access, systematic review support, interlibrary loans, thesis formatting, AJOL/Hinari</t>
  </si>
  <si>
    <t xml:space="preserve">Statistics &amp; Data Analysis Support</t>
  </si>
  <si>
    <t xml:space="preserve">Dr. Cynthia Aluoch</t>
  </si>
  <si>
    <t xml:space="preserve">stats.support@templumis.ac</t>
  </si>
  <si>
    <t xml:space="preserve">Room 312, Computing Block</t>
  </si>
  <si>
    <t xml:space="preserve">Mondays 2–4pm; by appointment</t>
  </si>
  <si>
    <t xml:space="preserve">Statistical design, data analysis support, R/SPSS/Stata, power analysis, model selection</t>
  </si>
  <si>
    <t xml:space="preserve">Academic Writing Centre</t>
  </si>
  <si>
    <t xml:space="preserve">Mr. Barasa Wekesa (Lead Tutor)</t>
  </si>
  <si>
    <t xml:space="preserve">writing.centre@templumis.ac</t>
  </si>
  <si>
    <t xml:space="preserve">Room 114, Humanities Block</t>
  </si>
  <si>
    <t xml:space="preserve">Tue + Thu  10am–4pm; book 48hrs in advance</t>
  </si>
  <si>
    <t xml:space="preserve">Thesis writing, chapter structure, academic argument, citation, proposal review, proofreading</t>
  </si>
  <si>
    <t xml:space="preserve">Student Wellbeing &amp; Counselling</t>
  </si>
  <si>
    <t xml:space="preserve">Dr. Njambi Karanja</t>
  </si>
  <si>
    <t xml:space="preserve">wellbeing@templumis.ac</t>
  </si>
  <si>
    <t xml:space="preserve">Room 003, Student Services</t>
  </si>
  <si>
    <t xml:space="preserve">Mon–Fri  9am–4pm (walk-in &amp; booked)</t>
  </si>
  <si>
    <t xml:space="preserve">PhD-related stress, anxiety, isolation, personal difficulties, mental health support — CONFIDENTIAL</t>
  </si>
  <si>
    <t xml:space="preserve">Research Data Management</t>
  </si>
  <si>
    <t xml:space="preserve">Data Management Officer</t>
  </si>
  <si>
    <t xml:space="preserve">datamanagement@templumis.ac</t>
  </si>
  <si>
    <t xml:space="preserve">Library, 2nd Floor</t>
  </si>
  <si>
    <t xml:space="preserve">Wednesdays 10am–12pm</t>
  </si>
  <si>
    <t xml:space="preserve">Data management plans, secure storage, backups, data sharing, archiving, FAIR data principles</t>
  </si>
  <si>
    <t xml:space="preserve">Finance Office — PG / Scholarships</t>
  </si>
  <si>
    <t xml:space="preserve">Ms. Wanjiku Mwangi</t>
  </si>
  <si>
    <t xml:space="preserve">finance.pg@templumis.ac</t>
  </si>
  <si>
    <t xml:space="preserve">Finance Block, Ground Floor</t>
  </si>
  <si>
    <t xml:space="preserve">Mon–Fri  8:30am–4:30pm</t>
  </si>
  <si>
    <t xml:space="preserve">Fee payments, scholarship applications, conference bursaries (up to KES 80,000), outstanding balances</t>
  </si>
  <si>
    <t xml:space="preserve">IT Helpdesk &amp; Research Computing</t>
  </si>
  <si>
    <t xml:space="preserve">IT Support Team</t>
  </si>
  <si>
    <t xml:space="preserve">helpdesk@templumis.ac</t>
  </si>
  <si>
    <t xml:space="preserve">IT Block, Ground Floor (also online portal)</t>
  </si>
  <si>
    <t xml:space="preserve">Mon–Fri  7:30am–6pm</t>
  </si>
  <si>
    <t xml:space="preserve">Software licenses (Zotero, SPSS, NVivo, Overleaf), server access, data backup, VPN, system access</t>
  </si>
  <si>
    <t xml:space="preserve">Careers Centre (Post-PhD)</t>
  </si>
  <si>
    <t xml:space="preserve">Mr. Tony Omondi</t>
  </si>
  <si>
    <t xml:space="preserve">careers@templumis.ac</t>
  </si>
  <si>
    <t xml:space="preserve">Student Centre, Room 22</t>
  </si>
  <si>
    <t xml:space="preserve">Mon/Wed/Fri  10am–3pm</t>
  </si>
  <si>
    <t xml:space="preserve">Post-PhD job search, academic CVs, LinkedIn, postdoc applications, networking, career coaching</t>
  </si>
  <si>
    <t xml:space="preserve">◆  SECTION 3 — MANDATORY ANNUAL PROGRESS REVIEW SCHEDULE</t>
  </si>
  <si>
    <t xml:space="preserve">Review Name</t>
  </si>
  <si>
    <t xml:space="preserve">Typical Year</t>
  </si>
  <si>
    <t xml:space="preserve">Period</t>
  </si>
  <si>
    <t xml:space="preserve">Purpose</t>
  </si>
  <si>
    <t xml:space="preserve">Required Documents</t>
  </si>
  <si>
    <t xml:space="preserve">Outcome / Next Step</t>
  </si>
  <si>
    <t xml:space="preserve">Year 1 Foundation Review (FRev1)</t>
  </si>
  <si>
    <t xml:space="preserve">Months 8–10</t>
  </si>
  <si>
    <t xml:space="preserve">Assess foundation coursework progress, supervision quality, research focus, and proposal readiness</t>
  </si>
  <si>
    <t xml:space="preserve">1. Self-assessment form (Grad School template)
2. Foundation coursework grade certificates
3. Supervision meeting log (min 8 sessions)
4. Proposed research question &amp; preliminary lit review outline</t>
  </si>
  <si>
    <t xml:space="preserve">Outcome: Pass → proceed to proposal writing | Conditional Pass → specific targets within 3 months | Fail → academic probation; restart review in 3 months</t>
  </si>
  <si>
    <t xml:space="preserve">Year 2 Candidacy Review (CRev)</t>
  </si>
  <si>
    <t xml:space="preserve">Year 1–2</t>
  </si>
  <si>
    <t xml:space="preserve">Months 16–20</t>
  </si>
  <si>
    <t xml:space="preserve">Confirm PhD candidacy after proposal defense; verify ethics clearance, data collection readiness, and supervision continuity</t>
  </si>
  <si>
    <t xml:space="preserve">1. Candidacy Declaration Form (signed)
2. Ethics Clearance Certificate (or pending application status)
3. Approved research proposal
4. Supervision log (Year 1 complete)
5. Detailed data collection timeline</t>
  </si>
  <si>
    <t xml:space="preserve">Outcome: Candidacy Confirmed ✓ → formal PhD researcher status | Deferred → specific targets required before candidacy granted</t>
  </si>
  <si>
    <t xml:space="preserve">Year 3 Interim Research Review (IRRev)</t>
  </si>
  <si>
    <t xml:space="preserve">Months 30–34</t>
  </si>
  <si>
    <t xml:space="preserve">Assess data collection completion / progress, early analysis, chapter drafts, and publication outputs</t>
  </si>
  <si>
    <t xml:space="preserve">1. Self-assessment form
2. Data collection completion evidence (datasets, field logs)
3. Min 1 chapter draft (approved by supervisor)
4. Research output summary (conference papers, journal submissions)
5. Updated timeline to completion</t>
  </si>
  <si>
    <t xml:space="preserve">Outcome: Good Progress → continue | Requires Action → specific support plan + 3-month targets | At Risk → formal intervention plan with PG Coordinator</t>
  </si>
  <si>
    <t xml:space="preserve">Year 4 Pre-Submission Review (PSRev)</t>
  </si>
  <si>
    <t xml:space="preserve">Year 3–4</t>
  </si>
  <si>
    <t xml:space="preserve">Months 40–46</t>
  </si>
  <si>
    <t xml:space="preserve">Verify thesis is on track for submission; confirm all chapters approved; assess pre-submission seminar completion; confirm thesis quality</t>
  </si>
  <si>
    <t xml:space="preserve">1. All chapter drafts (supervisor-approved)
2. Pre-submission seminar completion certificate
3. Turnitin similarity report (draft)
4. Year 4 supervision log
5. Confirmed submission and viva timeline</t>
  </si>
  <si>
    <t xml:space="preserve">Outcome: Cleared for Submission → proceed to thesis preparation | Revisions Required → 3-month targeted review | Not Cleared → escalated support with PG Coordinator</t>
  </si>
  <si>
    <t xml:space="preserve">◆  SECTION 4 — WRITING SUPPORT, WELLBEING &amp; PROFESSIONAL DEVELOPMENT</t>
  </si>
  <si>
    <t xml:space="preserve">Support Area</t>
  </si>
  <si>
    <t xml:space="preserve">Category</t>
  </si>
  <si>
    <t xml:space="preserve">Description &amp; How to Access</t>
  </si>
  <si>
    <t xml:space="preserve">PhD Writing Group</t>
  </si>
  <si>
    <t xml:space="preserve">Academic support</t>
  </si>
  <si>
    <t xml:space="preserve">Peer writing sessions every Thursday 2–5pm | Rotating chapter review + accountability system | Open to all PhD students at any stage | Facilitator: Mr. Barasa Wekesa | Sign up: writing.centre@templumis.ac</t>
  </si>
  <si>
    <t xml:space="preserve">PhD Writing Retreats</t>
  </si>
  <si>
    <t xml:space="preserve">2-day intensive residential writing retreats held twice yearly (February &amp; August) | Structured 8hrs/day of supervised writing | Accommodation + meals included | Apply via Graduate School | Limited to 12 students per retreat | Highly recommended for Year 3–4 students</t>
  </si>
  <si>
    <t xml:space="preserve">Conference Travel Bursary</t>
  </si>
  <si>
    <t xml:space="preserve">Financial support</t>
  </si>
  <si>
    <t xml:space="preserve">Up to KES 80,000 per year for presenting research at accredited conferences | Apply minimum 6 weeks before conference | Requires abstract acceptance + supervisor endorsement | Submit via Finance: finance.pg@templumis.ac | Both national and international conferences eligible</t>
  </si>
  <si>
    <t xml:space="preserve">Publication Support Grant</t>
  </si>
  <si>
    <t xml:space="preserve">Graduate School covers Article Processing Charges (APC) for Open Access publishing | Maximum KES 50,000 per publication | Must be submitted jointly with supervisor | Apply via Graduate School before submission | Encourages AJOL, PLOS, and IEEE Open Access journals</t>
  </si>
  <si>
    <t xml:space="preserve">Monthly PhD Coffee Mornings</t>
  </si>
  <si>
    <t xml:space="preserve">Community &amp; wellbeing</t>
  </si>
  <si>
    <t xml:space="preserve">First Friday of every month, 10–11am | Student Centre, Common Room 2 | Informal networking + updates from Grad School | Guest speakers: recent PhD graduates, external researchers | All PhD students welcome | Attendance recorded as professional development</t>
  </si>
  <si>
    <t xml:space="preserve">PhD Peer Support WhatsApp Group</t>
  </si>
  <si>
    <t xml:space="preserve">Active peer support group managed by PhD Student Rep | Share resources, celebrate milestones, discuss challenges | Join via QR code on Graduate School noticeboard | Policy: professional conduct expected; no complaints about supervisors publicly</t>
  </si>
  <si>
    <t xml:space="preserve">Student Counselling &amp; Mental Health</t>
  </si>
  <si>
    <t xml:space="preserve">Wellbeing</t>
  </si>
  <si>
    <t xml:space="preserve">Free confidential counselling for all students | Walk-in: Mon–Fri 9am–4pm | Booked appointments available same-week | PhD-specific group therapy sessions (monthly) | Crisis support: 24/7 helpline +254 700 HELP (4357) | Contact: wellbeing@templumis.ac | Research shows 30–40% of PhD students experience significant anxiety/depression — seeking support is a sign of strength</t>
  </si>
  <si>
    <t xml:space="preserve">Turnitin &amp; Overleaf Institutional Licenses</t>
  </si>
  <si>
    <t xml:space="preserve">Tools &amp; software</t>
  </si>
  <si>
    <t xml:space="preserve">Institutional Turnitin license: &lt;30% similarity threshold for PhD thesis submission | Overleaf Professional: free institutional access for all registered students | SPSS, NVivo, MATLAB, R Studio server licenses available via IT | Request access: helpdesk@templumis.ac with your student ID</t>
  </si>
  <si>
    <t xml:space="preserve">PhD Doctoral Seminar Series</t>
  </si>
  <si>
    <t xml:space="preserve">Professional development</t>
  </si>
  <si>
    <t xml:space="preserve">Monthly PHD702 seminar — all PhD students present once per year | External speakers: 6 per year (industry + academia) | Journal club: quarterly deep-dive sessions | Build academic presentation confidence and receive structured feedback | Certificate of attendance counts toward professional development log</t>
  </si>
  <si>
    <t xml:space="preserve">Post-PhD Career Pathways</t>
  </si>
  <si>
    <t xml:space="preserve">Careers Centre: academic and non-academic PhD career guidance | Academic job market preparation: CV, cover letter, teaching portfolio | Industry pathways: research, consulting, policy, development sector | Postdoctoral fellowship search support (national and international) | Annual PhD Career Fair (November) | Contact: careers@templumis.ac</t>
  </si>
  <si>
    <t xml:space="preserve">📌  Templumis University Graduate School  |  PhD Academic Support Guide  |  For updates or corrections contact Dr. Susan Wangari: s.wangari@templumis.ac  |  This guide is reviewed annually each September.</t>
  </si>
  <si>
    <t xml:space="preserve">Multi-Institution Demo Accounts — Quick Reference</t>
  </si>
  <si>
    <t xml:space="preserve">One predictable login identity per role per institution, for demos and walkthroughs. Student emails (student-ug / student-pg / student-phd) and a supervisor account (supervisor@&lt;domain&gt;) are provided for each of the three institutions below. Account creation &amp; passwords are managed separately in the application.</t>
  </si>
  <si>
    <t xml:space="preserve">Account Email</t>
  </si>
  <si>
    <t xml:space="preserve">Programme / Department</t>
  </si>
  <si>
    <t xml:space="preserve">Linked Student ID(s)</t>
  </si>
  <si>
    <t xml:space="preserve">Suggested App Role / Category</t>
  </si>
  <si>
    <t xml:space="preserve">Notes</t>
  </si>
  <si>
    <t xml:space="preserve">Undergraduate Student</t>
  </si>
  <si>
    <t xml:space="preserve">role=student, account_category=student</t>
  </si>
  <si>
    <t xml:space="preserve">Postgraduate Student (Masters)</t>
  </si>
  <si>
    <t xml:space="preserve">PhD Student</t>
  </si>
  <si>
    <t xml:space="preserve">Supervisor / Advisor (Demo)</t>
  </si>
  <si>
    <t xml:space="preserve">supervisor@templumis.ac</t>
  </si>
  <si>
    <t xml:space="preserve">TU-DEMO-PG, TU-DEMO-PHD</t>
  </si>
  <si>
    <t xml:space="preserve">role=research_office (or similar staff role), account_category=advisor</t>
  </si>
  <si>
    <t xml:space="preserve">Assigned as Advisor on the demo PG &amp; PhD student records above</t>
  </si>
  <si>
    <t xml:space="preserve">supervisor@kitaptech.com</t>
  </si>
  <si>
    <t xml:space="preserve">KT-DEMO-PG, KT-DEMO-PHD</t>
  </si>
  <si>
    <t xml:space="preserve">supervisor@rongovarsity.ac.ke</t>
  </si>
  <si>
    <t xml:space="preserve">RU-DEMO-PG, RU-DEMO-PHD</t>
  </si>
  <si>
    <t xml:space="preserve">Templumis University — NSFAS Student Tracking</t>
  </si>
  <si>
    <t xml:space="preserve">Academic Year 2025/26  |  All Active NSFAS Beneficiaries at Templumis University  |  Figures are illustrative — modelled on real NSFAS (South Africa) allowance categories, rules and provincial-origin reporting (https://www.nsfas.org.za/content/), converted to a fictional KES scale for this case-study workbook. Not actual NSFAS disbursements.</t>
  </si>
  <si>
    <t xml:space="preserve">Year of Study</t>
  </si>
  <si>
    <t xml:space="preserve">Award Status</t>
  </si>
  <si>
    <t xml:space="preserve">Household Income Bracket (Illustrative)</t>
  </si>
  <si>
    <t xml:space="preserve">Tuition Allowance (KES)</t>
  </si>
  <si>
    <t xml:space="preserve">Accommodation Allowance (KES)</t>
  </si>
  <si>
    <t xml:space="preserve">Transport Allowance (KES)</t>
  </si>
  <si>
    <t xml:space="preserve">Living / Meals Allowance (KES)</t>
  </si>
  <si>
    <t xml:space="preserve">Learning Materials Allowance (KES)</t>
  </si>
  <si>
    <t xml:space="preserve">Disability Support Top-Up (KES)</t>
  </si>
  <si>
    <t xml:space="preserve">Total Annual NSFAS Support (KES)</t>
  </si>
  <si>
    <t xml:space="preserve">Amount Disbursed to Date (KES)</t>
  </si>
  <si>
    <t xml:space="preserve">Outstanding Fees Balance (KES)</t>
  </si>
  <si>
    <t xml:space="preserve">Credit Hours Earned</t>
  </si>
  <si>
    <t xml:space="preserve">Attendance % (Avg)</t>
  </si>
  <si>
    <t xml:space="preserve">Years Funded So Far</t>
  </si>
  <si>
    <t xml:space="preserve">Max Fundable Years (N+2 Rule)</t>
  </si>
  <si>
    <t xml:space="preserve">Funding Years Remaining</t>
  </si>
  <si>
    <t xml:space="preserve">Continuation Risk</t>
  </si>
  <si>
    <t xml:space="preserve">Case Notes / Appeal Status</t>
  </si>
  <si>
    <t xml:space="preserve">Home Province (South Africa)</t>
  </si>
  <si>
    <t xml:space="preserve">Fully Funded</t>
  </si>
  <si>
    <t xml:space="preserve">≤ KES 700,000 (Standard Threshold)</t>
  </si>
  <si>
    <t xml:space="preserve">Funding confirmed for current academic year; no outstanding action.</t>
  </si>
  <si>
    <t xml:space="preserve">Gauteng</t>
  </si>
  <si>
    <t xml:space="preserve">Provisionally Funded</t>
  </si>
  <si>
    <t xml:space="preserve">Pending Verification (Declared ≤ KES 700,000)</t>
  </si>
  <si>
    <t xml:space="preserve">Household income declaration under NSFAS means-test verification; registration portion disbursed pending confirmation.</t>
  </si>
  <si>
    <t xml:space="preserve">≤ KES 1,200,000 (Disability Threshold)</t>
  </si>
  <si>
    <t xml:space="preserve">Mpumalanga</t>
  </si>
  <si>
    <t xml:space="preserve">Eastern Cape</t>
  </si>
  <si>
    <t xml:space="preserve">Funding Discontinued</t>
  </si>
  <si>
    <t xml:space="preserve">Academic progress fell below NSFAS continuation requirements (N+2 rule exceeded); funding discontinued, family covering partial balance.</t>
  </si>
  <si>
    <t xml:space="preserve">Limpopo</t>
  </si>
  <si>
    <t xml:space="preserve">Western Cape</t>
  </si>
  <si>
    <t xml:space="preserve">Appeal Pending</t>
  </si>
  <si>
    <t xml:space="preserve">Initial application declined on eligibility grounds; appeal lodged and awaiting outcome (NSFAS allows appeal within 30 days of decision).</t>
  </si>
  <si>
    <t xml:space="preserve">KwaZulu-Natal</t>
  </si>
  <si>
    <t xml:space="preserve">Free State</t>
  </si>
  <si>
    <t xml:space="preserve">Household income declaration under NSFAS means-test verification; registration portion disbursed pending confirmation. Student is on an approved leave of absence; NSFAS disbursement is suspended and will resume on confirmed return.</t>
  </si>
  <si>
    <t xml:space="preserve">North West</t>
  </si>
  <si>
    <t xml:space="preserve">Northern Cape</t>
  </si>
  <si>
    <t xml:space="preserve">Assumptions &amp; Methodology</t>
  </si>
  <si>
    <t xml:space="preserve">Standard programme duration (years)</t>
  </si>
  <si>
    <t xml:space="preserve">NSFAS continuation allowance — extra years (N+2 rule)</t>
  </si>
  <si>
    <t xml:space="preserve">Accommodation Allowance, metro-equivalent (KES/year)</t>
  </si>
  <si>
    <t xml:space="preserve">Transport Allowance, day scholar (KES/year)</t>
  </si>
  <si>
    <t xml:space="preserve">Living / Meals Allowance, standard (KES/year)</t>
  </si>
  <si>
    <t xml:space="preserve">Living / Meals Allowance, disability uplift (KES/year)</t>
  </si>
  <si>
    <t xml:space="preserve">Learning Materials Allowance, standard (KES/year)</t>
  </si>
  <si>
    <t xml:space="preserve">Learning Materials Allowance, disability uplift (KES/year)</t>
  </si>
  <si>
    <t xml:space="preserve">Disability Support Top-Up — human/assistive support (KES/year)</t>
  </si>
  <si>
    <t xml:space="preserve">Standard household income threshold (KES/year, illustrative)</t>
  </si>
  <si>
    <t xml:space="preserve">Disability household income threshold (KES/year, illustrative)</t>
  </si>
  <si>
    <t xml:space="preserve">All 40 NSFAS beneficiaries are modelled as South African nationals studying at Templumis University (international students on the National Student Financial Aid Scheme's home-country model), with home province recorded for institutional and NSFAS provincial-origin reporting. Postgraduate coverage in this illustrative dataset extends to coursework Masters, research Masters and PhD candidates — in practice NSFAS primarily funds undergraduate study with limited postgraduate categories; this workbook broadens that for case-study purposes.</t>
  </si>
  <si>
    <t xml:space="preserve">Source / inspiration: National Student Financial Aid Scheme (NSFAS), South Africa — https://www.nsfas.org.za/content/ . Allowance categories mirror NSFAS structure; KES amounts are illustrative estimates for this fictional case study, not official conversions or real disbursements.</t>
  </si>
  <si>
    <t xml:space="preserve">Templumis University — NSFAS Reports &amp; Decision Support Dashboard</t>
  </si>
  <si>
    <t xml:space="preserve">Prepared for institutional leadership and for sharing with NSFAS  |  Academic Year 2025/26  |  All 40 beneficiaries are South African nationals, undergraduate and postgraduate, spread across all 9 provinces  |  Source: 'NSFAS Student Tracking' sheet  |  All KES figures are illustrative (see Assumptions)</t>
  </si>
  <si>
    <t xml:space="preserve">A. Headline KPIs</t>
  </si>
  <si>
    <t xml:space="preserve">Total NSFAS Beneficiaries</t>
  </si>
  <si>
    <t xml:space="preserve">Total Annual Support Awarded (KES)</t>
  </si>
  <si>
    <t xml:space="preserve">Total Disbursed to Date (KES)</t>
  </si>
  <si>
    <t xml:space="preserve">Average Attendance (%)</t>
  </si>
  <si>
    <t xml:space="preserve">Beneficiaries with a Disability</t>
  </si>
  <si>
    <t xml:space="preserve">High Risk / Critical Cases</t>
  </si>
  <si>
    <t xml:space="preserve">B. Beneficiaries by NSFAS Award Status</t>
  </si>
  <si>
    <t xml:space="preserve"># Students</t>
  </si>
  <si>
    <t xml:space="preserve">Total Support Awarded (KES)</t>
  </si>
  <si>
    <t xml:space="preserve">Total Disbursed (KES)</t>
  </si>
  <si>
    <t xml:space="preserve">C. Academic Standing Among NSFAS Beneficiaries</t>
  </si>
  <si>
    <t xml:space="preserve">D. Funding Continuation Risk (vs. N+2 Rule)</t>
  </si>
  <si>
    <t xml:space="preserve">Low Risk</t>
  </si>
  <si>
    <t xml:space="preserve">Medium Risk</t>
  </si>
  <si>
    <t xml:space="preserve">High Risk</t>
  </si>
  <si>
    <t xml:space="preserve">Critical — Funding Discontinued</t>
  </si>
  <si>
    <t xml:space="preserve">E. Disability Status &amp; Support</t>
  </si>
  <si>
    <t xml:space="preserve">Disability Status</t>
  </si>
  <si>
    <t xml:space="preserve">Disability Top-Up Disbursed (KES)</t>
  </si>
  <si>
    <t xml:space="preserve">With Disability</t>
  </si>
  <si>
    <t xml:space="preserve">No Disability</t>
  </si>
  <si>
    <t xml:space="preserve">F. Total Annual Support by Allowance Category (KES)</t>
  </si>
  <si>
    <t xml:space="preserve">Allowance Category</t>
  </si>
  <si>
    <t xml:space="preserve">Total (KES)</t>
  </si>
  <si>
    <t xml:space="preserve">Tuition</t>
  </si>
  <si>
    <t xml:space="preserve">Accommodation</t>
  </si>
  <si>
    <t xml:space="preserve">Transport</t>
  </si>
  <si>
    <t xml:space="preserve">Living / Meals</t>
  </si>
  <si>
    <t xml:space="preserve">Learning Materials</t>
  </si>
  <si>
    <t xml:space="preserve">Disability Support Top-Up</t>
  </si>
  <si>
    <t xml:space="preserve">G. Beneficiaries by Department</t>
  </si>
  <si>
    <t xml:space="preserve">H. Beneficiaries by Home Province (South Africa)</t>
  </si>
  <si>
    <t xml:space="preserve">Province</t>
  </si>
  <si>
    <t xml:space="preserve">Share of Beneficiaries</t>
  </si>
  <si>
    <t xml:space="preserve">I. Beneficiaries by Study Level</t>
  </si>
  <si>
    <t xml:space="preserve">Study Level</t>
  </si>
  <si>
    <t xml:space="preserve">BSc / BA / BComm / BEd / LLB / BPharm</t>
  </si>
  <si>
    <t xml:space="preserve">Postgraduate (Coursework)</t>
  </si>
  <si>
    <t xml:space="preserve">MSc / MBA / MA / MEd (Coursework)</t>
  </si>
  <si>
    <t xml:space="preserve">Postgraduate (Research Masters)</t>
  </si>
  <si>
    <t xml:space="preserve">MSc / MA by Research</t>
  </si>
  <si>
    <t xml:space="preserve">Postgraduate (PhD)</t>
  </si>
  <si>
    <t xml:space="preserve">J. Student Support vs Academic Performance — Per-Beneficiary Report (for NSFAS / Leadership)</t>
  </si>
  <si>
    <t xml:space="preserve">Total Support (KES)</t>
  </si>
  <si>
    <t xml:space="preserve">Disbursed (KES)</t>
  </si>
  <si>
    <t xml:space="preserve">Outstanding Balance (KES)</t>
  </si>
  <si>
    <t xml:space="preserve">Attendance %</t>
  </si>
  <si>
    <t xml:space="preserve">Home Province</t>
  </si>
  <si>
    <t xml:space="preserve">Report generated from live workbook formulas — refresh by recalculating the workbook (Excel: Ctrl+Alt+F9). Figures are illustrative (see Assumptions on the NSFAS Student Tracking sheet).</t>
  </si>
</sst>
</file>

<file path=xl/styles.xml><?xml version="1.0" encoding="utf-8"?>
<styleSheet xmlns="http://schemas.openxmlformats.org/spreadsheetml/2006/main">
  <numFmts count="8">
    <numFmt numFmtId="164" formatCode="General"/>
    <numFmt numFmtId="165" formatCode="yyyy\-mm\-dd"/>
    <numFmt numFmtId="166" formatCode="0\%"/>
    <numFmt numFmtId="167" formatCode="#,##0"/>
    <numFmt numFmtId="168" formatCode="General"/>
    <numFmt numFmtId="169" formatCode="0.00"/>
    <numFmt numFmtId="170" formatCode="0"/>
    <numFmt numFmtId="171" formatCode="0.0%"/>
  </numFmts>
  <fonts count="6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1"/>
      <name val="Calibri"/>
      <family val="0"/>
      <charset val="1"/>
    </font>
    <font>
      <sz val="9"/>
      <color rgb="FF212121"/>
      <name val="Arial"/>
      <family val="0"/>
      <charset val="1"/>
    </font>
    <font>
      <b val="true"/>
      <sz val="9"/>
      <color rgb="FFC00000"/>
      <name val="Arial"/>
      <family val="0"/>
      <charset val="1"/>
    </font>
    <font>
      <b val="true"/>
      <sz val="11"/>
      <color rgb="FFFFFFFF"/>
      <name val="Arial"/>
      <family val="0"/>
      <charset val="1"/>
    </font>
    <font>
      <sz val="10"/>
      <name val="Arial"/>
      <family val="0"/>
      <charset val="1"/>
    </font>
    <font>
      <b val="true"/>
      <sz val="13"/>
      <color rgb="FF1B3A6B"/>
      <name val="Arial"/>
      <family val="0"/>
      <charset val="1"/>
    </font>
    <font>
      <i val="true"/>
      <sz val="10"/>
      <color rgb="FF666666"/>
      <name val="Arial"/>
      <family val="0"/>
      <charset val="1"/>
    </font>
    <font>
      <sz val="10"/>
      <color rgb="FF000000"/>
      <name val="Arial"/>
      <family val="0"/>
      <charset val="1"/>
    </font>
    <font>
      <b val="true"/>
      <sz val="10"/>
      <color rgb="FF2E7D32"/>
      <name val="Arial"/>
      <family val="0"/>
      <charset val="1"/>
    </font>
    <font>
      <b val="true"/>
      <sz val="10"/>
      <color rgb="FFE65100"/>
      <name val="Arial"/>
      <family val="0"/>
      <charset val="1"/>
    </font>
    <font>
      <b val="true"/>
      <sz val="10"/>
      <color rgb="FF4A148C"/>
      <name val="Arial"/>
      <family val="0"/>
      <charset val="1"/>
    </font>
    <font>
      <b val="true"/>
      <sz val="10"/>
      <color rgb="FFC62828"/>
      <name val="Arial"/>
      <family val="0"/>
      <charset val="1"/>
    </font>
    <font>
      <sz val="9"/>
      <name val="Arial"/>
      <family val="0"/>
      <charset val="1"/>
    </font>
    <font>
      <b val="true"/>
      <sz val="9"/>
      <color rgb="FF843C0C"/>
      <name val="Arial"/>
      <family val="0"/>
      <charset val="1"/>
    </font>
    <font>
      <b val="true"/>
      <sz val="15"/>
      <color rgb="FFFFFFFF"/>
      <name val="Arial"/>
      <family val="0"/>
      <charset val="1"/>
    </font>
    <font>
      <sz val="11"/>
      <color rgb="FF5A6A8A"/>
      <name val="Arial"/>
      <family val="0"/>
      <charset val="1"/>
    </font>
    <font>
      <b val="true"/>
      <sz val="11"/>
      <color rgb="FF1F3864"/>
      <name val="Arial"/>
      <family val="0"/>
      <charset val="1"/>
    </font>
    <font>
      <b val="true"/>
      <sz val="12"/>
      <color rgb="FF1F3864"/>
      <name val="Arial"/>
      <family val="0"/>
      <charset val="1"/>
    </font>
    <font>
      <b val="true"/>
      <sz val="10"/>
      <color rgb="FF212121"/>
      <name val="Arial"/>
      <family val="0"/>
      <charset val="1"/>
    </font>
    <font>
      <b val="true"/>
      <sz val="9"/>
      <color rgb="FF212121"/>
      <name val="Arial"/>
      <family val="0"/>
      <charset val="1"/>
    </font>
    <font>
      <sz val="10"/>
      <color rgb="FF5A6A8A"/>
      <name val="Arial"/>
      <family val="0"/>
      <charset val="1"/>
    </font>
    <font>
      <b val="true"/>
      <sz val="11"/>
      <name val="Arial"/>
      <family val="0"/>
      <charset val="1"/>
    </font>
    <font>
      <b val="true"/>
      <sz val="9"/>
      <color rgb="FFFFFFFF"/>
      <name val="Arial"/>
      <family val="0"/>
      <charset val="1"/>
    </font>
    <font>
      <b val="true"/>
      <sz val="14"/>
      <color rgb="FF1B3A6B"/>
      <name val="Arial"/>
      <family val="0"/>
      <charset val="1"/>
    </font>
    <font>
      <sz val="10"/>
      <color rgb="FF555555"/>
      <name val="Arial"/>
      <family val="0"/>
      <charset val="1"/>
    </font>
    <font>
      <b val="true"/>
      <sz val="11"/>
      <color rgb="FF1B3A6B"/>
      <name val="Arial"/>
      <family val="0"/>
      <charset val="1"/>
    </font>
    <font>
      <b val="true"/>
      <sz val="12"/>
      <color rgb="FFFFFFFF"/>
      <name val="Arial"/>
      <family val="0"/>
      <charset val="1"/>
    </font>
    <font>
      <i val="true"/>
      <sz val="10"/>
      <color rgb="FF1565C0"/>
      <name val="Arial"/>
      <family val="0"/>
      <charset val="1"/>
    </font>
    <font>
      <b val="true"/>
      <sz val="12"/>
      <color rgb="FFE65100"/>
      <name val="Arial"/>
      <family val="0"/>
      <charset val="1"/>
    </font>
    <font>
      <b val="true"/>
      <sz val="12"/>
      <color rgb="FFC62828"/>
      <name val="Arial"/>
      <family val="0"/>
      <charset val="1"/>
    </font>
    <font>
      <b val="true"/>
      <sz val="10"/>
      <color rgb="FF1565C0"/>
      <name val="Arial"/>
      <family val="0"/>
      <charset val="1"/>
    </font>
    <font>
      <b val="true"/>
      <sz val="11"/>
      <color rgb="FF1565C0"/>
      <name val="Arial"/>
      <family val="0"/>
      <charset val="1"/>
    </font>
    <font>
      <i val="true"/>
      <sz val="10"/>
      <color rgb="FF2E7D32"/>
      <name val="Arial"/>
      <family val="0"/>
      <charset val="1"/>
    </font>
    <font>
      <b val="true"/>
      <sz val="12"/>
      <color rgb="FF2E7D32"/>
      <name val="Arial"/>
      <family val="0"/>
      <charset val="1"/>
    </font>
    <font>
      <b val="true"/>
      <sz val="11"/>
      <color rgb="FF2E7D32"/>
      <name val="Arial"/>
      <family val="0"/>
      <charset val="1"/>
    </font>
    <font>
      <i val="true"/>
      <sz val="10"/>
      <color rgb="FF006064"/>
      <name val="Arial"/>
      <family val="0"/>
      <charset val="1"/>
    </font>
    <font>
      <b val="true"/>
      <sz val="10"/>
      <color rgb="FF006064"/>
      <name val="Arial"/>
      <family val="0"/>
      <charset val="1"/>
    </font>
    <font>
      <b val="true"/>
      <sz val="11"/>
      <color rgb="FF006064"/>
      <name val="Arial"/>
      <family val="0"/>
      <charset val="1"/>
    </font>
    <font>
      <i val="true"/>
      <sz val="10"/>
      <color rgb="FFE65100"/>
      <name val="Arial"/>
      <family val="0"/>
      <charset val="1"/>
    </font>
    <font>
      <b val="true"/>
      <sz val="11"/>
      <color rgb="FFE65100"/>
      <name val="Arial"/>
      <family val="0"/>
      <charset val="1"/>
    </font>
    <font>
      <i val="true"/>
      <sz val="10"/>
      <color rgb="FF4A148C"/>
      <name val="Arial"/>
      <family val="0"/>
      <charset val="1"/>
    </font>
    <font>
      <b val="true"/>
      <sz val="11"/>
      <color rgb="FF4A148C"/>
      <name val="Arial"/>
      <family val="0"/>
      <charset val="1"/>
    </font>
    <font>
      <i val="true"/>
      <sz val="10"/>
      <color rgb="FF880E4F"/>
      <name val="Arial"/>
      <family val="0"/>
      <charset val="1"/>
    </font>
    <font>
      <b val="true"/>
      <sz val="10"/>
      <color rgb="FF880E4F"/>
      <name val="Arial"/>
      <family val="0"/>
      <charset val="1"/>
    </font>
    <font>
      <b val="true"/>
      <sz val="11"/>
      <color rgb="FF880E4F"/>
      <name val="Arial"/>
      <family val="0"/>
      <charset val="1"/>
    </font>
    <font>
      <i val="true"/>
      <sz val="10"/>
      <color rgb="FF444444"/>
      <name val="Arial"/>
      <family val="0"/>
      <charset val="1"/>
    </font>
    <font>
      <b val="true"/>
      <sz val="13"/>
      <name val="Arial"/>
      <family val="0"/>
      <charset val="1"/>
    </font>
    <font>
      <i val="true"/>
      <sz val="10"/>
      <name val="Arial"/>
      <family val="0"/>
      <charset val="1"/>
    </font>
    <font>
      <b val="true"/>
      <sz val="10"/>
      <color rgb="FF1F3864"/>
      <name val="Arial"/>
      <family val="0"/>
      <charset val="1"/>
    </font>
    <font>
      <i val="true"/>
      <sz val="9"/>
      <name val="Arial"/>
      <family val="0"/>
      <charset val="1"/>
    </font>
    <font>
      <b val="true"/>
      <sz val="14"/>
      <color rgb="FFFFFFFF"/>
      <name val="Arial"/>
      <family val="0"/>
      <charset val="1"/>
    </font>
    <font>
      <i val="true"/>
      <sz val="9"/>
      <color rgb="FFFFFFFF"/>
      <name val="Arial"/>
      <family val="0"/>
      <charset val="1"/>
    </font>
    <font>
      <b val="true"/>
      <sz val="8"/>
      <color rgb="FFFFFFFF"/>
      <name val="Arial"/>
      <family val="0"/>
      <charset val="1"/>
    </font>
    <font>
      <b val="true"/>
      <sz val="9"/>
      <name val="Arial"/>
      <family val="0"/>
      <charset val="1"/>
    </font>
    <font>
      <b val="true"/>
      <sz val="8"/>
      <color rgb="FF375623"/>
      <name val="Arial"/>
      <family val="0"/>
      <charset val="1"/>
    </font>
    <font>
      <b val="true"/>
      <sz val="8"/>
      <color rgb="FF1F3864"/>
      <name val="Arial"/>
      <family val="0"/>
      <charset val="1"/>
    </font>
    <font>
      <sz val="8"/>
      <color rgb="FF595959"/>
      <name val="Arial"/>
      <family val="0"/>
      <charset val="1"/>
    </font>
    <font>
      <i val="true"/>
      <sz val="8"/>
      <color rgb="FF1F3864"/>
      <name val="Arial"/>
      <family val="0"/>
      <charset val="1"/>
    </font>
    <font>
      <i val="true"/>
      <sz val="8"/>
      <name val="Arial"/>
      <family val="0"/>
      <charset val="1"/>
    </font>
    <font>
      <i val="true"/>
      <sz val="9"/>
      <color rgb="FF2E7D32"/>
      <name val="Arial"/>
      <family val="0"/>
      <charset val="1"/>
    </font>
    <font>
      <b val="true"/>
      <sz val="9"/>
      <color rgb="FF0000FF"/>
      <name val="Arial"/>
      <family val="0"/>
      <charset val="1"/>
    </font>
    <font>
      <sz val="9"/>
      <color rgb="FF666666"/>
      <name val="Arial"/>
      <family val="0"/>
      <charset val="1"/>
    </font>
    <font>
      <b val="true"/>
      <sz val="16"/>
      <color rgb="FF1B3A6B"/>
      <name val="Arial"/>
      <family val="0"/>
      <charset val="1"/>
    </font>
  </fonts>
  <fills count="62">
    <fill>
      <patternFill patternType="none"/>
    </fill>
    <fill>
      <patternFill patternType="gray125"/>
    </fill>
    <fill>
      <patternFill patternType="solid">
        <fgColor rgb="FF285697"/>
        <bgColor rgb="FF2A589C"/>
      </patternFill>
    </fill>
    <fill>
      <patternFill patternType="solid">
        <fgColor rgb="FF4A148C"/>
        <bgColor rgb="FF7030A0"/>
      </patternFill>
    </fill>
    <fill>
      <patternFill patternType="solid">
        <fgColor rgb="FFDEEAF1"/>
        <bgColor rgb="FFD8E8F6"/>
      </patternFill>
    </fill>
    <fill>
      <patternFill patternType="solid">
        <fgColor rgb="FFC6EFCE"/>
        <bgColor rgb="FFD7EDD6"/>
      </patternFill>
    </fill>
    <fill>
      <patternFill patternType="solid">
        <fgColor rgb="FFFFF2CC"/>
        <bgColor rgb="FFFFF9C4"/>
      </patternFill>
    </fill>
    <fill>
      <patternFill patternType="solid">
        <fgColor rgb="FFF5F5F5"/>
        <bgColor rgb="FFF0F4F8"/>
      </patternFill>
    </fill>
    <fill>
      <patternFill patternType="solid">
        <fgColor rgb="FFFFCDD2"/>
        <bgColor rgb="FFFFCCCC"/>
      </patternFill>
    </fill>
    <fill>
      <patternFill patternType="solid">
        <fgColor rgb="FFEDE7F6"/>
        <bgColor rgb="FFF3E5F5"/>
      </patternFill>
    </fill>
    <fill>
      <patternFill patternType="solid">
        <fgColor rgb="FFF3E5F5"/>
        <bgColor rgb="FFEDE7F6"/>
      </patternFill>
    </fill>
    <fill>
      <patternFill patternType="solid">
        <fgColor rgb="FF1E3966"/>
        <bgColor rgb="FF1B3A6B"/>
      </patternFill>
    </fill>
    <fill>
      <patternFill patternType="solid">
        <fgColor rgb="FFEBF0FC"/>
        <bgColor rgb="FFEBF3FF"/>
      </patternFill>
    </fill>
    <fill>
      <patternFill patternType="solid">
        <fgColor rgb="FFFFFFFF"/>
        <bgColor rgb="FFF7F9FC"/>
      </patternFill>
    </fill>
    <fill>
      <patternFill patternType="solid">
        <fgColor rgb="FF1B3A6B"/>
        <bgColor rgb="FF1E3966"/>
      </patternFill>
    </fill>
    <fill>
      <patternFill patternType="solid">
        <fgColor rgb="FFE8F5E9"/>
        <bgColor rgb="FFF1F2F4"/>
      </patternFill>
    </fill>
    <fill>
      <patternFill patternType="solid">
        <fgColor rgb="FFF7F9FC"/>
        <bgColor rgb="FFF5F5F5"/>
      </patternFill>
    </fill>
    <fill>
      <patternFill patternType="mediumGray">
        <fgColor rgb="FFFFF7DB"/>
        <bgColor rgb="FFFFFDE6"/>
      </patternFill>
    </fill>
    <fill>
      <patternFill patternType="solid">
        <fgColor rgb="FFFFEBEE"/>
        <bgColor rgb="FFFCE4EC"/>
      </patternFill>
    </fill>
    <fill>
      <patternFill patternType="darkGray">
        <fgColor rgb="FFFCE5D8"/>
        <bgColor rgb="FFFCE4EC"/>
      </patternFill>
    </fill>
    <fill>
      <patternFill patternType="solid">
        <fgColor rgb="FFFFCCCC"/>
        <bgColor rgb="FFFFCDD2"/>
      </patternFill>
    </fill>
    <fill>
      <patternFill patternType="solid">
        <fgColor rgb="FFFFF9C4"/>
        <bgColor rgb="FFFFF2CC"/>
      </patternFill>
    </fill>
    <fill>
      <patternFill patternType="solid">
        <fgColor rgb="FF2E5DA6"/>
        <bgColor rgb="FF2A589C"/>
      </patternFill>
    </fill>
    <fill>
      <patternFill patternType="solid">
        <fgColor rgb="FFFFFDE6"/>
        <bgColor rgb="FFFFF7DB"/>
      </patternFill>
    </fill>
    <fill>
      <patternFill patternType="solid">
        <fgColor rgb="FFE3F2FD"/>
        <bgColor rgb="FFDFF1FD"/>
      </patternFill>
    </fill>
    <fill>
      <patternFill patternType="darkGray">
        <fgColor rgb="FFFFF7DB"/>
        <bgColor rgb="FFFFF2CC"/>
      </patternFill>
    </fill>
    <fill>
      <patternFill patternType="solid">
        <fgColor rgb="FFFCE4EC"/>
        <bgColor rgb="FFFFEBEE"/>
      </patternFill>
    </fill>
    <fill>
      <patternFill patternType="solid">
        <fgColor rgb="FFDFF1FD"/>
        <bgColor rgb="FFE3F2FD"/>
      </patternFill>
    </fill>
    <fill>
      <patternFill patternType="solid">
        <fgColor rgb="FF3C4448"/>
        <bgColor rgb="FF375623"/>
      </patternFill>
    </fill>
    <fill>
      <patternFill patternType="darkGray">
        <fgColor rgb="FFF1F2F4"/>
        <bgColor rgb="FFF0F4F8"/>
      </patternFill>
    </fill>
    <fill>
      <patternFill patternType="darkGray">
        <fgColor rgb="FFF0F5FF"/>
        <bgColor rgb="FFEBF3FF"/>
      </patternFill>
    </fill>
    <fill>
      <patternFill patternType="solid">
        <fgColor rgb="FF1565C0"/>
        <bgColor rgb="FF2E5DA6"/>
      </patternFill>
    </fill>
    <fill>
      <patternFill patternType="solid">
        <fgColor rgb="FF338235"/>
        <bgColor rgb="FF2E7D32"/>
      </patternFill>
    </fill>
    <fill>
      <patternFill patternType="solid">
        <fgColor rgb="FF006064"/>
        <bgColor rgb="FF285697"/>
      </patternFill>
    </fill>
    <fill>
      <patternFill patternType="solid">
        <fgColor rgb="FFE0F7FA"/>
        <bgColor rgb="FFE3F2FD"/>
      </patternFill>
    </fill>
    <fill>
      <patternFill patternType="darkGray">
        <fgColor rgb="FFE35801"/>
        <bgColor rgb="FF843C0C"/>
      </patternFill>
    </fill>
    <fill>
      <patternFill patternType="solid">
        <fgColor rgb="FF880E4F"/>
        <bgColor rgb="FF7030A0"/>
      </patternFill>
    </fill>
    <fill>
      <patternFill patternType="solid">
        <fgColor rgb="FF2A589C"/>
        <bgColor rgb="FF285697"/>
      </patternFill>
    </fill>
    <fill>
      <patternFill patternType="solid">
        <fgColor rgb="FFD8E8F6"/>
        <bgColor rgb="FFDEEAF1"/>
      </patternFill>
    </fill>
    <fill>
      <patternFill patternType="solid">
        <fgColor rgb="FFEBF3FF"/>
        <bgColor rgb="FFEBF0FC"/>
      </patternFill>
    </fill>
    <fill>
      <patternFill patternType="darkGray">
        <fgColor rgb="FFE35801"/>
        <bgColor rgb="FFDCB24F"/>
      </patternFill>
    </fill>
    <fill>
      <patternFill patternType="solid">
        <fgColor rgb="FFDCB24F"/>
        <bgColor rgb="FFBDBDBD"/>
      </patternFill>
    </fill>
    <fill>
      <patternFill patternType="solid">
        <fgColor rgb="FFFF0000"/>
        <bgColor rgb="FFE35801"/>
      </patternFill>
    </fill>
    <fill>
      <patternFill patternType="darkGray">
        <fgColor rgb="FFD8E8F6"/>
        <bgColor rgb="FFDEEAF1"/>
      </patternFill>
    </fill>
    <fill>
      <patternFill patternType="darkGray">
        <fgColor rgb="FFD7EDD6"/>
        <bgColor rgb="FFE2EFDA"/>
      </patternFill>
    </fill>
    <fill>
      <patternFill patternType="darkGray">
        <fgColor rgb="FFD7EDD6"/>
        <bgColor rgb="FFC6EFCE"/>
      </patternFill>
    </fill>
    <fill>
      <patternFill patternType="darkGray">
        <fgColor rgb="FFF2D1EC"/>
        <bgColor rgb="FFFFCDD2"/>
      </patternFill>
    </fill>
    <fill>
      <patternFill patternType="solid">
        <fgColor rgb="FFFCE5D8"/>
        <bgColor rgb="FFFCE4EC"/>
      </patternFill>
    </fill>
    <fill>
      <patternFill patternType="solid">
        <fgColor rgb="FFF1F2F4"/>
        <bgColor rgb="FFF0F4F8"/>
      </patternFill>
    </fill>
    <fill>
      <patternFill patternType="solid">
        <fgColor rgb="FF00B0C8"/>
        <bgColor rgb="FF1565C0"/>
      </patternFill>
    </fill>
    <fill>
      <patternFill patternType="solid">
        <fgColor rgb="FF375623"/>
        <bgColor rgb="FF3C4448"/>
      </patternFill>
    </fill>
    <fill>
      <patternFill patternType="solid">
        <fgColor rgb="FF7030A0"/>
        <bgColor rgb="FF4A148C"/>
      </patternFill>
    </fill>
    <fill>
      <patternFill patternType="solid">
        <fgColor rgb="FF843C0C"/>
        <bgColor rgb="FF880E4F"/>
      </patternFill>
    </fill>
    <fill>
      <patternFill patternType="solid">
        <fgColor rgb="FFF0F5FF"/>
        <bgColor rgb="FFF0F4F8"/>
      </patternFill>
    </fill>
    <fill>
      <patternFill patternType="solid">
        <fgColor rgb="FFC7D5EC"/>
        <bgColor rgb="FFCCCCCC"/>
      </patternFill>
    </fill>
    <fill>
      <patternFill patternType="darkGray">
        <fgColor rgb="FFDFF1FD"/>
        <bgColor rgb="FFDDEEFF"/>
      </patternFill>
    </fill>
    <fill>
      <patternFill patternType="solid">
        <fgColor rgb="FFE2EFDA"/>
        <bgColor rgb="FFD7EDD6"/>
      </patternFill>
    </fill>
    <fill>
      <patternFill patternType="solid">
        <fgColor rgb="FFDDEEFF"/>
        <bgColor rgb="FFDFF1FD"/>
      </patternFill>
    </fill>
    <fill>
      <patternFill patternType="darkGray">
        <fgColor rgb="FFDCB24F"/>
        <bgColor rgb="FFBDBDBD"/>
      </patternFill>
    </fill>
    <fill>
      <patternFill patternType="solid">
        <fgColor rgb="FFF2D1EC"/>
        <bgColor rgb="FFFFCDD2"/>
      </patternFill>
    </fill>
    <fill>
      <patternFill patternType="solid">
        <fgColor rgb="FF285697"/>
        <bgColor rgb="FF2A589C"/>
      </patternFill>
    </fill>
    <fill>
      <patternFill patternType="solid">
        <fgColor rgb="FFF0F4F8"/>
        <bgColor rgb="FFF1F2F4"/>
      </patternFill>
    </fill>
  </fills>
  <borders count="4">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C7D5EC"/>
      </left>
      <right style="thin">
        <color rgb="FFC7D5EC"/>
      </right>
      <top style="thin">
        <color rgb="FFC7D5EC"/>
      </top>
      <bottom style="thin">
        <color rgb="FFC7D5E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0" fillId="4" borderId="0" xfId="0" applyFont="true" applyBorder="false" applyAlignment="true" applyProtection="false">
      <alignment horizontal="center" vertical="center" textRotation="0" wrapText="false" indent="0" shrinkToFit="false"/>
      <protection locked="true" hidden="false"/>
    </xf>
    <xf numFmtId="164" fontId="0" fillId="4" borderId="0" xfId="0" applyFont="true" applyBorder="fals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left"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left"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0" fillId="7" borderId="0" xfId="0" applyFont="true" applyBorder="false" applyAlignment="true" applyProtection="false">
      <alignment horizontal="center" vertical="center" textRotation="0" wrapText="false" indent="0" shrinkToFit="false"/>
      <protection locked="true" hidden="false"/>
    </xf>
    <xf numFmtId="164" fontId="0" fillId="7" borderId="0" xfId="0" applyFont="true" applyBorder="fals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0" fillId="8" borderId="0" xfId="0" applyFont="true" applyBorder="false" applyAlignment="true" applyProtection="false">
      <alignment horizontal="center" vertical="center" textRotation="0" wrapText="false" indent="0" shrinkToFit="false"/>
      <protection locked="true" hidden="false"/>
    </xf>
    <xf numFmtId="164" fontId="0" fillId="8" borderId="0" xfId="0" applyFont="true" applyBorder="fals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left"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8" fillId="11" borderId="2" xfId="0" applyFont="true" applyBorder="true" applyAlignment="true" applyProtection="false">
      <alignment horizontal="center" vertical="center" textRotation="0" wrapText="true" indent="0" shrinkToFit="false"/>
      <protection locked="true" hidden="false"/>
    </xf>
    <xf numFmtId="164" fontId="9" fillId="12" borderId="2" xfId="0" applyFont="true" applyBorder="true" applyAlignment="true" applyProtection="false">
      <alignment horizontal="general" vertical="center" textRotation="0" wrapText="false" indent="0" shrinkToFit="false"/>
      <protection locked="true" hidden="false"/>
    </xf>
    <xf numFmtId="164" fontId="9" fillId="13" borderId="2" xfId="0" applyFont="true" applyBorder="true" applyAlignment="true" applyProtection="false">
      <alignment horizontal="general" vertical="center" textRotation="0" wrapText="false" indent="0" shrinkToFit="false"/>
      <protection locked="true" hidden="false"/>
    </xf>
    <xf numFmtId="166" fontId="9" fillId="12" borderId="2" xfId="0" applyFont="true" applyBorder="true" applyAlignment="true" applyProtection="false">
      <alignment horizontal="general" vertical="center" textRotation="0" wrapText="false" indent="0" shrinkToFit="false"/>
      <protection locked="true" hidden="false"/>
    </xf>
    <xf numFmtId="166" fontId="9" fillId="13" borderId="2" xfId="0" applyFont="true" applyBorder="tru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4" fillId="14" borderId="3" xfId="0" applyFont="true" applyBorder="true" applyAlignment="true" applyProtection="false">
      <alignment horizontal="center" vertical="center" textRotation="0" wrapText="false" indent="0" shrinkToFit="false"/>
      <protection locked="true" hidden="false"/>
    </xf>
    <xf numFmtId="164" fontId="12" fillId="0" borderId="3" xfId="0" applyFont="true" applyBorder="true" applyAlignment="true" applyProtection="false">
      <alignment horizontal="center" vertical="center" textRotation="0" wrapText="false" indent="0" shrinkToFit="false"/>
      <protection locked="true" hidden="false"/>
    </xf>
    <xf numFmtId="164" fontId="12" fillId="0" borderId="3" xfId="0" applyFont="true" applyBorder="true" applyAlignment="true" applyProtection="false">
      <alignment horizontal="left" vertical="center" textRotation="0" wrapText="false" indent="0" shrinkToFit="false"/>
      <protection locked="true" hidden="false"/>
    </xf>
    <xf numFmtId="167" fontId="12" fillId="0" borderId="3" xfId="0" applyFont="true" applyBorder="true" applyAlignment="true" applyProtection="false">
      <alignment horizontal="center" vertical="center" textRotation="0" wrapText="false" indent="0" shrinkToFit="false"/>
      <protection locked="true" hidden="false"/>
    </xf>
    <xf numFmtId="164" fontId="13" fillId="15" borderId="3" xfId="0" applyFont="true" applyBorder="true" applyAlignment="true" applyProtection="false">
      <alignment horizontal="center" vertical="center" textRotation="0" wrapText="false" indent="0" shrinkToFit="false"/>
      <protection locked="true" hidden="false"/>
    </xf>
    <xf numFmtId="164" fontId="12" fillId="16" borderId="3" xfId="0" applyFont="true" applyBorder="true" applyAlignment="true" applyProtection="false">
      <alignment horizontal="center" vertical="center" textRotation="0" wrapText="false" indent="0" shrinkToFit="false"/>
      <protection locked="true" hidden="false"/>
    </xf>
    <xf numFmtId="164" fontId="12" fillId="16" borderId="3" xfId="0" applyFont="true" applyBorder="true" applyAlignment="true" applyProtection="false">
      <alignment horizontal="left" vertical="center" textRotation="0" wrapText="false" indent="0" shrinkToFit="false"/>
      <protection locked="true" hidden="false"/>
    </xf>
    <xf numFmtId="167" fontId="12" fillId="16" borderId="3" xfId="0" applyFont="true" applyBorder="true" applyAlignment="true" applyProtection="false">
      <alignment horizontal="center" vertical="center" textRotation="0" wrapText="false" indent="0" shrinkToFit="false"/>
      <protection locked="true" hidden="false"/>
    </xf>
    <xf numFmtId="164" fontId="14" fillId="17" borderId="3" xfId="0" applyFont="true" applyBorder="true" applyAlignment="true" applyProtection="false">
      <alignment horizontal="center" vertical="center" textRotation="0" wrapText="false" indent="0" shrinkToFit="false"/>
      <protection locked="true" hidden="false"/>
    </xf>
    <xf numFmtId="164" fontId="15" fillId="10" borderId="3" xfId="0" applyFont="true" applyBorder="true" applyAlignment="true" applyProtection="false">
      <alignment horizontal="center" vertical="center" textRotation="0" wrapText="false" indent="0" shrinkToFit="false"/>
      <protection locked="true" hidden="false"/>
    </xf>
    <xf numFmtId="164" fontId="16" fillId="18" borderId="3" xfId="0" applyFont="true" applyBorder="true" applyAlignment="true" applyProtection="false">
      <alignment horizontal="center" vertical="center" textRotation="0" wrapText="false" indent="0" shrinkToFit="false"/>
      <protection locked="true" hidden="false"/>
    </xf>
    <xf numFmtId="167" fontId="12" fillId="19" borderId="3" xfId="0" applyFont="true" applyBorder="true" applyAlignment="true" applyProtection="false">
      <alignment horizontal="center" vertical="center" textRotation="0" wrapText="false" indent="0" shrinkToFit="false"/>
      <protection locked="true" hidden="false"/>
    </xf>
    <xf numFmtId="168" fontId="7" fillId="20" borderId="3" xfId="0" applyFont="true" applyBorder="true" applyAlignment="true" applyProtection="false">
      <alignment horizontal="center" vertical="center" textRotation="0" wrapText="false" indent="0" shrinkToFit="false"/>
      <protection locked="true" hidden="false"/>
    </xf>
    <xf numFmtId="164" fontId="12" fillId="0" borderId="3" xfId="0" applyFont="true" applyBorder="true" applyAlignment="true" applyProtection="false">
      <alignment horizontal="left" vertical="center" textRotation="0" wrapText="true" indent="0" shrinkToFit="false"/>
      <protection locked="true" hidden="false"/>
    </xf>
    <xf numFmtId="164" fontId="12" fillId="16" borderId="3" xfId="0" applyFont="true" applyBorder="true" applyAlignment="true" applyProtection="false">
      <alignment horizontal="left" vertical="center" textRotation="0" wrapText="true" indent="0" shrinkToFit="false"/>
      <protection locked="true" hidden="false"/>
    </xf>
    <xf numFmtId="164" fontId="17" fillId="13" borderId="0" xfId="0" applyFont="true" applyBorder="false" applyAlignment="true" applyProtection="false">
      <alignment horizontal="center" vertical="center" textRotation="0" wrapText="true" indent="0" shrinkToFit="false"/>
      <protection locked="true" hidden="false"/>
    </xf>
    <xf numFmtId="164" fontId="17" fillId="13" borderId="0" xfId="0" applyFont="true" applyBorder="false" applyAlignment="true" applyProtection="false">
      <alignment horizontal="left" vertical="center" textRotation="0" wrapText="true" indent="0" shrinkToFit="false"/>
      <protection locked="true" hidden="false"/>
    </xf>
    <xf numFmtId="164" fontId="18" fillId="21" borderId="0" xfId="0" applyFont="true" applyBorder="false" applyAlignment="true" applyProtection="false">
      <alignment horizontal="left" vertical="center" textRotation="0" wrapText="true" indent="0" shrinkToFit="false"/>
      <protection locked="true" hidden="false"/>
    </xf>
    <xf numFmtId="164" fontId="19" fillId="11" borderId="0"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8" fillId="22" borderId="0" xfId="0" applyFont="true" applyBorder="true" applyAlignment="true" applyProtection="false">
      <alignment horizontal="center" vertical="center" textRotation="0" wrapText="false" indent="0" shrinkToFit="false"/>
      <protection locked="true" hidden="false"/>
    </xf>
    <xf numFmtId="164" fontId="21" fillId="12" borderId="2" xfId="0" applyFont="true" applyBorder="true" applyAlignment="true" applyProtection="false">
      <alignment horizontal="left" vertical="center" textRotation="0" wrapText="false" indent="0" shrinkToFit="false"/>
      <protection locked="true" hidden="false"/>
    </xf>
    <xf numFmtId="164" fontId="22" fillId="13" borderId="2" xfId="0" applyFont="true" applyBorder="true" applyAlignment="true" applyProtection="false">
      <alignment horizontal="center" vertical="center" textRotation="0" wrapText="false" indent="0" shrinkToFit="false"/>
      <protection locked="true" hidden="false"/>
    </xf>
    <xf numFmtId="164" fontId="23" fillId="22" borderId="0" xfId="0" applyFont="true" applyBorder="true" applyAlignment="true" applyProtection="false">
      <alignment horizontal="center" vertical="center" textRotation="0" wrapText="false" indent="0" shrinkToFit="false"/>
      <protection locked="true" hidden="false"/>
    </xf>
    <xf numFmtId="164" fontId="6" fillId="12" borderId="2" xfId="0" applyFont="true" applyBorder="true" applyAlignment="true" applyProtection="false">
      <alignment horizontal="left" vertical="center" textRotation="0" wrapText="false" indent="0" shrinkToFit="false"/>
      <protection locked="true" hidden="false"/>
    </xf>
    <xf numFmtId="164" fontId="24" fillId="13" borderId="2" xfId="0" applyFont="true" applyBorder="true" applyAlignment="true" applyProtection="false">
      <alignment horizontal="center" vertical="center" textRotation="0" wrapText="false" indent="0" shrinkToFit="false"/>
      <protection locked="true" hidden="false"/>
    </xf>
    <xf numFmtId="164" fontId="25" fillId="12" borderId="2" xfId="0" applyFont="true" applyBorder="true" applyAlignment="true" applyProtection="false">
      <alignment horizontal="left" vertical="center" textRotation="0" wrapText="false" indent="0" shrinkToFit="false"/>
      <protection locked="true" hidden="false"/>
    </xf>
    <xf numFmtId="164" fontId="26" fillId="23" borderId="2" xfId="0" applyFont="true" applyBorder="true" applyAlignment="true" applyProtection="false">
      <alignment horizontal="general" vertical="bottom" textRotation="0" wrapText="false" indent="0" shrinkToFit="false"/>
      <protection locked="true" hidden="false"/>
    </xf>
    <xf numFmtId="164" fontId="23" fillId="24" borderId="1" xfId="0" applyFont="true" applyBorder="true" applyAlignment="true" applyProtection="false">
      <alignment horizontal="center" vertical="center" textRotation="0" wrapText="true" indent="0" shrinkToFit="false"/>
      <protection locked="true" hidden="false"/>
    </xf>
    <xf numFmtId="164" fontId="23" fillId="15" borderId="1" xfId="0" applyFont="true" applyBorder="true" applyAlignment="true" applyProtection="false">
      <alignment horizontal="center" vertical="center" textRotation="0" wrapText="true" indent="0" shrinkToFit="false"/>
      <protection locked="true" hidden="false"/>
    </xf>
    <xf numFmtId="164" fontId="23" fillId="25" borderId="1" xfId="0" applyFont="true" applyBorder="true" applyAlignment="true" applyProtection="false">
      <alignment horizontal="center" vertical="center" textRotation="0" wrapText="true" indent="0" shrinkToFit="false"/>
      <protection locked="true" hidden="false"/>
    </xf>
    <xf numFmtId="164" fontId="23" fillId="26" borderId="1"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center" vertical="center" textRotation="0" wrapText="true" indent="0" shrinkToFit="false"/>
      <protection locked="true" hidden="false"/>
    </xf>
    <xf numFmtId="164" fontId="23" fillId="27" borderId="1" xfId="0" applyFont="true" applyBorder="true" applyAlignment="true" applyProtection="false">
      <alignment horizontal="center" vertical="center" textRotation="0" wrapText="true" indent="0" shrinkToFit="false"/>
      <protection locked="true" hidden="false"/>
    </xf>
    <xf numFmtId="164" fontId="27" fillId="2" borderId="1" xfId="0" applyFont="true" applyBorder="true" applyAlignment="true" applyProtection="false">
      <alignment horizontal="center" vertical="center" textRotation="0" wrapText="true" indent="0" shrinkToFit="false"/>
      <protection locked="true" hidden="false"/>
    </xf>
    <xf numFmtId="164" fontId="27" fillId="28" borderId="1" xfId="0" applyFont="true" applyBorder="true" applyAlignment="true" applyProtection="false">
      <alignment horizontal="center" vertical="center" textRotation="0" wrapText="true" indent="0"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6" fillId="29" borderId="1" xfId="0" applyFont="true" applyBorder="true" applyAlignment="true" applyProtection="false">
      <alignment horizontal="center" vertical="center" textRotation="0" wrapText="true" indent="0" shrinkToFit="false"/>
      <protection locked="true" hidden="false"/>
    </xf>
    <xf numFmtId="164" fontId="6" fillId="29" borderId="1" xfId="0" applyFont="true" applyBorder="true" applyAlignment="true" applyProtection="false">
      <alignment horizontal="left" vertical="center" textRotation="0" wrapText="true" indent="0"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6" fillId="21" borderId="1" xfId="0" applyFont="true" applyBorder="true" applyAlignment="true" applyProtection="false">
      <alignment horizontal="left" vertical="center" textRotation="0" wrapText="true" indent="0" shrinkToFit="false"/>
      <protection locked="true" hidden="false"/>
    </xf>
    <xf numFmtId="164" fontId="28"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8" fillId="14" borderId="0" xfId="0" applyFont="true" applyBorder="true" applyAlignment="true" applyProtection="false">
      <alignment horizontal="center" vertical="center" textRotation="0" wrapText="true" indent="0" shrinkToFit="false"/>
      <protection locked="true" hidden="false"/>
    </xf>
    <xf numFmtId="164" fontId="29" fillId="7" borderId="3" xfId="0" applyFont="true" applyBorder="true" applyAlignment="true" applyProtection="false">
      <alignment horizontal="center" vertical="center" textRotation="0" wrapText="true" indent="0" shrinkToFit="false"/>
      <protection locked="true" hidden="false"/>
    </xf>
    <xf numFmtId="164" fontId="30" fillId="30" borderId="3" xfId="0" applyFont="true" applyBorder="true" applyAlignment="true" applyProtection="false">
      <alignment horizontal="center" vertical="center" textRotation="0" wrapText="true" indent="0" shrinkToFit="false"/>
      <protection locked="true" hidden="false"/>
    </xf>
    <xf numFmtId="164" fontId="31" fillId="31" borderId="0" xfId="0" applyFont="true" applyBorder="true" applyAlignment="true" applyProtection="false">
      <alignment horizontal="left" vertical="center" textRotation="0" wrapText="true" indent="0" shrinkToFit="false"/>
      <protection locked="true" hidden="false"/>
    </xf>
    <xf numFmtId="164" fontId="32" fillId="24" borderId="0" xfId="0" applyFont="true" applyBorder="true" applyAlignment="true" applyProtection="false">
      <alignment horizontal="left" vertical="center" textRotation="0" wrapText="true" indent="0" shrinkToFit="false"/>
      <protection locked="true" hidden="false"/>
    </xf>
    <xf numFmtId="164" fontId="4" fillId="28" borderId="3" xfId="0" applyFont="true" applyBorder="true" applyAlignment="true" applyProtection="false">
      <alignment horizontal="center" vertical="center" textRotation="0" wrapText="true" indent="0" shrinkToFit="false"/>
      <protection locked="true" hidden="false"/>
    </xf>
    <xf numFmtId="164" fontId="9" fillId="0" borderId="3"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center" vertical="center" textRotation="0" wrapText="true" indent="0" shrinkToFit="false"/>
      <protection locked="true" hidden="false"/>
    </xf>
    <xf numFmtId="164" fontId="33" fillId="0" borderId="3" xfId="0" applyFont="true" applyBorder="true" applyAlignment="true" applyProtection="false">
      <alignment horizontal="center" vertical="center" textRotation="0" wrapText="true" indent="0" shrinkToFit="false"/>
      <protection locked="true" hidden="false"/>
    </xf>
    <xf numFmtId="164" fontId="34" fillId="0" borderId="3" xfId="0" applyFont="true" applyBorder="true" applyAlignment="true" applyProtection="false">
      <alignment horizontal="center" vertical="center" textRotation="0" wrapText="true" indent="0" shrinkToFit="false"/>
      <protection locked="true" hidden="false"/>
    </xf>
    <xf numFmtId="164" fontId="35" fillId="24" borderId="3" xfId="0" applyFont="true" applyBorder="true" applyAlignment="true" applyProtection="false">
      <alignment horizontal="left"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36" fillId="24" borderId="3" xfId="0" applyFont="tru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31" fillId="32" borderId="0" xfId="0" applyFont="true" applyBorder="true" applyAlignment="true" applyProtection="false">
      <alignment horizontal="left" vertical="center" textRotation="0" wrapText="true" indent="0" shrinkToFit="false"/>
      <protection locked="true" hidden="false"/>
    </xf>
    <xf numFmtId="164" fontId="37" fillId="15" borderId="0" xfId="0" applyFont="true" applyBorder="true" applyAlignment="true" applyProtection="false">
      <alignment horizontal="left" vertical="center" textRotation="0" wrapText="true" indent="0" shrinkToFit="false"/>
      <protection locked="true" hidden="false"/>
    </xf>
    <xf numFmtId="164" fontId="38" fillId="0" borderId="3" xfId="0" applyFont="true" applyBorder="true" applyAlignment="true" applyProtection="false">
      <alignment horizontal="center" vertical="center" textRotation="0" wrapText="true" indent="0" shrinkToFit="false"/>
      <protection locked="true" hidden="false"/>
    </xf>
    <xf numFmtId="164" fontId="13" fillId="15" borderId="3" xfId="0" applyFont="true" applyBorder="true" applyAlignment="true" applyProtection="false">
      <alignment horizontal="left" vertical="center" textRotation="0" wrapText="true" indent="0" shrinkToFit="false"/>
      <protection locked="true" hidden="false"/>
    </xf>
    <xf numFmtId="164" fontId="39" fillId="15" borderId="3" xfId="0" applyFont="true" applyBorder="true" applyAlignment="true" applyProtection="false">
      <alignment horizontal="center" vertical="center" textRotation="0" wrapText="true" indent="0" shrinkToFit="false"/>
      <protection locked="true" hidden="false"/>
    </xf>
    <xf numFmtId="164" fontId="31" fillId="33" borderId="0" xfId="0" applyFont="true" applyBorder="true" applyAlignment="true" applyProtection="false">
      <alignment horizontal="left" vertical="center" textRotation="0" wrapText="true" indent="0" shrinkToFit="false"/>
      <protection locked="true" hidden="false"/>
    </xf>
    <xf numFmtId="164" fontId="40" fillId="34" borderId="0" xfId="0" applyFont="true" applyBorder="true" applyAlignment="true" applyProtection="false">
      <alignment horizontal="left" vertical="center" textRotation="0" wrapText="true" indent="0" shrinkToFit="false"/>
      <protection locked="true" hidden="false"/>
    </xf>
    <xf numFmtId="164" fontId="41" fillId="34" borderId="3" xfId="0" applyFont="true" applyBorder="true" applyAlignment="true" applyProtection="false">
      <alignment horizontal="left" vertical="center" textRotation="0" wrapText="true" indent="0" shrinkToFit="false"/>
      <protection locked="true" hidden="false"/>
    </xf>
    <xf numFmtId="164" fontId="42" fillId="34" borderId="3" xfId="0" applyFont="true" applyBorder="true" applyAlignment="true" applyProtection="false">
      <alignment horizontal="center" vertical="center" textRotation="0" wrapText="true" indent="0" shrinkToFit="false"/>
      <protection locked="true" hidden="false"/>
    </xf>
    <xf numFmtId="164" fontId="31" fillId="35" borderId="0" xfId="0" applyFont="true" applyBorder="true" applyAlignment="true" applyProtection="false">
      <alignment horizontal="left" vertical="center" textRotation="0" wrapText="true" indent="0" shrinkToFit="false"/>
      <protection locked="true" hidden="false"/>
    </xf>
    <xf numFmtId="164" fontId="43" fillId="25" borderId="0" xfId="0" applyFont="true" applyBorder="true" applyAlignment="true" applyProtection="false">
      <alignment horizontal="left" vertical="center" textRotation="0" wrapText="true" indent="0" shrinkToFit="false"/>
      <protection locked="true" hidden="false"/>
    </xf>
    <xf numFmtId="164" fontId="14" fillId="25" borderId="3" xfId="0" applyFont="true" applyBorder="true" applyAlignment="true" applyProtection="false">
      <alignment horizontal="left" vertical="center" textRotation="0" wrapText="true" indent="0" shrinkToFit="false"/>
      <protection locked="true" hidden="false"/>
    </xf>
    <xf numFmtId="164" fontId="44" fillId="25" borderId="3" xfId="0" applyFont="true" applyBorder="true" applyAlignment="true" applyProtection="false">
      <alignment horizontal="center" vertical="center" textRotation="0" wrapText="true" indent="0" shrinkToFit="false"/>
      <protection locked="true" hidden="false"/>
    </xf>
    <xf numFmtId="164" fontId="31" fillId="3" borderId="0" xfId="0" applyFont="true" applyBorder="true" applyAlignment="true" applyProtection="false">
      <alignment horizontal="left" vertical="center" textRotation="0" wrapText="true" indent="0" shrinkToFit="false"/>
      <protection locked="true" hidden="false"/>
    </xf>
    <xf numFmtId="164" fontId="45" fillId="10" borderId="0" xfId="0" applyFont="true" applyBorder="true" applyAlignment="true" applyProtection="false">
      <alignment horizontal="left" vertical="center" textRotation="0" wrapText="true" indent="0" shrinkToFit="false"/>
      <protection locked="true" hidden="false"/>
    </xf>
    <xf numFmtId="164" fontId="15" fillId="10" borderId="3" xfId="0" applyFont="true" applyBorder="true" applyAlignment="true" applyProtection="false">
      <alignment horizontal="left" vertical="center" textRotation="0" wrapText="true" indent="0" shrinkToFit="false"/>
      <protection locked="true" hidden="false"/>
    </xf>
    <xf numFmtId="164" fontId="46" fillId="10" borderId="3" xfId="0" applyFont="true" applyBorder="true" applyAlignment="true" applyProtection="false">
      <alignment horizontal="center" vertical="center" textRotation="0" wrapText="true" indent="0" shrinkToFit="false"/>
      <protection locked="true" hidden="false"/>
    </xf>
    <xf numFmtId="164" fontId="31" fillId="36" borderId="0" xfId="0" applyFont="true" applyBorder="true" applyAlignment="true" applyProtection="false">
      <alignment horizontal="left" vertical="center" textRotation="0" wrapText="true" indent="0" shrinkToFit="false"/>
      <protection locked="true" hidden="false"/>
    </xf>
    <xf numFmtId="164" fontId="47" fillId="26" borderId="0" xfId="0" applyFont="true" applyBorder="true" applyAlignment="true" applyProtection="false">
      <alignment horizontal="left" vertical="center" textRotation="0" wrapText="true" indent="0" shrinkToFit="false"/>
      <protection locked="true" hidden="false"/>
    </xf>
    <xf numFmtId="164" fontId="48" fillId="26" borderId="3" xfId="0" applyFont="true" applyBorder="true" applyAlignment="true" applyProtection="false">
      <alignment horizontal="left" vertical="center" textRotation="0" wrapText="true" indent="0" shrinkToFit="false"/>
      <protection locked="true" hidden="false"/>
    </xf>
    <xf numFmtId="164" fontId="49" fillId="26" borderId="3" xfId="0" applyFont="true" applyBorder="true" applyAlignment="true" applyProtection="false">
      <alignment horizontal="center" vertical="center" textRotation="0" wrapText="true" indent="0" shrinkToFit="false"/>
      <protection locked="true" hidden="false"/>
    </xf>
    <xf numFmtId="164" fontId="50" fillId="23"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51" fillId="0" borderId="0" xfId="0" applyFont="true" applyBorder="true" applyAlignment="true" applyProtection="false">
      <alignment horizontal="center" vertical="center" textRotation="0" wrapText="true" indent="0" shrinkToFit="false"/>
      <protection locked="true" hidden="false"/>
    </xf>
    <xf numFmtId="164" fontId="52" fillId="0" borderId="0" xfId="0" applyFont="true" applyBorder="true" applyAlignment="true" applyProtection="false">
      <alignment horizontal="left" vertical="center" textRotation="0" wrapText="false" indent="0" shrinkToFit="false"/>
      <protection locked="true" hidden="false"/>
    </xf>
    <xf numFmtId="164" fontId="4" fillId="37" borderId="0" xfId="0" applyFont="true" applyBorder="false" applyAlignment="true" applyProtection="false">
      <alignment horizontal="center" vertical="center" textRotation="0" wrapText="true" indent="0" shrinkToFit="false"/>
      <protection locked="true" hidden="false"/>
    </xf>
    <xf numFmtId="164" fontId="9" fillId="13" borderId="0" xfId="0" applyFont="true" applyBorder="false" applyAlignment="true" applyProtection="false">
      <alignment horizontal="center" vertical="center" textRotation="0" wrapText="true" indent="0" shrinkToFit="false"/>
      <protection locked="true" hidden="false"/>
    </xf>
    <xf numFmtId="164" fontId="9" fillId="13" borderId="0" xfId="0" applyFont="true" applyBorder="false" applyAlignment="true" applyProtection="false">
      <alignment horizontal="left" vertical="center" textRotation="0" wrapText="true" indent="0" shrinkToFit="false"/>
      <protection locked="true" hidden="false"/>
    </xf>
    <xf numFmtId="165" fontId="9" fillId="13" borderId="0" xfId="0" applyFont="true" applyBorder="false" applyAlignment="true" applyProtection="false">
      <alignment horizontal="left" vertical="center" textRotation="0" wrapText="true" indent="0" shrinkToFit="false"/>
      <protection locked="true" hidden="false"/>
    </xf>
    <xf numFmtId="164" fontId="9" fillId="38" borderId="0" xfId="0" applyFont="true" applyBorder="false" applyAlignment="true" applyProtection="false">
      <alignment horizontal="center" vertical="center" textRotation="0" wrapText="true" indent="0" shrinkToFit="false"/>
      <protection locked="true" hidden="false"/>
    </xf>
    <xf numFmtId="164" fontId="9" fillId="38" borderId="0" xfId="0" applyFont="true" applyBorder="false" applyAlignment="true" applyProtection="false">
      <alignment horizontal="left" vertical="center" textRotation="0" wrapText="true" indent="0" shrinkToFit="false"/>
      <protection locked="true" hidden="false"/>
    </xf>
    <xf numFmtId="165" fontId="9" fillId="38" borderId="0" xfId="0" applyFont="true" applyBorder="false" applyAlignment="true" applyProtection="false">
      <alignment horizontal="left" vertical="center" textRotation="0" wrapText="true" indent="0" shrinkToFit="false"/>
      <protection locked="true" hidden="false"/>
    </xf>
    <xf numFmtId="164" fontId="9" fillId="39" borderId="0" xfId="0" applyFont="true" applyBorder="false" applyAlignment="true" applyProtection="false">
      <alignment horizontal="center" vertical="center" textRotation="0" wrapText="true" indent="0" shrinkToFit="false"/>
      <protection locked="true" hidden="false"/>
    </xf>
    <xf numFmtId="164" fontId="9" fillId="39" borderId="0" xfId="0" applyFont="true" applyBorder="false" applyAlignment="true" applyProtection="false">
      <alignment horizontal="left" vertical="center" textRotation="0" wrapText="true" indent="0" shrinkToFit="false"/>
      <protection locked="true" hidden="false"/>
    </xf>
    <xf numFmtId="165" fontId="9" fillId="39" borderId="0" xfId="0" applyFont="true" applyBorder="false" applyAlignment="true" applyProtection="false">
      <alignment horizontal="left" vertical="center" textRotation="0" wrapText="true" indent="0" shrinkToFit="false"/>
      <protection locked="true" hidden="false"/>
    </xf>
    <xf numFmtId="164" fontId="52" fillId="0" borderId="0" xfId="0" applyFont="true" applyBorder="true" applyAlignment="true" applyProtection="false">
      <alignment horizontal="left" vertical="center" textRotation="0" wrapText="true" indent="0" shrinkToFit="false"/>
      <protection locked="true" hidden="false"/>
    </xf>
    <xf numFmtId="164" fontId="9" fillId="21" borderId="0" xfId="0" applyFont="true" applyBorder="false" applyAlignment="true" applyProtection="false">
      <alignment horizontal="center" vertical="center" textRotation="0" wrapText="true" indent="0" shrinkToFit="false"/>
      <protection locked="true" hidden="false"/>
    </xf>
    <xf numFmtId="164" fontId="9" fillId="21" borderId="0" xfId="0" applyFont="true" applyBorder="false" applyAlignment="true" applyProtection="false">
      <alignment horizontal="left" vertical="center" textRotation="0" wrapText="true" indent="0" shrinkToFit="false"/>
      <protection locked="true" hidden="false"/>
    </xf>
    <xf numFmtId="165" fontId="9" fillId="21" borderId="0" xfId="0" applyFont="true" applyBorder="false" applyAlignment="true" applyProtection="false">
      <alignment horizontal="center" vertical="center" textRotation="0" wrapText="true" indent="0" shrinkToFit="false"/>
      <protection locked="true" hidden="false"/>
    </xf>
    <xf numFmtId="164" fontId="4" fillId="40" borderId="0" xfId="0" applyFont="true" applyBorder="false" applyAlignment="true" applyProtection="false">
      <alignment horizontal="center" vertical="center" textRotation="0" wrapText="true" indent="0" shrinkToFit="false"/>
      <protection locked="true" hidden="false"/>
    </xf>
    <xf numFmtId="164" fontId="4" fillId="41" borderId="0" xfId="0" applyFont="true" applyBorder="false" applyAlignment="true" applyProtection="false">
      <alignment horizontal="center" vertical="center" textRotation="0" wrapText="true" indent="0" shrinkToFit="false"/>
      <protection locked="true" hidden="false"/>
    </xf>
    <xf numFmtId="164" fontId="9" fillId="18" borderId="0" xfId="0" applyFont="true" applyBorder="false" applyAlignment="true" applyProtection="false">
      <alignment horizontal="center" vertical="center" textRotation="0" wrapText="true" indent="0" shrinkToFit="false"/>
      <protection locked="true" hidden="false"/>
    </xf>
    <xf numFmtId="164" fontId="9" fillId="18" borderId="0" xfId="0" applyFont="true" applyBorder="false" applyAlignment="true" applyProtection="false">
      <alignment horizontal="left" vertical="center" textRotation="0" wrapText="true" indent="0" shrinkToFit="false"/>
      <protection locked="true" hidden="false"/>
    </xf>
    <xf numFmtId="165" fontId="9" fillId="18" borderId="0" xfId="0" applyFont="true" applyBorder="false" applyAlignment="true" applyProtection="false">
      <alignment horizontal="center" vertical="center" textRotation="0" wrapText="true" indent="0" shrinkToFit="false"/>
      <protection locked="true" hidden="false"/>
    </xf>
    <xf numFmtId="164" fontId="4" fillId="42" borderId="0" xfId="0" applyFont="true" applyBorder="false" applyAlignment="true" applyProtection="false">
      <alignment horizontal="center" vertical="center" textRotation="0" wrapText="true" indent="0" shrinkToFit="false"/>
      <protection locked="true" hidden="false"/>
    </xf>
    <xf numFmtId="164" fontId="53" fillId="43" borderId="0" xfId="0" applyFont="true" applyBorder="true" applyAlignment="true" applyProtection="false">
      <alignment horizontal="left" vertical="center" textRotation="0" wrapText="true" indent="0" shrinkToFit="false"/>
      <protection locked="true" hidden="false"/>
    </xf>
    <xf numFmtId="164" fontId="9" fillId="44" borderId="0" xfId="0" applyFont="true" applyBorder="false" applyAlignment="true" applyProtection="false">
      <alignment horizontal="center" vertical="center" textRotation="0" wrapText="true" indent="0" shrinkToFit="false"/>
      <protection locked="true" hidden="false"/>
    </xf>
    <xf numFmtId="164" fontId="9" fillId="44" borderId="0" xfId="0" applyFont="true" applyBorder="false" applyAlignment="true" applyProtection="false">
      <alignment horizontal="left" vertical="center" textRotation="0" wrapText="true" indent="0" shrinkToFit="false"/>
      <protection locked="true" hidden="false"/>
    </xf>
    <xf numFmtId="164" fontId="9" fillId="45" borderId="0" xfId="0" applyFont="true" applyBorder="false" applyAlignment="true" applyProtection="false">
      <alignment horizontal="center" vertical="center" textRotation="0" wrapText="true" indent="0" shrinkToFit="false"/>
      <protection locked="true" hidden="false"/>
    </xf>
    <xf numFmtId="164" fontId="9" fillId="45" borderId="0" xfId="0" applyFont="true" applyBorder="false" applyAlignment="true" applyProtection="false">
      <alignment horizontal="left" vertical="center" textRotation="0" wrapText="true" indent="0" shrinkToFit="false"/>
      <protection locked="true" hidden="false"/>
    </xf>
    <xf numFmtId="164" fontId="9" fillId="46" borderId="0" xfId="0" applyFont="true" applyBorder="false" applyAlignment="true" applyProtection="false">
      <alignment horizontal="center" vertical="center" textRotation="0" wrapText="true" indent="0" shrinkToFit="false"/>
      <protection locked="true" hidden="false"/>
    </xf>
    <xf numFmtId="164" fontId="9" fillId="46" borderId="0" xfId="0" applyFont="true" applyBorder="false" applyAlignment="true" applyProtection="false">
      <alignment horizontal="left" vertical="center" textRotation="0" wrapText="true" indent="0" shrinkToFit="false"/>
      <protection locked="true" hidden="false"/>
    </xf>
    <xf numFmtId="164" fontId="9" fillId="47" borderId="0" xfId="0" applyFont="true" applyBorder="false" applyAlignment="true" applyProtection="false">
      <alignment horizontal="center" vertical="center" textRotation="0" wrapText="true" indent="0" shrinkToFit="false"/>
      <protection locked="true" hidden="false"/>
    </xf>
    <xf numFmtId="164" fontId="9" fillId="47" borderId="0" xfId="0" applyFont="true" applyBorder="false" applyAlignment="true" applyProtection="false">
      <alignment horizontal="left" vertical="center" textRotation="0" wrapText="true" indent="0" shrinkToFit="false"/>
      <protection locked="true" hidden="false"/>
    </xf>
    <xf numFmtId="164" fontId="9" fillId="6" borderId="0" xfId="0" applyFont="true" applyBorder="false" applyAlignment="true" applyProtection="false">
      <alignment horizontal="center" vertical="center" textRotation="0" wrapText="true" indent="0" shrinkToFit="false"/>
      <protection locked="true" hidden="false"/>
    </xf>
    <xf numFmtId="164" fontId="9" fillId="6" borderId="0" xfId="0" applyFont="true" applyBorder="false" applyAlignment="true" applyProtection="false">
      <alignment horizontal="left" vertical="center" textRotation="0" wrapText="true" indent="0" shrinkToFit="false"/>
      <protection locked="true" hidden="false"/>
    </xf>
    <xf numFmtId="164" fontId="54" fillId="48" borderId="0" xfId="0" applyFont="true" applyBorder="true" applyAlignment="true" applyProtection="false">
      <alignment horizontal="left" vertical="center" textRotation="0" wrapText="true" indent="0" shrinkToFit="false"/>
      <protection locked="true" hidden="false"/>
    </xf>
    <xf numFmtId="164" fontId="55" fillId="11" borderId="0" xfId="0" applyFont="true" applyBorder="true" applyAlignment="true" applyProtection="false">
      <alignment horizontal="center" vertical="center" textRotation="0" wrapText="true" indent="0" shrinkToFit="false"/>
      <protection locked="true" hidden="false"/>
    </xf>
    <xf numFmtId="164" fontId="56" fillId="22" borderId="0" xfId="0" applyFont="true" applyBorder="true" applyAlignment="true" applyProtection="false">
      <alignment horizontal="left" vertical="center" textRotation="0" wrapText="true" indent="0" shrinkToFit="false"/>
      <protection locked="true" hidden="false"/>
    </xf>
    <xf numFmtId="164" fontId="27" fillId="11" borderId="0" xfId="0" applyFont="true" applyBorder="true" applyAlignment="true" applyProtection="false">
      <alignment horizontal="center" vertical="center" textRotation="0" wrapText="true" indent="0" shrinkToFit="false"/>
      <protection locked="true" hidden="false"/>
    </xf>
    <xf numFmtId="164" fontId="27" fillId="37" borderId="0" xfId="0" applyFont="true" applyBorder="true" applyAlignment="true" applyProtection="false">
      <alignment horizontal="center" vertical="center" textRotation="0" wrapText="true" indent="0" shrinkToFit="false"/>
      <protection locked="true" hidden="false"/>
    </xf>
    <xf numFmtId="164" fontId="27" fillId="49" borderId="0" xfId="0" applyFont="true" applyBorder="true" applyAlignment="true" applyProtection="false">
      <alignment horizontal="center" vertical="center" textRotation="0" wrapText="true" indent="0" shrinkToFit="false"/>
      <protection locked="true" hidden="false"/>
    </xf>
    <xf numFmtId="164" fontId="27" fillId="50" borderId="0" xfId="0" applyFont="true" applyBorder="true" applyAlignment="true" applyProtection="false">
      <alignment horizontal="center" vertical="center" textRotation="0" wrapText="true" indent="0" shrinkToFit="false"/>
      <protection locked="true" hidden="false"/>
    </xf>
    <xf numFmtId="164" fontId="27" fillId="51" borderId="0" xfId="0" applyFont="true" applyBorder="true" applyAlignment="true" applyProtection="false">
      <alignment horizontal="center" vertical="center" textRotation="0" wrapText="true" indent="0" shrinkToFit="false"/>
      <protection locked="true" hidden="false"/>
    </xf>
    <xf numFmtId="164" fontId="27" fillId="52" borderId="0" xfId="0" applyFont="true" applyBorder="true" applyAlignment="true" applyProtection="false">
      <alignment horizontal="center" vertical="center" textRotation="0" wrapText="true" indent="0" shrinkToFit="false"/>
      <protection locked="true" hidden="false"/>
    </xf>
    <xf numFmtId="164" fontId="57" fillId="11" borderId="0" xfId="0" applyFont="true" applyBorder="false" applyAlignment="true" applyProtection="false">
      <alignment horizontal="center" vertical="center" textRotation="0" wrapText="true" indent="0" shrinkToFit="false"/>
      <protection locked="true" hidden="false"/>
    </xf>
    <xf numFmtId="164" fontId="57" fillId="37" borderId="0" xfId="0" applyFont="true" applyBorder="false" applyAlignment="true" applyProtection="false">
      <alignment horizontal="center" vertical="center" textRotation="0" wrapText="true" indent="0" shrinkToFit="false"/>
      <protection locked="true" hidden="false"/>
    </xf>
    <xf numFmtId="164" fontId="57" fillId="49" borderId="0" xfId="0" applyFont="true" applyBorder="false" applyAlignment="true" applyProtection="false">
      <alignment horizontal="center" vertical="center" textRotation="0" wrapText="true" indent="0" shrinkToFit="false"/>
      <protection locked="true" hidden="false"/>
    </xf>
    <xf numFmtId="164" fontId="57" fillId="50" borderId="0" xfId="0" applyFont="true" applyBorder="false" applyAlignment="true" applyProtection="false">
      <alignment horizontal="center" vertical="center" textRotation="0" wrapText="true" indent="0" shrinkToFit="false"/>
      <protection locked="true" hidden="false"/>
    </xf>
    <xf numFmtId="164" fontId="57" fillId="51" borderId="0" xfId="0" applyFont="true" applyBorder="false" applyAlignment="true" applyProtection="false">
      <alignment horizontal="center" vertical="center" textRotation="0" wrapText="true" indent="0" shrinkToFit="false"/>
      <protection locked="true" hidden="false"/>
    </xf>
    <xf numFmtId="164" fontId="57" fillId="52" borderId="0" xfId="0" applyFont="true" applyBorder="false" applyAlignment="true" applyProtection="false">
      <alignment horizontal="center" vertical="center" textRotation="0" wrapText="true" indent="0" shrinkToFit="false"/>
      <protection locked="true" hidden="false"/>
    </xf>
    <xf numFmtId="164" fontId="58" fillId="53" borderId="0" xfId="0" applyFont="true" applyBorder="false" applyAlignment="true" applyProtection="false">
      <alignment horizontal="center" vertical="center" textRotation="0" wrapText="true" indent="0" shrinkToFit="false"/>
      <protection locked="true" hidden="false"/>
    </xf>
    <xf numFmtId="164" fontId="58" fillId="53" borderId="0" xfId="0" applyFont="true" applyBorder="false" applyAlignment="true" applyProtection="false">
      <alignment horizontal="left" vertical="center" textRotation="0" wrapText="true" indent="0" shrinkToFit="false"/>
      <protection locked="true" hidden="false"/>
    </xf>
    <xf numFmtId="164" fontId="17" fillId="53" borderId="0" xfId="0" applyFont="true" applyBorder="false" applyAlignment="true" applyProtection="false">
      <alignment horizontal="left" vertical="center" textRotation="0" wrapText="true" indent="0" shrinkToFit="false"/>
      <protection locked="true" hidden="false"/>
    </xf>
    <xf numFmtId="165" fontId="17" fillId="53" borderId="0" xfId="0" applyFont="true" applyBorder="false" applyAlignment="true" applyProtection="false">
      <alignment horizontal="center" vertical="center" textRotation="0" wrapText="true" indent="0" shrinkToFit="false"/>
      <protection locked="true" hidden="false"/>
    </xf>
    <xf numFmtId="164" fontId="58" fillId="54" borderId="0" xfId="0" applyFont="true" applyBorder="false" applyAlignment="true" applyProtection="false">
      <alignment horizontal="center" vertical="center" textRotation="0" wrapText="true" indent="0" shrinkToFit="false"/>
      <protection locked="true" hidden="false"/>
    </xf>
    <xf numFmtId="164" fontId="59" fillId="5" borderId="0" xfId="0" applyFont="true" applyBorder="false" applyAlignment="true" applyProtection="false">
      <alignment horizontal="center" vertical="center" textRotation="0" wrapText="true" indent="0" shrinkToFit="false"/>
      <protection locked="true" hidden="false"/>
    </xf>
    <xf numFmtId="164" fontId="60" fillId="54" borderId="0" xfId="0" applyFont="true" applyBorder="false" applyAlignment="true" applyProtection="false">
      <alignment horizontal="center" vertical="center" textRotation="0" wrapText="true" indent="0" shrinkToFit="false"/>
      <protection locked="true" hidden="false"/>
    </xf>
    <xf numFmtId="164" fontId="61" fillId="48" borderId="0" xfId="0" applyFont="true" applyBorder="false" applyAlignment="true" applyProtection="false">
      <alignment horizontal="center" vertical="center" textRotation="0" wrapText="true" indent="0" shrinkToFit="false"/>
      <protection locked="true" hidden="false"/>
    </xf>
    <xf numFmtId="164" fontId="17" fillId="53" borderId="0" xfId="0" applyFont="true" applyBorder="false" applyAlignment="true" applyProtection="false">
      <alignment horizontal="center" vertical="center" textRotation="0" wrapText="true" indent="0" shrinkToFit="false"/>
      <protection locked="true" hidden="false"/>
    </xf>
    <xf numFmtId="164" fontId="58" fillId="5" borderId="0" xfId="0" applyFont="true" applyBorder="false" applyAlignment="true" applyProtection="false">
      <alignment horizontal="center" vertical="center" textRotation="0" wrapText="true" indent="0" shrinkToFit="false"/>
      <protection locked="true" hidden="false"/>
    </xf>
    <xf numFmtId="164" fontId="17" fillId="53" borderId="0" xfId="0" applyFont="true" applyBorder="false" applyAlignment="true" applyProtection="false">
      <alignment horizontal="left" vertical="top" textRotation="0" wrapText="true" indent="0" shrinkToFit="false"/>
      <protection locked="true" hidden="false"/>
    </xf>
    <xf numFmtId="164" fontId="58" fillId="13" borderId="0" xfId="0" applyFont="true" applyBorder="false" applyAlignment="true" applyProtection="false">
      <alignment horizontal="center" vertical="center" textRotation="0" wrapText="true" indent="0" shrinkToFit="false"/>
      <protection locked="true" hidden="false"/>
    </xf>
    <xf numFmtId="164" fontId="58" fillId="13" borderId="0" xfId="0" applyFont="true" applyBorder="false" applyAlignment="true" applyProtection="false">
      <alignment horizontal="left" vertical="center" textRotation="0" wrapText="true" indent="0" shrinkToFit="false"/>
      <protection locked="true" hidden="false"/>
    </xf>
    <xf numFmtId="165" fontId="17" fillId="13" borderId="0" xfId="0" applyFont="true" applyBorder="false" applyAlignment="true" applyProtection="false">
      <alignment horizontal="center" vertical="center" textRotation="0" wrapText="true" indent="0" shrinkToFit="false"/>
      <protection locked="true" hidden="false"/>
    </xf>
    <xf numFmtId="164" fontId="17" fillId="13" borderId="0" xfId="0" applyFont="true" applyBorder="false" applyAlignment="true" applyProtection="false">
      <alignment horizontal="left" vertical="top" textRotation="0" wrapText="true" indent="0" shrinkToFit="false"/>
      <protection locked="true" hidden="false"/>
    </xf>
    <xf numFmtId="164" fontId="58" fillId="6" borderId="0" xfId="0" applyFont="true" applyBorder="false" applyAlignment="true" applyProtection="false">
      <alignment horizontal="center" vertical="center" textRotation="0" wrapText="true" indent="0" shrinkToFit="false"/>
      <protection locked="true" hidden="false"/>
    </xf>
    <xf numFmtId="164" fontId="62" fillId="12" borderId="0" xfId="0" applyFont="true" applyBorder="true" applyAlignment="true" applyProtection="false">
      <alignment horizontal="left" vertical="center" textRotation="0" wrapText="true" indent="0" shrinkToFit="false"/>
      <protection locked="true" hidden="false"/>
    </xf>
    <xf numFmtId="164" fontId="8" fillId="11" borderId="0" xfId="0" applyFont="true" applyBorder="true" applyAlignment="true" applyProtection="false">
      <alignment horizontal="center" vertical="center" textRotation="0" wrapText="true" indent="0" shrinkToFit="false"/>
      <protection locked="true" hidden="false"/>
    </xf>
    <xf numFmtId="164" fontId="31" fillId="49" borderId="0" xfId="0" applyFont="true" applyBorder="false" applyAlignment="true" applyProtection="false">
      <alignment horizontal="center" vertical="center" textRotation="0" wrapText="true" indent="0" shrinkToFit="false"/>
      <protection locked="true" hidden="false"/>
    </xf>
    <xf numFmtId="164" fontId="58" fillId="49" borderId="0" xfId="0" applyFont="true" applyBorder="false" applyAlignment="true" applyProtection="false">
      <alignment horizontal="left" vertical="center" textRotation="0" wrapText="true" indent="0" shrinkToFit="false"/>
      <protection locked="true" hidden="false"/>
    </xf>
    <xf numFmtId="164" fontId="17" fillId="55" borderId="0" xfId="0" applyFont="true" applyBorder="false" applyAlignment="true" applyProtection="false">
      <alignment horizontal="center" vertical="center" textRotation="0" wrapText="true" indent="0" shrinkToFit="false"/>
      <protection locked="true" hidden="false"/>
    </xf>
    <xf numFmtId="164" fontId="17" fillId="55" borderId="0" xfId="0" applyFont="true" applyBorder="false" applyAlignment="true" applyProtection="false">
      <alignment horizontal="left" vertical="top" textRotation="0" wrapText="true" indent="0" shrinkToFit="false"/>
      <protection locked="true" hidden="false"/>
    </xf>
    <xf numFmtId="164" fontId="31" fillId="32" borderId="0" xfId="0" applyFont="true" applyBorder="false" applyAlignment="true" applyProtection="false">
      <alignment horizontal="center" vertical="center" textRotation="0" wrapText="true" indent="0" shrinkToFit="false"/>
      <protection locked="true" hidden="false"/>
    </xf>
    <xf numFmtId="164" fontId="58" fillId="32" borderId="0" xfId="0" applyFont="true" applyBorder="false" applyAlignment="true" applyProtection="false">
      <alignment horizontal="left" vertical="center" textRotation="0" wrapText="true" indent="0" shrinkToFit="false"/>
      <protection locked="true" hidden="false"/>
    </xf>
    <xf numFmtId="164" fontId="17" fillId="56" borderId="0" xfId="0" applyFont="true" applyBorder="false" applyAlignment="true" applyProtection="false">
      <alignment horizontal="center" vertical="center" textRotation="0" wrapText="true" indent="0" shrinkToFit="false"/>
      <protection locked="true" hidden="false"/>
    </xf>
    <xf numFmtId="164" fontId="17" fillId="56" borderId="0" xfId="0" applyFont="true" applyBorder="false" applyAlignment="true" applyProtection="false">
      <alignment horizontal="left" vertical="top" textRotation="0" wrapText="true" indent="0" shrinkToFit="false"/>
      <protection locked="true" hidden="false"/>
    </xf>
    <xf numFmtId="164" fontId="31" fillId="37" borderId="0" xfId="0" applyFont="true" applyBorder="false" applyAlignment="true" applyProtection="false">
      <alignment horizontal="center" vertical="center" textRotation="0" wrapText="true" indent="0" shrinkToFit="false"/>
      <protection locked="true" hidden="false"/>
    </xf>
    <xf numFmtId="164" fontId="58" fillId="37" borderId="0" xfId="0" applyFont="true" applyBorder="false" applyAlignment="true" applyProtection="false">
      <alignment horizontal="left" vertical="center" textRotation="0" wrapText="true" indent="0" shrinkToFit="false"/>
      <protection locked="true" hidden="false"/>
    </xf>
    <xf numFmtId="164" fontId="17" fillId="57" borderId="0" xfId="0" applyFont="true" applyBorder="false" applyAlignment="true" applyProtection="false">
      <alignment horizontal="center" vertical="center" textRotation="0" wrapText="true" indent="0" shrinkToFit="false"/>
      <protection locked="true" hidden="false"/>
    </xf>
    <xf numFmtId="164" fontId="17" fillId="57" borderId="0" xfId="0" applyFont="true" applyBorder="false" applyAlignment="true" applyProtection="false">
      <alignment horizontal="left" vertical="top" textRotation="0" wrapText="true" indent="0" shrinkToFit="false"/>
      <protection locked="true" hidden="false"/>
    </xf>
    <xf numFmtId="164" fontId="31" fillId="58" borderId="0" xfId="0" applyFont="true" applyBorder="false" applyAlignment="true" applyProtection="false">
      <alignment horizontal="center" vertical="center" textRotation="0" wrapText="true" indent="0" shrinkToFit="false"/>
      <protection locked="true" hidden="false"/>
    </xf>
    <xf numFmtId="164" fontId="58" fillId="58" borderId="0" xfId="0" applyFont="true" applyBorder="false" applyAlignment="true" applyProtection="false">
      <alignment horizontal="left" vertical="center" textRotation="0" wrapText="true" indent="0" shrinkToFit="false"/>
      <protection locked="true" hidden="false"/>
    </xf>
    <xf numFmtId="164" fontId="17" fillId="6" borderId="0" xfId="0" applyFont="true" applyBorder="false" applyAlignment="true" applyProtection="false">
      <alignment horizontal="center" vertical="center" textRotation="0" wrapText="true" indent="0" shrinkToFit="false"/>
      <protection locked="true" hidden="false"/>
    </xf>
    <xf numFmtId="164" fontId="17" fillId="6" borderId="0" xfId="0" applyFont="true" applyBorder="false" applyAlignment="true" applyProtection="false">
      <alignment horizontal="left" vertical="top" textRotation="0" wrapText="true" indent="0" shrinkToFit="false"/>
      <protection locked="true" hidden="false"/>
    </xf>
    <xf numFmtId="164" fontId="31" fillId="51" borderId="0" xfId="0" applyFont="true" applyBorder="false" applyAlignment="true" applyProtection="false">
      <alignment horizontal="center" vertical="center" textRotation="0" wrapText="true" indent="0" shrinkToFit="false"/>
      <protection locked="true" hidden="false"/>
    </xf>
    <xf numFmtId="164" fontId="58" fillId="51" borderId="0" xfId="0" applyFont="true" applyBorder="false" applyAlignment="true" applyProtection="false">
      <alignment horizontal="left" vertical="center" textRotation="0" wrapText="true" indent="0" shrinkToFit="false"/>
      <protection locked="true" hidden="false"/>
    </xf>
    <xf numFmtId="164" fontId="17" fillId="59" borderId="0" xfId="0" applyFont="true" applyBorder="false" applyAlignment="true" applyProtection="false">
      <alignment horizontal="center" vertical="center" textRotation="0" wrapText="true" indent="0" shrinkToFit="false"/>
      <protection locked="true" hidden="false"/>
    </xf>
    <xf numFmtId="164" fontId="17" fillId="59" borderId="0" xfId="0" applyFont="true" applyBorder="false" applyAlignment="true" applyProtection="false">
      <alignment horizontal="left" vertical="top" textRotation="0" wrapText="true" indent="0" shrinkToFit="false"/>
      <protection locked="true" hidden="false"/>
    </xf>
    <xf numFmtId="164" fontId="4" fillId="11" borderId="0" xfId="0" applyFont="true" applyBorder="true" applyAlignment="true" applyProtection="false">
      <alignment horizontal="center" vertical="center" textRotation="0" wrapText="true" indent="0" shrinkToFit="false"/>
      <protection locked="true" hidden="false"/>
    </xf>
    <xf numFmtId="164" fontId="27" fillId="37" borderId="0" xfId="0" applyFont="true" applyBorder="false" applyAlignment="true" applyProtection="false">
      <alignment horizontal="center" vertical="center" textRotation="0" wrapText="true" indent="0" shrinkToFit="false"/>
      <protection locked="true" hidden="false"/>
    </xf>
    <xf numFmtId="164" fontId="63" fillId="48" borderId="0"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7" fillId="56" borderId="0" xfId="0" applyFont="true" applyBorder="false" applyAlignment="true" applyProtection="false">
      <alignment horizontal="left" vertical="center" textRotation="0" wrapText="true" indent="0" shrinkToFit="false"/>
      <protection locked="true" hidden="false"/>
    </xf>
    <xf numFmtId="164" fontId="17" fillId="55" borderId="0" xfId="0" applyFont="true" applyBorder="false" applyAlignment="true" applyProtection="false">
      <alignment horizontal="left" vertical="center" textRotation="0" wrapText="true" indent="0" shrinkToFit="false"/>
      <protection locked="true" hidden="false"/>
    </xf>
    <xf numFmtId="164" fontId="58" fillId="57" borderId="0" xfId="0" applyFont="true" applyBorder="true" applyAlignment="true" applyProtection="false">
      <alignment horizontal="left" vertical="center" textRotation="0" wrapText="true" indent="0" shrinkToFit="false"/>
      <protection locked="true" hidden="false"/>
    </xf>
    <xf numFmtId="164" fontId="17" fillId="56" borderId="0" xfId="0" applyFont="true" applyBorder="true" applyAlignment="true" applyProtection="false">
      <alignment horizontal="center" vertical="center" textRotation="0" wrapText="true" indent="0" shrinkToFit="false"/>
      <protection locked="true" hidden="false"/>
    </xf>
    <xf numFmtId="164" fontId="17" fillId="57" borderId="0" xfId="0" applyFont="true" applyBorder="true" applyAlignment="true" applyProtection="false">
      <alignment horizontal="left" vertical="top" textRotation="0" wrapText="true" indent="0" shrinkToFit="false"/>
      <protection locked="true" hidden="false"/>
    </xf>
    <xf numFmtId="164" fontId="58" fillId="13" borderId="0" xfId="0" applyFont="true" applyBorder="true" applyAlignment="true" applyProtection="false">
      <alignment horizontal="left" vertical="center" textRotation="0" wrapText="true" indent="0" shrinkToFit="false"/>
      <protection locked="true" hidden="false"/>
    </xf>
    <xf numFmtId="164" fontId="17" fillId="13" borderId="0" xfId="0" applyFont="true" applyBorder="true" applyAlignment="true" applyProtection="false">
      <alignment horizontal="left" vertical="top" textRotation="0" wrapText="true" indent="0" shrinkToFit="false"/>
      <protection locked="true" hidden="false"/>
    </xf>
    <xf numFmtId="164" fontId="4" fillId="14" borderId="3"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7" fontId="12" fillId="0" borderId="3" xfId="0" applyFont="true" applyBorder="true" applyAlignment="true" applyProtection="false">
      <alignment horizontal="center" vertical="center" textRotation="0" wrapText="true" indent="0" shrinkToFit="false"/>
      <protection locked="true" hidden="false"/>
    </xf>
    <xf numFmtId="169" fontId="12" fillId="0" borderId="3"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64" fillId="0" borderId="0" xfId="0" applyFont="true" applyBorder="false" applyAlignment="true" applyProtection="false">
      <alignment horizontal="general" vertical="bottom" textRotation="0" wrapText="false" indent="0" shrinkToFit="false"/>
      <protection locked="true" hidden="false"/>
    </xf>
    <xf numFmtId="167" fontId="6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8" fillId="60" borderId="0" xfId="0" applyFont="true" applyBorder="true" applyAlignment="true" applyProtection="false">
      <alignment horizontal="left" vertical="center" textRotation="0" wrapText="false" indent="1" shrinkToFit="false"/>
      <protection locked="true" hidden="false"/>
    </xf>
    <xf numFmtId="164" fontId="66" fillId="61" borderId="3" xfId="0" applyFont="true" applyBorder="true" applyAlignment="true" applyProtection="false">
      <alignment horizontal="left" vertical="center" textRotation="0" wrapText="true" indent="1" shrinkToFit="false"/>
      <protection locked="true" hidden="false"/>
    </xf>
    <xf numFmtId="170" fontId="67" fillId="61" borderId="3" xfId="0" applyFont="true" applyBorder="true" applyAlignment="true" applyProtection="false">
      <alignment horizontal="left" vertical="center" textRotation="0" wrapText="false" indent="1" shrinkToFit="false"/>
      <protection locked="true" hidden="false"/>
    </xf>
    <xf numFmtId="167" fontId="67" fillId="61" borderId="3" xfId="0" applyFont="true" applyBorder="true" applyAlignment="true" applyProtection="false">
      <alignment horizontal="left" vertical="center" textRotation="0" wrapText="false" indent="1" shrinkToFit="false"/>
      <protection locked="true" hidden="false"/>
    </xf>
    <xf numFmtId="169" fontId="67" fillId="61" borderId="3" xfId="0" applyFont="true" applyBorder="true" applyAlignment="true" applyProtection="false">
      <alignment horizontal="left" vertical="center" textRotation="0" wrapText="false" indent="1" shrinkToFit="false"/>
      <protection locked="true" hidden="false"/>
    </xf>
    <xf numFmtId="170" fontId="28" fillId="61" borderId="3" xfId="0" applyFont="true" applyBorder="true" applyAlignment="true" applyProtection="false">
      <alignment horizontal="left" vertical="center" textRotation="0" wrapText="false" indent="1" shrinkToFit="false"/>
      <protection locked="true" hidden="false"/>
    </xf>
    <xf numFmtId="171" fontId="12" fillId="0" borderId="3"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CDD2"/>
        </patternFill>
      </fill>
    </dxf>
    <dxf>
      <fill>
        <patternFill>
          <bgColor rgb="FFFFF2CC"/>
        </patternFill>
      </fill>
    </dxf>
  </dxfs>
  <colors>
    <indexedColors>
      <rgbColor rgb="FF000000"/>
      <rgbColor rgb="FFFFFFFF"/>
      <rgbColor rgb="FFFF0000"/>
      <rgbColor rgb="FFEBF0FC"/>
      <rgbColor rgb="FF0000FF"/>
      <rgbColor rgb="FFFFF7DB"/>
      <rgbColor rgb="FFFFEBEE"/>
      <rgbColor rgb="FFE3F2FD"/>
      <rgbColor rgb="FFF0F4F8"/>
      <rgbColor rgb="FF2E7D32"/>
      <rgbColor rgb="FFF7F9FC"/>
      <rgbColor rgb="FFEDE7F6"/>
      <rgbColor rgb="FF880E4F"/>
      <rgbColor rgb="FF006064"/>
      <rgbColor rgb="FFBDBDBD"/>
      <rgbColor rgb="FF285697"/>
      <rgbColor rgb="FFD8E8F6"/>
      <rgbColor rgb="FF7030A0"/>
      <rgbColor rgb="FFFFF9C4"/>
      <rgbColor rgb="FFE0F7FA"/>
      <rgbColor rgb="FF4A148C"/>
      <rgbColor rgb="FFFCE4EC"/>
      <rgbColor rgb="FF1565C0"/>
      <rgbColor rgb="FFC7D5EC"/>
      <rgbColor rgb="FFFFFDE6"/>
      <rgbColor rgb="FFF1F2F4"/>
      <rgbColor rgb="FFE2EFDA"/>
      <rgbColor rgb="FFE8F5E9"/>
      <rgbColor rgb="FFEBF3FF"/>
      <rgbColor rgb="FFF5F5F5"/>
      <rgbColor rgb="FF2A589C"/>
      <rgbColor rgb="FFF0F5FF"/>
      <rgbColor rgb="FF00B0C8"/>
      <rgbColor rgb="FFDFF1FD"/>
      <rgbColor rgb="FFC6EFCE"/>
      <rgbColor rgb="FFFFF2CC"/>
      <rgbColor rgb="FFCCCCCC"/>
      <rgbColor rgb="FFFFCDD2"/>
      <rgbColor rgb="FFF2D1EC"/>
      <rgbColor rgb="FFFFCCCC"/>
      <rgbColor rgb="FF2E5DA6"/>
      <rgbColor rgb="FFDDEEFF"/>
      <rgbColor rgb="FFDEEAF1"/>
      <rgbColor rgb="FFFCE5D8"/>
      <rgbColor rgb="FFDCB24F"/>
      <rgbColor rgb="FFE35801"/>
      <rgbColor rgb="FF5D636D"/>
      <rgbColor rgb="FFD7EDD6"/>
      <rgbColor rgb="FF1B3A6B"/>
      <rgbColor rgb="FF338235"/>
      <rgbColor rgb="FF375623"/>
      <rgbColor rgb="FF3C4448"/>
      <rgbColor rgb="FF843C0C"/>
      <rgbColor rgb="FFF3E5F5"/>
      <rgbColor rgb="FF1E3966"/>
      <rgbColor rgb="FF1F29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7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2" min="2" style="1" width="22"/>
    <col collapsed="false" customWidth="true" hidden="false" outlineLevel="0" max="3" min="3" style="1" width="9"/>
    <col collapsed="false" customWidth="true" hidden="false" outlineLevel="0" max="4" min="4" style="1" width="13"/>
    <col collapsed="false" customWidth="true" hidden="false" outlineLevel="0" max="5" min="5" style="1" width="28"/>
    <col collapsed="false" customWidth="true" hidden="false" outlineLevel="0" max="6" min="6" style="1" width="16"/>
    <col collapsed="false" customWidth="true" hidden="false" outlineLevel="0" max="7" min="7" style="1" width="8"/>
    <col collapsed="false" customWidth="true" hidden="false" outlineLevel="0" max="8" min="8" style="1" width="22"/>
    <col collapsed="false" customWidth="true" hidden="false" outlineLevel="0" max="9" min="9" style="1" width="24"/>
    <col collapsed="false" customWidth="true" hidden="false" outlineLevel="0" max="10" min="10" style="1" width="10"/>
    <col collapsed="false" customWidth="true" hidden="false" outlineLevel="0" max="11" min="11" style="1" width="7"/>
    <col collapsed="false" customWidth="true" hidden="false" outlineLevel="0" max="12" min="12" style="1" width="8"/>
    <col collapsed="false" customWidth="true" hidden="false" outlineLevel="0" max="13" min="13" style="1" width="12"/>
    <col collapsed="false" customWidth="true" hidden="false" outlineLevel="0" max="15" min="14" style="1" width="14"/>
    <col collapsed="false" customWidth="true" hidden="false" outlineLevel="0" max="16" min="16" style="1" width="16"/>
    <col collapsed="false" customWidth="true" hidden="false" outlineLevel="0" max="17" min="17" style="1" width="14"/>
    <col collapsed="false" customWidth="true" hidden="false" outlineLevel="0" max="18" min="18" style="1" width="18"/>
    <col collapsed="false" customWidth="true" hidden="false" outlineLevel="0" max="19" min="19" style="1" width="32"/>
    <col collapsed="false" customWidth="true" hidden="false" outlineLevel="0" max="20" min="20" style="1" width="14"/>
    <col collapsed="false" customWidth="true" hidden="false" outlineLevel="0" max="21" min="21" style="1" width="12"/>
    <col collapsed="false" customWidth="true" hidden="false" outlineLevel="0" max="22" min="22" style="1" width="16"/>
    <col collapsed="false" customWidth="true" hidden="false" outlineLevel="0" max="23" min="23" style="1" width="14"/>
    <col collapsed="false" customWidth="true" hidden="false" outlineLevel="0" max="24" min="24" style="1" width="16"/>
    <col collapsed="false" customWidth="true" hidden="false" outlineLevel="0" max="25" min="25" style="1" width="40"/>
    <col collapsed="false" customWidth="true" hidden="false" outlineLevel="0" max="26" min="26" style="1" width="22"/>
    <col collapsed="false" customWidth="true" hidden="false" outlineLevel="0" max="28" min="27" style="1" width="18"/>
    <col collapsed="false" customWidth="true" hidden="false" outlineLevel="0" max="37" min="37" style="1" width="18"/>
    <col collapsed="false" customWidth="true" hidden="false" outlineLevel="0" max="38" min="38" style="1" width="16"/>
    <col collapsed="false" customWidth="true" hidden="false" outlineLevel="0" max="39" min="39" style="1" width="26"/>
    <col collapsed="false" customWidth="true" hidden="false" outlineLevel="0" max="40" min="40" style="1" width="42"/>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c r="S1" s="3" t="s">
        <v>18</v>
      </c>
      <c r="T1" s="3" t="s">
        <v>19</v>
      </c>
      <c r="U1" s="3" t="s">
        <v>20</v>
      </c>
      <c r="V1" s="3" t="s">
        <v>21</v>
      </c>
      <c r="W1" s="3" t="s">
        <v>22</v>
      </c>
      <c r="X1" s="3" t="s">
        <v>23</v>
      </c>
      <c r="Y1" s="3" t="s">
        <v>24</v>
      </c>
      <c r="Z1" s="3" t="s">
        <v>25</v>
      </c>
      <c r="AA1" s="3" t="s">
        <v>26</v>
      </c>
      <c r="AB1" s="3" t="s">
        <v>27</v>
      </c>
      <c r="AC1" s="4" t="s">
        <v>28</v>
      </c>
      <c r="AD1" s="4" t="s">
        <v>29</v>
      </c>
      <c r="AE1" s="4" t="s">
        <v>30</v>
      </c>
      <c r="AF1" s="4" t="s">
        <v>31</v>
      </c>
      <c r="AG1" s="4" t="s">
        <v>32</v>
      </c>
      <c r="AH1" s="4" t="s">
        <v>33</v>
      </c>
      <c r="AI1" s="4" t="s">
        <v>34</v>
      </c>
      <c r="AJ1" s="4" t="s">
        <v>35</v>
      </c>
      <c r="AK1" s="4" t="s">
        <v>36</v>
      </c>
      <c r="AL1" s="4" t="s">
        <v>37</v>
      </c>
      <c r="AM1" s="4" t="s">
        <v>38</v>
      </c>
      <c r="AN1" s="4" t="s">
        <v>39</v>
      </c>
    </row>
    <row r="2" customFormat="false" ht="15" hidden="false" customHeight="true" outlineLevel="0" collapsed="false">
      <c r="A2" s="5" t="s">
        <v>40</v>
      </c>
      <c r="B2" s="6" t="s">
        <v>41</v>
      </c>
      <c r="C2" s="5" t="s">
        <v>42</v>
      </c>
      <c r="D2" s="5" t="s">
        <v>43</v>
      </c>
      <c r="E2" s="5" t="s">
        <v>44</v>
      </c>
      <c r="F2" s="5" t="s">
        <v>45</v>
      </c>
      <c r="G2" s="5" t="s">
        <v>46</v>
      </c>
      <c r="H2" s="6" t="s">
        <v>47</v>
      </c>
      <c r="I2" s="5" t="s">
        <v>48</v>
      </c>
      <c r="J2" s="5" t="s">
        <v>49</v>
      </c>
      <c r="K2" s="5" t="n">
        <v>3.78</v>
      </c>
      <c r="L2" s="5" t="n">
        <v>96</v>
      </c>
      <c r="M2" s="5" t="s">
        <v>50</v>
      </c>
      <c r="N2" s="5" t="s">
        <v>51</v>
      </c>
      <c r="O2" s="5" t="s">
        <v>52</v>
      </c>
      <c r="P2" s="5" t="s">
        <v>53</v>
      </c>
      <c r="Q2" s="5" t="s">
        <v>54</v>
      </c>
      <c r="R2" s="5" t="s">
        <v>46</v>
      </c>
      <c r="S2" s="6" t="s">
        <v>55</v>
      </c>
      <c r="T2" s="5" t="s">
        <v>56</v>
      </c>
      <c r="U2" s="5" t="s">
        <v>57</v>
      </c>
      <c r="V2" s="5" t="n">
        <v>0</v>
      </c>
      <c r="W2" s="5" t="s">
        <v>58</v>
      </c>
      <c r="X2" s="5" t="s">
        <v>59</v>
      </c>
      <c r="Y2" s="6" t="s">
        <v>60</v>
      </c>
      <c r="Z2" s="6" t="s">
        <v>60</v>
      </c>
      <c r="AA2" s="5" t="s">
        <v>61</v>
      </c>
      <c r="AB2" s="5"/>
      <c r="AJ2" s="1" t="s">
        <v>62</v>
      </c>
      <c r="AK2" s="7" t="s">
        <v>63</v>
      </c>
      <c r="AL2" s="7" t="s">
        <v>63</v>
      </c>
      <c r="AM2" s="8" t="s">
        <v>64</v>
      </c>
      <c r="AN2" s="8" t="s">
        <v>64</v>
      </c>
    </row>
    <row r="3" customFormat="false" ht="15" hidden="false" customHeight="true" outlineLevel="0" collapsed="false">
      <c r="A3" s="5" t="s">
        <v>65</v>
      </c>
      <c r="B3" s="6" t="s">
        <v>66</v>
      </c>
      <c r="C3" s="5" t="s">
        <v>67</v>
      </c>
      <c r="D3" s="5" t="s">
        <v>68</v>
      </c>
      <c r="E3" s="5" t="s">
        <v>69</v>
      </c>
      <c r="F3" s="5" t="s">
        <v>70</v>
      </c>
      <c r="G3" s="5" t="s">
        <v>71</v>
      </c>
      <c r="H3" s="6" t="s">
        <v>72</v>
      </c>
      <c r="I3" s="5" t="s">
        <v>73</v>
      </c>
      <c r="J3" s="5" t="s">
        <v>74</v>
      </c>
      <c r="K3" s="5" t="n">
        <v>3.12</v>
      </c>
      <c r="L3" s="5" t="n">
        <v>64</v>
      </c>
      <c r="M3" s="5" t="s">
        <v>50</v>
      </c>
      <c r="N3" s="5" t="s">
        <v>51</v>
      </c>
      <c r="O3" s="5" t="s">
        <v>75</v>
      </c>
      <c r="P3" s="5" t="s">
        <v>76</v>
      </c>
      <c r="Q3" s="5" t="s">
        <v>54</v>
      </c>
      <c r="R3" s="5" t="s">
        <v>71</v>
      </c>
      <c r="S3" s="6" t="s">
        <v>77</v>
      </c>
      <c r="T3" s="5" t="s">
        <v>78</v>
      </c>
      <c r="U3" s="5" t="s">
        <v>57</v>
      </c>
      <c r="V3" s="5" t="n">
        <v>0</v>
      </c>
      <c r="W3" s="5" t="s">
        <v>58</v>
      </c>
      <c r="X3" s="5" t="s">
        <v>59</v>
      </c>
      <c r="Y3" s="6" t="s">
        <v>60</v>
      </c>
      <c r="Z3" s="6" t="s">
        <v>60</v>
      </c>
      <c r="AA3" s="5" t="s">
        <v>61</v>
      </c>
      <c r="AB3" s="5"/>
      <c r="AJ3" s="1" t="s">
        <v>62</v>
      </c>
      <c r="AK3" s="7" t="s">
        <v>63</v>
      </c>
      <c r="AL3" s="7" t="s">
        <v>63</v>
      </c>
      <c r="AM3" s="8" t="s">
        <v>64</v>
      </c>
      <c r="AN3" s="8" t="s">
        <v>64</v>
      </c>
    </row>
    <row r="4" customFormat="false" ht="15" hidden="false" customHeight="true" outlineLevel="0" collapsed="false">
      <c r="A4" s="5" t="s">
        <v>79</v>
      </c>
      <c r="B4" s="6" t="s">
        <v>80</v>
      </c>
      <c r="C4" s="5" t="s">
        <v>42</v>
      </c>
      <c r="D4" s="5" t="s">
        <v>81</v>
      </c>
      <c r="E4" s="5" t="s">
        <v>82</v>
      </c>
      <c r="F4" s="5" t="s">
        <v>83</v>
      </c>
      <c r="G4" s="5" t="s">
        <v>46</v>
      </c>
      <c r="H4" s="6" t="s">
        <v>84</v>
      </c>
      <c r="I4" s="5" t="s">
        <v>85</v>
      </c>
      <c r="J4" s="5" t="s">
        <v>86</v>
      </c>
      <c r="K4" s="5" t="n">
        <v>3.55</v>
      </c>
      <c r="L4" s="5" t="n">
        <v>128</v>
      </c>
      <c r="M4" s="5" t="s">
        <v>50</v>
      </c>
      <c r="N4" s="5" t="s">
        <v>87</v>
      </c>
      <c r="O4" s="5" t="s">
        <v>88</v>
      </c>
      <c r="P4" s="5" t="s">
        <v>89</v>
      </c>
      <c r="Q4" s="5" t="s">
        <v>54</v>
      </c>
      <c r="R4" s="5" t="s">
        <v>46</v>
      </c>
      <c r="S4" s="6" t="s">
        <v>90</v>
      </c>
      <c r="T4" s="5" t="s">
        <v>91</v>
      </c>
      <c r="U4" s="5" t="s">
        <v>57</v>
      </c>
      <c r="V4" s="5" t="n">
        <v>0</v>
      </c>
      <c r="W4" s="5" t="s">
        <v>58</v>
      </c>
      <c r="X4" s="5" t="s">
        <v>59</v>
      </c>
      <c r="Y4" s="6" t="s">
        <v>60</v>
      </c>
      <c r="Z4" s="6" t="s">
        <v>60</v>
      </c>
      <c r="AA4" s="5" t="s">
        <v>92</v>
      </c>
      <c r="AB4" s="5"/>
      <c r="AJ4" s="1" t="s">
        <v>62</v>
      </c>
      <c r="AK4" s="7" t="s">
        <v>63</v>
      </c>
      <c r="AL4" s="7" t="s">
        <v>93</v>
      </c>
      <c r="AM4" s="8" t="s">
        <v>94</v>
      </c>
      <c r="AN4" s="8" t="s">
        <v>95</v>
      </c>
    </row>
    <row r="5" customFormat="false" ht="15" hidden="false" customHeight="true" outlineLevel="0" collapsed="false">
      <c r="A5" s="9" t="s">
        <v>96</v>
      </c>
      <c r="B5" s="10" t="s">
        <v>97</v>
      </c>
      <c r="C5" s="9" t="s">
        <v>67</v>
      </c>
      <c r="D5" s="9" t="s">
        <v>98</v>
      </c>
      <c r="E5" s="9" t="s">
        <v>99</v>
      </c>
      <c r="F5" s="9" t="s">
        <v>100</v>
      </c>
      <c r="G5" s="9" t="s">
        <v>46</v>
      </c>
      <c r="H5" s="10" t="s">
        <v>101</v>
      </c>
      <c r="I5" s="9" t="s">
        <v>102</v>
      </c>
      <c r="J5" s="9" t="s">
        <v>86</v>
      </c>
      <c r="K5" s="9" t="n">
        <v>3.9</v>
      </c>
      <c r="L5" s="9" t="n">
        <v>132</v>
      </c>
      <c r="M5" s="9" t="s">
        <v>103</v>
      </c>
      <c r="N5" s="9" t="s">
        <v>104</v>
      </c>
      <c r="O5" s="9" t="s">
        <v>105</v>
      </c>
      <c r="P5" s="9"/>
      <c r="Q5" s="9" t="s">
        <v>54</v>
      </c>
      <c r="R5" s="9" t="s">
        <v>46</v>
      </c>
      <c r="S5" s="10" t="s">
        <v>106</v>
      </c>
      <c r="T5" s="9" t="s">
        <v>107</v>
      </c>
      <c r="U5" s="9" t="s">
        <v>108</v>
      </c>
      <c r="V5" s="9" t="n">
        <v>0</v>
      </c>
      <c r="W5" s="9" t="s">
        <v>108</v>
      </c>
      <c r="X5" s="9" t="s">
        <v>59</v>
      </c>
      <c r="Y5" s="10" t="s">
        <v>60</v>
      </c>
      <c r="Z5" s="10" t="s">
        <v>60</v>
      </c>
      <c r="AA5" s="9" t="s">
        <v>109</v>
      </c>
      <c r="AB5" s="9" t="s">
        <v>110</v>
      </c>
      <c r="AJ5" s="1" t="s">
        <v>62</v>
      </c>
      <c r="AK5" s="11" t="s">
        <v>63</v>
      </c>
      <c r="AL5" s="11" t="s">
        <v>63</v>
      </c>
      <c r="AM5" s="12" t="s">
        <v>64</v>
      </c>
      <c r="AN5" s="12" t="s">
        <v>64</v>
      </c>
    </row>
    <row r="6" customFormat="false" ht="15" hidden="false" customHeight="true" outlineLevel="0" collapsed="false">
      <c r="A6" s="13" t="s">
        <v>111</v>
      </c>
      <c r="B6" s="14" t="s">
        <v>112</v>
      </c>
      <c r="C6" s="13" t="s">
        <v>42</v>
      </c>
      <c r="D6" s="13" t="s">
        <v>113</v>
      </c>
      <c r="E6" s="13" t="s">
        <v>114</v>
      </c>
      <c r="F6" s="13" t="s">
        <v>115</v>
      </c>
      <c r="G6" s="13" t="s">
        <v>46</v>
      </c>
      <c r="H6" s="14" t="s">
        <v>116</v>
      </c>
      <c r="I6" s="13" t="s">
        <v>117</v>
      </c>
      <c r="J6" s="13" t="s">
        <v>118</v>
      </c>
      <c r="K6" s="13" t="n">
        <v>2.45</v>
      </c>
      <c r="L6" s="13" t="n">
        <v>32</v>
      </c>
      <c r="M6" s="13" t="s">
        <v>119</v>
      </c>
      <c r="N6" s="13" t="s">
        <v>51</v>
      </c>
      <c r="O6" s="13" t="s">
        <v>120</v>
      </c>
      <c r="P6" s="13" t="s">
        <v>121</v>
      </c>
      <c r="Q6" s="13" t="s">
        <v>54</v>
      </c>
      <c r="R6" s="13" t="s">
        <v>46</v>
      </c>
      <c r="S6" s="14" t="s">
        <v>122</v>
      </c>
      <c r="T6" s="13" t="s">
        <v>123</v>
      </c>
      <c r="U6" s="13" t="s">
        <v>124</v>
      </c>
      <c r="V6" s="13" t="n">
        <v>35000</v>
      </c>
      <c r="W6" s="13" t="s">
        <v>119</v>
      </c>
      <c r="X6" s="13" t="s">
        <v>125</v>
      </c>
      <c r="Y6" s="14" t="s">
        <v>60</v>
      </c>
      <c r="Z6" s="14" t="s">
        <v>60</v>
      </c>
      <c r="AA6" s="13" t="s">
        <v>126</v>
      </c>
      <c r="AB6" s="13"/>
      <c r="AJ6" s="1" t="s">
        <v>62</v>
      </c>
      <c r="AK6" s="15" t="s">
        <v>63</v>
      </c>
      <c r="AL6" s="15" t="s">
        <v>63</v>
      </c>
      <c r="AM6" s="16" t="s">
        <v>64</v>
      </c>
      <c r="AN6" s="16" t="s">
        <v>64</v>
      </c>
    </row>
    <row r="7" customFormat="false" ht="15" hidden="false" customHeight="true" outlineLevel="0" collapsed="false">
      <c r="A7" s="5" t="s">
        <v>127</v>
      </c>
      <c r="B7" s="6" t="s">
        <v>128</v>
      </c>
      <c r="C7" s="5" t="s">
        <v>67</v>
      </c>
      <c r="D7" s="5" t="s">
        <v>129</v>
      </c>
      <c r="E7" s="5" t="s">
        <v>130</v>
      </c>
      <c r="F7" s="5" t="s">
        <v>131</v>
      </c>
      <c r="G7" s="5" t="s">
        <v>132</v>
      </c>
      <c r="H7" s="6" t="s">
        <v>133</v>
      </c>
      <c r="I7" s="5" t="s">
        <v>134</v>
      </c>
      <c r="J7" s="5" t="s">
        <v>49</v>
      </c>
      <c r="K7" s="5" t="n">
        <v>3.22</v>
      </c>
      <c r="L7" s="5" t="n">
        <v>98</v>
      </c>
      <c r="M7" s="5" t="s">
        <v>50</v>
      </c>
      <c r="N7" s="5" t="s">
        <v>51</v>
      </c>
      <c r="O7" s="5" t="s">
        <v>52</v>
      </c>
      <c r="P7" s="5" t="s">
        <v>53</v>
      </c>
      <c r="Q7" s="5" t="s">
        <v>54</v>
      </c>
      <c r="R7" s="5" t="s">
        <v>132</v>
      </c>
      <c r="S7" s="6" t="s">
        <v>55</v>
      </c>
      <c r="T7" s="5" t="s">
        <v>56</v>
      </c>
      <c r="U7" s="5" t="s">
        <v>57</v>
      </c>
      <c r="V7" s="5" t="n">
        <v>0</v>
      </c>
      <c r="W7" s="5" t="s">
        <v>58</v>
      </c>
      <c r="X7" s="5" t="s">
        <v>59</v>
      </c>
      <c r="Y7" s="6" t="s">
        <v>60</v>
      </c>
      <c r="Z7" s="6" t="s">
        <v>60</v>
      </c>
      <c r="AA7" s="5" t="s">
        <v>61</v>
      </c>
      <c r="AB7" s="5"/>
      <c r="AJ7" s="1" t="s">
        <v>62</v>
      </c>
      <c r="AK7" s="7" t="s">
        <v>63</v>
      </c>
      <c r="AL7" s="7" t="s">
        <v>63</v>
      </c>
      <c r="AM7" s="8" t="s">
        <v>64</v>
      </c>
      <c r="AN7" s="8" t="s">
        <v>64</v>
      </c>
    </row>
    <row r="8" customFormat="false" ht="15" hidden="false" customHeight="true" outlineLevel="0" collapsed="false">
      <c r="A8" s="5" t="s">
        <v>135</v>
      </c>
      <c r="B8" s="6" t="s">
        <v>136</v>
      </c>
      <c r="C8" s="5" t="s">
        <v>42</v>
      </c>
      <c r="D8" s="5" t="s">
        <v>137</v>
      </c>
      <c r="E8" s="5" t="s">
        <v>138</v>
      </c>
      <c r="F8" s="5" t="s">
        <v>139</v>
      </c>
      <c r="G8" s="5" t="s">
        <v>46</v>
      </c>
      <c r="H8" s="6" t="s">
        <v>140</v>
      </c>
      <c r="I8" s="5" t="s">
        <v>117</v>
      </c>
      <c r="J8" s="5" t="s">
        <v>74</v>
      </c>
      <c r="K8" s="5" t="n">
        <v>3.68</v>
      </c>
      <c r="L8" s="5" t="n">
        <v>66</v>
      </c>
      <c r="M8" s="5" t="s">
        <v>50</v>
      </c>
      <c r="N8" s="5" t="s">
        <v>51</v>
      </c>
      <c r="O8" s="5" t="s">
        <v>141</v>
      </c>
      <c r="P8" s="5" t="s">
        <v>76</v>
      </c>
      <c r="Q8" s="5" t="s">
        <v>54</v>
      </c>
      <c r="R8" s="5" t="s">
        <v>46</v>
      </c>
      <c r="S8" s="6" t="s">
        <v>77</v>
      </c>
      <c r="T8" s="5" t="s">
        <v>78</v>
      </c>
      <c r="U8" s="5" t="s">
        <v>57</v>
      </c>
      <c r="V8" s="5" t="n">
        <v>0</v>
      </c>
      <c r="W8" s="5" t="s">
        <v>58</v>
      </c>
      <c r="X8" s="5" t="s">
        <v>59</v>
      </c>
      <c r="Y8" s="6" t="s">
        <v>60</v>
      </c>
      <c r="Z8" s="6" t="s">
        <v>60</v>
      </c>
      <c r="AA8" s="5" t="s">
        <v>61</v>
      </c>
      <c r="AB8" s="5"/>
      <c r="AJ8" s="1" t="s">
        <v>62</v>
      </c>
      <c r="AK8" s="7" t="s">
        <v>63</v>
      </c>
      <c r="AL8" s="7" t="s">
        <v>63</v>
      </c>
      <c r="AM8" s="8" t="s">
        <v>64</v>
      </c>
      <c r="AN8" s="8" t="s">
        <v>64</v>
      </c>
    </row>
    <row r="9" customFormat="false" ht="15" hidden="false" customHeight="true" outlineLevel="0" collapsed="false">
      <c r="A9" s="5" t="s">
        <v>142</v>
      </c>
      <c r="B9" s="6" t="s">
        <v>143</v>
      </c>
      <c r="C9" s="5" t="s">
        <v>67</v>
      </c>
      <c r="D9" s="5" t="s">
        <v>144</v>
      </c>
      <c r="E9" s="5" t="s">
        <v>145</v>
      </c>
      <c r="F9" s="5" t="s">
        <v>146</v>
      </c>
      <c r="G9" s="5" t="s">
        <v>147</v>
      </c>
      <c r="H9" s="6" t="s">
        <v>148</v>
      </c>
      <c r="I9" s="5" t="s">
        <v>149</v>
      </c>
      <c r="J9" s="5" t="s">
        <v>86</v>
      </c>
      <c r="K9" s="5" t="n">
        <v>3.1</v>
      </c>
      <c r="L9" s="5" t="n">
        <v>120</v>
      </c>
      <c r="M9" s="5" t="s">
        <v>50</v>
      </c>
      <c r="N9" s="5" t="s">
        <v>150</v>
      </c>
      <c r="O9" s="5" t="s">
        <v>88</v>
      </c>
      <c r="P9" s="5" t="s">
        <v>89</v>
      </c>
      <c r="Q9" s="5" t="s">
        <v>54</v>
      </c>
      <c r="R9" s="5" t="s">
        <v>147</v>
      </c>
      <c r="S9" s="6" t="s">
        <v>90</v>
      </c>
      <c r="T9" s="5" t="s">
        <v>91</v>
      </c>
      <c r="U9" s="5" t="s">
        <v>57</v>
      </c>
      <c r="V9" s="5" t="n">
        <v>0</v>
      </c>
      <c r="W9" s="5" t="s">
        <v>58</v>
      </c>
      <c r="X9" s="5" t="s">
        <v>59</v>
      </c>
      <c r="Y9" s="6" t="s">
        <v>60</v>
      </c>
      <c r="Z9" s="6" t="s">
        <v>60</v>
      </c>
      <c r="AA9" s="5" t="s">
        <v>92</v>
      </c>
      <c r="AB9" s="5"/>
      <c r="AJ9" s="1" t="s">
        <v>62</v>
      </c>
      <c r="AK9" s="7" t="s">
        <v>63</v>
      </c>
      <c r="AL9" s="7" t="s">
        <v>63</v>
      </c>
      <c r="AM9" s="8" t="s">
        <v>64</v>
      </c>
      <c r="AN9" s="8" t="s">
        <v>64</v>
      </c>
    </row>
    <row r="10" customFormat="false" ht="15" hidden="false" customHeight="true" outlineLevel="0" collapsed="false">
      <c r="A10" s="17" t="s">
        <v>151</v>
      </c>
      <c r="B10" s="18" t="s">
        <v>152</v>
      </c>
      <c r="C10" s="17" t="s">
        <v>42</v>
      </c>
      <c r="D10" s="17" t="s">
        <v>153</v>
      </c>
      <c r="E10" s="17" t="s">
        <v>154</v>
      </c>
      <c r="F10" s="17" t="s">
        <v>155</v>
      </c>
      <c r="G10" s="17" t="s">
        <v>156</v>
      </c>
      <c r="H10" s="18" t="s">
        <v>157</v>
      </c>
      <c r="I10" s="17" t="s">
        <v>73</v>
      </c>
      <c r="J10" s="17" t="s">
        <v>49</v>
      </c>
      <c r="K10" s="17" t="n">
        <v>2.8</v>
      </c>
      <c r="L10" s="17" t="n">
        <v>90</v>
      </c>
      <c r="M10" s="17" t="s">
        <v>158</v>
      </c>
      <c r="N10" s="17" t="s">
        <v>51</v>
      </c>
      <c r="O10" s="17" t="s">
        <v>52</v>
      </c>
      <c r="P10" s="17" t="s">
        <v>53</v>
      </c>
      <c r="Q10" s="17" t="s">
        <v>54</v>
      </c>
      <c r="R10" s="17" t="s">
        <v>156</v>
      </c>
      <c r="S10" s="18" t="s">
        <v>159</v>
      </c>
      <c r="T10" s="17" t="s">
        <v>56</v>
      </c>
      <c r="U10" s="17" t="s">
        <v>160</v>
      </c>
      <c r="V10" s="17" t="n">
        <v>0</v>
      </c>
      <c r="W10" s="17" t="s">
        <v>58</v>
      </c>
      <c r="X10" s="17" t="s">
        <v>59</v>
      </c>
      <c r="Y10" s="18" t="s">
        <v>60</v>
      </c>
      <c r="Z10" s="18" t="s">
        <v>60</v>
      </c>
      <c r="AA10" s="17" t="s">
        <v>61</v>
      </c>
      <c r="AB10" s="17"/>
      <c r="AJ10" s="1" t="s">
        <v>62</v>
      </c>
      <c r="AK10" s="19" t="s">
        <v>63</v>
      </c>
      <c r="AL10" s="19" t="s">
        <v>63</v>
      </c>
      <c r="AM10" s="20" t="s">
        <v>64</v>
      </c>
      <c r="AN10" s="20" t="s">
        <v>64</v>
      </c>
    </row>
    <row r="11" customFormat="false" ht="15" hidden="false" customHeight="true" outlineLevel="0" collapsed="false">
      <c r="A11" s="5" t="s">
        <v>161</v>
      </c>
      <c r="B11" s="6" t="s">
        <v>162</v>
      </c>
      <c r="C11" s="5" t="s">
        <v>67</v>
      </c>
      <c r="D11" s="5" t="s">
        <v>163</v>
      </c>
      <c r="E11" s="5" t="s">
        <v>164</v>
      </c>
      <c r="F11" s="5" t="s">
        <v>165</v>
      </c>
      <c r="G11" s="5" t="s">
        <v>46</v>
      </c>
      <c r="H11" s="6" t="s">
        <v>166</v>
      </c>
      <c r="I11" s="5" t="s">
        <v>48</v>
      </c>
      <c r="J11" s="5" t="s">
        <v>118</v>
      </c>
      <c r="K11" s="5" t="n">
        <v>3.4</v>
      </c>
      <c r="L11" s="5" t="n">
        <v>30</v>
      </c>
      <c r="M11" s="5" t="s">
        <v>50</v>
      </c>
      <c r="N11" s="5" t="s">
        <v>51</v>
      </c>
      <c r="O11" s="5" t="s">
        <v>120</v>
      </c>
      <c r="P11" s="5" t="s">
        <v>121</v>
      </c>
      <c r="Q11" s="5" t="s">
        <v>54</v>
      </c>
      <c r="R11" s="5" t="s">
        <v>46</v>
      </c>
      <c r="S11" s="6" t="s">
        <v>167</v>
      </c>
      <c r="T11" s="5" t="s">
        <v>123</v>
      </c>
      <c r="U11" s="5" t="s">
        <v>57</v>
      </c>
      <c r="V11" s="5" t="n">
        <v>0</v>
      </c>
      <c r="W11" s="5" t="s">
        <v>58</v>
      </c>
      <c r="X11" s="5" t="s">
        <v>59</v>
      </c>
      <c r="Y11" s="6" t="s">
        <v>60</v>
      </c>
      <c r="Z11" s="6" t="s">
        <v>60</v>
      </c>
      <c r="AA11" s="5" t="s">
        <v>61</v>
      </c>
      <c r="AB11" s="5"/>
      <c r="AJ11" s="1" t="s">
        <v>62</v>
      </c>
      <c r="AK11" s="7" t="s">
        <v>63</v>
      </c>
      <c r="AL11" s="7" t="s">
        <v>63</v>
      </c>
      <c r="AM11" s="8" t="s">
        <v>64</v>
      </c>
      <c r="AN11" s="8" t="s">
        <v>64</v>
      </c>
    </row>
    <row r="12" customFormat="false" ht="15" hidden="false" customHeight="true" outlineLevel="0" collapsed="false">
      <c r="A12" s="5" t="s">
        <v>168</v>
      </c>
      <c r="B12" s="6" t="s">
        <v>169</v>
      </c>
      <c r="C12" s="5" t="s">
        <v>42</v>
      </c>
      <c r="D12" s="5" t="s">
        <v>170</v>
      </c>
      <c r="E12" s="5" t="s">
        <v>171</v>
      </c>
      <c r="F12" s="5" t="s">
        <v>172</v>
      </c>
      <c r="G12" s="5" t="s">
        <v>46</v>
      </c>
      <c r="H12" s="6" t="s">
        <v>173</v>
      </c>
      <c r="I12" s="5" t="s">
        <v>117</v>
      </c>
      <c r="J12" s="5" t="s">
        <v>74</v>
      </c>
      <c r="K12" s="5" t="n">
        <v>3.05</v>
      </c>
      <c r="L12" s="5" t="n">
        <v>60</v>
      </c>
      <c r="M12" s="5" t="s">
        <v>50</v>
      </c>
      <c r="N12" s="5" t="s">
        <v>51</v>
      </c>
      <c r="O12" s="5" t="s">
        <v>141</v>
      </c>
      <c r="P12" s="5" t="s">
        <v>76</v>
      </c>
      <c r="Q12" s="5" t="s">
        <v>54</v>
      </c>
      <c r="R12" s="5" t="s">
        <v>46</v>
      </c>
      <c r="S12" s="6" t="s">
        <v>77</v>
      </c>
      <c r="T12" s="5" t="s">
        <v>78</v>
      </c>
      <c r="U12" s="5" t="s">
        <v>57</v>
      </c>
      <c r="V12" s="5" t="n">
        <v>0</v>
      </c>
      <c r="W12" s="5" t="s">
        <v>58</v>
      </c>
      <c r="X12" s="5" t="s">
        <v>59</v>
      </c>
      <c r="Y12" s="6" t="s">
        <v>60</v>
      </c>
      <c r="Z12" s="6" t="s">
        <v>60</v>
      </c>
      <c r="AA12" s="5" t="s">
        <v>61</v>
      </c>
      <c r="AB12" s="5"/>
      <c r="AJ12" s="1" t="s">
        <v>62</v>
      </c>
      <c r="AK12" s="7" t="s">
        <v>63</v>
      </c>
      <c r="AL12" s="7" t="s">
        <v>63</v>
      </c>
      <c r="AM12" s="8" t="s">
        <v>64</v>
      </c>
      <c r="AN12" s="8" t="s">
        <v>64</v>
      </c>
    </row>
    <row r="13" customFormat="false" ht="15" hidden="false" customHeight="true" outlineLevel="0" collapsed="false">
      <c r="A13" s="9" t="s">
        <v>174</v>
      </c>
      <c r="B13" s="10" t="s">
        <v>175</v>
      </c>
      <c r="C13" s="9" t="s">
        <v>67</v>
      </c>
      <c r="D13" s="9" t="s">
        <v>176</v>
      </c>
      <c r="E13" s="9" t="s">
        <v>177</v>
      </c>
      <c r="F13" s="9" t="s">
        <v>178</v>
      </c>
      <c r="G13" s="9" t="s">
        <v>46</v>
      </c>
      <c r="H13" s="10" t="s">
        <v>179</v>
      </c>
      <c r="I13" s="9" t="s">
        <v>85</v>
      </c>
      <c r="J13" s="9" t="s">
        <v>86</v>
      </c>
      <c r="K13" s="9" t="n">
        <v>2.6</v>
      </c>
      <c r="L13" s="9" t="n">
        <v>124</v>
      </c>
      <c r="M13" s="9" t="s">
        <v>103</v>
      </c>
      <c r="N13" s="9" t="s">
        <v>180</v>
      </c>
      <c r="O13" s="9" t="s">
        <v>105</v>
      </c>
      <c r="P13" s="9"/>
      <c r="Q13" s="9" t="s">
        <v>54</v>
      </c>
      <c r="R13" s="9" t="s">
        <v>46</v>
      </c>
      <c r="S13" s="10" t="s">
        <v>106</v>
      </c>
      <c r="T13" s="9" t="s">
        <v>107</v>
      </c>
      <c r="U13" s="9" t="s">
        <v>108</v>
      </c>
      <c r="V13" s="9" t="n">
        <v>0</v>
      </c>
      <c r="W13" s="9" t="s">
        <v>108</v>
      </c>
      <c r="X13" s="9" t="s">
        <v>59</v>
      </c>
      <c r="Y13" s="10" t="s">
        <v>60</v>
      </c>
      <c r="Z13" s="10" t="s">
        <v>60</v>
      </c>
      <c r="AA13" s="9" t="s">
        <v>109</v>
      </c>
      <c r="AB13" s="9" t="s">
        <v>110</v>
      </c>
      <c r="AJ13" s="1" t="s">
        <v>62</v>
      </c>
      <c r="AK13" s="11" t="s">
        <v>63</v>
      </c>
      <c r="AL13" s="11" t="s">
        <v>63</v>
      </c>
      <c r="AM13" s="12" t="s">
        <v>64</v>
      </c>
      <c r="AN13" s="12" t="s">
        <v>64</v>
      </c>
    </row>
    <row r="14" customFormat="false" ht="15" hidden="false" customHeight="true" outlineLevel="0" collapsed="false">
      <c r="A14" s="5" t="s">
        <v>181</v>
      </c>
      <c r="B14" s="6" t="s">
        <v>182</v>
      </c>
      <c r="C14" s="5" t="s">
        <v>42</v>
      </c>
      <c r="D14" s="5" t="s">
        <v>183</v>
      </c>
      <c r="E14" s="5" t="s">
        <v>184</v>
      </c>
      <c r="F14" s="5" t="s">
        <v>185</v>
      </c>
      <c r="G14" s="5" t="s">
        <v>71</v>
      </c>
      <c r="H14" s="6" t="s">
        <v>186</v>
      </c>
      <c r="I14" s="5" t="s">
        <v>187</v>
      </c>
      <c r="J14" s="5" t="s">
        <v>49</v>
      </c>
      <c r="K14" s="5" t="n">
        <v>3.5</v>
      </c>
      <c r="L14" s="5" t="n">
        <v>94</v>
      </c>
      <c r="M14" s="5" t="s">
        <v>50</v>
      </c>
      <c r="N14" s="5" t="s">
        <v>51</v>
      </c>
      <c r="O14" s="5" t="s">
        <v>52</v>
      </c>
      <c r="P14" s="5" t="s">
        <v>53</v>
      </c>
      <c r="Q14" s="5" t="s">
        <v>54</v>
      </c>
      <c r="R14" s="5" t="s">
        <v>71</v>
      </c>
      <c r="S14" s="6" t="s">
        <v>55</v>
      </c>
      <c r="T14" s="5" t="s">
        <v>56</v>
      </c>
      <c r="U14" s="5" t="s">
        <v>57</v>
      </c>
      <c r="V14" s="5" t="n">
        <v>0</v>
      </c>
      <c r="W14" s="5" t="s">
        <v>58</v>
      </c>
      <c r="X14" s="5" t="s">
        <v>59</v>
      </c>
      <c r="Y14" s="6" t="s">
        <v>60</v>
      </c>
      <c r="Z14" s="6" t="s">
        <v>60</v>
      </c>
      <c r="AA14" s="5" t="s">
        <v>61</v>
      </c>
      <c r="AB14" s="5"/>
      <c r="AJ14" s="1" t="s">
        <v>62</v>
      </c>
      <c r="AK14" s="7" t="s">
        <v>63</v>
      </c>
      <c r="AL14" s="7" t="s">
        <v>63</v>
      </c>
      <c r="AM14" s="8" t="s">
        <v>64</v>
      </c>
      <c r="AN14" s="8" t="s">
        <v>64</v>
      </c>
    </row>
    <row r="15" customFormat="false" ht="15" hidden="false" customHeight="true" outlineLevel="0" collapsed="false">
      <c r="A15" s="21" t="s">
        <v>188</v>
      </c>
      <c r="B15" s="22" t="s">
        <v>189</v>
      </c>
      <c r="C15" s="21" t="s">
        <v>67</v>
      </c>
      <c r="D15" s="21" t="s">
        <v>190</v>
      </c>
      <c r="E15" s="21" t="s">
        <v>191</v>
      </c>
      <c r="F15" s="21" t="s">
        <v>192</v>
      </c>
      <c r="G15" s="21" t="s">
        <v>193</v>
      </c>
      <c r="H15" s="22" t="s">
        <v>194</v>
      </c>
      <c r="I15" s="21" t="s">
        <v>102</v>
      </c>
      <c r="J15" s="21" t="s">
        <v>86</v>
      </c>
      <c r="K15" s="21" t="n">
        <v>1.9</v>
      </c>
      <c r="L15" s="21" t="n">
        <v>112</v>
      </c>
      <c r="M15" s="21" t="s">
        <v>195</v>
      </c>
      <c r="N15" s="21" t="s">
        <v>51</v>
      </c>
      <c r="O15" s="21" t="s">
        <v>88</v>
      </c>
      <c r="P15" s="21" t="s">
        <v>89</v>
      </c>
      <c r="Q15" s="21" t="s">
        <v>54</v>
      </c>
      <c r="R15" s="21" t="s">
        <v>193</v>
      </c>
      <c r="S15" s="22" t="s">
        <v>196</v>
      </c>
      <c r="T15" s="21" t="s">
        <v>91</v>
      </c>
      <c r="U15" s="21" t="s">
        <v>197</v>
      </c>
      <c r="V15" s="21" t="n">
        <v>75000</v>
      </c>
      <c r="W15" s="21" t="s">
        <v>195</v>
      </c>
      <c r="X15" s="21" t="s">
        <v>125</v>
      </c>
      <c r="Y15" s="22" t="s">
        <v>60</v>
      </c>
      <c r="Z15" s="22" t="s">
        <v>60</v>
      </c>
      <c r="AA15" s="21" t="s">
        <v>126</v>
      </c>
      <c r="AB15" s="21"/>
      <c r="AJ15" s="1" t="s">
        <v>62</v>
      </c>
      <c r="AK15" s="23" t="s">
        <v>63</v>
      </c>
      <c r="AL15" s="23" t="s">
        <v>63</v>
      </c>
      <c r="AM15" s="24" t="s">
        <v>64</v>
      </c>
      <c r="AN15" s="24" t="s">
        <v>64</v>
      </c>
    </row>
    <row r="16" customFormat="false" ht="15" hidden="false" customHeight="true" outlineLevel="0" collapsed="false">
      <c r="A16" s="5" t="s">
        <v>198</v>
      </c>
      <c r="B16" s="6" t="s">
        <v>199</v>
      </c>
      <c r="C16" s="5" t="s">
        <v>42</v>
      </c>
      <c r="D16" s="5" t="s">
        <v>200</v>
      </c>
      <c r="E16" s="5" t="s">
        <v>201</v>
      </c>
      <c r="F16" s="5" t="s">
        <v>202</v>
      </c>
      <c r="G16" s="5" t="s">
        <v>71</v>
      </c>
      <c r="H16" s="6" t="s">
        <v>203</v>
      </c>
      <c r="I16" s="5" t="s">
        <v>204</v>
      </c>
      <c r="J16" s="5" t="s">
        <v>118</v>
      </c>
      <c r="K16" s="5" t="n">
        <v>3.82</v>
      </c>
      <c r="L16" s="5" t="n">
        <v>34</v>
      </c>
      <c r="M16" s="5" t="s">
        <v>50</v>
      </c>
      <c r="N16" s="5" t="s">
        <v>51</v>
      </c>
      <c r="O16" s="5" t="s">
        <v>120</v>
      </c>
      <c r="P16" s="5" t="s">
        <v>121</v>
      </c>
      <c r="Q16" s="5" t="s">
        <v>54</v>
      </c>
      <c r="R16" s="5" t="s">
        <v>71</v>
      </c>
      <c r="S16" s="6" t="s">
        <v>167</v>
      </c>
      <c r="T16" s="5" t="s">
        <v>123</v>
      </c>
      <c r="U16" s="5" t="s">
        <v>57</v>
      </c>
      <c r="V16" s="5" t="n">
        <v>0</v>
      </c>
      <c r="W16" s="5" t="s">
        <v>58</v>
      </c>
      <c r="X16" s="5" t="s">
        <v>59</v>
      </c>
      <c r="Y16" s="6" t="s">
        <v>60</v>
      </c>
      <c r="Z16" s="6" t="s">
        <v>60</v>
      </c>
      <c r="AA16" s="5" t="s">
        <v>61</v>
      </c>
      <c r="AB16" s="5"/>
      <c r="AJ16" s="1" t="s">
        <v>62</v>
      </c>
      <c r="AK16" s="7" t="s">
        <v>63</v>
      </c>
      <c r="AL16" s="7" t="s">
        <v>63</v>
      </c>
      <c r="AM16" s="8" t="s">
        <v>64</v>
      </c>
      <c r="AN16" s="8" t="s">
        <v>64</v>
      </c>
    </row>
    <row r="17" customFormat="false" ht="15" hidden="false" customHeight="true" outlineLevel="0" collapsed="false">
      <c r="A17" s="5" t="s">
        <v>205</v>
      </c>
      <c r="B17" s="6" t="s">
        <v>206</v>
      </c>
      <c r="C17" s="5" t="s">
        <v>67</v>
      </c>
      <c r="D17" s="5" t="s">
        <v>207</v>
      </c>
      <c r="E17" s="5" t="s">
        <v>208</v>
      </c>
      <c r="F17" s="5" t="s">
        <v>209</v>
      </c>
      <c r="G17" s="5" t="s">
        <v>46</v>
      </c>
      <c r="H17" s="6" t="s">
        <v>210</v>
      </c>
      <c r="I17" s="5" t="s">
        <v>117</v>
      </c>
      <c r="J17" s="5" t="s">
        <v>74</v>
      </c>
      <c r="K17" s="5" t="n">
        <v>2.95</v>
      </c>
      <c r="L17" s="5" t="n">
        <v>58</v>
      </c>
      <c r="M17" s="5" t="s">
        <v>50</v>
      </c>
      <c r="N17" s="5" t="s">
        <v>51</v>
      </c>
      <c r="O17" s="5" t="s">
        <v>141</v>
      </c>
      <c r="P17" s="5" t="s">
        <v>76</v>
      </c>
      <c r="Q17" s="5" t="s">
        <v>54</v>
      </c>
      <c r="R17" s="5" t="s">
        <v>46</v>
      </c>
      <c r="S17" s="6" t="s">
        <v>77</v>
      </c>
      <c r="T17" s="5" t="s">
        <v>78</v>
      </c>
      <c r="U17" s="5" t="s">
        <v>57</v>
      </c>
      <c r="V17" s="5" t="n">
        <v>0</v>
      </c>
      <c r="W17" s="5" t="s">
        <v>58</v>
      </c>
      <c r="X17" s="5" t="s">
        <v>59</v>
      </c>
      <c r="Y17" s="6" t="s">
        <v>60</v>
      </c>
      <c r="Z17" s="6" t="s">
        <v>60</v>
      </c>
      <c r="AA17" s="5" t="s">
        <v>61</v>
      </c>
      <c r="AB17" s="5"/>
      <c r="AJ17" s="1" t="s">
        <v>62</v>
      </c>
      <c r="AK17" s="7" t="s">
        <v>63</v>
      </c>
      <c r="AL17" s="7" t="s">
        <v>93</v>
      </c>
      <c r="AM17" s="8" t="s">
        <v>211</v>
      </c>
      <c r="AN17" s="8" t="s">
        <v>212</v>
      </c>
    </row>
    <row r="18" customFormat="false" ht="15" hidden="false" customHeight="true" outlineLevel="0" collapsed="false">
      <c r="A18" s="5" t="s">
        <v>213</v>
      </c>
      <c r="B18" s="6" t="s">
        <v>214</v>
      </c>
      <c r="C18" s="5" t="s">
        <v>42</v>
      </c>
      <c r="D18" s="5" t="s">
        <v>215</v>
      </c>
      <c r="E18" s="5" t="s">
        <v>216</v>
      </c>
      <c r="F18" s="5" t="s">
        <v>217</v>
      </c>
      <c r="G18" s="5" t="s">
        <v>46</v>
      </c>
      <c r="H18" s="6" t="s">
        <v>47</v>
      </c>
      <c r="I18" s="5" t="s">
        <v>48</v>
      </c>
      <c r="J18" s="5" t="s">
        <v>49</v>
      </c>
      <c r="K18" s="5" t="n">
        <v>3.95</v>
      </c>
      <c r="L18" s="5" t="n">
        <v>100</v>
      </c>
      <c r="M18" s="5" t="s">
        <v>50</v>
      </c>
      <c r="N18" s="5" t="s">
        <v>51</v>
      </c>
      <c r="O18" s="5" t="s">
        <v>52</v>
      </c>
      <c r="P18" s="5" t="s">
        <v>53</v>
      </c>
      <c r="Q18" s="5" t="s">
        <v>54</v>
      </c>
      <c r="R18" s="5" t="s">
        <v>46</v>
      </c>
      <c r="S18" s="6" t="s">
        <v>55</v>
      </c>
      <c r="T18" s="5" t="s">
        <v>56</v>
      </c>
      <c r="U18" s="5" t="s">
        <v>57</v>
      </c>
      <c r="V18" s="5" t="n">
        <v>0</v>
      </c>
      <c r="W18" s="5" t="s">
        <v>58</v>
      </c>
      <c r="X18" s="5" t="s">
        <v>59</v>
      </c>
      <c r="Y18" s="6" t="s">
        <v>60</v>
      </c>
      <c r="Z18" s="6" t="s">
        <v>60</v>
      </c>
      <c r="AA18" s="5" t="s">
        <v>61</v>
      </c>
      <c r="AB18" s="5"/>
      <c r="AJ18" s="1" t="s">
        <v>62</v>
      </c>
      <c r="AK18" s="7" t="s">
        <v>63</v>
      </c>
      <c r="AL18" s="7" t="s">
        <v>63</v>
      </c>
      <c r="AM18" s="8" t="s">
        <v>64</v>
      </c>
      <c r="AN18" s="8" t="s">
        <v>64</v>
      </c>
    </row>
    <row r="19" customFormat="false" ht="15" hidden="false" customHeight="true" outlineLevel="0" collapsed="false">
      <c r="A19" s="5" t="s">
        <v>218</v>
      </c>
      <c r="B19" s="6" t="s">
        <v>219</v>
      </c>
      <c r="C19" s="5" t="s">
        <v>67</v>
      </c>
      <c r="D19" s="5" t="s">
        <v>220</v>
      </c>
      <c r="E19" s="5" t="s">
        <v>221</v>
      </c>
      <c r="F19" s="5" t="s">
        <v>222</v>
      </c>
      <c r="G19" s="5" t="s">
        <v>132</v>
      </c>
      <c r="H19" s="6" t="s">
        <v>223</v>
      </c>
      <c r="I19" s="5" t="s">
        <v>134</v>
      </c>
      <c r="J19" s="5" t="s">
        <v>86</v>
      </c>
      <c r="K19" s="5" t="n">
        <v>3.3</v>
      </c>
      <c r="L19" s="5" t="n">
        <v>118</v>
      </c>
      <c r="M19" s="5" t="s">
        <v>50</v>
      </c>
      <c r="N19" s="5" t="s">
        <v>224</v>
      </c>
      <c r="O19" s="5" t="s">
        <v>88</v>
      </c>
      <c r="P19" s="5" t="s">
        <v>89</v>
      </c>
      <c r="Q19" s="5" t="s">
        <v>54</v>
      </c>
      <c r="R19" s="5" t="s">
        <v>132</v>
      </c>
      <c r="S19" s="6" t="s">
        <v>90</v>
      </c>
      <c r="T19" s="5" t="s">
        <v>91</v>
      </c>
      <c r="U19" s="5" t="s">
        <v>57</v>
      </c>
      <c r="V19" s="5" t="n">
        <v>0</v>
      </c>
      <c r="W19" s="5" t="s">
        <v>58</v>
      </c>
      <c r="X19" s="5" t="s">
        <v>59</v>
      </c>
      <c r="Y19" s="6" t="s">
        <v>60</v>
      </c>
      <c r="Z19" s="6" t="s">
        <v>60</v>
      </c>
      <c r="AA19" s="5" t="s">
        <v>92</v>
      </c>
      <c r="AB19" s="5"/>
      <c r="AJ19" s="1" t="s">
        <v>62</v>
      </c>
      <c r="AK19" s="7" t="s">
        <v>63</v>
      </c>
      <c r="AL19" s="7" t="s">
        <v>63</v>
      </c>
      <c r="AM19" s="8" t="s">
        <v>64</v>
      </c>
      <c r="AN19" s="8" t="s">
        <v>64</v>
      </c>
    </row>
    <row r="20" customFormat="false" ht="15" hidden="false" customHeight="true" outlineLevel="0" collapsed="false">
      <c r="A20" s="5" t="s">
        <v>225</v>
      </c>
      <c r="B20" s="6" t="s">
        <v>226</v>
      </c>
      <c r="C20" s="5" t="s">
        <v>42</v>
      </c>
      <c r="D20" s="5" t="s">
        <v>227</v>
      </c>
      <c r="E20" s="5" t="s">
        <v>228</v>
      </c>
      <c r="F20" s="5" t="s">
        <v>229</v>
      </c>
      <c r="G20" s="5" t="s">
        <v>46</v>
      </c>
      <c r="H20" s="6" t="s">
        <v>230</v>
      </c>
      <c r="I20" s="5" t="s">
        <v>102</v>
      </c>
      <c r="J20" s="5" t="s">
        <v>118</v>
      </c>
      <c r="K20" s="5" t="n">
        <v>3.15</v>
      </c>
      <c r="L20" s="5" t="n">
        <v>28</v>
      </c>
      <c r="M20" s="5" t="s">
        <v>50</v>
      </c>
      <c r="N20" s="5" t="s">
        <v>51</v>
      </c>
      <c r="O20" s="5" t="s">
        <v>120</v>
      </c>
      <c r="P20" s="5" t="s">
        <v>121</v>
      </c>
      <c r="Q20" s="5" t="s">
        <v>54</v>
      </c>
      <c r="R20" s="5" t="s">
        <v>46</v>
      </c>
      <c r="S20" s="6" t="s">
        <v>167</v>
      </c>
      <c r="T20" s="5" t="s">
        <v>123</v>
      </c>
      <c r="U20" s="5" t="s">
        <v>57</v>
      </c>
      <c r="V20" s="5" t="n">
        <v>0</v>
      </c>
      <c r="W20" s="5" t="s">
        <v>58</v>
      </c>
      <c r="X20" s="5" t="s">
        <v>59</v>
      </c>
      <c r="Y20" s="6" t="s">
        <v>60</v>
      </c>
      <c r="Z20" s="6" t="s">
        <v>60</v>
      </c>
      <c r="AA20" s="5" t="s">
        <v>61</v>
      </c>
      <c r="AB20" s="5"/>
      <c r="AJ20" s="1" t="s">
        <v>62</v>
      </c>
      <c r="AK20" s="7" t="s">
        <v>63</v>
      </c>
      <c r="AL20" s="7" t="s">
        <v>63</v>
      </c>
      <c r="AM20" s="8" t="s">
        <v>64</v>
      </c>
      <c r="AN20" s="8" t="s">
        <v>64</v>
      </c>
    </row>
    <row r="21" customFormat="false" ht="15" hidden="false" customHeight="true" outlineLevel="0" collapsed="false">
      <c r="A21" s="5" t="s">
        <v>231</v>
      </c>
      <c r="B21" s="6" t="s">
        <v>232</v>
      </c>
      <c r="C21" s="5" t="s">
        <v>67</v>
      </c>
      <c r="D21" s="5" t="s">
        <v>233</v>
      </c>
      <c r="E21" s="5" t="s">
        <v>234</v>
      </c>
      <c r="F21" s="5" t="s">
        <v>235</v>
      </c>
      <c r="G21" s="5" t="s">
        <v>147</v>
      </c>
      <c r="H21" s="6" t="s">
        <v>148</v>
      </c>
      <c r="I21" s="5" t="s">
        <v>149</v>
      </c>
      <c r="J21" s="5" t="s">
        <v>74</v>
      </c>
      <c r="K21" s="5" t="n">
        <v>3.6</v>
      </c>
      <c r="L21" s="5" t="n">
        <v>62</v>
      </c>
      <c r="M21" s="5" t="s">
        <v>50</v>
      </c>
      <c r="N21" s="5" t="s">
        <v>180</v>
      </c>
      <c r="O21" s="5" t="s">
        <v>141</v>
      </c>
      <c r="P21" s="5" t="s">
        <v>76</v>
      </c>
      <c r="Q21" s="5" t="s">
        <v>54</v>
      </c>
      <c r="R21" s="5" t="s">
        <v>147</v>
      </c>
      <c r="S21" s="6" t="s">
        <v>77</v>
      </c>
      <c r="T21" s="5" t="s">
        <v>78</v>
      </c>
      <c r="U21" s="5" t="s">
        <v>57</v>
      </c>
      <c r="V21" s="5" t="n">
        <v>0</v>
      </c>
      <c r="W21" s="5" t="s">
        <v>58</v>
      </c>
      <c r="X21" s="5" t="s">
        <v>59</v>
      </c>
      <c r="Y21" s="6" t="s">
        <v>60</v>
      </c>
      <c r="Z21" s="6" t="s">
        <v>60</v>
      </c>
      <c r="AA21" s="5" t="s">
        <v>61</v>
      </c>
      <c r="AB21" s="5"/>
      <c r="AJ21" s="1" t="s">
        <v>62</v>
      </c>
      <c r="AK21" s="7" t="s">
        <v>63</v>
      </c>
      <c r="AL21" s="7" t="s">
        <v>63</v>
      </c>
      <c r="AM21" s="8" t="s">
        <v>64</v>
      </c>
      <c r="AN21" s="8" t="s">
        <v>64</v>
      </c>
    </row>
    <row r="22" customFormat="false" ht="15" hidden="false" customHeight="true" outlineLevel="0" collapsed="false">
      <c r="A22" s="17" t="s">
        <v>236</v>
      </c>
      <c r="B22" s="18" t="s">
        <v>237</v>
      </c>
      <c r="C22" s="17" t="s">
        <v>67</v>
      </c>
      <c r="D22" s="17" t="s">
        <v>238</v>
      </c>
      <c r="E22" s="17" t="s">
        <v>239</v>
      </c>
      <c r="F22" s="17" t="s">
        <v>240</v>
      </c>
      <c r="G22" s="17" t="s">
        <v>71</v>
      </c>
      <c r="H22" s="18" t="s">
        <v>241</v>
      </c>
      <c r="I22" s="17" t="s">
        <v>187</v>
      </c>
      <c r="J22" s="17" t="s">
        <v>49</v>
      </c>
      <c r="K22" s="17" t="n">
        <v>2.75</v>
      </c>
      <c r="L22" s="17" t="n">
        <v>88</v>
      </c>
      <c r="M22" s="17" t="s">
        <v>158</v>
      </c>
      <c r="N22" s="17" t="s">
        <v>180</v>
      </c>
      <c r="O22" s="17" t="s">
        <v>52</v>
      </c>
      <c r="P22" s="17" t="s">
        <v>53</v>
      </c>
      <c r="Q22" s="17" t="s">
        <v>54</v>
      </c>
      <c r="R22" s="17" t="s">
        <v>71</v>
      </c>
      <c r="S22" s="18" t="s">
        <v>159</v>
      </c>
      <c r="T22" s="17" t="s">
        <v>56</v>
      </c>
      <c r="U22" s="17" t="s">
        <v>160</v>
      </c>
      <c r="V22" s="17" t="n">
        <v>0</v>
      </c>
      <c r="W22" s="17" t="s">
        <v>58</v>
      </c>
      <c r="X22" s="17" t="s">
        <v>59</v>
      </c>
      <c r="Y22" s="18" t="s">
        <v>60</v>
      </c>
      <c r="Z22" s="18" t="s">
        <v>60</v>
      </c>
      <c r="AA22" s="17" t="s">
        <v>61</v>
      </c>
      <c r="AB22" s="17"/>
      <c r="AJ22" s="1" t="s">
        <v>62</v>
      </c>
      <c r="AK22" s="19" t="s">
        <v>63</v>
      </c>
      <c r="AL22" s="19" t="s">
        <v>63</v>
      </c>
      <c r="AM22" s="20" t="s">
        <v>64</v>
      </c>
      <c r="AN22" s="20" t="s">
        <v>64</v>
      </c>
    </row>
    <row r="23" customFormat="false" ht="15" hidden="false" customHeight="true" outlineLevel="0" collapsed="false">
      <c r="A23" s="9" t="s">
        <v>242</v>
      </c>
      <c r="B23" s="10" t="s">
        <v>243</v>
      </c>
      <c r="C23" s="9" t="s">
        <v>42</v>
      </c>
      <c r="D23" s="9" t="s">
        <v>244</v>
      </c>
      <c r="E23" s="9" t="s">
        <v>245</v>
      </c>
      <c r="F23" s="9" t="s">
        <v>246</v>
      </c>
      <c r="G23" s="9" t="s">
        <v>46</v>
      </c>
      <c r="H23" s="10" t="s">
        <v>140</v>
      </c>
      <c r="I23" s="9" t="s">
        <v>117</v>
      </c>
      <c r="J23" s="9" t="s">
        <v>86</v>
      </c>
      <c r="K23" s="9" t="n">
        <v>3.88</v>
      </c>
      <c r="L23" s="9" t="n">
        <v>134</v>
      </c>
      <c r="M23" s="9" t="s">
        <v>103</v>
      </c>
      <c r="N23" s="9" t="s">
        <v>51</v>
      </c>
      <c r="O23" s="9" t="s">
        <v>105</v>
      </c>
      <c r="P23" s="9"/>
      <c r="Q23" s="9" t="s">
        <v>54</v>
      </c>
      <c r="R23" s="9" t="s">
        <v>46</v>
      </c>
      <c r="S23" s="10" t="s">
        <v>106</v>
      </c>
      <c r="T23" s="9" t="s">
        <v>107</v>
      </c>
      <c r="U23" s="9" t="s">
        <v>108</v>
      </c>
      <c r="V23" s="9" t="n">
        <v>0</v>
      </c>
      <c r="W23" s="9" t="s">
        <v>108</v>
      </c>
      <c r="X23" s="9" t="s">
        <v>59</v>
      </c>
      <c r="Y23" s="10" t="s">
        <v>60</v>
      </c>
      <c r="Z23" s="10" t="s">
        <v>60</v>
      </c>
      <c r="AA23" s="9" t="s">
        <v>109</v>
      </c>
      <c r="AB23" s="9" t="s">
        <v>110</v>
      </c>
      <c r="AJ23" s="1" t="s">
        <v>62</v>
      </c>
      <c r="AK23" s="11" t="s">
        <v>63</v>
      </c>
      <c r="AL23" s="11" t="s">
        <v>63</v>
      </c>
      <c r="AM23" s="12" t="s">
        <v>64</v>
      </c>
      <c r="AN23" s="12" t="s">
        <v>64</v>
      </c>
    </row>
    <row r="24" customFormat="false" ht="15" hidden="false" customHeight="true" outlineLevel="0" collapsed="false">
      <c r="A24" s="13" t="s">
        <v>247</v>
      </c>
      <c r="B24" s="14" t="s">
        <v>248</v>
      </c>
      <c r="C24" s="13" t="s">
        <v>67</v>
      </c>
      <c r="D24" s="13" t="s">
        <v>249</v>
      </c>
      <c r="E24" s="13" t="s">
        <v>250</v>
      </c>
      <c r="F24" s="13" t="s">
        <v>251</v>
      </c>
      <c r="G24" s="13" t="s">
        <v>156</v>
      </c>
      <c r="H24" s="14" t="s">
        <v>252</v>
      </c>
      <c r="I24" s="13" t="s">
        <v>73</v>
      </c>
      <c r="J24" s="13" t="s">
        <v>118</v>
      </c>
      <c r="K24" s="13" t="n">
        <v>2.2</v>
      </c>
      <c r="L24" s="13" t="n">
        <v>26</v>
      </c>
      <c r="M24" s="13" t="s">
        <v>119</v>
      </c>
      <c r="N24" s="13" t="s">
        <v>51</v>
      </c>
      <c r="O24" s="13" t="s">
        <v>120</v>
      </c>
      <c r="P24" s="13" t="s">
        <v>121</v>
      </c>
      <c r="Q24" s="13" t="s">
        <v>54</v>
      </c>
      <c r="R24" s="13" t="s">
        <v>156</v>
      </c>
      <c r="S24" s="14" t="s">
        <v>122</v>
      </c>
      <c r="T24" s="13" t="s">
        <v>123</v>
      </c>
      <c r="U24" s="13" t="s">
        <v>124</v>
      </c>
      <c r="V24" s="13" t="n">
        <v>35000</v>
      </c>
      <c r="W24" s="13" t="s">
        <v>119</v>
      </c>
      <c r="X24" s="13" t="s">
        <v>125</v>
      </c>
      <c r="Y24" s="14" t="s">
        <v>60</v>
      </c>
      <c r="Z24" s="14" t="s">
        <v>60</v>
      </c>
      <c r="AA24" s="13" t="s">
        <v>126</v>
      </c>
      <c r="AB24" s="13"/>
      <c r="AJ24" s="1" t="s">
        <v>62</v>
      </c>
      <c r="AK24" s="15" t="s">
        <v>63</v>
      </c>
      <c r="AL24" s="15" t="s">
        <v>63</v>
      </c>
      <c r="AM24" s="16" t="s">
        <v>64</v>
      </c>
      <c r="AN24" s="16" t="s">
        <v>64</v>
      </c>
    </row>
    <row r="25" customFormat="false" ht="15" hidden="false" customHeight="true" outlineLevel="0" collapsed="false">
      <c r="A25" s="5" t="s">
        <v>253</v>
      </c>
      <c r="B25" s="6" t="s">
        <v>254</v>
      </c>
      <c r="C25" s="5" t="s">
        <v>42</v>
      </c>
      <c r="D25" s="5" t="s">
        <v>255</v>
      </c>
      <c r="E25" s="5" t="s">
        <v>256</v>
      </c>
      <c r="F25" s="5" t="s">
        <v>257</v>
      </c>
      <c r="G25" s="5" t="s">
        <v>46</v>
      </c>
      <c r="H25" s="6" t="s">
        <v>166</v>
      </c>
      <c r="I25" s="5" t="s">
        <v>48</v>
      </c>
      <c r="J25" s="5" t="s">
        <v>74</v>
      </c>
      <c r="K25" s="5" t="n">
        <v>3.42</v>
      </c>
      <c r="L25" s="5" t="n">
        <v>68</v>
      </c>
      <c r="M25" s="5" t="s">
        <v>50</v>
      </c>
      <c r="N25" s="5" t="s">
        <v>51</v>
      </c>
      <c r="O25" s="5" t="s">
        <v>141</v>
      </c>
      <c r="P25" s="5" t="s">
        <v>76</v>
      </c>
      <c r="Q25" s="5" t="s">
        <v>54</v>
      </c>
      <c r="R25" s="5" t="s">
        <v>46</v>
      </c>
      <c r="S25" s="6" t="s">
        <v>77</v>
      </c>
      <c r="T25" s="5" t="s">
        <v>78</v>
      </c>
      <c r="U25" s="5" t="s">
        <v>57</v>
      </c>
      <c r="V25" s="5" t="n">
        <v>0</v>
      </c>
      <c r="W25" s="5" t="s">
        <v>58</v>
      </c>
      <c r="X25" s="5" t="s">
        <v>59</v>
      </c>
      <c r="Y25" s="6" t="s">
        <v>60</v>
      </c>
      <c r="Z25" s="6" t="s">
        <v>60</v>
      </c>
      <c r="AA25" s="5" t="s">
        <v>61</v>
      </c>
      <c r="AB25" s="5"/>
      <c r="AJ25" s="1" t="s">
        <v>62</v>
      </c>
      <c r="AK25" s="7" t="s">
        <v>63</v>
      </c>
      <c r="AL25" s="7" t="s">
        <v>63</v>
      </c>
      <c r="AM25" s="8" t="s">
        <v>64</v>
      </c>
      <c r="AN25" s="8" t="s">
        <v>64</v>
      </c>
    </row>
    <row r="26" customFormat="false" ht="15" hidden="false" customHeight="true" outlineLevel="0" collapsed="false">
      <c r="A26" s="5" t="s">
        <v>258</v>
      </c>
      <c r="B26" s="6" t="s">
        <v>259</v>
      </c>
      <c r="C26" s="5" t="s">
        <v>67</v>
      </c>
      <c r="D26" s="5" t="s">
        <v>260</v>
      </c>
      <c r="E26" s="5" t="s">
        <v>261</v>
      </c>
      <c r="F26" s="5" t="s">
        <v>262</v>
      </c>
      <c r="G26" s="5" t="s">
        <v>46</v>
      </c>
      <c r="H26" s="6" t="s">
        <v>47</v>
      </c>
      <c r="I26" s="5" t="s">
        <v>48</v>
      </c>
      <c r="J26" s="5" t="s">
        <v>118</v>
      </c>
      <c r="K26" s="5" t="n">
        <v>3.65</v>
      </c>
      <c r="L26" s="5" t="n">
        <v>32</v>
      </c>
      <c r="M26" s="5" t="s">
        <v>50</v>
      </c>
      <c r="N26" s="5" t="s">
        <v>51</v>
      </c>
      <c r="O26" s="5" t="s">
        <v>120</v>
      </c>
      <c r="P26" s="5" t="s">
        <v>121</v>
      </c>
      <c r="Q26" s="5" t="s">
        <v>54</v>
      </c>
      <c r="R26" s="5" t="s">
        <v>46</v>
      </c>
      <c r="S26" s="6" t="s">
        <v>167</v>
      </c>
      <c r="T26" s="5" t="s">
        <v>123</v>
      </c>
      <c r="U26" s="25" t="s">
        <v>263</v>
      </c>
      <c r="V26" s="25" t="n">
        <v>75000</v>
      </c>
      <c r="W26" s="5" t="s">
        <v>58</v>
      </c>
      <c r="X26" s="5" t="s">
        <v>59</v>
      </c>
      <c r="Y26" s="6" t="s">
        <v>60</v>
      </c>
      <c r="Z26" s="6" t="s">
        <v>60</v>
      </c>
      <c r="AA26" s="5" t="s">
        <v>61</v>
      </c>
      <c r="AB26" s="5"/>
      <c r="AJ26" s="1" t="s">
        <v>62</v>
      </c>
      <c r="AK26" s="7" t="s">
        <v>63</v>
      </c>
      <c r="AL26" s="7" t="s">
        <v>63</v>
      </c>
      <c r="AM26" s="8" t="s">
        <v>64</v>
      </c>
      <c r="AN26" s="8" t="s">
        <v>64</v>
      </c>
    </row>
    <row r="27" customFormat="false" ht="15" hidden="false" customHeight="true" outlineLevel="0" collapsed="false">
      <c r="A27" s="26" t="s">
        <v>264</v>
      </c>
      <c r="B27" s="27" t="s">
        <v>265</v>
      </c>
      <c r="C27" s="26" t="s">
        <v>42</v>
      </c>
      <c r="D27" s="26" t="s">
        <v>266</v>
      </c>
      <c r="E27" s="26" t="s">
        <v>267</v>
      </c>
      <c r="F27" s="26" t="s">
        <v>268</v>
      </c>
      <c r="G27" s="26" t="s">
        <v>269</v>
      </c>
      <c r="H27" s="27" t="s">
        <v>270</v>
      </c>
      <c r="I27" s="26" t="s">
        <v>48</v>
      </c>
      <c r="J27" s="26" t="s">
        <v>74</v>
      </c>
      <c r="K27" s="26" t="n">
        <v>3.72</v>
      </c>
      <c r="L27" s="26" t="n">
        <v>48</v>
      </c>
      <c r="M27" s="26" t="s">
        <v>50</v>
      </c>
      <c r="N27" s="26" t="s">
        <v>271</v>
      </c>
      <c r="O27" s="26" t="s">
        <v>75</v>
      </c>
      <c r="P27" s="26" t="s">
        <v>89</v>
      </c>
      <c r="Q27" s="26" t="s">
        <v>272</v>
      </c>
      <c r="R27" s="27" t="s">
        <v>273</v>
      </c>
      <c r="S27" s="26" t="s">
        <v>274</v>
      </c>
      <c r="T27" s="26" t="s">
        <v>78</v>
      </c>
      <c r="U27" s="26" t="s">
        <v>57</v>
      </c>
      <c r="V27" s="26" t="n">
        <v>0</v>
      </c>
      <c r="W27" s="26" t="s">
        <v>58</v>
      </c>
      <c r="X27" s="26" t="s">
        <v>59</v>
      </c>
      <c r="Y27" s="26" t="s">
        <v>60</v>
      </c>
      <c r="Z27" s="27" t="s">
        <v>60</v>
      </c>
      <c r="AA27" s="27" t="s">
        <v>92</v>
      </c>
      <c r="AB27" s="26"/>
      <c r="AC27" s="1" t="s">
        <v>275</v>
      </c>
      <c r="AD27" s="1" t="s">
        <v>276</v>
      </c>
      <c r="AE27" s="1" t="s">
        <v>277</v>
      </c>
      <c r="AF27" s="28" t="n">
        <v>45473</v>
      </c>
      <c r="AG27" s="1" t="s">
        <v>278</v>
      </c>
      <c r="AH27" s="1" t="s">
        <v>279</v>
      </c>
      <c r="AI27" s="1" t="s">
        <v>280</v>
      </c>
      <c r="AJ27" s="1" t="s">
        <v>62</v>
      </c>
      <c r="AK27" s="7" t="s">
        <v>63</v>
      </c>
      <c r="AL27" s="7" t="s">
        <v>63</v>
      </c>
      <c r="AM27" s="8" t="s">
        <v>64</v>
      </c>
      <c r="AN27" s="8" t="s">
        <v>64</v>
      </c>
    </row>
    <row r="28" customFormat="false" ht="15" hidden="false" customHeight="true" outlineLevel="0" collapsed="false">
      <c r="A28" s="26" t="s">
        <v>281</v>
      </c>
      <c r="B28" s="27" t="s">
        <v>282</v>
      </c>
      <c r="C28" s="26" t="s">
        <v>67</v>
      </c>
      <c r="D28" s="26" t="s">
        <v>283</v>
      </c>
      <c r="E28" s="26" t="s">
        <v>284</v>
      </c>
      <c r="F28" s="26" t="s">
        <v>285</v>
      </c>
      <c r="G28" s="26" t="s">
        <v>286</v>
      </c>
      <c r="H28" s="27" t="s">
        <v>287</v>
      </c>
      <c r="I28" s="26" t="s">
        <v>73</v>
      </c>
      <c r="J28" s="26" t="s">
        <v>118</v>
      </c>
      <c r="K28" s="26" t="n">
        <v>3.41</v>
      </c>
      <c r="L28" s="26" t="n">
        <v>24</v>
      </c>
      <c r="M28" s="26" t="s">
        <v>50</v>
      </c>
      <c r="N28" s="26" t="s">
        <v>288</v>
      </c>
      <c r="O28" s="26" t="s">
        <v>120</v>
      </c>
      <c r="P28" s="26" t="s">
        <v>53</v>
      </c>
      <c r="Q28" s="26" t="s">
        <v>272</v>
      </c>
      <c r="R28" s="27" t="s">
        <v>289</v>
      </c>
      <c r="S28" s="26" t="s">
        <v>290</v>
      </c>
      <c r="T28" s="26" t="s">
        <v>123</v>
      </c>
      <c r="U28" s="26" t="s">
        <v>57</v>
      </c>
      <c r="V28" s="26" t="n">
        <v>0</v>
      </c>
      <c r="W28" s="26" t="s">
        <v>58</v>
      </c>
      <c r="X28" s="26" t="s">
        <v>59</v>
      </c>
      <c r="Y28" s="26" t="s">
        <v>60</v>
      </c>
      <c r="Z28" s="27" t="s">
        <v>60</v>
      </c>
      <c r="AA28" s="27" t="s">
        <v>61</v>
      </c>
      <c r="AB28" s="26"/>
      <c r="AC28" s="1" t="s">
        <v>291</v>
      </c>
      <c r="AD28" s="1" t="s">
        <v>60</v>
      </c>
      <c r="AE28" s="1" t="s">
        <v>292</v>
      </c>
      <c r="AF28" s="28" t="n">
        <v>45838</v>
      </c>
      <c r="AG28" s="1" t="s">
        <v>293</v>
      </c>
      <c r="AH28" s="1" t="s">
        <v>294</v>
      </c>
      <c r="AI28" s="1" t="s">
        <v>295</v>
      </c>
      <c r="AJ28" s="1" t="s">
        <v>62</v>
      </c>
      <c r="AK28" s="7" t="s">
        <v>63</v>
      </c>
      <c r="AL28" s="7" t="s">
        <v>63</v>
      </c>
      <c r="AM28" s="8" t="s">
        <v>64</v>
      </c>
      <c r="AN28" s="8" t="s">
        <v>64</v>
      </c>
    </row>
    <row r="29" customFormat="false" ht="15" hidden="false" customHeight="true" outlineLevel="0" collapsed="false">
      <c r="A29" s="9" t="s">
        <v>296</v>
      </c>
      <c r="B29" s="10" t="s">
        <v>297</v>
      </c>
      <c r="C29" s="9" t="s">
        <v>42</v>
      </c>
      <c r="D29" s="9" t="s">
        <v>298</v>
      </c>
      <c r="E29" s="9" t="s">
        <v>299</v>
      </c>
      <c r="F29" s="9" t="s">
        <v>300</v>
      </c>
      <c r="G29" s="9" t="s">
        <v>301</v>
      </c>
      <c r="H29" s="10" t="s">
        <v>72</v>
      </c>
      <c r="I29" s="9" t="s">
        <v>73</v>
      </c>
      <c r="J29" s="9" t="s">
        <v>74</v>
      </c>
      <c r="K29" s="9" t="n">
        <v>3.55</v>
      </c>
      <c r="L29" s="9" t="n">
        <v>52</v>
      </c>
      <c r="M29" s="9" t="s">
        <v>103</v>
      </c>
      <c r="N29" s="9" t="s">
        <v>51</v>
      </c>
      <c r="O29" s="9" t="s">
        <v>75</v>
      </c>
      <c r="P29" s="9"/>
      <c r="Q29" s="9" t="s">
        <v>272</v>
      </c>
      <c r="R29" s="10" t="s">
        <v>302</v>
      </c>
      <c r="S29" s="9" t="s">
        <v>303</v>
      </c>
      <c r="T29" s="9" t="s">
        <v>107</v>
      </c>
      <c r="U29" s="9" t="s">
        <v>108</v>
      </c>
      <c r="V29" s="9" t="n">
        <v>0</v>
      </c>
      <c r="W29" s="9" t="s">
        <v>108</v>
      </c>
      <c r="X29" s="9" t="s">
        <v>304</v>
      </c>
      <c r="Y29" s="9" t="s">
        <v>60</v>
      </c>
      <c r="Z29" s="10" t="s">
        <v>60</v>
      </c>
      <c r="AA29" s="10" t="s">
        <v>109</v>
      </c>
      <c r="AB29" s="9" t="s">
        <v>110</v>
      </c>
      <c r="AC29" s="1" t="s">
        <v>291</v>
      </c>
      <c r="AD29" s="1" t="s">
        <v>60</v>
      </c>
      <c r="AE29" s="1" t="s">
        <v>305</v>
      </c>
      <c r="AF29" s="28" t="n">
        <v>45971</v>
      </c>
      <c r="AG29" s="1" t="s">
        <v>306</v>
      </c>
      <c r="AH29" s="1" t="s">
        <v>307</v>
      </c>
      <c r="AI29" s="1" t="s">
        <v>308</v>
      </c>
      <c r="AJ29" s="1" t="s">
        <v>62</v>
      </c>
      <c r="AK29" s="11" t="s">
        <v>63</v>
      </c>
      <c r="AL29" s="11" t="s">
        <v>63</v>
      </c>
      <c r="AM29" s="12" t="s">
        <v>64</v>
      </c>
      <c r="AN29" s="12" t="s">
        <v>64</v>
      </c>
    </row>
    <row r="30" customFormat="false" ht="15" hidden="false" customHeight="true" outlineLevel="0" collapsed="false">
      <c r="A30" s="13" t="s">
        <v>309</v>
      </c>
      <c r="B30" s="14" t="s">
        <v>310</v>
      </c>
      <c r="C30" s="13" t="s">
        <v>67</v>
      </c>
      <c r="D30" s="13" t="s">
        <v>311</v>
      </c>
      <c r="E30" s="13" t="s">
        <v>312</v>
      </c>
      <c r="F30" s="13" t="s">
        <v>313</v>
      </c>
      <c r="G30" s="13" t="s">
        <v>269</v>
      </c>
      <c r="H30" s="14" t="s">
        <v>173</v>
      </c>
      <c r="I30" s="13" t="s">
        <v>117</v>
      </c>
      <c r="J30" s="13" t="s">
        <v>118</v>
      </c>
      <c r="K30" s="13" t="n">
        <v>2.81</v>
      </c>
      <c r="L30" s="13" t="n">
        <v>20</v>
      </c>
      <c r="M30" s="13" t="s">
        <v>119</v>
      </c>
      <c r="N30" s="13" t="s">
        <v>87</v>
      </c>
      <c r="O30" s="13" t="s">
        <v>120</v>
      </c>
      <c r="P30" s="13" t="s">
        <v>53</v>
      </c>
      <c r="Q30" s="13" t="s">
        <v>272</v>
      </c>
      <c r="R30" s="14" t="s">
        <v>273</v>
      </c>
      <c r="S30" s="13" t="s">
        <v>122</v>
      </c>
      <c r="T30" s="13" t="s">
        <v>123</v>
      </c>
      <c r="U30" s="13" t="s">
        <v>124</v>
      </c>
      <c r="V30" s="13" t="n">
        <v>35000</v>
      </c>
      <c r="W30" s="13" t="s">
        <v>119</v>
      </c>
      <c r="X30" s="13" t="s">
        <v>125</v>
      </c>
      <c r="Y30" s="13" t="s">
        <v>60</v>
      </c>
      <c r="Z30" s="14" t="s">
        <v>60</v>
      </c>
      <c r="AA30" s="14" t="s">
        <v>126</v>
      </c>
      <c r="AB30" s="13"/>
      <c r="AC30" s="1" t="s">
        <v>314</v>
      </c>
      <c r="AD30" s="1" t="s">
        <v>60</v>
      </c>
      <c r="AE30" s="1" t="s">
        <v>315</v>
      </c>
      <c r="AF30" s="28" t="n">
        <v>46022</v>
      </c>
      <c r="AG30" s="1" t="s">
        <v>316</v>
      </c>
      <c r="AH30" s="1" t="s">
        <v>317</v>
      </c>
      <c r="AI30" s="1" t="s">
        <v>318</v>
      </c>
      <c r="AJ30" s="1" t="s">
        <v>62</v>
      </c>
      <c r="AK30" s="15" t="s">
        <v>63</v>
      </c>
      <c r="AL30" s="15" t="s">
        <v>63</v>
      </c>
      <c r="AM30" s="16" t="s">
        <v>64</v>
      </c>
      <c r="AN30" s="16" t="s">
        <v>64</v>
      </c>
    </row>
    <row r="31" customFormat="false" ht="15" hidden="false" customHeight="true" outlineLevel="0" collapsed="false">
      <c r="A31" s="26" t="s">
        <v>319</v>
      </c>
      <c r="B31" s="27" t="s">
        <v>320</v>
      </c>
      <c r="C31" s="26" t="s">
        <v>42</v>
      </c>
      <c r="D31" s="26" t="s">
        <v>321</v>
      </c>
      <c r="E31" s="26" t="s">
        <v>322</v>
      </c>
      <c r="F31" s="26" t="s">
        <v>323</v>
      </c>
      <c r="G31" s="26" t="s">
        <v>301</v>
      </c>
      <c r="H31" s="27" t="s">
        <v>203</v>
      </c>
      <c r="I31" s="26" t="s">
        <v>204</v>
      </c>
      <c r="J31" s="26" t="s">
        <v>74</v>
      </c>
      <c r="K31" s="26" t="n">
        <v>3.65</v>
      </c>
      <c r="L31" s="26" t="n">
        <v>46</v>
      </c>
      <c r="M31" s="26" t="s">
        <v>50</v>
      </c>
      <c r="N31" s="26" t="s">
        <v>51</v>
      </c>
      <c r="O31" s="26" t="s">
        <v>75</v>
      </c>
      <c r="P31" s="26" t="s">
        <v>89</v>
      </c>
      <c r="Q31" s="26" t="s">
        <v>272</v>
      </c>
      <c r="R31" s="27" t="s">
        <v>302</v>
      </c>
      <c r="S31" s="26" t="s">
        <v>274</v>
      </c>
      <c r="T31" s="26" t="s">
        <v>78</v>
      </c>
      <c r="U31" s="26" t="s">
        <v>57</v>
      </c>
      <c r="V31" s="26" t="n">
        <v>0</v>
      </c>
      <c r="W31" s="26" t="s">
        <v>58</v>
      </c>
      <c r="X31" s="26" t="s">
        <v>59</v>
      </c>
      <c r="Y31" s="26" t="s">
        <v>60</v>
      </c>
      <c r="Z31" s="27" t="s">
        <v>60</v>
      </c>
      <c r="AA31" s="27" t="s">
        <v>92</v>
      </c>
      <c r="AB31" s="26"/>
      <c r="AC31" s="1" t="s">
        <v>324</v>
      </c>
      <c r="AD31" s="1" t="s">
        <v>325</v>
      </c>
      <c r="AE31" s="1" t="s">
        <v>326</v>
      </c>
      <c r="AF31" s="28" t="n">
        <v>45473</v>
      </c>
      <c r="AG31" s="1" t="s">
        <v>327</v>
      </c>
      <c r="AH31" s="1" t="s">
        <v>279</v>
      </c>
      <c r="AI31" s="1" t="s">
        <v>280</v>
      </c>
      <c r="AJ31" s="1" t="s">
        <v>62</v>
      </c>
      <c r="AK31" s="7" t="s">
        <v>63</v>
      </c>
      <c r="AL31" s="7" t="s">
        <v>63</v>
      </c>
      <c r="AM31" s="8" t="s">
        <v>64</v>
      </c>
      <c r="AN31" s="8" t="s">
        <v>64</v>
      </c>
    </row>
    <row r="32" customFormat="false" ht="15" hidden="false" customHeight="true" outlineLevel="0" collapsed="false">
      <c r="A32" s="26" t="s">
        <v>328</v>
      </c>
      <c r="B32" s="27" t="s">
        <v>329</v>
      </c>
      <c r="C32" s="26" t="s">
        <v>67</v>
      </c>
      <c r="D32" s="26" t="s">
        <v>330</v>
      </c>
      <c r="E32" s="26" t="s">
        <v>331</v>
      </c>
      <c r="F32" s="26" t="s">
        <v>332</v>
      </c>
      <c r="G32" s="26" t="s">
        <v>286</v>
      </c>
      <c r="H32" s="27" t="s">
        <v>333</v>
      </c>
      <c r="I32" s="26" t="s">
        <v>73</v>
      </c>
      <c r="J32" s="26" t="s">
        <v>118</v>
      </c>
      <c r="K32" s="26" t="n">
        <v>3.22</v>
      </c>
      <c r="L32" s="26" t="n">
        <v>24</v>
      </c>
      <c r="M32" s="26" t="s">
        <v>50</v>
      </c>
      <c r="N32" s="26" t="s">
        <v>334</v>
      </c>
      <c r="O32" s="26" t="s">
        <v>120</v>
      </c>
      <c r="P32" s="26" t="s">
        <v>53</v>
      </c>
      <c r="Q32" s="26" t="s">
        <v>272</v>
      </c>
      <c r="R32" s="27" t="s">
        <v>289</v>
      </c>
      <c r="S32" s="26" t="s">
        <v>290</v>
      </c>
      <c r="T32" s="26" t="s">
        <v>123</v>
      </c>
      <c r="U32" s="26" t="s">
        <v>57</v>
      </c>
      <c r="V32" s="26" t="n">
        <v>0</v>
      </c>
      <c r="W32" s="26" t="s">
        <v>58</v>
      </c>
      <c r="X32" s="26" t="s">
        <v>59</v>
      </c>
      <c r="Y32" s="26" t="s">
        <v>60</v>
      </c>
      <c r="Z32" s="27" t="s">
        <v>60</v>
      </c>
      <c r="AA32" s="27" t="s">
        <v>61</v>
      </c>
      <c r="AB32" s="26"/>
      <c r="AC32" s="1" t="s">
        <v>291</v>
      </c>
      <c r="AD32" s="1" t="s">
        <v>60</v>
      </c>
      <c r="AE32" s="1" t="s">
        <v>335</v>
      </c>
      <c r="AF32" s="28" t="n">
        <v>45838</v>
      </c>
      <c r="AG32" s="1" t="s">
        <v>293</v>
      </c>
      <c r="AH32" s="1" t="s">
        <v>336</v>
      </c>
      <c r="AI32" s="1" t="s">
        <v>295</v>
      </c>
      <c r="AJ32" s="1" t="s">
        <v>62</v>
      </c>
      <c r="AK32" s="7" t="s">
        <v>63</v>
      </c>
      <c r="AL32" s="7" t="s">
        <v>63</v>
      </c>
      <c r="AM32" s="8" t="s">
        <v>64</v>
      </c>
      <c r="AN32" s="8" t="s">
        <v>64</v>
      </c>
    </row>
    <row r="33" customFormat="false" ht="21.75" hidden="false" customHeight="true" outlineLevel="0" collapsed="false">
      <c r="A33" s="29" t="s">
        <v>337</v>
      </c>
      <c r="B33" s="30" t="s">
        <v>338</v>
      </c>
      <c r="C33" s="29" t="s">
        <v>42</v>
      </c>
      <c r="D33" s="29" t="s">
        <v>339</v>
      </c>
      <c r="E33" s="29" t="s">
        <v>340</v>
      </c>
      <c r="F33" s="29" t="s">
        <v>341</v>
      </c>
      <c r="G33" s="29" t="s">
        <v>342</v>
      </c>
      <c r="H33" s="30" t="s">
        <v>140</v>
      </c>
      <c r="I33" s="29" t="s">
        <v>117</v>
      </c>
      <c r="J33" s="29" t="s">
        <v>49</v>
      </c>
      <c r="K33" s="29" t="n">
        <v>3.82</v>
      </c>
      <c r="L33" s="29" t="n">
        <v>36</v>
      </c>
      <c r="M33" s="29" t="s">
        <v>50</v>
      </c>
      <c r="N33" s="29" t="s">
        <v>51</v>
      </c>
      <c r="O33" s="29" t="s">
        <v>343</v>
      </c>
      <c r="P33" s="29" t="s">
        <v>89</v>
      </c>
      <c r="Q33" s="29" t="s">
        <v>272</v>
      </c>
      <c r="R33" s="30" t="s">
        <v>342</v>
      </c>
      <c r="S33" s="29" t="s">
        <v>344</v>
      </c>
      <c r="T33" s="29" t="s">
        <v>345</v>
      </c>
      <c r="U33" s="29" t="s">
        <v>57</v>
      </c>
      <c r="V33" s="29" t="n">
        <v>0</v>
      </c>
      <c r="W33" s="29" t="s">
        <v>58</v>
      </c>
      <c r="X33" s="29" t="s">
        <v>59</v>
      </c>
      <c r="Y33" s="29" t="s">
        <v>346</v>
      </c>
      <c r="Z33" s="30" t="s">
        <v>347</v>
      </c>
      <c r="AA33" s="30" t="s">
        <v>61</v>
      </c>
      <c r="AB33" s="29"/>
      <c r="AC33" s="1" t="s">
        <v>348</v>
      </c>
      <c r="AD33" s="1" t="s">
        <v>349</v>
      </c>
      <c r="AE33" s="1" t="s">
        <v>350</v>
      </c>
      <c r="AF33" s="28" t="n">
        <v>45463</v>
      </c>
      <c r="AG33" s="1" t="s">
        <v>351</v>
      </c>
      <c r="AH33" s="1" t="s">
        <v>352</v>
      </c>
      <c r="AI33" s="1" t="s">
        <v>353</v>
      </c>
      <c r="AJ33" s="1" t="s">
        <v>62</v>
      </c>
      <c r="AK33" s="7" t="s">
        <v>63</v>
      </c>
      <c r="AL33" s="7" t="s">
        <v>63</v>
      </c>
      <c r="AM33" s="8" t="s">
        <v>64</v>
      </c>
      <c r="AN33" s="8" t="s">
        <v>64</v>
      </c>
    </row>
    <row r="34" customFormat="false" ht="21.75" hidden="false" customHeight="true" outlineLevel="0" collapsed="false">
      <c r="A34" s="29" t="s">
        <v>354</v>
      </c>
      <c r="B34" s="30" t="s">
        <v>355</v>
      </c>
      <c r="C34" s="29" t="s">
        <v>67</v>
      </c>
      <c r="D34" s="29" t="s">
        <v>356</v>
      </c>
      <c r="E34" s="29" t="s">
        <v>357</v>
      </c>
      <c r="F34" s="29" t="s">
        <v>358</v>
      </c>
      <c r="G34" s="29" t="s">
        <v>342</v>
      </c>
      <c r="H34" s="30" t="s">
        <v>47</v>
      </c>
      <c r="I34" s="29" t="s">
        <v>48</v>
      </c>
      <c r="J34" s="29" t="s">
        <v>74</v>
      </c>
      <c r="K34" s="29" t="n">
        <v>3.61</v>
      </c>
      <c r="L34" s="29" t="n">
        <v>24</v>
      </c>
      <c r="M34" s="29" t="s">
        <v>50</v>
      </c>
      <c r="N34" s="29" t="s">
        <v>359</v>
      </c>
      <c r="O34" s="29" t="s">
        <v>75</v>
      </c>
      <c r="P34" s="29" t="s">
        <v>53</v>
      </c>
      <c r="Q34" s="29" t="s">
        <v>272</v>
      </c>
      <c r="R34" s="30" t="s">
        <v>342</v>
      </c>
      <c r="S34" s="29" t="s">
        <v>360</v>
      </c>
      <c r="T34" s="29" t="s">
        <v>361</v>
      </c>
      <c r="U34" s="29" t="s">
        <v>57</v>
      </c>
      <c r="V34" s="29" t="n">
        <v>0</v>
      </c>
      <c r="W34" s="29" t="s">
        <v>58</v>
      </c>
      <c r="X34" s="29" t="s">
        <v>59</v>
      </c>
      <c r="Y34" s="29" t="s">
        <v>362</v>
      </c>
      <c r="Z34" s="30" t="s">
        <v>363</v>
      </c>
      <c r="AA34" s="30" t="s">
        <v>61</v>
      </c>
      <c r="AB34" s="29"/>
      <c r="AC34" s="1" t="s">
        <v>364</v>
      </c>
      <c r="AD34" s="1" t="s">
        <v>365</v>
      </c>
      <c r="AE34" s="1" t="s">
        <v>366</v>
      </c>
      <c r="AF34" s="28" t="n">
        <v>45792</v>
      </c>
      <c r="AG34" s="1" t="s">
        <v>367</v>
      </c>
      <c r="AH34" s="1" t="s">
        <v>368</v>
      </c>
      <c r="AI34" s="1" t="s">
        <v>369</v>
      </c>
      <c r="AJ34" s="1" t="s">
        <v>62</v>
      </c>
      <c r="AK34" s="7" t="s">
        <v>63</v>
      </c>
      <c r="AL34" s="7" t="s">
        <v>63</v>
      </c>
      <c r="AM34" s="8" t="s">
        <v>64</v>
      </c>
      <c r="AN34" s="8" t="s">
        <v>64</v>
      </c>
    </row>
    <row r="35" customFormat="false" ht="21.75" hidden="false" customHeight="true" outlineLevel="0" collapsed="false">
      <c r="A35" s="29" t="s">
        <v>370</v>
      </c>
      <c r="B35" s="30" t="s">
        <v>371</v>
      </c>
      <c r="C35" s="29" t="s">
        <v>42</v>
      </c>
      <c r="D35" s="29" t="s">
        <v>372</v>
      </c>
      <c r="E35" s="29" t="s">
        <v>373</v>
      </c>
      <c r="F35" s="29" t="s">
        <v>374</v>
      </c>
      <c r="G35" s="29" t="s">
        <v>375</v>
      </c>
      <c r="H35" s="30" t="s">
        <v>133</v>
      </c>
      <c r="I35" s="29" t="s">
        <v>134</v>
      </c>
      <c r="J35" s="29" t="s">
        <v>49</v>
      </c>
      <c r="K35" s="29" t="n">
        <v>3.48</v>
      </c>
      <c r="L35" s="29" t="n">
        <v>36</v>
      </c>
      <c r="M35" s="29" t="s">
        <v>50</v>
      </c>
      <c r="N35" s="29" t="s">
        <v>51</v>
      </c>
      <c r="O35" s="29" t="s">
        <v>343</v>
      </c>
      <c r="P35" s="29" t="s">
        <v>89</v>
      </c>
      <c r="Q35" s="29" t="s">
        <v>272</v>
      </c>
      <c r="R35" s="30" t="s">
        <v>375</v>
      </c>
      <c r="S35" s="29" t="s">
        <v>344</v>
      </c>
      <c r="T35" s="29" t="s">
        <v>345</v>
      </c>
      <c r="U35" s="29" t="s">
        <v>57</v>
      </c>
      <c r="V35" s="29" t="n">
        <v>0</v>
      </c>
      <c r="W35" s="29" t="s">
        <v>58</v>
      </c>
      <c r="X35" s="29" t="s">
        <v>59</v>
      </c>
      <c r="Y35" s="29" t="s">
        <v>376</v>
      </c>
      <c r="Z35" s="30" t="s">
        <v>347</v>
      </c>
      <c r="AA35" s="30" t="s">
        <v>61</v>
      </c>
      <c r="AB35" s="29"/>
      <c r="AC35" s="1" t="s">
        <v>377</v>
      </c>
      <c r="AD35" s="1" t="s">
        <v>378</v>
      </c>
      <c r="AE35" s="1" t="s">
        <v>379</v>
      </c>
      <c r="AF35" s="28" t="n">
        <v>45534</v>
      </c>
      <c r="AG35" s="1" t="s">
        <v>380</v>
      </c>
      <c r="AH35" s="1" t="s">
        <v>381</v>
      </c>
      <c r="AI35" s="1" t="s">
        <v>382</v>
      </c>
      <c r="AJ35" s="1" t="s">
        <v>62</v>
      </c>
      <c r="AK35" s="7" t="s">
        <v>63</v>
      </c>
      <c r="AL35" s="7" t="s">
        <v>63</v>
      </c>
      <c r="AM35" s="8" t="s">
        <v>64</v>
      </c>
      <c r="AN35" s="8" t="s">
        <v>64</v>
      </c>
    </row>
    <row r="36" customFormat="false" ht="21.75" hidden="false" customHeight="true" outlineLevel="0" collapsed="false">
      <c r="A36" s="17" t="s">
        <v>383</v>
      </c>
      <c r="B36" s="18" t="s">
        <v>384</v>
      </c>
      <c r="C36" s="17" t="s">
        <v>67</v>
      </c>
      <c r="D36" s="17" t="s">
        <v>385</v>
      </c>
      <c r="E36" s="17" t="s">
        <v>386</v>
      </c>
      <c r="F36" s="17" t="s">
        <v>387</v>
      </c>
      <c r="G36" s="17" t="s">
        <v>342</v>
      </c>
      <c r="H36" s="18" t="s">
        <v>388</v>
      </c>
      <c r="I36" s="17" t="s">
        <v>85</v>
      </c>
      <c r="J36" s="17" t="s">
        <v>74</v>
      </c>
      <c r="K36" s="17" t="n">
        <v>3.31</v>
      </c>
      <c r="L36" s="17" t="n">
        <v>18</v>
      </c>
      <c r="M36" s="17" t="s">
        <v>158</v>
      </c>
      <c r="N36" s="17" t="s">
        <v>104</v>
      </c>
      <c r="O36" s="17" t="s">
        <v>75</v>
      </c>
      <c r="P36" s="17" t="s">
        <v>76</v>
      </c>
      <c r="Q36" s="17" t="s">
        <v>272</v>
      </c>
      <c r="R36" s="18" t="s">
        <v>342</v>
      </c>
      <c r="S36" s="17" t="s">
        <v>389</v>
      </c>
      <c r="T36" s="17" t="s">
        <v>361</v>
      </c>
      <c r="U36" s="17" t="s">
        <v>160</v>
      </c>
      <c r="V36" s="17" t="n">
        <v>0</v>
      </c>
      <c r="W36" s="17" t="s">
        <v>58</v>
      </c>
      <c r="X36" s="17" t="s">
        <v>59</v>
      </c>
      <c r="Y36" s="17" t="s">
        <v>390</v>
      </c>
      <c r="Z36" s="18" t="s">
        <v>391</v>
      </c>
      <c r="AA36" s="18" t="s">
        <v>61</v>
      </c>
      <c r="AB36" s="17"/>
      <c r="AC36" s="1" t="s">
        <v>392</v>
      </c>
      <c r="AD36" s="1" t="s">
        <v>393</v>
      </c>
      <c r="AE36" s="1" t="s">
        <v>394</v>
      </c>
      <c r="AF36" s="28" t="n">
        <v>46203</v>
      </c>
      <c r="AG36" s="1" t="s">
        <v>395</v>
      </c>
      <c r="AH36" s="1" t="s">
        <v>396</v>
      </c>
      <c r="AI36" s="1" t="s">
        <v>397</v>
      </c>
      <c r="AJ36" s="1" t="s">
        <v>62</v>
      </c>
      <c r="AK36" s="19" t="s">
        <v>63</v>
      </c>
      <c r="AL36" s="19" t="s">
        <v>63</v>
      </c>
      <c r="AM36" s="20" t="s">
        <v>64</v>
      </c>
      <c r="AN36" s="20" t="s">
        <v>64</v>
      </c>
    </row>
    <row r="37" customFormat="false" ht="21.75" hidden="false" customHeight="true" outlineLevel="0" collapsed="false">
      <c r="A37" s="9" t="s">
        <v>398</v>
      </c>
      <c r="B37" s="10" t="s">
        <v>399</v>
      </c>
      <c r="C37" s="9" t="s">
        <v>42</v>
      </c>
      <c r="D37" s="9" t="s">
        <v>400</v>
      </c>
      <c r="E37" s="9" t="s">
        <v>401</v>
      </c>
      <c r="F37" s="9" t="s">
        <v>402</v>
      </c>
      <c r="G37" s="9" t="s">
        <v>342</v>
      </c>
      <c r="H37" s="10" t="s">
        <v>403</v>
      </c>
      <c r="I37" s="9" t="s">
        <v>102</v>
      </c>
      <c r="J37" s="9" t="s">
        <v>86</v>
      </c>
      <c r="K37" s="9" t="n">
        <v>3.91</v>
      </c>
      <c r="L37" s="9" t="n">
        <v>48</v>
      </c>
      <c r="M37" s="9" t="s">
        <v>103</v>
      </c>
      <c r="N37" s="9" t="s">
        <v>51</v>
      </c>
      <c r="O37" s="9" t="s">
        <v>88</v>
      </c>
      <c r="P37" s="9"/>
      <c r="Q37" s="9" t="s">
        <v>272</v>
      </c>
      <c r="R37" s="10" t="s">
        <v>342</v>
      </c>
      <c r="S37" s="9" t="s">
        <v>404</v>
      </c>
      <c r="T37" s="9" t="s">
        <v>107</v>
      </c>
      <c r="U37" s="9" t="s">
        <v>108</v>
      </c>
      <c r="V37" s="9" t="n">
        <v>0</v>
      </c>
      <c r="W37" s="9" t="s">
        <v>108</v>
      </c>
      <c r="X37" s="9" t="s">
        <v>304</v>
      </c>
      <c r="Y37" s="9" t="s">
        <v>405</v>
      </c>
      <c r="Z37" s="10" t="s">
        <v>406</v>
      </c>
      <c r="AA37" s="10" t="s">
        <v>109</v>
      </c>
      <c r="AB37" s="9" t="s">
        <v>110</v>
      </c>
      <c r="AC37" s="1" t="s">
        <v>407</v>
      </c>
      <c r="AD37" s="1" t="s">
        <v>408</v>
      </c>
      <c r="AE37" s="1" t="s">
        <v>409</v>
      </c>
      <c r="AF37" s="28" t="n">
        <v>45915</v>
      </c>
      <c r="AG37" s="1" t="s">
        <v>410</v>
      </c>
      <c r="AH37" s="1" t="s">
        <v>307</v>
      </c>
      <c r="AI37" s="1" t="s">
        <v>411</v>
      </c>
      <c r="AJ37" s="1" t="s">
        <v>62</v>
      </c>
      <c r="AK37" s="11" t="s">
        <v>63</v>
      </c>
      <c r="AL37" s="11" t="s">
        <v>63</v>
      </c>
      <c r="AM37" s="12" t="s">
        <v>64</v>
      </c>
      <c r="AN37" s="12" t="s">
        <v>64</v>
      </c>
    </row>
    <row r="38" customFormat="false" ht="21.75" hidden="false" customHeight="true" outlineLevel="0" collapsed="false">
      <c r="A38" s="29" t="s">
        <v>412</v>
      </c>
      <c r="B38" s="30" t="s">
        <v>413</v>
      </c>
      <c r="C38" s="29" t="s">
        <v>67</v>
      </c>
      <c r="D38" s="29" t="s">
        <v>414</v>
      </c>
      <c r="E38" s="29" t="s">
        <v>415</v>
      </c>
      <c r="F38" s="29" t="s">
        <v>416</v>
      </c>
      <c r="G38" s="29" t="s">
        <v>342</v>
      </c>
      <c r="H38" s="30" t="s">
        <v>47</v>
      </c>
      <c r="I38" s="29" t="s">
        <v>48</v>
      </c>
      <c r="J38" s="29" t="s">
        <v>118</v>
      </c>
      <c r="K38" s="29" t="n">
        <v>3.52</v>
      </c>
      <c r="L38" s="29" t="n">
        <v>12</v>
      </c>
      <c r="M38" s="29" t="s">
        <v>50</v>
      </c>
      <c r="N38" s="29" t="s">
        <v>51</v>
      </c>
      <c r="O38" s="29" t="s">
        <v>120</v>
      </c>
      <c r="P38" s="29" t="s">
        <v>76</v>
      </c>
      <c r="Q38" s="29" t="s">
        <v>272</v>
      </c>
      <c r="R38" s="30" t="s">
        <v>342</v>
      </c>
      <c r="S38" s="29" t="s">
        <v>417</v>
      </c>
      <c r="T38" s="29" t="s">
        <v>418</v>
      </c>
      <c r="U38" s="29" t="s">
        <v>57</v>
      </c>
      <c r="V38" s="29" t="n">
        <v>0</v>
      </c>
      <c r="W38" s="29" t="s">
        <v>58</v>
      </c>
      <c r="X38" s="29" t="s">
        <v>59</v>
      </c>
      <c r="Y38" s="29" t="s">
        <v>419</v>
      </c>
      <c r="Z38" s="30" t="s">
        <v>420</v>
      </c>
      <c r="AA38" s="30" t="s">
        <v>61</v>
      </c>
      <c r="AB38" s="29"/>
      <c r="AC38" s="1" t="s">
        <v>364</v>
      </c>
      <c r="AD38" s="1" t="s">
        <v>275</v>
      </c>
      <c r="AE38" s="1" t="s">
        <v>421</v>
      </c>
      <c r="AF38" s="28" t="n">
        <v>46203</v>
      </c>
      <c r="AG38" s="1" t="s">
        <v>422</v>
      </c>
      <c r="AH38" s="1" t="s">
        <v>423</v>
      </c>
      <c r="AI38" s="1" t="s">
        <v>424</v>
      </c>
      <c r="AJ38" s="1" t="s">
        <v>62</v>
      </c>
      <c r="AK38" s="7" t="s">
        <v>63</v>
      </c>
      <c r="AL38" s="7" t="s">
        <v>63</v>
      </c>
      <c r="AM38" s="8" t="s">
        <v>64</v>
      </c>
      <c r="AN38" s="8" t="s">
        <v>64</v>
      </c>
    </row>
    <row r="39" customFormat="false" ht="15" hidden="false" customHeight="true" outlineLevel="0" collapsed="false">
      <c r="A39" s="1" t="s">
        <v>425</v>
      </c>
      <c r="B39" s="1" t="s">
        <v>426</v>
      </c>
      <c r="C39" s="1" t="s">
        <v>42</v>
      </c>
      <c r="D39" s="28" t="n">
        <v>33465</v>
      </c>
      <c r="E39" s="1" t="s">
        <v>427</v>
      </c>
      <c r="F39" s="1" t="s">
        <v>428</v>
      </c>
      <c r="G39" s="1" t="s">
        <v>429</v>
      </c>
      <c r="H39" s="1" t="s">
        <v>47</v>
      </c>
      <c r="I39" s="1" t="s">
        <v>48</v>
      </c>
      <c r="J39" s="1" t="s">
        <v>49</v>
      </c>
      <c r="K39" s="1" t="n">
        <v>3.88</v>
      </c>
      <c r="L39" s="1" t="n">
        <v>36</v>
      </c>
      <c r="M39" s="1" t="s">
        <v>50</v>
      </c>
      <c r="N39" s="1" t="s">
        <v>104</v>
      </c>
      <c r="O39" s="28" t="n">
        <v>45175</v>
      </c>
      <c r="P39" s="28" t="n">
        <v>46203</v>
      </c>
      <c r="Q39" s="1" t="s">
        <v>272</v>
      </c>
      <c r="R39" s="1" t="s">
        <v>430</v>
      </c>
      <c r="S39" s="1" t="s">
        <v>431</v>
      </c>
      <c r="T39" s="1" t="s">
        <v>345</v>
      </c>
      <c r="U39" s="1" t="s">
        <v>57</v>
      </c>
      <c r="V39" s="1" t="n">
        <v>0</v>
      </c>
      <c r="W39" s="1" t="s">
        <v>58</v>
      </c>
      <c r="X39" s="28" t="n">
        <v>45306</v>
      </c>
      <c r="Y39" s="1" t="s">
        <v>432</v>
      </c>
      <c r="Z39" s="1" t="s">
        <v>363</v>
      </c>
      <c r="AA39" s="1" t="s">
        <v>61</v>
      </c>
      <c r="AC39" s="1" t="s">
        <v>364</v>
      </c>
      <c r="AD39" s="1" t="s">
        <v>433</v>
      </c>
      <c r="AE39" s="1" t="s">
        <v>434</v>
      </c>
      <c r="AF39" s="28" t="n">
        <v>46142</v>
      </c>
      <c r="AG39" s="1" t="s">
        <v>435</v>
      </c>
      <c r="AH39" s="1" t="s">
        <v>436</v>
      </c>
      <c r="AI39" s="1" t="s">
        <v>437</v>
      </c>
      <c r="AJ39" s="1" t="s">
        <v>62</v>
      </c>
      <c r="AK39" s="7" t="s">
        <v>63</v>
      </c>
      <c r="AL39" s="7" t="s">
        <v>63</v>
      </c>
      <c r="AM39" s="8" t="s">
        <v>64</v>
      </c>
      <c r="AN39" s="8" t="s">
        <v>64</v>
      </c>
    </row>
    <row r="40" customFormat="false" ht="15" hidden="false" customHeight="true" outlineLevel="0" collapsed="false">
      <c r="A40" s="1" t="s">
        <v>438</v>
      </c>
      <c r="B40" s="1" t="s">
        <v>439</v>
      </c>
      <c r="C40" s="1" t="s">
        <v>67</v>
      </c>
      <c r="D40" s="28" t="n">
        <v>32954</v>
      </c>
      <c r="E40" s="1" t="s">
        <v>440</v>
      </c>
      <c r="F40" s="1" t="s">
        <v>441</v>
      </c>
      <c r="G40" s="1" t="s">
        <v>429</v>
      </c>
      <c r="H40" s="1" t="s">
        <v>403</v>
      </c>
      <c r="I40" s="1" t="s">
        <v>102</v>
      </c>
      <c r="J40" s="1" t="s">
        <v>86</v>
      </c>
      <c r="K40" s="1" t="n">
        <v>3.71</v>
      </c>
      <c r="L40" s="1" t="n">
        <v>48</v>
      </c>
      <c r="M40" s="1" t="s">
        <v>50</v>
      </c>
      <c r="N40" s="1" t="s">
        <v>51</v>
      </c>
      <c r="O40" s="28" t="n">
        <v>45176</v>
      </c>
      <c r="P40" s="28" t="n">
        <v>46203</v>
      </c>
      <c r="Q40" s="1" t="s">
        <v>272</v>
      </c>
      <c r="R40" s="1" t="s">
        <v>430</v>
      </c>
      <c r="S40" s="1" t="s">
        <v>442</v>
      </c>
      <c r="T40" s="1" t="s">
        <v>443</v>
      </c>
      <c r="U40" s="1" t="s">
        <v>57</v>
      </c>
      <c r="V40" s="1" t="n">
        <v>0</v>
      </c>
      <c r="W40" s="1" t="s">
        <v>58</v>
      </c>
      <c r="X40" s="28" t="n">
        <v>45306</v>
      </c>
      <c r="Y40" s="1" t="s">
        <v>444</v>
      </c>
      <c r="Z40" s="1" t="s">
        <v>347</v>
      </c>
      <c r="AA40" s="1" t="s">
        <v>445</v>
      </c>
      <c r="AC40" s="1" t="s">
        <v>407</v>
      </c>
      <c r="AD40" s="1" t="s">
        <v>446</v>
      </c>
      <c r="AE40" s="1" t="s">
        <v>447</v>
      </c>
      <c r="AF40" s="28" t="n">
        <v>45930</v>
      </c>
      <c r="AG40" s="1" t="s">
        <v>448</v>
      </c>
      <c r="AH40" s="1" t="s">
        <v>449</v>
      </c>
      <c r="AI40" s="1" t="s">
        <v>450</v>
      </c>
      <c r="AJ40" s="1" t="s">
        <v>62</v>
      </c>
      <c r="AK40" s="7" t="s">
        <v>63</v>
      </c>
      <c r="AL40" s="7" t="s">
        <v>63</v>
      </c>
      <c r="AM40" s="8" t="s">
        <v>64</v>
      </c>
      <c r="AN40" s="8" t="s">
        <v>64</v>
      </c>
    </row>
    <row r="41" customFormat="false" ht="15" hidden="false" customHeight="true" outlineLevel="0" collapsed="false">
      <c r="A41" s="1" t="s">
        <v>451</v>
      </c>
      <c r="B41" s="1" t="s">
        <v>452</v>
      </c>
      <c r="C41" s="1" t="s">
        <v>42</v>
      </c>
      <c r="D41" s="28" t="n">
        <v>34303</v>
      </c>
      <c r="E41" s="1" t="s">
        <v>453</v>
      </c>
      <c r="F41" s="1" t="s">
        <v>454</v>
      </c>
      <c r="G41" s="1" t="s">
        <v>429</v>
      </c>
      <c r="H41" s="1" t="s">
        <v>72</v>
      </c>
      <c r="I41" s="1" t="s">
        <v>73</v>
      </c>
      <c r="J41" s="1" t="s">
        <v>118</v>
      </c>
      <c r="K41" s="1" t="n">
        <v>3.65</v>
      </c>
      <c r="L41" s="1" t="n">
        <v>12</v>
      </c>
      <c r="M41" s="1" t="s">
        <v>50</v>
      </c>
      <c r="N41" s="1" t="s">
        <v>455</v>
      </c>
      <c r="O41" s="28" t="n">
        <v>45173</v>
      </c>
      <c r="P41" s="28" t="n">
        <v>46203</v>
      </c>
      <c r="Q41" s="1" t="s">
        <v>272</v>
      </c>
      <c r="R41" s="1" t="s">
        <v>430</v>
      </c>
      <c r="S41" s="1" t="s">
        <v>456</v>
      </c>
      <c r="T41" s="1" t="s">
        <v>418</v>
      </c>
      <c r="U41" s="1" t="s">
        <v>57</v>
      </c>
      <c r="V41" s="1" t="n">
        <v>0</v>
      </c>
      <c r="W41" s="1" t="s">
        <v>58</v>
      </c>
      <c r="X41" s="28" t="n">
        <v>45306</v>
      </c>
      <c r="Y41" s="1" t="s">
        <v>457</v>
      </c>
      <c r="Z41" s="1" t="s">
        <v>458</v>
      </c>
      <c r="AA41" s="1" t="s">
        <v>61</v>
      </c>
      <c r="AC41" s="1" t="s">
        <v>291</v>
      </c>
      <c r="AD41" s="1" t="s">
        <v>459</v>
      </c>
      <c r="AE41" s="1" t="s">
        <v>460</v>
      </c>
      <c r="AF41" s="28" t="n">
        <v>46203</v>
      </c>
      <c r="AG41" s="1" t="s">
        <v>461</v>
      </c>
      <c r="AH41" s="1" t="s">
        <v>462</v>
      </c>
      <c r="AI41" s="1" t="s">
        <v>463</v>
      </c>
      <c r="AJ41" s="1" t="s">
        <v>62</v>
      </c>
      <c r="AK41" s="7" t="s">
        <v>63</v>
      </c>
      <c r="AL41" s="7" t="s">
        <v>63</v>
      </c>
      <c r="AM41" s="8" t="s">
        <v>64</v>
      </c>
      <c r="AN41" s="8" t="s">
        <v>64</v>
      </c>
    </row>
    <row r="42" customFormat="false" ht="15" hidden="false" customHeight="true" outlineLevel="0" collapsed="false">
      <c r="A42" s="1" t="s">
        <v>464</v>
      </c>
      <c r="B42" s="1" t="s">
        <v>465</v>
      </c>
      <c r="C42" s="1" t="s">
        <v>67</v>
      </c>
      <c r="D42" s="28" t="n">
        <v>32646</v>
      </c>
      <c r="E42" s="1" t="s">
        <v>466</v>
      </c>
      <c r="F42" s="1" t="s">
        <v>467</v>
      </c>
      <c r="G42" s="1" t="s">
        <v>429</v>
      </c>
      <c r="H42" s="1" t="s">
        <v>173</v>
      </c>
      <c r="I42" s="1" t="s">
        <v>117</v>
      </c>
      <c r="J42" s="1" t="s">
        <v>74</v>
      </c>
      <c r="K42" s="1" t="n">
        <v>3.42</v>
      </c>
      <c r="L42" s="1" t="n">
        <v>24</v>
      </c>
      <c r="M42" s="1" t="s">
        <v>50</v>
      </c>
      <c r="N42" s="1" t="s">
        <v>51</v>
      </c>
      <c r="O42" s="28" t="n">
        <v>45540</v>
      </c>
      <c r="P42" s="28" t="n">
        <v>46203</v>
      </c>
      <c r="Q42" s="1" t="s">
        <v>272</v>
      </c>
      <c r="R42" s="1" t="s">
        <v>430</v>
      </c>
      <c r="S42" s="1" t="s">
        <v>468</v>
      </c>
      <c r="T42" s="1" t="s">
        <v>361</v>
      </c>
      <c r="U42" s="1" t="s">
        <v>57</v>
      </c>
      <c r="V42" s="1" t="n">
        <v>0</v>
      </c>
      <c r="W42" s="1" t="s">
        <v>58</v>
      </c>
      <c r="X42" s="28" t="n">
        <v>45306</v>
      </c>
      <c r="Y42" s="1" t="s">
        <v>469</v>
      </c>
      <c r="Z42" s="1" t="s">
        <v>470</v>
      </c>
      <c r="AA42" s="1" t="s">
        <v>61</v>
      </c>
      <c r="AC42" s="1" t="s">
        <v>314</v>
      </c>
      <c r="AD42" s="1" t="s">
        <v>471</v>
      </c>
      <c r="AE42" s="1" t="s">
        <v>472</v>
      </c>
      <c r="AF42" s="28" t="n">
        <v>46387</v>
      </c>
      <c r="AG42" s="1" t="s">
        <v>473</v>
      </c>
      <c r="AH42" s="1" t="s">
        <v>474</v>
      </c>
      <c r="AI42" s="1" t="s">
        <v>475</v>
      </c>
      <c r="AJ42" s="1" t="s">
        <v>62</v>
      </c>
      <c r="AK42" s="7" t="s">
        <v>63</v>
      </c>
      <c r="AL42" s="7" t="s">
        <v>63</v>
      </c>
      <c r="AM42" s="8" t="s">
        <v>64</v>
      </c>
      <c r="AN42" s="8" t="s">
        <v>64</v>
      </c>
    </row>
    <row r="43" customFormat="false" ht="15" hidden="false" customHeight="true" outlineLevel="0" collapsed="false">
      <c r="A43" s="5" t="s">
        <v>476</v>
      </c>
      <c r="B43" s="6" t="s">
        <v>477</v>
      </c>
      <c r="C43" s="5" t="s">
        <v>67</v>
      </c>
      <c r="D43" s="5" t="s">
        <v>478</v>
      </c>
      <c r="E43" s="5" t="s">
        <v>479</v>
      </c>
      <c r="F43" s="5" t="s">
        <v>480</v>
      </c>
      <c r="G43" s="5" t="s">
        <v>46</v>
      </c>
      <c r="H43" s="6" t="s">
        <v>47</v>
      </c>
      <c r="I43" s="5" t="s">
        <v>481</v>
      </c>
      <c r="J43" s="5" t="s">
        <v>49</v>
      </c>
      <c r="K43" s="5" t="n">
        <v>3.71</v>
      </c>
      <c r="L43" s="5" t="n">
        <v>92</v>
      </c>
      <c r="M43" s="5" t="s">
        <v>50</v>
      </c>
      <c r="N43" s="5" t="s">
        <v>482</v>
      </c>
      <c r="O43" s="5" t="s">
        <v>483</v>
      </c>
      <c r="P43" s="5" t="s">
        <v>53</v>
      </c>
      <c r="Q43" s="5" t="s">
        <v>54</v>
      </c>
      <c r="R43" s="5" t="s">
        <v>46</v>
      </c>
      <c r="S43" s="6" t="s">
        <v>55</v>
      </c>
      <c r="T43" s="5" t="s">
        <v>56</v>
      </c>
      <c r="U43" s="5" t="s">
        <v>57</v>
      </c>
      <c r="V43" s="5" t="n">
        <v>0</v>
      </c>
      <c r="W43" s="5" t="s">
        <v>58</v>
      </c>
      <c r="X43" s="5" t="s">
        <v>59</v>
      </c>
      <c r="Y43" s="6" t="s">
        <v>60</v>
      </c>
      <c r="Z43" s="6" t="s">
        <v>60</v>
      </c>
      <c r="AA43" s="5" t="s">
        <v>61</v>
      </c>
      <c r="AB43" s="5"/>
      <c r="AJ43" s="1" t="s">
        <v>484</v>
      </c>
      <c r="AK43" s="7" t="s">
        <v>63</v>
      </c>
      <c r="AL43" s="7" t="s">
        <v>63</v>
      </c>
      <c r="AM43" s="8" t="s">
        <v>64</v>
      </c>
      <c r="AN43" s="8" t="s">
        <v>64</v>
      </c>
    </row>
    <row r="44" customFormat="false" ht="15" hidden="false" customHeight="true" outlineLevel="0" collapsed="false">
      <c r="A44" s="5" t="s">
        <v>485</v>
      </c>
      <c r="B44" s="6" t="s">
        <v>486</v>
      </c>
      <c r="C44" s="5" t="s">
        <v>42</v>
      </c>
      <c r="D44" s="5" t="s">
        <v>487</v>
      </c>
      <c r="E44" s="5" t="s">
        <v>488</v>
      </c>
      <c r="F44" s="5" t="s">
        <v>489</v>
      </c>
      <c r="G44" s="5" t="s">
        <v>46</v>
      </c>
      <c r="H44" s="6" t="s">
        <v>490</v>
      </c>
      <c r="I44" s="5" t="s">
        <v>491</v>
      </c>
      <c r="J44" s="5" t="s">
        <v>74</v>
      </c>
      <c r="K44" s="5" t="n">
        <v>3.18</v>
      </c>
      <c r="L44" s="5" t="n">
        <v>67</v>
      </c>
      <c r="M44" s="5" t="s">
        <v>50</v>
      </c>
      <c r="N44" s="5" t="s">
        <v>492</v>
      </c>
      <c r="O44" s="5" t="s">
        <v>493</v>
      </c>
      <c r="P44" s="5" t="s">
        <v>76</v>
      </c>
      <c r="Q44" s="5" t="s">
        <v>54</v>
      </c>
      <c r="R44" s="5" t="s">
        <v>46</v>
      </c>
      <c r="S44" s="6" t="s">
        <v>77</v>
      </c>
      <c r="T44" s="5" t="s">
        <v>78</v>
      </c>
      <c r="U44" s="5" t="s">
        <v>57</v>
      </c>
      <c r="V44" s="5" t="n">
        <v>0</v>
      </c>
      <c r="W44" s="5" t="s">
        <v>58</v>
      </c>
      <c r="X44" s="5" t="s">
        <v>59</v>
      </c>
      <c r="Y44" s="6" t="s">
        <v>60</v>
      </c>
      <c r="Z44" s="6" t="s">
        <v>60</v>
      </c>
      <c r="AA44" s="5" t="s">
        <v>61</v>
      </c>
      <c r="AB44" s="5"/>
      <c r="AJ44" s="1" t="s">
        <v>484</v>
      </c>
      <c r="AK44" s="7" t="s">
        <v>63</v>
      </c>
      <c r="AL44" s="7" t="s">
        <v>63</v>
      </c>
      <c r="AM44" s="8" t="s">
        <v>64</v>
      </c>
      <c r="AN44" s="8" t="s">
        <v>64</v>
      </c>
    </row>
    <row r="45" customFormat="false" ht="21.75" hidden="false" customHeight="true" outlineLevel="0" collapsed="false">
      <c r="A45" s="5" t="s">
        <v>494</v>
      </c>
      <c r="B45" s="6" t="s">
        <v>495</v>
      </c>
      <c r="C45" s="5" t="s">
        <v>67</v>
      </c>
      <c r="D45" s="5" t="s">
        <v>496</v>
      </c>
      <c r="E45" s="5" t="s">
        <v>497</v>
      </c>
      <c r="F45" s="5" t="s">
        <v>498</v>
      </c>
      <c r="G45" s="5" t="s">
        <v>46</v>
      </c>
      <c r="H45" s="6" t="s">
        <v>166</v>
      </c>
      <c r="I45" s="5" t="s">
        <v>499</v>
      </c>
      <c r="J45" s="5" t="s">
        <v>86</v>
      </c>
      <c r="K45" s="5" t="n">
        <v>3.49</v>
      </c>
      <c r="L45" s="5" t="n">
        <v>129</v>
      </c>
      <c r="M45" s="5" t="s">
        <v>50</v>
      </c>
      <c r="N45" s="5" t="s">
        <v>500</v>
      </c>
      <c r="O45" s="5" t="s">
        <v>501</v>
      </c>
      <c r="P45" s="5" t="s">
        <v>89</v>
      </c>
      <c r="Q45" s="5" t="s">
        <v>54</v>
      </c>
      <c r="R45" s="5" t="s">
        <v>46</v>
      </c>
      <c r="S45" s="6" t="s">
        <v>90</v>
      </c>
      <c r="T45" s="5" t="s">
        <v>91</v>
      </c>
      <c r="U45" s="5" t="s">
        <v>57</v>
      </c>
      <c r="V45" s="5" t="n">
        <v>0</v>
      </c>
      <c r="W45" s="5" t="s">
        <v>58</v>
      </c>
      <c r="X45" s="5" t="s">
        <v>59</v>
      </c>
      <c r="Y45" s="6" t="s">
        <v>60</v>
      </c>
      <c r="Z45" s="6" t="s">
        <v>60</v>
      </c>
      <c r="AA45" s="5" t="s">
        <v>92</v>
      </c>
      <c r="AB45" s="5"/>
      <c r="AJ45" s="1" t="s">
        <v>484</v>
      </c>
      <c r="AK45" s="7" t="s">
        <v>63</v>
      </c>
      <c r="AL45" s="7" t="s">
        <v>93</v>
      </c>
      <c r="AM45" s="8" t="s">
        <v>502</v>
      </c>
      <c r="AN45" s="8" t="s">
        <v>503</v>
      </c>
    </row>
    <row r="46" customFormat="false" ht="21.75" hidden="false" customHeight="true" outlineLevel="0" collapsed="false">
      <c r="A46" s="9" t="s">
        <v>504</v>
      </c>
      <c r="B46" s="10" t="s">
        <v>505</v>
      </c>
      <c r="C46" s="9" t="s">
        <v>42</v>
      </c>
      <c r="D46" s="9" t="s">
        <v>506</v>
      </c>
      <c r="E46" s="9" t="s">
        <v>507</v>
      </c>
      <c r="F46" s="9" t="s">
        <v>508</v>
      </c>
      <c r="G46" s="9" t="s">
        <v>46</v>
      </c>
      <c r="H46" s="10" t="s">
        <v>270</v>
      </c>
      <c r="I46" s="9" t="s">
        <v>509</v>
      </c>
      <c r="J46" s="9" t="s">
        <v>86</v>
      </c>
      <c r="K46" s="9" t="n">
        <v>3.92</v>
      </c>
      <c r="L46" s="9" t="n">
        <v>127</v>
      </c>
      <c r="M46" s="9" t="s">
        <v>103</v>
      </c>
      <c r="N46" s="9" t="s">
        <v>510</v>
      </c>
      <c r="O46" s="9" t="s">
        <v>511</v>
      </c>
      <c r="P46" s="9"/>
      <c r="Q46" s="9" t="s">
        <v>54</v>
      </c>
      <c r="R46" s="9" t="s">
        <v>46</v>
      </c>
      <c r="S46" s="10" t="s">
        <v>106</v>
      </c>
      <c r="T46" s="9" t="s">
        <v>107</v>
      </c>
      <c r="U46" s="9" t="s">
        <v>108</v>
      </c>
      <c r="V46" s="9" t="n">
        <v>0</v>
      </c>
      <c r="W46" s="9" t="s">
        <v>108</v>
      </c>
      <c r="X46" s="9" t="s">
        <v>59</v>
      </c>
      <c r="Y46" s="10" t="s">
        <v>60</v>
      </c>
      <c r="Z46" s="10" t="s">
        <v>60</v>
      </c>
      <c r="AA46" s="9" t="s">
        <v>109</v>
      </c>
      <c r="AB46" s="9" t="s">
        <v>110</v>
      </c>
      <c r="AJ46" s="1" t="s">
        <v>484</v>
      </c>
      <c r="AK46" s="11" t="s">
        <v>63</v>
      </c>
      <c r="AL46" s="11" t="s">
        <v>63</v>
      </c>
      <c r="AM46" s="12" t="s">
        <v>64</v>
      </c>
      <c r="AN46" s="12" t="s">
        <v>64</v>
      </c>
    </row>
    <row r="47" customFormat="false" ht="21.75" hidden="false" customHeight="true" outlineLevel="0" collapsed="false">
      <c r="A47" s="13" t="s">
        <v>512</v>
      </c>
      <c r="B47" s="14" t="s">
        <v>513</v>
      </c>
      <c r="C47" s="13" t="s">
        <v>67</v>
      </c>
      <c r="D47" s="13" t="s">
        <v>514</v>
      </c>
      <c r="E47" s="13" t="s">
        <v>515</v>
      </c>
      <c r="F47" s="13" t="s">
        <v>516</v>
      </c>
      <c r="G47" s="13" t="s">
        <v>46</v>
      </c>
      <c r="H47" s="14" t="s">
        <v>517</v>
      </c>
      <c r="I47" s="13" t="s">
        <v>499</v>
      </c>
      <c r="J47" s="13" t="s">
        <v>118</v>
      </c>
      <c r="K47" s="13" t="n">
        <v>2.38</v>
      </c>
      <c r="L47" s="13" t="n">
        <v>23</v>
      </c>
      <c r="M47" s="13" t="s">
        <v>119</v>
      </c>
      <c r="N47" s="13" t="s">
        <v>518</v>
      </c>
      <c r="O47" s="13" t="s">
        <v>519</v>
      </c>
      <c r="P47" s="13" t="s">
        <v>121</v>
      </c>
      <c r="Q47" s="13" t="s">
        <v>54</v>
      </c>
      <c r="R47" s="13" t="s">
        <v>46</v>
      </c>
      <c r="S47" s="14" t="s">
        <v>122</v>
      </c>
      <c r="T47" s="13" t="s">
        <v>123</v>
      </c>
      <c r="U47" s="13" t="s">
        <v>124</v>
      </c>
      <c r="V47" s="13" t="n">
        <v>35000</v>
      </c>
      <c r="W47" s="13" t="s">
        <v>119</v>
      </c>
      <c r="X47" s="13" t="s">
        <v>125</v>
      </c>
      <c r="Y47" s="14" t="s">
        <v>60</v>
      </c>
      <c r="Z47" s="14" t="s">
        <v>60</v>
      </c>
      <c r="AA47" s="13" t="s">
        <v>126</v>
      </c>
      <c r="AB47" s="13"/>
      <c r="AJ47" s="1" t="s">
        <v>484</v>
      </c>
      <c r="AK47" s="15" t="s">
        <v>63</v>
      </c>
      <c r="AL47" s="15" t="s">
        <v>63</v>
      </c>
      <c r="AM47" s="16" t="s">
        <v>64</v>
      </c>
      <c r="AN47" s="16" t="s">
        <v>64</v>
      </c>
    </row>
    <row r="48" customFormat="false" ht="15" hidden="false" customHeight="true" outlineLevel="0" collapsed="false">
      <c r="A48" s="5" t="s">
        <v>520</v>
      </c>
      <c r="B48" s="6" t="s">
        <v>521</v>
      </c>
      <c r="C48" s="5" t="s">
        <v>42</v>
      </c>
      <c r="D48" s="5" t="s">
        <v>522</v>
      </c>
      <c r="E48" s="5" t="s">
        <v>523</v>
      </c>
      <c r="F48" s="5" t="s">
        <v>524</v>
      </c>
      <c r="G48" s="5" t="s">
        <v>46</v>
      </c>
      <c r="H48" s="6" t="s">
        <v>47</v>
      </c>
      <c r="I48" s="5" t="s">
        <v>481</v>
      </c>
      <c r="J48" s="5" t="s">
        <v>49</v>
      </c>
      <c r="K48" s="5" t="n">
        <v>3.27</v>
      </c>
      <c r="L48" s="5" t="n">
        <v>100</v>
      </c>
      <c r="M48" s="5" t="s">
        <v>50</v>
      </c>
      <c r="N48" s="5" t="s">
        <v>525</v>
      </c>
      <c r="O48" s="5" t="s">
        <v>483</v>
      </c>
      <c r="P48" s="5" t="s">
        <v>53</v>
      </c>
      <c r="Q48" s="5" t="s">
        <v>54</v>
      </c>
      <c r="R48" s="5" t="s">
        <v>46</v>
      </c>
      <c r="S48" s="6" t="s">
        <v>55</v>
      </c>
      <c r="T48" s="5" t="s">
        <v>56</v>
      </c>
      <c r="U48" s="5" t="s">
        <v>57</v>
      </c>
      <c r="V48" s="5" t="n">
        <v>0</v>
      </c>
      <c r="W48" s="5" t="s">
        <v>58</v>
      </c>
      <c r="X48" s="5" t="s">
        <v>59</v>
      </c>
      <c r="Y48" s="6" t="s">
        <v>60</v>
      </c>
      <c r="Z48" s="6" t="s">
        <v>60</v>
      </c>
      <c r="AA48" s="5" t="s">
        <v>61</v>
      </c>
      <c r="AB48" s="5"/>
      <c r="AJ48" s="1" t="s">
        <v>484</v>
      </c>
      <c r="AK48" s="7" t="s">
        <v>63</v>
      </c>
      <c r="AL48" s="7" t="s">
        <v>63</v>
      </c>
      <c r="AM48" s="8" t="s">
        <v>64</v>
      </c>
      <c r="AN48" s="8" t="s">
        <v>64</v>
      </c>
    </row>
    <row r="49" customFormat="false" ht="21.75" hidden="false" customHeight="true" outlineLevel="0" collapsed="false">
      <c r="A49" s="5" t="s">
        <v>526</v>
      </c>
      <c r="B49" s="6" t="s">
        <v>527</v>
      </c>
      <c r="C49" s="5" t="s">
        <v>67</v>
      </c>
      <c r="D49" s="5" t="s">
        <v>528</v>
      </c>
      <c r="E49" s="5" t="s">
        <v>529</v>
      </c>
      <c r="F49" s="5" t="s">
        <v>530</v>
      </c>
      <c r="G49" s="5" t="s">
        <v>46</v>
      </c>
      <c r="H49" s="6" t="s">
        <v>531</v>
      </c>
      <c r="I49" s="5" t="s">
        <v>532</v>
      </c>
      <c r="J49" s="5" t="s">
        <v>74</v>
      </c>
      <c r="K49" s="5" t="n">
        <v>3.61</v>
      </c>
      <c r="L49" s="5" t="n">
        <v>66</v>
      </c>
      <c r="M49" s="5" t="s">
        <v>50</v>
      </c>
      <c r="N49" s="5" t="s">
        <v>533</v>
      </c>
      <c r="O49" s="5" t="s">
        <v>493</v>
      </c>
      <c r="P49" s="5" t="s">
        <v>76</v>
      </c>
      <c r="Q49" s="5" t="s">
        <v>54</v>
      </c>
      <c r="R49" s="5" t="s">
        <v>46</v>
      </c>
      <c r="S49" s="6" t="s">
        <v>77</v>
      </c>
      <c r="T49" s="5" t="s">
        <v>78</v>
      </c>
      <c r="U49" s="5" t="s">
        <v>57</v>
      </c>
      <c r="V49" s="5" t="n">
        <v>0</v>
      </c>
      <c r="W49" s="5" t="s">
        <v>58</v>
      </c>
      <c r="X49" s="5" t="s">
        <v>59</v>
      </c>
      <c r="Y49" s="6" t="s">
        <v>60</v>
      </c>
      <c r="Z49" s="6" t="s">
        <v>60</v>
      </c>
      <c r="AA49" s="5" t="s">
        <v>61</v>
      </c>
      <c r="AB49" s="5"/>
      <c r="AJ49" s="1" t="s">
        <v>484</v>
      </c>
      <c r="AK49" s="7" t="s">
        <v>63</v>
      </c>
      <c r="AL49" s="7" t="s">
        <v>63</v>
      </c>
      <c r="AM49" s="8" t="s">
        <v>64</v>
      </c>
      <c r="AN49" s="8" t="s">
        <v>64</v>
      </c>
    </row>
    <row r="50" customFormat="false" ht="15" hidden="false" customHeight="true" outlineLevel="0" collapsed="false">
      <c r="A50" s="5" t="s">
        <v>534</v>
      </c>
      <c r="B50" s="6" t="s">
        <v>535</v>
      </c>
      <c r="C50" s="5" t="s">
        <v>42</v>
      </c>
      <c r="D50" s="5" t="s">
        <v>536</v>
      </c>
      <c r="E50" s="5" t="s">
        <v>537</v>
      </c>
      <c r="F50" s="5" t="s">
        <v>538</v>
      </c>
      <c r="G50" s="5" t="s">
        <v>46</v>
      </c>
      <c r="H50" s="6" t="s">
        <v>490</v>
      </c>
      <c r="I50" s="5" t="s">
        <v>491</v>
      </c>
      <c r="J50" s="5" t="s">
        <v>86</v>
      </c>
      <c r="K50" s="5" t="n">
        <v>3.15</v>
      </c>
      <c r="L50" s="5" t="n">
        <v>128</v>
      </c>
      <c r="M50" s="5" t="s">
        <v>50</v>
      </c>
      <c r="N50" s="5" t="s">
        <v>539</v>
      </c>
      <c r="O50" s="5" t="s">
        <v>501</v>
      </c>
      <c r="P50" s="5" t="s">
        <v>89</v>
      </c>
      <c r="Q50" s="5" t="s">
        <v>54</v>
      </c>
      <c r="R50" s="5" t="s">
        <v>46</v>
      </c>
      <c r="S50" s="6" t="s">
        <v>90</v>
      </c>
      <c r="T50" s="5" t="s">
        <v>91</v>
      </c>
      <c r="U50" s="5" t="s">
        <v>57</v>
      </c>
      <c r="V50" s="5" t="n">
        <v>0</v>
      </c>
      <c r="W50" s="5" t="s">
        <v>58</v>
      </c>
      <c r="X50" s="5" t="s">
        <v>59</v>
      </c>
      <c r="Y50" s="6" t="s">
        <v>60</v>
      </c>
      <c r="Z50" s="6" t="s">
        <v>60</v>
      </c>
      <c r="AA50" s="5" t="s">
        <v>92</v>
      </c>
      <c r="AB50" s="5"/>
      <c r="AJ50" s="1" t="s">
        <v>484</v>
      </c>
      <c r="AK50" s="7" t="s">
        <v>63</v>
      </c>
      <c r="AL50" s="7" t="s">
        <v>63</v>
      </c>
      <c r="AM50" s="8" t="s">
        <v>64</v>
      </c>
      <c r="AN50" s="8" t="s">
        <v>64</v>
      </c>
    </row>
    <row r="51" customFormat="false" ht="21.75" hidden="false" customHeight="true" outlineLevel="0" collapsed="false">
      <c r="A51" s="17" t="s">
        <v>540</v>
      </c>
      <c r="B51" s="18" t="s">
        <v>541</v>
      </c>
      <c r="C51" s="17" t="s">
        <v>67</v>
      </c>
      <c r="D51" s="17" t="s">
        <v>542</v>
      </c>
      <c r="E51" s="17" t="s">
        <v>543</v>
      </c>
      <c r="F51" s="17" t="s">
        <v>544</v>
      </c>
      <c r="G51" s="17" t="s">
        <v>46</v>
      </c>
      <c r="H51" s="18" t="s">
        <v>270</v>
      </c>
      <c r="I51" s="17" t="s">
        <v>509</v>
      </c>
      <c r="J51" s="17" t="s">
        <v>49</v>
      </c>
      <c r="K51" s="17" t="n">
        <v>2.73</v>
      </c>
      <c r="L51" s="17" t="n">
        <v>90</v>
      </c>
      <c r="M51" s="17" t="s">
        <v>158</v>
      </c>
      <c r="N51" s="17" t="s">
        <v>545</v>
      </c>
      <c r="O51" s="17" t="s">
        <v>343</v>
      </c>
      <c r="P51" s="17" t="s">
        <v>53</v>
      </c>
      <c r="Q51" s="17" t="s">
        <v>54</v>
      </c>
      <c r="R51" s="17" t="s">
        <v>46</v>
      </c>
      <c r="S51" s="18" t="s">
        <v>159</v>
      </c>
      <c r="T51" s="17" t="s">
        <v>56</v>
      </c>
      <c r="U51" s="17" t="s">
        <v>160</v>
      </c>
      <c r="V51" s="17" t="n">
        <v>0</v>
      </c>
      <c r="W51" s="17" t="s">
        <v>58</v>
      </c>
      <c r="X51" s="17" t="s">
        <v>59</v>
      </c>
      <c r="Y51" s="18" t="s">
        <v>60</v>
      </c>
      <c r="Z51" s="18" t="s">
        <v>60</v>
      </c>
      <c r="AA51" s="17" t="s">
        <v>61</v>
      </c>
      <c r="AB51" s="17"/>
      <c r="AJ51" s="1" t="s">
        <v>484</v>
      </c>
      <c r="AK51" s="19" t="s">
        <v>63</v>
      </c>
      <c r="AL51" s="19" t="s">
        <v>63</v>
      </c>
      <c r="AM51" s="20" t="s">
        <v>64</v>
      </c>
      <c r="AN51" s="20" t="s">
        <v>64</v>
      </c>
    </row>
    <row r="52" customFormat="false" ht="21.75" hidden="false" customHeight="true" outlineLevel="0" collapsed="false">
      <c r="A52" s="5" t="s">
        <v>546</v>
      </c>
      <c r="B52" s="6" t="s">
        <v>547</v>
      </c>
      <c r="C52" s="5" t="s">
        <v>67</v>
      </c>
      <c r="D52" s="5" t="s">
        <v>548</v>
      </c>
      <c r="E52" s="5" t="s">
        <v>549</v>
      </c>
      <c r="F52" s="5" t="s">
        <v>550</v>
      </c>
      <c r="G52" s="5" t="s">
        <v>46</v>
      </c>
      <c r="H52" s="6" t="s">
        <v>166</v>
      </c>
      <c r="I52" s="5" t="s">
        <v>499</v>
      </c>
      <c r="J52" s="5" t="s">
        <v>118</v>
      </c>
      <c r="K52" s="5" t="n">
        <v>3.38</v>
      </c>
      <c r="L52" s="5" t="n">
        <v>28</v>
      </c>
      <c r="M52" s="5" t="s">
        <v>50</v>
      </c>
      <c r="N52" s="5" t="s">
        <v>551</v>
      </c>
      <c r="O52" s="5" t="s">
        <v>519</v>
      </c>
      <c r="P52" s="5" t="s">
        <v>121</v>
      </c>
      <c r="Q52" s="5" t="s">
        <v>54</v>
      </c>
      <c r="R52" s="5" t="s">
        <v>46</v>
      </c>
      <c r="S52" s="6" t="s">
        <v>167</v>
      </c>
      <c r="T52" s="5" t="s">
        <v>123</v>
      </c>
      <c r="U52" s="5" t="s">
        <v>57</v>
      </c>
      <c r="V52" s="5" t="n">
        <v>0</v>
      </c>
      <c r="W52" s="5" t="s">
        <v>58</v>
      </c>
      <c r="X52" s="5" t="s">
        <v>59</v>
      </c>
      <c r="Y52" s="6" t="s">
        <v>60</v>
      </c>
      <c r="Z52" s="6" t="s">
        <v>60</v>
      </c>
      <c r="AA52" s="5" t="s">
        <v>61</v>
      </c>
      <c r="AB52" s="5"/>
      <c r="AJ52" s="1" t="s">
        <v>484</v>
      </c>
      <c r="AK52" s="7" t="s">
        <v>63</v>
      </c>
      <c r="AL52" s="7" t="s">
        <v>63</v>
      </c>
      <c r="AM52" s="8" t="s">
        <v>64</v>
      </c>
      <c r="AN52" s="8" t="s">
        <v>64</v>
      </c>
    </row>
    <row r="53" customFormat="false" ht="15" hidden="false" customHeight="true" outlineLevel="0" collapsed="false">
      <c r="A53" s="5" t="s">
        <v>552</v>
      </c>
      <c r="B53" s="6" t="s">
        <v>553</v>
      </c>
      <c r="C53" s="5" t="s">
        <v>42</v>
      </c>
      <c r="D53" s="5" t="s">
        <v>554</v>
      </c>
      <c r="E53" s="5" t="s">
        <v>555</v>
      </c>
      <c r="F53" s="5" t="s">
        <v>556</v>
      </c>
      <c r="G53" s="5" t="s">
        <v>46</v>
      </c>
      <c r="H53" s="6" t="s">
        <v>47</v>
      </c>
      <c r="I53" s="5" t="s">
        <v>481</v>
      </c>
      <c r="J53" s="5" t="s">
        <v>74</v>
      </c>
      <c r="K53" s="5" t="n">
        <v>3.02</v>
      </c>
      <c r="L53" s="5" t="n">
        <v>67</v>
      </c>
      <c r="M53" s="5" t="s">
        <v>50</v>
      </c>
      <c r="N53" s="5" t="s">
        <v>557</v>
      </c>
      <c r="O53" s="5" t="s">
        <v>558</v>
      </c>
      <c r="P53" s="5" t="s">
        <v>76</v>
      </c>
      <c r="Q53" s="5" t="s">
        <v>54</v>
      </c>
      <c r="R53" s="5" t="s">
        <v>46</v>
      </c>
      <c r="S53" s="6" t="s">
        <v>77</v>
      </c>
      <c r="T53" s="5" t="s">
        <v>78</v>
      </c>
      <c r="U53" s="5" t="s">
        <v>57</v>
      </c>
      <c r="V53" s="5" t="n">
        <v>0</v>
      </c>
      <c r="W53" s="5" t="s">
        <v>58</v>
      </c>
      <c r="X53" s="5" t="s">
        <v>59</v>
      </c>
      <c r="Y53" s="6" t="s">
        <v>60</v>
      </c>
      <c r="Z53" s="6" t="s">
        <v>60</v>
      </c>
      <c r="AA53" s="5" t="s">
        <v>61</v>
      </c>
      <c r="AB53" s="5"/>
      <c r="AJ53" s="1" t="s">
        <v>484</v>
      </c>
      <c r="AK53" s="7" t="s">
        <v>63</v>
      </c>
      <c r="AL53" s="7" t="s">
        <v>63</v>
      </c>
      <c r="AM53" s="8" t="s">
        <v>64</v>
      </c>
      <c r="AN53" s="8" t="s">
        <v>64</v>
      </c>
    </row>
    <row r="54" customFormat="false" ht="15" hidden="false" customHeight="true" outlineLevel="0" collapsed="false">
      <c r="A54" s="9" t="s">
        <v>559</v>
      </c>
      <c r="B54" s="10" t="s">
        <v>560</v>
      </c>
      <c r="C54" s="9" t="s">
        <v>67</v>
      </c>
      <c r="D54" s="9" t="s">
        <v>561</v>
      </c>
      <c r="E54" s="9" t="s">
        <v>562</v>
      </c>
      <c r="F54" s="9" t="s">
        <v>563</v>
      </c>
      <c r="G54" s="9" t="s">
        <v>46</v>
      </c>
      <c r="H54" s="10" t="s">
        <v>490</v>
      </c>
      <c r="I54" s="9" t="s">
        <v>491</v>
      </c>
      <c r="J54" s="9" t="s">
        <v>86</v>
      </c>
      <c r="K54" s="9" t="n">
        <v>2.58</v>
      </c>
      <c r="L54" s="9" t="n">
        <v>129</v>
      </c>
      <c r="M54" s="9" t="s">
        <v>103</v>
      </c>
      <c r="N54" s="9" t="s">
        <v>482</v>
      </c>
      <c r="O54" s="9" t="s">
        <v>564</v>
      </c>
      <c r="P54" s="9"/>
      <c r="Q54" s="9" t="s">
        <v>54</v>
      </c>
      <c r="R54" s="9" t="s">
        <v>46</v>
      </c>
      <c r="S54" s="10" t="s">
        <v>106</v>
      </c>
      <c r="T54" s="9" t="s">
        <v>107</v>
      </c>
      <c r="U54" s="9" t="s">
        <v>108</v>
      </c>
      <c r="V54" s="9" t="n">
        <v>0</v>
      </c>
      <c r="W54" s="9" t="s">
        <v>108</v>
      </c>
      <c r="X54" s="9" t="s">
        <v>59</v>
      </c>
      <c r="Y54" s="10" t="s">
        <v>60</v>
      </c>
      <c r="Z54" s="10" t="s">
        <v>60</v>
      </c>
      <c r="AA54" s="9" t="s">
        <v>109</v>
      </c>
      <c r="AB54" s="9" t="s">
        <v>110</v>
      </c>
      <c r="AJ54" s="1" t="s">
        <v>484</v>
      </c>
      <c r="AK54" s="11" t="s">
        <v>63</v>
      </c>
      <c r="AL54" s="11" t="s">
        <v>63</v>
      </c>
      <c r="AM54" s="12" t="s">
        <v>64</v>
      </c>
      <c r="AN54" s="12" t="s">
        <v>64</v>
      </c>
    </row>
    <row r="55" customFormat="false" ht="21.75" hidden="false" customHeight="true" outlineLevel="0" collapsed="false">
      <c r="A55" s="5" t="s">
        <v>565</v>
      </c>
      <c r="B55" s="6" t="s">
        <v>566</v>
      </c>
      <c r="C55" s="5" t="s">
        <v>42</v>
      </c>
      <c r="D55" s="5" t="s">
        <v>567</v>
      </c>
      <c r="E55" s="5" t="s">
        <v>568</v>
      </c>
      <c r="F55" s="5" t="s">
        <v>569</v>
      </c>
      <c r="G55" s="5" t="s">
        <v>46</v>
      </c>
      <c r="H55" s="6" t="s">
        <v>517</v>
      </c>
      <c r="I55" s="5" t="s">
        <v>499</v>
      </c>
      <c r="J55" s="5" t="s">
        <v>49</v>
      </c>
      <c r="K55" s="5" t="n">
        <v>3.55</v>
      </c>
      <c r="L55" s="5" t="n">
        <v>95</v>
      </c>
      <c r="M55" s="5" t="s">
        <v>50</v>
      </c>
      <c r="N55" s="5" t="s">
        <v>570</v>
      </c>
      <c r="O55" s="5" t="s">
        <v>52</v>
      </c>
      <c r="P55" s="5" t="s">
        <v>53</v>
      </c>
      <c r="Q55" s="5" t="s">
        <v>54</v>
      </c>
      <c r="R55" s="5" t="s">
        <v>46</v>
      </c>
      <c r="S55" s="6" t="s">
        <v>55</v>
      </c>
      <c r="T55" s="5" t="s">
        <v>56</v>
      </c>
      <c r="U55" s="5" t="s">
        <v>57</v>
      </c>
      <c r="V55" s="5" t="n">
        <v>0</v>
      </c>
      <c r="W55" s="5" t="s">
        <v>58</v>
      </c>
      <c r="X55" s="5" t="s">
        <v>59</v>
      </c>
      <c r="Y55" s="6" t="s">
        <v>60</v>
      </c>
      <c r="Z55" s="6" t="s">
        <v>60</v>
      </c>
      <c r="AA55" s="5" t="s">
        <v>61</v>
      </c>
      <c r="AB55" s="5"/>
      <c r="AJ55" s="1" t="s">
        <v>484</v>
      </c>
      <c r="AK55" s="7" t="s">
        <v>63</v>
      </c>
      <c r="AL55" s="7" t="s">
        <v>63</v>
      </c>
      <c r="AM55" s="8" t="s">
        <v>64</v>
      </c>
      <c r="AN55" s="8" t="s">
        <v>64</v>
      </c>
    </row>
    <row r="56" customFormat="false" ht="21.75" hidden="false" customHeight="true" outlineLevel="0" collapsed="false">
      <c r="A56" s="21" t="s">
        <v>571</v>
      </c>
      <c r="B56" s="22" t="s">
        <v>572</v>
      </c>
      <c r="C56" s="21" t="s">
        <v>67</v>
      </c>
      <c r="D56" s="21" t="s">
        <v>573</v>
      </c>
      <c r="E56" s="21" t="s">
        <v>574</v>
      </c>
      <c r="F56" s="21" t="s">
        <v>575</v>
      </c>
      <c r="G56" s="21" t="s">
        <v>46</v>
      </c>
      <c r="H56" s="22" t="s">
        <v>531</v>
      </c>
      <c r="I56" s="21" t="s">
        <v>532</v>
      </c>
      <c r="J56" s="21" t="s">
        <v>86</v>
      </c>
      <c r="K56" s="21" t="n">
        <v>1.92</v>
      </c>
      <c r="L56" s="21" t="n">
        <v>119</v>
      </c>
      <c r="M56" s="21" t="s">
        <v>195</v>
      </c>
      <c r="N56" s="21" t="s">
        <v>539</v>
      </c>
      <c r="O56" s="21" t="s">
        <v>511</v>
      </c>
      <c r="P56" s="21" t="s">
        <v>89</v>
      </c>
      <c r="Q56" s="21" t="s">
        <v>54</v>
      </c>
      <c r="R56" s="21" t="s">
        <v>46</v>
      </c>
      <c r="S56" s="22" t="s">
        <v>196</v>
      </c>
      <c r="T56" s="21" t="s">
        <v>91</v>
      </c>
      <c r="U56" s="21" t="s">
        <v>197</v>
      </c>
      <c r="V56" s="21" t="n">
        <v>75000</v>
      </c>
      <c r="W56" s="21" t="s">
        <v>195</v>
      </c>
      <c r="X56" s="21" t="s">
        <v>125</v>
      </c>
      <c r="Y56" s="22" t="s">
        <v>60</v>
      </c>
      <c r="Z56" s="22" t="s">
        <v>60</v>
      </c>
      <c r="AA56" s="21" t="s">
        <v>126</v>
      </c>
      <c r="AB56" s="21"/>
      <c r="AJ56" s="1" t="s">
        <v>484</v>
      </c>
      <c r="AK56" s="23" t="s">
        <v>63</v>
      </c>
      <c r="AL56" s="23" t="s">
        <v>63</v>
      </c>
      <c r="AM56" s="24" t="s">
        <v>64</v>
      </c>
      <c r="AN56" s="24" t="s">
        <v>64</v>
      </c>
    </row>
    <row r="57" customFormat="false" ht="21.75" hidden="false" customHeight="true" outlineLevel="0" collapsed="false">
      <c r="A57" s="5" t="s">
        <v>576</v>
      </c>
      <c r="B57" s="6" t="s">
        <v>577</v>
      </c>
      <c r="C57" s="5" t="s">
        <v>42</v>
      </c>
      <c r="D57" s="5" t="s">
        <v>578</v>
      </c>
      <c r="E57" s="5" t="s">
        <v>579</v>
      </c>
      <c r="F57" s="5" t="s">
        <v>580</v>
      </c>
      <c r="G57" s="5" t="s">
        <v>46</v>
      </c>
      <c r="H57" s="6" t="s">
        <v>270</v>
      </c>
      <c r="I57" s="5" t="s">
        <v>509</v>
      </c>
      <c r="J57" s="5" t="s">
        <v>118</v>
      </c>
      <c r="K57" s="5" t="n">
        <v>3.79</v>
      </c>
      <c r="L57" s="5" t="n">
        <v>36</v>
      </c>
      <c r="M57" s="5" t="s">
        <v>50</v>
      </c>
      <c r="N57" s="5" t="s">
        <v>482</v>
      </c>
      <c r="O57" s="5" t="s">
        <v>519</v>
      </c>
      <c r="P57" s="5" t="s">
        <v>121</v>
      </c>
      <c r="Q57" s="5" t="s">
        <v>54</v>
      </c>
      <c r="R57" s="5" t="s">
        <v>46</v>
      </c>
      <c r="S57" s="6" t="s">
        <v>167</v>
      </c>
      <c r="T57" s="5" t="s">
        <v>123</v>
      </c>
      <c r="U57" s="5" t="s">
        <v>57</v>
      </c>
      <c r="V57" s="5" t="n">
        <v>0</v>
      </c>
      <c r="W57" s="5" t="s">
        <v>58</v>
      </c>
      <c r="X57" s="5" t="s">
        <v>59</v>
      </c>
      <c r="Y57" s="6" t="s">
        <v>60</v>
      </c>
      <c r="Z57" s="6" t="s">
        <v>60</v>
      </c>
      <c r="AA57" s="5" t="s">
        <v>61</v>
      </c>
      <c r="AB57" s="5"/>
      <c r="AJ57" s="1" t="s">
        <v>484</v>
      </c>
      <c r="AK57" s="7" t="s">
        <v>63</v>
      </c>
      <c r="AL57" s="7" t="s">
        <v>63</v>
      </c>
      <c r="AM57" s="8" t="s">
        <v>64</v>
      </c>
      <c r="AN57" s="8" t="s">
        <v>64</v>
      </c>
    </row>
    <row r="58" customFormat="false" ht="15" hidden="false" customHeight="true" outlineLevel="0" collapsed="false">
      <c r="A58" s="5" t="s">
        <v>581</v>
      </c>
      <c r="B58" s="6" t="s">
        <v>582</v>
      </c>
      <c r="C58" s="5" t="s">
        <v>67</v>
      </c>
      <c r="D58" s="5" t="s">
        <v>583</v>
      </c>
      <c r="E58" s="5" t="s">
        <v>584</v>
      </c>
      <c r="F58" s="5" t="s">
        <v>585</v>
      </c>
      <c r="G58" s="5" t="s">
        <v>46</v>
      </c>
      <c r="H58" s="6" t="s">
        <v>47</v>
      </c>
      <c r="I58" s="5" t="s">
        <v>481</v>
      </c>
      <c r="J58" s="5" t="s">
        <v>49</v>
      </c>
      <c r="K58" s="5" t="n">
        <v>3.11</v>
      </c>
      <c r="L58" s="5" t="n">
        <v>98</v>
      </c>
      <c r="M58" s="5" t="s">
        <v>50</v>
      </c>
      <c r="N58" s="5" t="s">
        <v>525</v>
      </c>
      <c r="O58" s="5" t="s">
        <v>483</v>
      </c>
      <c r="P58" s="5" t="s">
        <v>53</v>
      </c>
      <c r="Q58" s="5" t="s">
        <v>54</v>
      </c>
      <c r="R58" s="5" t="s">
        <v>46</v>
      </c>
      <c r="S58" s="6" t="s">
        <v>55</v>
      </c>
      <c r="T58" s="5" t="s">
        <v>56</v>
      </c>
      <c r="U58" s="5" t="s">
        <v>57</v>
      </c>
      <c r="V58" s="5" t="n">
        <v>0</v>
      </c>
      <c r="W58" s="5" t="s">
        <v>58</v>
      </c>
      <c r="X58" s="5" t="s">
        <v>59</v>
      </c>
      <c r="Y58" s="6" t="s">
        <v>60</v>
      </c>
      <c r="Z58" s="6" t="s">
        <v>60</v>
      </c>
      <c r="AA58" s="5" t="s">
        <v>61</v>
      </c>
      <c r="AB58" s="5"/>
      <c r="AJ58" s="1" t="s">
        <v>484</v>
      </c>
      <c r="AK58" s="7" t="s">
        <v>63</v>
      </c>
      <c r="AL58" s="7" t="s">
        <v>63</v>
      </c>
      <c r="AM58" s="8" t="s">
        <v>64</v>
      </c>
      <c r="AN58" s="8" t="s">
        <v>64</v>
      </c>
    </row>
    <row r="59" customFormat="false" ht="21.75" hidden="false" customHeight="true" outlineLevel="0" collapsed="false">
      <c r="A59" s="5" t="s">
        <v>586</v>
      </c>
      <c r="B59" s="6" t="s">
        <v>587</v>
      </c>
      <c r="C59" s="5" t="s">
        <v>42</v>
      </c>
      <c r="D59" s="5" t="s">
        <v>588</v>
      </c>
      <c r="E59" s="5" t="s">
        <v>589</v>
      </c>
      <c r="F59" s="5" t="s">
        <v>590</v>
      </c>
      <c r="G59" s="5" t="s">
        <v>46</v>
      </c>
      <c r="H59" s="6" t="s">
        <v>166</v>
      </c>
      <c r="I59" s="5" t="s">
        <v>499</v>
      </c>
      <c r="J59" s="5" t="s">
        <v>74</v>
      </c>
      <c r="K59" s="5" t="n">
        <v>3.64</v>
      </c>
      <c r="L59" s="5" t="n">
        <v>64</v>
      </c>
      <c r="M59" s="5" t="s">
        <v>50</v>
      </c>
      <c r="N59" s="5" t="s">
        <v>500</v>
      </c>
      <c r="O59" s="5" t="s">
        <v>493</v>
      </c>
      <c r="P59" s="5" t="s">
        <v>76</v>
      </c>
      <c r="Q59" s="5" t="s">
        <v>54</v>
      </c>
      <c r="R59" s="5" t="s">
        <v>46</v>
      </c>
      <c r="S59" s="6" t="s">
        <v>77</v>
      </c>
      <c r="T59" s="5" t="s">
        <v>78</v>
      </c>
      <c r="U59" s="5" t="s">
        <v>57</v>
      </c>
      <c r="V59" s="5" t="n">
        <v>0</v>
      </c>
      <c r="W59" s="5" t="s">
        <v>58</v>
      </c>
      <c r="X59" s="5" t="s">
        <v>59</v>
      </c>
      <c r="Y59" s="6" t="s">
        <v>60</v>
      </c>
      <c r="Z59" s="6" t="s">
        <v>60</v>
      </c>
      <c r="AA59" s="5" t="s">
        <v>61</v>
      </c>
      <c r="AB59" s="5"/>
      <c r="AJ59" s="1" t="s">
        <v>484</v>
      </c>
      <c r="AK59" s="7" t="s">
        <v>63</v>
      </c>
      <c r="AL59" s="7" t="s">
        <v>63</v>
      </c>
      <c r="AM59" s="8" t="s">
        <v>64</v>
      </c>
      <c r="AN59" s="8" t="s">
        <v>64</v>
      </c>
    </row>
    <row r="60" customFormat="false" ht="15" hidden="false" customHeight="true" outlineLevel="0" collapsed="false">
      <c r="A60" s="5" t="s">
        <v>591</v>
      </c>
      <c r="B60" s="6" t="s">
        <v>592</v>
      </c>
      <c r="C60" s="5" t="s">
        <v>67</v>
      </c>
      <c r="D60" s="5" t="s">
        <v>593</v>
      </c>
      <c r="E60" s="5" t="s">
        <v>594</v>
      </c>
      <c r="F60" s="5" t="s">
        <v>595</v>
      </c>
      <c r="G60" s="5" t="s">
        <v>46</v>
      </c>
      <c r="H60" s="6" t="s">
        <v>490</v>
      </c>
      <c r="I60" s="5" t="s">
        <v>491</v>
      </c>
      <c r="J60" s="5" t="s">
        <v>86</v>
      </c>
      <c r="K60" s="5" t="n">
        <v>3.05</v>
      </c>
      <c r="L60" s="5" t="n">
        <v>126</v>
      </c>
      <c r="M60" s="5" t="s">
        <v>50</v>
      </c>
      <c r="N60" s="5" t="s">
        <v>510</v>
      </c>
      <c r="O60" s="5" t="s">
        <v>501</v>
      </c>
      <c r="P60" s="5" t="s">
        <v>89</v>
      </c>
      <c r="Q60" s="5" t="s">
        <v>54</v>
      </c>
      <c r="R60" s="5" t="s">
        <v>46</v>
      </c>
      <c r="S60" s="6" t="s">
        <v>90</v>
      </c>
      <c r="T60" s="5" t="s">
        <v>91</v>
      </c>
      <c r="U60" s="5" t="s">
        <v>57</v>
      </c>
      <c r="V60" s="5" t="n">
        <v>0</v>
      </c>
      <c r="W60" s="5" t="s">
        <v>58</v>
      </c>
      <c r="X60" s="5" t="s">
        <v>59</v>
      </c>
      <c r="Y60" s="6" t="s">
        <v>60</v>
      </c>
      <c r="Z60" s="6" t="s">
        <v>60</v>
      </c>
      <c r="AA60" s="5" t="s">
        <v>92</v>
      </c>
      <c r="AB60" s="5"/>
      <c r="AJ60" s="1" t="s">
        <v>484</v>
      </c>
      <c r="AK60" s="7" t="s">
        <v>63</v>
      </c>
      <c r="AL60" s="7" t="s">
        <v>93</v>
      </c>
      <c r="AM60" s="8" t="s">
        <v>596</v>
      </c>
      <c r="AN60" s="8" t="s">
        <v>597</v>
      </c>
    </row>
    <row r="61" customFormat="false" ht="21.75" hidden="false" customHeight="true" outlineLevel="0" collapsed="false">
      <c r="A61" s="5" t="s">
        <v>598</v>
      </c>
      <c r="B61" s="6" t="s">
        <v>599</v>
      </c>
      <c r="C61" s="5" t="s">
        <v>42</v>
      </c>
      <c r="D61" s="5" t="s">
        <v>600</v>
      </c>
      <c r="E61" s="5" t="s">
        <v>601</v>
      </c>
      <c r="F61" s="5" t="s">
        <v>602</v>
      </c>
      <c r="G61" s="5" t="s">
        <v>46</v>
      </c>
      <c r="H61" s="6" t="s">
        <v>531</v>
      </c>
      <c r="I61" s="5" t="s">
        <v>532</v>
      </c>
      <c r="J61" s="5" t="s">
        <v>49</v>
      </c>
      <c r="K61" s="5" t="n">
        <v>3.44</v>
      </c>
      <c r="L61" s="5" t="n">
        <v>92</v>
      </c>
      <c r="M61" s="5" t="s">
        <v>50</v>
      </c>
      <c r="N61" s="5" t="s">
        <v>603</v>
      </c>
      <c r="O61" s="5" t="s">
        <v>343</v>
      </c>
      <c r="P61" s="5" t="s">
        <v>53</v>
      </c>
      <c r="Q61" s="5" t="s">
        <v>54</v>
      </c>
      <c r="R61" s="5" t="s">
        <v>46</v>
      </c>
      <c r="S61" s="6" t="s">
        <v>55</v>
      </c>
      <c r="T61" s="5" t="s">
        <v>56</v>
      </c>
      <c r="U61" s="5" t="s">
        <v>57</v>
      </c>
      <c r="V61" s="5" t="n">
        <v>0</v>
      </c>
      <c r="W61" s="5" t="s">
        <v>58</v>
      </c>
      <c r="X61" s="5" t="s">
        <v>59</v>
      </c>
      <c r="Y61" s="6" t="s">
        <v>60</v>
      </c>
      <c r="Z61" s="6" t="s">
        <v>60</v>
      </c>
      <c r="AA61" s="5" t="s">
        <v>61</v>
      </c>
      <c r="AB61" s="5"/>
      <c r="AJ61" s="1" t="s">
        <v>484</v>
      </c>
      <c r="AK61" s="7" t="s">
        <v>63</v>
      </c>
      <c r="AL61" s="7" t="s">
        <v>63</v>
      </c>
      <c r="AM61" s="8" t="s">
        <v>64</v>
      </c>
      <c r="AN61" s="8" t="s">
        <v>64</v>
      </c>
    </row>
    <row r="62" customFormat="false" ht="15" hidden="false" customHeight="true" outlineLevel="0" collapsed="false">
      <c r="A62" s="13" t="s">
        <v>604</v>
      </c>
      <c r="B62" s="14" t="s">
        <v>605</v>
      </c>
      <c r="C62" s="13" t="s">
        <v>67</v>
      </c>
      <c r="D62" s="13" t="s">
        <v>606</v>
      </c>
      <c r="E62" s="13" t="s">
        <v>607</v>
      </c>
      <c r="F62" s="13" t="s">
        <v>608</v>
      </c>
      <c r="G62" s="13" t="s">
        <v>46</v>
      </c>
      <c r="H62" s="14" t="s">
        <v>47</v>
      </c>
      <c r="I62" s="13" t="s">
        <v>481</v>
      </c>
      <c r="J62" s="13" t="s">
        <v>118</v>
      </c>
      <c r="K62" s="13" t="n">
        <v>2.21</v>
      </c>
      <c r="L62" s="13" t="n">
        <v>29</v>
      </c>
      <c r="M62" s="13" t="s">
        <v>119</v>
      </c>
      <c r="N62" s="13" t="s">
        <v>609</v>
      </c>
      <c r="O62" s="13" t="s">
        <v>519</v>
      </c>
      <c r="P62" s="13" t="s">
        <v>121</v>
      </c>
      <c r="Q62" s="13" t="s">
        <v>54</v>
      </c>
      <c r="R62" s="13" t="s">
        <v>46</v>
      </c>
      <c r="S62" s="14" t="s">
        <v>122</v>
      </c>
      <c r="T62" s="13" t="s">
        <v>123</v>
      </c>
      <c r="U62" s="13" t="s">
        <v>124</v>
      </c>
      <c r="V62" s="13" t="n">
        <v>35000</v>
      </c>
      <c r="W62" s="13" t="s">
        <v>119</v>
      </c>
      <c r="X62" s="13" t="s">
        <v>125</v>
      </c>
      <c r="Y62" s="14" t="s">
        <v>60</v>
      </c>
      <c r="Z62" s="14" t="s">
        <v>60</v>
      </c>
      <c r="AA62" s="13" t="s">
        <v>126</v>
      </c>
      <c r="AB62" s="13"/>
      <c r="AJ62" s="1" t="s">
        <v>484</v>
      </c>
      <c r="AK62" s="15" t="s">
        <v>63</v>
      </c>
      <c r="AL62" s="15" t="s">
        <v>63</v>
      </c>
      <c r="AM62" s="16" t="s">
        <v>64</v>
      </c>
      <c r="AN62" s="16" t="s">
        <v>64</v>
      </c>
    </row>
    <row r="63" customFormat="false" ht="21.75" hidden="false" customHeight="true" outlineLevel="0" collapsed="false">
      <c r="A63" s="5" t="s">
        <v>610</v>
      </c>
      <c r="B63" s="6" t="s">
        <v>611</v>
      </c>
      <c r="C63" s="5" t="s">
        <v>42</v>
      </c>
      <c r="D63" s="5" t="s">
        <v>612</v>
      </c>
      <c r="E63" s="5" t="s">
        <v>613</v>
      </c>
      <c r="F63" s="5" t="s">
        <v>614</v>
      </c>
      <c r="G63" s="5" t="s">
        <v>46</v>
      </c>
      <c r="H63" s="6" t="s">
        <v>517</v>
      </c>
      <c r="I63" s="5" t="s">
        <v>499</v>
      </c>
      <c r="J63" s="5" t="s">
        <v>74</v>
      </c>
      <c r="K63" s="5" t="n">
        <v>3.59</v>
      </c>
      <c r="L63" s="5" t="n">
        <v>65</v>
      </c>
      <c r="M63" s="5" t="s">
        <v>50</v>
      </c>
      <c r="N63" s="5" t="s">
        <v>615</v>
      </c>
      <c r="O63" s="5" t="s">
        <v>558</v>
      </c>
      <c r="P63" s="5" t="s">
        <v>76</v>
      </c>
      <c r="Q63" s="5" t="s">
        <v>54</v>
      </c>
      <c r="R63" s="5" t="s">
        <v>46</v>
      </c>
      <c r="S63" s="6" t="s">
        <v>77</v>
      </c>
      <c r="T63" s="5" t="s">
        <v>78</v>
      </c>
      <c r="U63" s="5" t="s">
        <v>57</v>
      </c>
      <c r="V63" s="5" t="n">
        <v>0</v>
      </c>
      <c r="W63" s="5" t="s">
        <v>58</v>
      </c>
      <c r="X63" s="5" t="s">
        <v>59</v>
      </c>
      <c r="Y63" s="6" t="s">
        <v>60</v>
      </c>
      <c r="Z63" s="6" t="s">
        <v>60</v>
      </c>
      <c r="AA63" s="5" t="s">
        <v>61</v>
      </c>
      <c r="AB63" s="5"/>
      <c r="AJ63" s="1" t="s">
        <v>484</v>
      </c>
      <c r="AK63" s="7" t="s">
        <v>63</v>
      </c>
      <c r="AL63" s="7" t="s">
        <v>63</v>
      </c>
      <c r="AM63" s="8" t="s">
        <v>64</v>
      </c>
      <c r="AN63" s="8" t="s">
        <v>64</v>
      </c>
    </row>
    <row r="64" customFormat="false" ht="21.75" hidden="false" customHeight="true" outlineLevel="0" collapsed="false">
      <c r="A64" s="5" t="s">
        <v>616</v>
      </c>
      <c r="B64" s="6" t="s">
        <v>617</v>
      </c>
      <c r="C64" s="5" t="s">
        <v>67</v>
      </c>
      <c r="D64" s="5" t="s">
        <v>618</v>
      </c>
      <c r="E64" s="5" t="s">
        <v>619</v>
      </c>
      <c r="F64" s="5" t="s">
        <v>620</v>
      </c>
      <c r="G64" s="5" t="s">
        <v>46</v>
      </c>
      <c r="H64" s="6" t="s">
        <v>270</v>
      </c>
      <c r="I64" s="5" t="s">
        <v>509</v>
      </c>
      <c r="J64" s="5" t="s">
        <v>86</v>
      </c>
      <c r="K64" s="5" t="n">
        <v>3.67</v>
      </c>
      <c r="L64" s="5" t="n">
        <v>127</v>
      </c>
      <c r="M64" s="5" t="s">
        <v>50</v>
      </c>
      <c r="N64" s="5" t="s">
        <v>621</v>
      </c>
      <c r="O64" s="5" t="s">
        <v>564</v>
      </c>
      <c r="P64" s="5" t="s">
        <v>89</v>
      </c>
      <c r="Q64" s="5" t="s">
        <v>54</v>
      </c>
      <c r="R64" s="5" t="s">
        <v>46</v>
      </c>
      <c r="S64" s="6" t="s">
        <v>90</v>
      </c>
      <c r="T64" s="5" t="s">
        <v>91</v>
      </c>
      <c r="U64" s="5" t="s">
        <v>57</v>
      </c>
      <c r="V64" s="5" t="n">
        <v>0</v>
      </c>
      <c r="W64" s="5" t="s">
        <v>58</v>
      </c>
      <c r="X64" s="5" t="s">
        <v>59</v>
      </c>
      <c r="Y64" s="6" t="s">
        <v>60</v>
      </c>
      <c r="Z64" s="6" t="s">
        <v>60</v>
      </c>
      <c r="AA64" s="5" t="s">
        <v>92</v>
      </c>
      <c r="AB64" s="5"/>
      <c r="AJ64" s="1" t="s">
        <v>484</v>
      </c>
      <c r="AK64" s="7" t="s">
        <v>63</v>
      </c>
      <c r="AL64" s="7" t="s">
        <v>63</v>
      </c>
      <c r="AM64" s="8" t="s">
        <v>64</v>
      </c>
      <c r="AN64" s="8" t="s">
        <v>64</v>
      </c>
    </row>
    <row r="65" customFormat="false" ht="15" hidden="false" customHeight="true" outlineLevel="0" collapsed="false">
      <c r="A65" s="17" t="s">
        <v>622</v>
      </c>
      <c r="B65" s="18" t="s">
        <v>623</v>
      </c>
      <c r="C65" s="17" t="s">
        <v>42</v>
      </c>
      <c r="D65" s="17" t="s">
        <v>624</v>
      </c>
      <c r="E65" s="17" t="s">
        <v>625</v>
      </c>
      <c r="F65" s="17" t="s">
        <v>626</v>
      </c>
      <c r="G65" s="17" t="s">
        <v>46</v>
      </c>
      <c r="H65" s="18" t="s">
        <v>490</v>
      </c>
      <c r="I65" s="17" t="s">
        <v>491</v>
      </c>
      <c r="J65" s="17" t="s">
        <v>49</v>
      </c>
      <c r="K65" s="17" t="n">
        <v>2.84</v>
      </c>
      <c r="L65" s="17" t="n">
        <v>89</v>
      </c>
      <c r="M65" s="17" t="s">
        <v>158</v>
      </c>
      <c r="N65" s="17" t="s">
        <v>492</v>
      </c>
      <c r="O65" s="17" t="s">
        <v>52</v>
      </c>
      <c r="P65" s="17" t="s">
        <v>53</v>
      </c>
      <c r="Q65" s="17" t="s">
        <v>54</v>
      </c>
      <c r="R65" s="17" t="s">
        <v>46</v>
      </c>
      <c r="S65" s="18" t="s">
        <v>159</v>
      </c>
      <c r="T65" s="17" t="s">
        <v>56</v>
      </c>
      <c r="U65" s="17" t="s">
        <v>160</v>
      </c>
      <c r="V65" s="17" t="n">
        <v>0</v>
      </c>
      <c r="W65" s="17" t="s">
        <v>58</v>
      </c>
      <c r="X65" s="17" t="s">
        <v>59</v>
      </c>
      <c r="Y65" s="18" t="s">
        <v>60</v>
      </c>
      <c r="Z65" s="18" t="s">
        <v>60</v>
      </c>
      <c r="AA65" s="17" t="s">
        <v>61</v>
      </c>
      <c r="AB65" s="17"/>
      <c r="AJ65" s="1" t="s">
        <v>484</v>
      </c>
      <c r="AK65" s="19" t="s">
        <v>63</v>
      </c>
      <c r="AL65" s="19" t="s">
        <v>63</v>
      </c>
      <c r="AM65" s="20" t="s">
        <v>64</v>
      </c>
      <c r="AN65" s="20" t="s">
        <v>64</v>
      </c>
    </row>
    <row r="66" customFormat="false" ht="21.75" hidden="false" customHeight="true" outlineLevel="0" collapsed="false">
      <c r="A66" s="5" t="s">
        <v>627</v>
      </c>
      <c r="B66" s="6" t="s">
        <v>628</v>
      </c>
      <c r="C66" s="5" t="s">
        <v>67</v>
      </c>
      <c r="D66" s="5" t="s">
        <v>629</v>
      </c>
      <c r="E66" s="5" t="s">
        <v>630</v>
      </c>
      <c r="F66" s="5" t="s">
        <v>631</v>
      </c>
      <c r="G66" s="5" t="s">
        <v>46</v>
      </c>
      <c r="H66" s="6" t="s">
        <v>166</v>
      </c>
      <c r="I66" s="5" t="s">
        <v>499</v>
      </c>
      <c r="J66" s="5" t="s">
        <v>74</v>
      </c>
      <c r="K66" s="5" t="n">
        <v>3.36</v>
      </c>
      <c r="L66" s="5" t="n">
        <v>68</v>
      </c>
      <c r="M66" s="5" t="s">
        <v>50</v>
      </c>
      <c r="N66" s="5" t="s">
        <v>518</v>
      </c>
      <c r="O66" s="5" t="s">
        <v>141</v>
      </c>
      <c r="P66" s="5" t="s">
        <v>76</v>
      </c>
      <c r="Q66" s="5" t="s">
        <v>54</v>
      </c>
      <c r="R66" s="5" t="s">
        <v>46</v>
      </c>
      <c r="S66" s="6" t="s">
        <v>77</v>
      </c>
      <c r="T66" s="5" t="s">
        <v>78</v>
      </c>
      <c r="U66" s="5" t="s">
        <v>57</v>
      </c>
      <c r="V66" s="5" t="n">
        <v>0</v>
      </c>
      <c r="W66" s="5" t="s">
        <v>58</v>
      </c>
      <c r="X66" s="5" t="s">
        <v>59</v>
      </c>
      <c r="Y66" s="6" t="s">
        <v>60</v>
      </c>
      <c r="Z66" s="6" t="s">
        <v>60</v>
      </c>
      <c r="AA66" s="5" t="s">
        <v>61</v>
      </c>
      <c r="AB66" s="5"/>
      <c r="AJ66" s="1" t="s">
        <v>484</v>
      </c>
      <c r="AK66" s="7" t="s">
        <v>63</v>
      </c>
      <c r="AL66" s="7" t="s">
        <v>63</v>
      </c>
      <c r="AM66" s="8" t="s">
        <v>64</v>
      </c>
      <c r="AN66" s="8" t="s">
        <v>64</v>
      </c>
    </row>
    <row r="67" customFormat="false" ht="15" hidden="false" customHeight="true" outlineLevel="0" collapsed="false">
      <c r="A67" s="5" t="s">
        <v>632</v>
      </c>
      <c r="B67" s="6" t="s">
        <v>633</v>
      </c>
      <c r="C67" s="5" t="s">
        <v>42</v>
      </c>
      <c r="D67" s="5" t="s">
        <v>634</v>
      </c>
      <c r="E67" s="5" t="s">
        <v>635</v>
      </c>
      <c r="F67" s="5" t="s">
        <v>636</v>
      </c>
      <c r="G67" s="5" t="s">
        <v>46</v>
      </c>
      <c r="H67" s="6" t="s">
        <v>47</v>
      </c>
      <c r="I67" s="5" t="s">
        <v>481</v>
      </c>
      <c r="J67" s="5" t="s">
        <v>118</v>
      </c>
      <c r="K67" s="5" t="n">
        <v>3.58</v>
      </c>
      <c r="L67" s="5" t="n">
        <v>34</v>
      </c>
      <c r="M67" s="5" t="s">
        <v>50</v>
      </c>
      <c r="N67" s="5" t="s">
        <v>500</v>
      </c>
      <c r="O67" s="5" t="s">
        <v>519</v>
      </c>
      <c r="P67" s="5" t="s">
        <v>121</v>
      </c>
      <c r="Q67" s="5" t="s">
        <v>54</v>
      </c>
      <c r="R67" s="5" t="s">
        <v>46</v>
      </c>
      <c r="S67" s="6" t="s">
        <v>167</v>
      </c>
      <c r="T67" s="5" t="s">
        <v>123</v>
      </c>
      <c r="U67" s="5" t="s">
        <v>57</v>
      </c>
      <c r="V67" s="5" t="n">
        <v>0</v>
      </c>
      <c r="W67" s="5" t="s">
        <v>58</v>
      </c>
      <c r="X67" s="5" t="s">
        <v>59</v>
      </c>
      <c r="Y67" s="6" t="s">
        <v>60</v>
      </c>
      <c r="Z67" s="6" t="s">
        <v>60</v>
      </c>
      <c r="AA67" s="5" t="s">
        <v>61</v>
      </c>
      <c r="AB67" s="5"/>
      <c r="AJ67" s="1" t="s">
        <v>484</v>
      </c>
      <c r="AK67" s="7" t="s">
        <v>63</v>
      </c>
      <c r="AL67" s="7" t="s">
        <v>63</v>
      </c>
      <c r="AM67" s="8" t="s">
        <v>64</v>
      </c>
      <c r="AN67" s="8" t="s">
        <v>64</v>
      </c>
    </row>
    <row r="68" customFormat="false" ht="21.75" hidden="false" customHeight="true" outlineLevel="0" collapsed="false">
      <c r="A68" s="5" t="s">
        <v>637</v>
      </c>
      <c r="B68" s="6" t="s">
        <v>638</v>
      </c>
      <c r="C68" s="5" t="s">
        <v>42</v>
      </c>
      <c r="D68" s="5" t="s">
        <v>639</v>
      </c>
      <c r="E68" s="5" t="s">
        <v>640</v>
      </c>
      <c r="F68" s="5" t="s">
        <v>641</v>
      </c>
      <c r="G68" s="5" t="s">
        <v>269</v>
      </c>
      <c r="H68" s="6" t="s">
        <v>642</v>
      </c>
      <c r="I68" s="5" t="s">
        <v>509</v>
      </c>
      <c r="J68" s="5" t="s">
        <v>74</v>
      </c>
      <c r="K68" s="5" t="n">
        <v>3.69</v>
      </c>
      <c r="L68" s="5" t="n">
        <v>48</v>
      </c>
      <c r="M68" s="5" t="s">
        <v>50</v>
      </c>
      <c r="N68" s="5" t="s">
        <v>525</v>
      </c>
      <c r="O68" s="5" t="s">
        <v>558</v>
      </c>
      <c r="P68" s="5" t="s">
        <v>89</v>
      </c>
      <c r="Q68" s="5" t="s">
        <v>272</v>
      </c>
      <c r="R68" s="5" t="s">
        <v>273</v>
      </c>
      <c r="S68" s="6" t="s">
        <v>274</v>
      </c>
      <c r="T68" s="5" t="s">
        <v>78</v>
      </c>
      <c r="U68" s="5" t="s">
        <v>57</v>
      </c>
      <c r="V68" s="5" t="n">
        <v>0</v>
      </c>
      <c r="W68" s="5" t="s">
        <v>58</v>
      </c>
      <c r="X68" s="5" t="s">
        <v>59</v>
      </c>
      <c r="Y68" s="6" t="s">
        <v>60</v>
      </c>
      <c r="Z68" s="6" t="s">
        <v>60</v>
      </c>
      <c r="AA68" s="5" t="s">
        <v>92</v>
      </c>
      <c r="AB68" s="5"/>
      <c r="AC68" s="1" t="s">
        <v>643</v>
      </c>
      <c r="AD68" s="1" t="s">
        <v>60</v>
      </c>
      <c r="AE68" s="1" t="s">
        <v>644</v>
      </c>
      <c r="AF68" s="1" t="s">
        <v>89</v>
      </c>
      <c r="AG68" s="1" t="s">
        <v>327</v>
      </c>
      <c r="AH68" s="1" t="s">
        <v>279</v>
      </c>
      <c r="AI68" s="1" t="s">
        <v>280</v>
      </c>
      <c r="AJ68" s="1" t="s">
        <v>484</v>
      </c>
      <c r="AK68" s="7" t="s">
        <v>63</v>
      </c>
      <c r="AL68" s="7" t="s">
        <v>63</v>
      </c>
      <c r="AM68" s="8" t="s">
        <v>64</v>
      </c>
      <c r="AN68" s="8" t="s">
        <v>64</v>
      </c>
    </row>
    <row r="69" customFormat="false" ht="21.75" hidden="false" customHeight="true" outlineLevel="0" collapsed="false">
      <c r="A69" s="5" t="s">
        <v>645</v>
      </c>
      <c r="B69" s="6" t="s">
        <v>646</v>
      </c>
      <c r="C69" s="5" t="s">
        <v>67</v>
      </c>
      <c r="D69" s="5" t="s">
        <v>647</v>
      </c>
      <c r="E69" s="5" t="s">
        <v>648</v>
      </c>
      <c r="F69" s="5" t="s">
        <v>649</v>
      </c>
      <c r="G69" s="5" t="s">
        <v>286</v>
      </c>
      <c r="H69" s="6" t="s">
        <v>650</v>
      </c>
      <c r="I69" s="5" t="s">
        <v>532</v>
      </c>
      <c r="J69" s="5" t="s">
        <v>118</v>
      </c>
      <c r="K69" s="5" t="n">
        <v>3.35</v>
      </c>
      <c r="L69" s="5" t="n">
        <v>24</v>
      </c>
      <c r="M69" s="5" t="s">
        <v>50</v>
      </c>
      <c r="N69" s="5" t="s">
        <v>482</v>
      </c>
      <c r="O69" s="5" t="s">
        <v>120</v>
      </c>
      <c r="P69" s="5" t="s">
        <v>53</v>
      </c>
      <c r="Q69" s="5" t="s">
        <v>272</v>
      </c>
      <c r="R69" s="5" t="s">
        <v>289</v>
      </c>
      <c r="S69" s="6" t="s">
        <v>290</v>
      </c>
      <c r="T69" s="5" t="s">
        <v>123</v>
      </c>
      <c r="U69" s="5" t="s">
        <v>57</v>
      </c>
      <c r="V69" s="5" t="n">
        <v>0</v>
      </c>
      <c r="W69" s="5" t="s">
        <v>58</v>
      </c>
      <c r="X69" s="5" t="s">
        <v>59</v>
      </c>
      <c r="Y69" s="6" t="s">
        <v>60</v>
      </c>
      <c r="Z69" s="6" t="s">
        <v>60</v>
      </c>
      <c r="AA69" s="5" t="s">
        <v>61</v>
      </c>
      <c r="AB69" s="5"/>
      <c r="AC69" s="1" t="s">
        <v>651</v>
      </c>
      <c r="AD69" s="1" t="s">
        <v>60</v>
      </c>
      <c r="AE69" s="1" t="s">
        <v>652</v>
      </c>
      <c r="AF69" s="1" t="s">
        <v>53</v>
      </c>
      <c r="AG69" s="1" t="s">
        <v>293</v>
      </c>
      <c r="AH69" s="1" t="s">
        <v>294</v>
      </c>
      <c r="AI69" s="1" t="s">
        <v>295</v>
      </c>
      <c r="AJ69" s="1" t="s">
        <v>484</v>
      </c>
      <c r="AK69" s="7" t="s">
        <v>63</v>
      </c>
      <c r="AL69" s="7" t="s">
        <v>63</v>
      </c>
      <c r="AM69" s="8" t="s">
        <v>64</v>
      </c>
      <c r="AN69" s="8" t="s">
        <v>64</v>
      </c>
    </row>
    <row r="70" customFormat="false" ht="21.75" hidden="false" customHeight="true" outlineLevel="0" collapsed="false">
      <c r="A70" s="9" t="s">
        <v>653</v>
      </c>
      <c r="B70" s="10" t="s">
        <v>654</v>
      </c>
      <c r="C70" s="9" t="s">
        <v>42</v>
      </c>
      <c r="D70" s="9" t="s">
        <v>655</v>
      </c>
      <c r="E70" s="9" t="s">
        <v>656</v>
      </c>
      <c r="F70" s="9" t="s">
        <v>657</v>
      </c>
      <c r="G70" s="9" t="s">
        <v>269</v>
      </c>
      <c r="H70" s="10" t="s">
        <v>517</v>
      </c>
      <c r="I70" s="9" t="s">
        <v>499</v>
      </c>
      <c r="J70" s="9" t="s">
        <v>74</v>
      </c>
      <c r="K70" s="9" t="n">
        <v>3.58</v>
      </c>
      <c r="L70" s="9" t="n">
        <v>52</v>
      </c>
      <c r="M70" s="9" t="s">
        <v>103</v>
      </c>
      <c r="N70" s="9" t="s">
        <v>510</v>
      </c>
      <c r="O70" s="9" t="s">
        <v>75</v>
      </c>
      <c r="P70" s="9"/>
      <c r="Q70" s="9" t="s">
        <v>272</v>
      </c>
      <c r="R70" s="9" t="s">
        <v>273</v>
      </c>
      <c r="S70" s="10" t="s">
        <v>303</v>
      </c>
      <c r="T70" s="9" t="s">
        <v>107</v>
      </c>
      <c r="U70" s="9" t="s">
        <v>108</v>
      </c>
      <c r="V70" s="9" t="n">
        <v>0</v>
      </c>
      <c r="W70" s="9" t="s">
        <v>108</v>
      </c>
      <c r="X70" s="9" t="s">
        <v>304</v>
      </c>
      <c r="Y70" s="10" t="s">
        <v>60</v>
      </c>
      <c r="Z70" s="10" t="s">
        <v>60</v>
      </c>
      <c r="AA70" s="9" t="s">
        <v>109</v>
      </c>
      <c r="AB70" s="9" t="s">
        <v>110</v>
      </c>
      <c r="AC70" s="1" t="s">
        <v>658</v>
      </c>
      <c r="AD70" s="1" t="s">
        <v>60</v>
      </c>
      <c r="AE70" s="1" t="s">
        <v>659</v>
      </c>
      <c r="AF70" s="1" t="s">
        <v>89</v>
      </c>
      <c r="AG70" s="1" t="s">
        <v>327</v>
      </c>
      <c r="AH70" s="1" t="s">
        <v>307</v>
      </c>
      <c r="AI70" s="1" t="s">
        <v>660</v>
      </c>
      <c r="AJ70" s="1" t="s">
        <v>484</v>
      </c>
      <c r="AK70" s="11" t="s">
        <v>63</v>
      </c>
      <c r="AL70" s="11" t="s">
        <v>63</v>
      </c>
      <c r="AM70" s="12" t="s">
        <v>64</v>
      </c>
      <c r="AN70" s="12" t="s">
        <v>64</v>
      </c>
    </row>
    <row r="71" customFormat="false" ht="15" hidden="false" customHeight="true" outlineLevel="0" collapsed="false">
      <c r="A71" s="13" t="s">
        <v>661</v>
      </c>
      <c r="B71" s="14" t="s">
        <v>662</v>
      </c>
      <c r="C71" s="13" t="s">
        <v>67</v>
      </c>
      <c r="D71" s="13" t="s">
        <v>663</v>
      </c>
      <c r="E71" s="13" t="s">
        <v>664</v>
      </c>
      <c r="F71" s="13" t="s">
        <v>665</v>
      </c>
      <c r="G71" s="13" t="s">
        <v>269</v>
      </c>
      <c r="H71" s="14" t="s">
        <v>490</v>
      </c>
      <c r="I71" s="13" t="s">
        <v>491</v>
      </c>
      <c r="J71" s="13" t="s">
        <v>118</v>
      </c>
      <c r="K71" s="13" t="n">
        <v>2.77</v>
      </c>
      <c r="L71" s="13" t="n">
        <v>20</v>
      </c>
      <c r="M71" s="13" t="s">
        <v>119</v>
      </c>
      <c r="N71" s="13" t="s">
        <v>500</v>
      </c>
      <c r="O71" s="13" t="s">
        <v>666</v>
      </c>
      <c r="P71" s="13" t="s">
        <v>53</v>
      </c>
      <c r="Q71" s="13" t="s">
        <v>272</v>
      </c>
      <c r="R71" s="13" t="s">
        <v>273</v>
      </c>
      <c r="S71" s="14" t="s">
        <v>122</v>
      </c>
      <c r="T71" s="13" t="s">
        <v>123</v>
      </c>
      <c r="U71" s="13" t="s">
        <v>124</v>
      </c>
      <c r="V71" s="13" t="n">
        <v>35000</v>
      </c>
      <c r="W71" s="13" t="s">
        <v>119</v>
      </c>
      <c r="X71" s="13" t="s">
        <v>125</v>
      </c>
      <c r="Y71" s="14" t="s">
        <v>60</v>
      </c>
      <c r="Z71" s="14" t="s">
        <v>60</v>
      </c>
      <c r="AA71" s="13" t="s">
        <v>126</v>
      </c>
      <c r="AB71" s="13"/>
      <c r="AC71" s="1" t="s">
        <v>667</v>
      </c>
      <c r="AD71" s="1" t="s">
        <v>60</v>
      </c>
      <c r="AE71" s="1" t="s">
        <v>668</v>
      </c>
      <c r="AF71" s="1" t="s">
        <v>53</v>
      </c>
      <c r="AG71" s="1" t="s">
        <v>316</v>
      </c>
      <c r="AH71" s="1" t="s">
        <v>669</v>
      </c>
      <c r="AI71" s="1" t="s">
        <v>318</v>
      </c>
      <c r="AJ71" s="1" t="s">
        <v>484</v>
      </c>
      <c r="AK71" s="15" t="s">
        <v>63</v>
      </c>
      <c r="AL71" s="15" t="s">
        <v>63</v>
      </c>
      <c r="AM71" s="16" t="s">
        <v>64</v>
      </c>
      <c r="AN71" s="16" t="s">
        <v>64</v>
      </c>
    </row>
    <row r="72" customFormat="false" ht="21.75" hidden="false" customHeight="true" outlineLevel="0" collapsed="false">
      <c r="A72" s="5" t="s">
        <v>670</v>
      </c>
      <c r="B72" s="6" t="s">
        <v>671</v>
      </c>
      <c r="C72" s="5" t="s">
        <v>42</v>
      </c>
      <c r="D72" s="5" t="s">
        <v>672</v>
      </c>
      <c r="E72" s="5" t="s">
        <v>673</v>
      </c>
      <c r="F72" s="5" t="s">
        <v>674</v>
      </c>
      <c r="G72" s="5" t="s">
        <v>269</v>
      </c>
      <c r="H72" s="6" t="s">
        <v>270</v>
      </c>
      <c r="I72" s="5" t="s">
        <v>509</v>
      </c>
      <c r="J72" s="5" t="s">
        <v>74</v>
      </c>
      <c r="K72" s="5" t="n">
        <v>3.62</v>
      </c>
      <c r="L72" s="5" t="n">
        <v>48</v>
      </c>
      <c r="M72" s="5" t="s">
        <v>50</v>
      </c>
      <c r="N72" s="5" t="s">
        <v>615</v>
      </c>
      <c r="O72" s="5" t="s">
        <v>675</v>
      </c>
      <c r="P72" s="5" t="s">
        <v>89</v>
      </c>
      <c r="Q72" s="5" t="s">
        <v>272</v>
      </c>
      <c r="R72" s="5" t="s">
        <v>273</v>
      </c>
      <c r="S72" s="6" t="s">
        <v>274</v>
      </c>
      <c r="T72" s="5" t="s">
        <v>78</v>
      </c>
      <c r="U72" s="5" t="s">
        <v>57</v>
      </c>
      <c r="V72" s="5" t="n">
        <v>0</v>
      </c>
      <c r="W72" s="5" t="s">
        <v>58</v>
      </c>
      <c r="X72" s="5" t="s">
        <v>59</v>
      </c>
      <c r="Y72" s="6" t="s">
        <v>60</v>
      </c>
      <c r="Z72" s="6" t="s">
        <v>60</v>
      </c>
      <c r="AA72" s="5" t="s">
        <v>92</v>
      </c>
      <c r="AB72" s="5"/>
      <c r="AC72" s="1" t="s">
        <v>643</v>
      </c>
      <c r="AD72" s="1" t="s">
        <v>676</v>
      </c>
      <c r="AE72" s="1" t="s">
        <v>677</v>
      </c>
      <c r="AF72" s="1" t="s">
        <v>89</v>
      </c>
      <c r="AG72" s="1" t="s">
        <v>327</v>
      </c>
      <c r="AH72" s="1" t="s">
        <v>279</v>
      </c>
      <c r="AI72" s="1" t="s">
        <v>280</v>
      </c>
      <c r="AJ72" s="1" t="s">
        <v>484</v>
      </c>
      <c r="AK72" s="7" t="s">
        <v>63</v>
      </c>
      <c r="AL72" s="7" t="s">
        <v>63</v>
      </c>
      <c r="AM72" s="8" t="s">
        <v>64</v>
      </c>
      <c r="AN72" s="8" t="s">
        <v>64</v>
      </c>
    </row>
    <row r="73" customFormat="false" ht="21.75" hidden="false" customHeight="true" outlineLevel="0" collapsed="false">
      <c r="A73" s="5" t="s">
        <v>678</v>
      </c>
      <c r="B73" s="6" t="s">
        <v>679</v>
      </c>
      <c r="C73" s="5" t="s">
        <v>67</v>
      </c>
      <c r="D73" s="5" t="s">
        <v>680</v>
      </c>
      <c r="E73" s="5" t="s">
        <v>681</v>
      </c>
      <c r="F73" s="5" t="s">
        <v>682</v>
      </c>
      <c r="G73" s="5" t="s">
        <v>286</v>
      </c>
      <c r="H73" s="6" t="s">
        <v>650</v>
      </c>
      <c r="I73" s="5" t="s">
        <v>532</v>
      </c>
      <c r="J73" s="5" t="s">
        <v>118</v>
      </c>
      <c r="K73" s="5" t="n">
        <v>3.24</v>
      </c>
      <c r="L73" s="5" t="n">
        <v>24</v>
      </c>
      <c r="M73" s="5" t="s">
        <v>50</v>
      </c>
      <c r="N73" s="5" t="s">
        <v>539</v>
      </c>
      <c r="O73" s="5" t="s">
        <v>683</v>
      </c>
      <c r="P73" s="5" t="s">
        <v>53</v>
      </c>
      <c r="Q73" s="5" t="s">
        <v>272</v>
      </c>
      <c r="R73" s="5" t="s">
        <v>289</v>
      </c>
      <c r="S73" s="6" t="s">
        <v>290</v>
      </c>
      <c r="T73" s="5" t="s">
        <v>123</v>
      </c>
      <c r="U73" s="5" t="s">
        <v>57</v>
      </c>
      <c r="V73" s="5" t="n">
        <v>0</v>
      </c>
      <c r="W73" s="5" t="s">
        <v>58</v>
      </c>
      <c r="X73" s="5" t="s">
        <v>59</v>
      </c>
      <c r="Y73" s="6" t="s">
        <v>60</v>
      </c>
      <c r="Z73" s="6" t="s">
        <v>60</v>
      </c>
      <c r="AA73" s="5" t="s">
        <v>61</v>
      </c>
      <c r="AB73" s="5"/>
      <c r="AC73" s="1" t="s">
        <v>651</v>
      </c>
      <c r="AD73" s="1" t="s">
        <v>60</v>
      </c>
      <c r="AE73" s="1" t="s">
        <v>684</v>
      </c>
      <c r="AF73" s="1" t="s">
        <v>53</v>
      </c>
      <c r="AG73" s="1" t="s">
        <v>293</v>
      </c>
      <c r="AH73" s="1" t="s">
        <v>294</v>
      </c>
      <c r="AI73" s="1" t="s">
        <v>295</v>
      </c>
      <c r="AJ73" s="1" t="s">
        <v>484</v>
      </c>
      <c r="AK73" s="7" t="s">
        <v>63</v>
      </c>
      <c r="AL73" s="7" t="s">
        <v>63</v>
      </c>
      <c r="AM73" s="8" t="s">
        <v>64</v>
      </c>
      <c r="AN73" s="8" t="s">
        <v>64</v>
      </c>
    </row>
    <row r="74" customFormat="false" ht="21.75" hidden="false" customHeight="true" outlineLevel="0" collapsed="false">
      <c r="A74" s="5" t="s">
        <v>685</v>
      </c>
      <c r="B74" s="6" t="s">
        <v>686</v>
      </c>
      <c r="C74" s="5" t="s">
        <v>42</v>
      </c>
      <c r="D74" s="5" t="s">
        <v>687</v>
      </c>
      <c r="E74" s="5" t="s">
        <v>688</v>
      </c>
      <c r="F74" s="5" t="s">
        <v>689</v>
      </c>
      <c r="G74" s="5" t="s">
        <v>269</v>
      </c>
      <c r="H74" s="6" t="s">
        <v>270</v>
      </c>
      <c r="I74" s="5" t="s">
        <v>509</v>
      </c>
      <c r="J74" s="5" t="s">
        <v>49</v>
      </c>
      <c r="K74" s="5" t="n">
        <v>3.84</v>
      </c>
      <c r="L74" s="5" t="n">
        <v>36</v>
      </c>
      <c r="M74" s="5" t="s">
        <v>50</v>
      </c>
      <c r="N74" s="5" t="s">
        <v>551</v>
      </c>
      <c r="O74" s="5" t="s">
        <v>483</v>
      </c>
      <c r="P74" s="5" t="s">
        <v>89</v>
      </c>
      <c r="Q74" s="5" t="s">
        <v>272</v>
      </c>
      <c r="R74" s="5" t="s">
        <v>342</v>
      </c>
      <c r="S74" s="6" t="s">
        <v>344</v>
      </c>
      <c r="T74" s="5" t="s">
        <v>345</v>
      </c>
      <c r="U74" s="5" t="s">
        <v>57</v>
      </c>
      <c r="V74" s="5" t="n">
        <v>0</v>
      </c>
      <c r="W74" s="5" t="s">
        <v>58</v>
      </c>
      <c r="X74" s="5" t="s">
        <v>59</v>
      </c>
      <c r="Y74" s="6" t="s">
        <v>690</v>
      </c>
      <c r="Z74" s="6" t="s">
        <v>347</v>
      </c>
      <c r="AA74" s="5" t="s">
        <v>61</v>
      </c>
      <c r="AB74" s="5"/>
      <c r="AC74" s="1" t="s">
        <v>691</v>
      </c>
      <c r="AD74" s="1" t="s">
        <v>692</v>
      </c>
      <c r="AE74" s="1" t="s">
        <v>693</v>
      </c>
      <c r="AF74" s="1" t="s">
        <v>89</v>
      </c>
      <c r="AG74" s="1" t="s">
        <v>694</v>
      </c>
      <c r="AH74" s="1" t="s">
        <v>695</v>
      </c>
      <c r="AI74" s="1" t="s">
        <v>696</v>
      </c>
      <c r="AJ74" s="1" t="s">
        <v>484</v>
      </c>
      <c r="AK74" s="7" t="s">
        <v>63</v>
      </c>
      <c r="AL74" s="7" t="s">
        <v>63</v>
      </c>
      <c r="AM74" s="8" t="s">
        <v>64</v>
      </c>
      <c r="AN74" s="8" t="s">
        <v>64</v>
      </c>
    </row>
    <row r="75" customFormat="false" ht="21.75" hidden="false" customHeight="true" outlineLevel="0" collapsed="false">
      <c r="A75" s="5" t="s">
        <v>697</v>
      </c>
      <c r="B75" s="6" t="s">
        <v>698</v>
      </c>
      <c r="C75" s="5" t="s">
        <v>67</v>
      </c>
      <c r="D75" s="5" t="s">
        <v>699</v>
      </c>
      <c r="E75" s="5" t="s">
        <v>700</v>
      </c>
      <c r="F75" s="5" t="s">
        <v>701</v>
      </c>
      <c r="G75" s="5" t="s">
        <v>269</v>
      </c>
      <c r="H75" s="6" t="s">
        <v>47</v>
      </c>
      <c r="I75" s="5" t="s">
        <v>481</v>
      </c>
      <c r="J75" s="5" t="s">
        <v>74</v>
      </c>
      <c r="K75" s="5" t="n">
        <v>3.47</v>
      </c>
      <c r="L75" s="5" t="n">
        <v>24</v>
      </c>
      <c r="M75" s="5" t="s">
        <v>50</v>
      </c>
      <c r="N75" s="5" t="s">
        <v>518</v>
      </c>
      <c r="O75" s="5" t="s">
        <v>493</v>
      </c>
      <c r="P75" s="5" t="s">
        <v>53</v>
      </c>
      <c r="Q75" s="5" t="s">
        <v>272</v>
      </c>
      <c r="R75" s="5" t="s">
        <v>342</v>
      </c>
      <c r="S75" s="6" t="s">
        <v>360</v>
      </c>
      <c r="T75" s="5" t="s">
        <v>361</v>
      </c>
      <c r="U75" s="5" t="s">
        <v>57</v>
      </c>
      <c r="V75" s="5" t="n">
        <v>0</v>
      </c>
      <c r="W75" s="5" t="s">
        <v>58</v>
      </c>
      <c r="X75" s="5" t="s">
        <v>59</v>
      </c>
      <c r="Y75" s="6" t="s">
        <v>702</v>
      </c>
      <c r="Z75" s="6" t="s">
        <v>363</v>
      </c>
      <c r="AA75" s="5" t="s">
        <v>61</v>
      </c>
      <c r="AB75" s="5"/>
      <c r="AC75" s="1" t="s">
        <v>703</v>
      </c>
      <c r="AD75" s="1" t="s">
        <v>704</v>
      </c>
      <c r="AE75" s="1" t="s">
        <v>705</v>
      </c>
      <c r="AF75" s="1" t="s">
        <v>53</v>
      </c>
      <c r="AG75" s="1" t="s">
        <v>395</v>
      </c>
      <c r="AH75" s="1" t="s">
        <v>706</v>
      </c>
      <c r="AI75" s="1" t="s">
        <v>707</v>
      </c>
      <c r="AJ75" s="1" t="s">
        <v>484</v>
      </c>
      <c r="AK75" s="7" t="s">
        <v>63</v>
      </c>
      <c r="AL75" s="7" t="s">
        <v>63</v>
      </c>
      <c r="AM75" s="8" t="s">
        <v>64</v>
      </c>
      <c r="AN75" s="8" t="s">
        <v>64</v>
      </c>
    </row>
    <row r="76" customFormat="false" ht="21.75" hidden="false" customHeight="true" outlineLevel="0" collapsed="false">
      <c r="A76" s="5" t="s">
        <v>708</v>
      </c>
      <c r="B76" s="6" t="s">
        <v>709</v>
      </c>
      <c r="C76" s="5" t="s">
        <v>42</v>
      </c>
      <c r="D76" s="5" t="s">
        <v>710</v>
      </c>
      <c r="E76" s="5" t="s">
        <v>711</v>
      </c>
      <c r="F76" s="5" t="s">
        <v>712</v>
      </c>
      <c r="G76" s="5" t="s">
        <v>301</v>
      </c>
      <c r="H76" s="6" t="s">
        <v>713</v>
      </c>
      <c r="I76" s="5" t="s">
        <v>499</v>
      </c>
      <c r="J76" s="5" t="s">
        <v>49</v>
      </c>
      <c r="K76" s="5" t="n">
        <v>3.51</v>
      </c>
      <c r="L76" s="5" t="n">
        <v>36</v>
      </c>
      <c r="M76" s="5" t="s">
        <v>50</v>
      </c>
      <c r="N76" s="5" t="s">
        <v>545</v>
      </c>
      <c r="O76" s="5" t="s">
        <v>52</v>
      </c>
      <c r="P76" s="5" t="s">
        <v>89</v>
      </c>
      <c r="Q76" s="5" t="s">
        <v>272</v>
      </c>
      <c r="R76" s="5" t="s">
        <v>375</v>
      </c>
      <c r="S76" s="6" t="s">
        <v>344</v>
      </c>
      <c r="T76" s="5" t="s">
        <v>345</v>
      </c>
      <c r="U76" s="5" t="s">
        <v>57</v>
      </c>
      <c r="V76" s="5" t="n">
        <v>0</v>
      </c>
      <c r="W76" s="5" t="s">
        <v>58</v>
      </c>
      <c r="X76" s="5" t="s">
        <v>59</v>
      </c>
      <c r="Y76" s="6" t="s">
        <v>714</v>
      </c>
      <c r="Z76" s="6" t="s">
        <v>347</v>
      </c>
      <c r="AA76" s="5" t="s">
        <v>61</v>
      </c>
      <c r="AB76" s="5"/>
      <c r="AC76" s="1" t="s">
        <v>658</v>
      </c>
      <c r="AD76" s="1" t="s">
        <v>715</v>
      </c>
      <c r="AE76" s="1" t="s">
        <v>716</v>
      </c>
      <c r="AF76" s="1" t="s">
        <v>89</v>
      </c>
      <c r="AG76" s="1" t="s">
        <v>694</v>
      </c>
      <c r="AH76" s="1" t="s">
        <v>695</v>
      </c>
      <c r="AI76" s="1" t="s">
        <v>717</v>
      </c>
      <c r="AJ76" s="1" t="s">
        <v>484</v>
      </c>
      <c r="AK76" s="7" t="s">
        <v>63</v>
      </c>
      <c r="AL76" s="7" t="s">
        <v>63</v>
      </c>
      <c r="AM76" s="8" t="s">
        <v>64</v>
      </c>
      <c r="AN76" s="8" t="s">
        <v>64</v>
      </c>
    </row>
    <row r="77" customFormat="false" ht="21.75" hidden="false" customHeight="true" outlineLevel="0" collapsed="false">
      <c r="A77" s="17" t="s">
        <v>718</v>
      </c>
      <c r="B77" s="18" t="s">
        <v>719</v>
      </c>
      <c r="C77" s="17" t="s">
        <v>67</v>
      </c>
      <c r="D77" s="17" t="s">
        <v>385</v>
      </c>
      <c r="E77" s="17" t="s">
        <v>720</v>
      </c>
      <c r="F77" s="17" t="s">
        <v>721</v>
      </c>
      <c r="G77" s="17" t="s">
        <v>269</v>
      </c>
      <c r="H77" s="18" t="s">
        <v>517</v>
      </c>
      <c r="I77" s="17" t="s">
        <v>499</v>
      </c>
      <c r="J77" s="17" t="s">
        <v>74</v>
      </c>
      <c r="K77" s="17" t="n">
        <v>3.29</v>
      </c>
      <c r="L77" s="17" t="n">
        <v>18</v>
      </c>
      <c r="M77" s="17" t="s">
        <v>158</v>
      </c>
      <c r="N77" s="17" t="s">
        <v>621</v>
      </c>
      <c r="O77" s="17" t="s">
        <v>141</v>
      </c>
      <c r="P77" s="17" t="s">
        <v>53</v>
      </c>
      <c r="Q77" s="17" t="s">
        <v>272</v>
      </c>
      <c r="R77" s="17" t="s">
        <v>342</v>
      </c>
      <c r="S77" s="18" t="s">
        <v>389</v>
      </c>
      <c r="T77" s="17" t="s">
        <v>361</v>
      </c>
      <c r="U77" s="17" t="s">
        <v>160</v>
      </c>
      <c r="V77" s="17" t="n">
        <v>0</v>
      </c>
      <c r="W77" s="17" t="s">
        <v>58</v>
      </c>
      <c r="X77" s="17" t="s">
        <v>59</v>
      </c>
      <c r="Y77" s="18" t="s">
        <v>722</v>
      </c>
      <c r="Z77" s="18" t="s">
        <v>363</v>
      </c>
      <c r="AA77" s="17" t="s">
        <v>61</v>
      </c>
      <c r="AB77" s="17"/>
      <c r="AC77" s="1" t="s">
        <v>658</v>
      </c>
      <c r="AD77" s="1" t="s">
        <v>60</v>
      </c>
      <c r="AE77" s="1" t="s">
        <v>723</v>
      </c>
      <c r="AF77" s="1" t="s">
        <v>53</v>
      </c>
      <c r="AG77" s="1" t="s">
        <v>395</v>
      </c>
      <c r="AH77" s="1" t="s">
        <v>724</v>
      </c>
      <c r="AI77" s="1" t="s">
        <v>397</v>
      </c>
      <c r="AJ77" s="1" t="s">
        <v>484</v>
      </c>
      <c r="AK77" s="19" t="s">
        <v>63</v>
      </c>
      <c r="AL77" s="19" t="s">
        <v>63</v>
      </c>
      <c r="AM77" s="20" t="s">
        <v>64</v>
      </c>
      <c r="AN77" s="20" t="s">
        <v>64</v>
      </c>
    </row>
    <row r="78" customFormat="false" ht="21.75" hidden="false" customHeight="true" outlineLevel="0" collapsed="false">
      <c r="A78" s="9" t="s">
        <v>725</v>
      </c>
      <c r="B78" s="10" t="s">
        <v>726</v>
      </c>
      <c r="C78" s="9" t="s">
        <v>42</v>
      </c>
      <c r="D78" s="9" t="s">
        <v>400</v>
      </c>
      <c r="E78" s="9" t="s">
        <v>727</v>
      </c>
      <c r="F78" s="9" t="s">
        <v>728</v>
      </c>
      <c r="G78" s="9" t="s">
        <v>269</v>
      </c>
      <c r="H78" s="10" t="s">
        <v>270</v>
      </c>
      <c r="I78" s="9" t="s">
        <v>509</v>
      </c>
      <c r="J78" s="9" t="s">
        <v>86</v>
      </c>
      <c r="K78" s="9" t="n">
        <v>3.88</v>
      </c>
      <c r="L78" s="9" t="n">
        <v>48</v>
      </c>
      <c r="M78" s="9" t="s">
        <v>103</v>
      </c>
      <c r="N78" s="9" t="s">
        <v>609</v>
      </c>
      <c r="O78" s="9" t="s">
        <v>88</v>
      </c>
      <c r="P78" s="9"/>
      <c r="Q78" s="9" t="s">
        <v>272</v>
      </c>
      <c r="R78" s="9" t="s">
        <v>342</v>
      </c>
      <c r="S78" s="10" t="s">
        <v>404</v>
      </c>
      <c r="T78" s="9" t="s">
        <v>107</v>
      </c>
      <c r="U78" s="9" t="s">
        <v>108</v>
      </c>
      <c r="V78" s="9" t="n">
        <v>0</v>
      </c>
      <c r="W78" s="9" t="s">
        <v>108</v>
      </c>
      <c r="X78" s="9" t="s">
        <v>304</v>
      </c>
      <c r="Y78" s="10" t="s">
        <v>729</v>
      </c>
      <c r="Z78" s="10" t="s">
        <v>406</v>
      </c>
      <c r="AA78" s="9" t="s">
        <v>109</v>
      </c>
      <c r="AB78" s="9" t="s">
        <v>110</v>
      </c>
      <c r="AC78" s="1" t="s">
        <v>643</v>
      </c>
      <c r="AD78" s="1" t="s">
        <v>730</v>
      </c>
      <c r="AE78" s="1" t="s">
        <v>731</v>
      </c>
      <c r="AF78" s="1" t="s">
        <v>732</v>
      </c>
      <c r="AG78" s="1" t="s">
        <v>410</v>
      </c>
      <c r="AH78" s="1" t="s">
        <v>307</v>
      </c>
      <c r="AI78" s="1" t="s">
        <v>733</v>
      </c>
      <c r="AJ78" s="1" t="s">
        <v>484</v>
      </c>
      <c r="AK78" s="11" t="s">
        <v>63</v>
      </c>
      <c r="AL78" s="11" t="s">
        <v>63</v>
      </c>
      <c r="AM78" s="12" t="s">
        <v>64</v>
      </c>
      <c r="AN78" s="12" t="s">
        <v>64</v>
      </c>
    </row>
    <row r="79" customFormat="false" ht="21.75" hidden="false" customHeight="true" outlineLevel="0" collapsed="false">
      <c r="A79" s="5" t="s">
        <v>734</v>
      </c>
      <c r="B79" s="6" t="s">
        <v>735</v>
      </c>
      <c r="C79" s="5" t="s">
        <v>67</v>
      </c>
      <c r="D79" s="5" t="s">
        <v>414</v>
      </c>
      <c r="E79" s="5" t="s">
        <v>736</v>
      </c>
      <c r="F79" s="5" t="s">
        <v>737</v>
      </c>
      <c r="G79" s="5" t="s">
        <v>269</v>
      </c>
      <c r="H79" s="6" t="s">
        <v>47</v>
      </c>
      <c r="I79" s="5" t="s">
        <v>481</v>
      </c>
      <c r="J79" s="5" t="s">
        <v>118</v>
      </c>
      <c r="K79" s="5" t="n">
        <v>3.49</v>
      </c>
      <c r="L79" s="5" t="n">
        <v>12</v>
      </c>
      <c r="M79" s="5" t="s">
        <v>50</v>
      </c>
      <c r="N79" s="5" t="s">
        <v>603</v>
      </c>
      <c r="O79" s="5" t="s">
        <v>683</v>
      </c>
      <c r="P79" s="5" t="s">
        <v>76</v>
      </c>
      <c r="Q79" s="5" t="s">
        <v>272</v>
      </c>
      <c r="R79" s="5" t="s">
        <v>342</v>
      </c>
      <c r="S79" s="6" t="s">
        <v>417</v>
      </c>
      <c r="T79" s="5" t="s">
        <v>418</v>
      </c>
      <c r="U79" s="5" t="s">
        <v>57</v>
      </c>
      <c r="V79" s="5" t="n">
        <v>0</v>
      </c>
      <c r="W79" s="5" t="s">
        <v>58</v>
      </c>
      <c r="X79" s="5" t="s">
        <v>59</v>
      </c>
      <c r="Y79" s="6" t="s">
        <v>738</v>
      </c>
      <c r="Z79" s="6" t="s">
        <v>420</v>
      </c>
      <c r="AA79" s="5" t="s">
        <v>61</v>
      </c>
      <c r="AB79" s="5"/>
      <c r="AC79" s="1" t="s">
        <v>703</v>
      </c>
      <c r="AD79" s="1" t="s">
        <v>60</v>
      </c>
      <c r="AE79" s="1" t="s">
        <v>739</v>
      </c>
      <c r="AF79" s="1" t="s">
        <v>76</v>
      </c>
      <c r="AG79" s="1" t="s">
        <v>422</v>
      </c>
      <c r="AH79" s="1" t="s">
        <v>740</v>
      </c>
      <c r="AI79" s="1" t="s">
        <v>741</v>
      </c>
      <c r="AJ79" s="1" t="s">
        <v>484</v>
      </c>
      <c r="AK79" s="7" t="s">
        <v>63</v>
      </c>
      <c r="AL79" s="7" t="s">
        <v>63</v>
      </c>
      <c r="AM79" s="8" t="s">
        <v>64</v>
      </c>
      <c r="AN79" s="8" t="s">
        <v>64</v>
      </c>
    </row>
    <row r="80" customFormat="false" ht="21.75" hidden="false" customHeight="true" outlineLevel="0" collapsed="false">
      <c r="A80" s="5" t="s">
        <v>742</v>
      </c>
      <c r="B80" s="6" t="s">
        <v>743</v>
      </c>
      <c r="C80" s="5" t="s">
        <v>67</v>
      </c>
      <c r="D80" s="5" t="s">
        <v>744</v>
      </c>
      <c r="E80" s="5" t="s">
        <v>745</v>
      </c>
      <c r="F80" s="5" t="s">
        <v>746</v>
      </c>
      <c r="G80" s="5" t="s">
        <v>429</v>
      </c>
      <c r="H80" s="6" t="s">
        <v>47</v>
      </c>
      <c r="I80" s="5" t="s">
        <v>481</v>
      </c>
      <c r="J80" s="5" t="s">
        <v>49</v>
      </c>
      <c r="K80" s="5" t="n">
        <v>3.81</v>
      </c>
      <c r="L80" s="5" t="n">
        <v>36</v>
      </c>
      <c r="M80" s="5" t="s">
        <v>50</v>
      </c>
      <c r="N80" s="5" t="s">
        <v>525</v>
      </c>
      <c r="O80" s="5" t="s">
        <v>483</v>
      </c>
      <c r="P80" s="5" t="s">
        <v>53</v>
      </c>
      <c r="Q80" s="5" t="s">
        <v>272</v>
      </c>
      <c r="R80" s="5" t="s">
        <v>430</v>
      </c>
      <c r="S80" s="6" t="s">
        <v>431</v>
      </c>
      <c r="T80" s="5" t="s">
        <v>345</v>
      </c>
      <c r="U80" s="5" t="s">
        <v>57</v>
      </c>
      <c r="V80" s="5" t="n">
        <v>0</v>
      </c>
      <c r="W80" s="5" t="s">
        <v>58</v>
      </c>
      <c r="X80" s="5" t="s">
        <v>59</v>
      </c>
      <c r="Y80" s="6" t="s">
        <v>747</v>
      </c>
      <c r="Z80" s="6" t="s">
        <v>363</v>
      </c>
      <c r="AA80" s="5" t="s">
        <v>61</v>
      </c>
      <c r="AB80" s="5"/>
      <c r="AC80" s="1" t="s">
        <v>703</v>
      </c>
      <c r="AD80" s="1" t="s">
        <v>748</v>
      </c>
      <c r="AE80" s="1" t="s">
        <v>749</v>
      </c>
      <c r="AF80" s="1" t="s">
        <v>53</v>
      </c>
      <c r="AG80" s="1" t="s">
        <v>750</v>
      </c>
      <c r="AH80" s="1" t="s">
        <v>751</v>
      </c>
      <c r="AI80" s="1" t="s">
        <v>752</v>
      </c>
      <c r="AJ80" s="1" t="s">
        <v>484</v>
      </c>
      <c r="AK80" s="7" t="s">
        <v>63</v>
      </c>
      <c r="AL80" s="7" t="s">
        <v>63</v>
      </c>
      <c r="AM80" s="8" t="s">
        <v>64</v>
      </c>
      <c r="AN80" s="8" t="s">
        <v>64</v>
      </c>
    </row>
    <row r="81" customFormat="false" ht="21.75" hidden="false" customHeight="true" outlineLevel="0" collapsed="false">
      <c r="A81" s="5" t="s">
        <v>753</v>
      </c>
      <c r="B81" s="6" t="s">
        <v>754</v>
      </c>
      <c r="C81" s="5" t="s">
        <v>42</v>
      </c>
      <c r="D81" s="5" t="s">
        <v>755</v>
      </c>
      <c r="E81" s="5" t="s">
        <v>613</v>
      </c>
      <c r="F81" s="5" t="s">
        <v>756</v>
      </c>
      <c r="G81" s="5" t="s">
        <v>429</v>
      </c>
      <c r="H81" s="6" t="s">
        <v>757</v>
      </c>
      <c r="I81" s="5" t="s">
        <v>509</v>
      </c>
      <c r="J81" s="5" t="s">
        <v>86</v>
      </c>
      <c r="K81" s="5" t="n">
        <v>3.73</v>
      </c>
      <c r="L81" s="5" t="n">
        <v>48</v>
      </c>
      <c r="M81" s="5" t="s">
        <v>50</v>
      </c>
      <c r="N81" s="5" t="s">
        <v>482</v>
      </c>
      <c r="O81" s="5" t="s">
        <v>564</v>
      </c>
      <c r="P81" s="5" t="s">
        <v>89</v>
      </c>
      <c r="Q81" s="5" t="s">
        <v>272</v>
      </c>
      <c r="R81" s="5" t="s">
        <v>430</v>
      </c>
      <c r="S81" s="6" t="s">
        <v>442</v>
      </c>
      <c r="T81" s="5" t="s">
        <v>443</v>
      </c>
      <c r="U81" s="5" t="s">
        <v>57</v>
      </c>
      <c r="V81" s="5" t="n">
        <v>0</v>
      </c>
      <c r="W81" s="5" t="s">
        <v>58</v>
      </c>
      <c r="X81" s="5" t="s">
        <v>59</v>
      </c>
      <c r="Y81" s="6" t="s">
        <v>758</v>
      </c>
      <c r="Z81" s="6" t="s">
        <v>347</v>
      </c>
      <c r="AA81" s="5" t="s">
        <v>61</v>
      </c>
      <c r="AB81" s="5"/>
      <c r="AC81" s="1" t="s">
        <v>643</v>
      </c>
      <c r="AD81" s="1" t="s">
        <v>692</v>
      </c>
      <c r="AE81" s="1" t="s">
        <v>759</v>
      </c>
      <c r="AF81" s="1" t="s">
        <v>89</v>
      </c>
      <c r="AG81" s="1" t="s">
        <v>760</v>
      </c>
      <c r="AH81" s="1" t="s">
        <v>761</v>
      </c>
      <c r="AI81" s="1" t="s">
        <v>762</v>
      </c>
      <c r="AJ81" s="1" t="s">
        <v>484</v>
      </c>
      <c r="AK81" s="7" t="s">
        <v>63</v>
      </c>
      <c r="AL81" s="7" t="s">
        <v>63</v>
      </c>
      <c r="AM81" s="8" t="s">
        <v>64</v>
      </c>
      <c r="AN81" s="8" t="s">
        <v>64</v>
      </c>
    </row>
    <row r="82" customFormat="false" ht="21.75" hidden="false" customHeight="true" outlineLevel="0" collapsed="false">
      <c r="A82" s="5" t="s">
        <v>763</v>
      </c>
      <c r="B82" s="6" t="s">
        <v>764</v>
      </c>
      <c r="C82" s="5" t="s">
        <v>67</v>
      </c>
      <c r="D82" s="5" t="s">
        <v>765</v>
      </c>
      <c r="E82" s="5" t="s">
        <v>766</v>
      </c>
      <c r="F82" s="5" t="s">
        <v>767</v>
      </c>
      <c r="G82" s="5" t="s">
        <v>429</v>
      </c>
      <c r="H82" s="6" t="s">
        <v>713</v>
      </c>
      <c r="I82" s="5" t="s">
        <v>499</v>
      </c>
      <c r="J82" s="5" t="s">
        <v>118</v>
      </c>
      <c r="K82" s="5" t="n">
        <v>3.55</v>
      </c>
      <c r="L82" s="5" t="n">
        <v>12</v>
      </c>
      <c r="M82" s="5" t="s">
        <v>50</v>
      </c>
      <c r="N82" s="5" t="s">
        <v>500</v>
      </c>
      <c r="O82" s="5" t="s">
        <v>768</v>
      </c>
      <c r="P82" s="5" t="s">
        <v>121</v>
      </c>
      <c r="Q82" s="5" t="s">
        <v>272</v>
      </c>
      <c r="R82" s="5" t="s">
        <v>430</v>
      </c>
      <c r="S82" s="6" t="s">
        <v>456</v>
      </c>
      <c r="T82" s="5" t="s">
        <v>418</v>
      </c>
      <c r="U82" s="5" t="s">
        <v>57</v>
      </c>
      <c r="V82" s="5" t="n">
        <v>0</v>
      </c>
      <c r="W82" s="5" t="s">
        <v>58</v>
      </c>
      <c r="X82" s="5" t="s">
        <v>59</v>
      </c>
      <c r="Y82" s="6" t="s">
        <v>769</v>
      </c>
      <c r="Z82" s="6" t="s">
        <v>458</v>
      </c>
      <c r="AA82" s="5" t="s">
        <v>61</v>
      </c>
      <c r="AB82" s="5"/>
      <c r="AC82" s="1" t="s">
        <v>658</v>
      </c>
      <c r="AD82" s="1" t="s">
        <v>715</v>
      </c>
      <c r="AE82" s="1" t="s">
        <v>770</v>
      </c>
      <c r="AF82" s="1" t="s">
        <v>121</v>
      </c>
      <c r="AG82" s="1" t="s">
        <v>771</v>
      </c>
      <c r="AH82" s="1" t="s">
        <v>772</v>
      </c>
      <c r="AI82" s="1" t="s">
        <v>463</v>
      </c>
      <c r="AJ82" s="1" t="s">
        <v>484</v>
      </c>
      <c r="AK82" s="7" t="s">
        <v>63</v>
      </c>
      <c r="AL82" s="7" t="s">
        <v>63</v>
      </c>
      <c r="AM82" s="8" t="s">
        <v>64</v>
      </c>
      <c r="AN82" s="8" t="s">
        <v>64</v>
      </c>
    </row>
    <row r="83" customFormat="false" ht="21.75" hidden="false" customHeight="true" outlineLevel="0" collapsed="false">
      <c r="A83" s="5" t="s">
        <v>773</v>
      </c>
      <c r="B83" s="6" t="s">
        <v>774</v>
      </c>
      <c r="C83" s="5" t="s">
        <v>42</v>
      </c>
      <c r="D83" s="5" t="s">
        <v>775</v>
      </c>
      <c r="E83" s="5" t="s">
        <v>776</v>
      </c>
      <c r="F83" s="5" t="s">
        <v>777</v>
      </c>
      <c r="G83" s="5" t="s">
        <v>429</v>
      </c>
      <c r="H83" s="6" t="s">
        <v>490</v>
      </c>
      <c r="I83" s="5" t="s">
        <v>491</v>
      </c>
      <c r="J83" s="5" t="s">
        <v>74</v>
      </c>
      <c r="K83" s="5" t="n">
        <v>3.38</v>
      </c>
      <c r="L83" s="5" t="n">
        <v>24</v>
      </c>
      <c r="M83" s="5" t="s">
        <v>50</v>
      </c>
      <c r="N83" s="5" t="s">
        <v>621</v>
      </c>
      <c r="O83" s="5" t="s">
        <v>141</v>
      </c>
      <c r="P83" s="5" t="s">
        <v>76</v>
      </c>
      <c r="Q83" s="5" t="s">
        <v>272</v>
      </c>
      <c r="R83" s="5" t="s">
        <v>430</v>
      </c>
      <c r="S83" s="6" t="s">
        <v>468</v>
      </c>
      <c r="T83" s="5" t="s">
        <v>361</v>
      </c>
      <c r="U83" s="5" t="s">
        <v>57</v>
      </c>
      <c r="V83" s="5" t="n">
        <v>0</v>
      </c>
      <c r="W83" s="5" t="s">
        <v>58</v>
      </c>
      <c r="X83" s="5" t="s">
        <v>59</v>
      </c>
      <c r="Y83" s="6" t="s">
        <v>778</v>
      </c>
      <c r="Z83" s="6" t="s">
        <v>470</v>
      </c>
      <c r="AA83" s="5" t="s">
        <v>61</v>
      </c>
      <c r="AB83" s="5"/>
      <c r="AC83" s="1" t="s">
        <v>667</v>
      </c>
      <c r="AD83" s="1" t="s">
        <v>704</v>
      </c>
      <c r="AE83" s="1" t="s">
        <v>779</v>
      </c>
      <c r="AF83" s="1" t="s">
        <v>76</v>
      </c>
      <c r="AG83" s="1" t="s">
        <v>780</v>
      </c>
      <c r="AH83" s="1" t="s">
        <v>740</v>
      </c>
      <c r="AI83" s="1" t="s">
        <v>781</v>
      </c>
      <c r="AJ83" s="1" t="s">
        <v>484</v>
      </c>
      <c r="AK83" s="7" t="s">
        <v>63</v>
      </c>
      <c r="AL83" s="7" t="s">
        <v>63</v>
      </c>
      <c r="AM83" s="8" t="s">
        <v>64</v>
      </c>
      <c r="AN83" s="8" t="s">
        <v>64</v>
      </c>
    </row>
    <row r="84" customFormat="false" ht="15" hidden="false" customHeight="true" outlineLevel="0" collapsed="false">
      <c r="A84" s="5" t="s">
        <v>782</v>
      </c>
      <c r="B84" s="6" t="s">
        <v>783</v>
      </c>
      <c r="C84" s="5" t="s">
        <v>67</v>
      </c>
      <c r="D84" s="5" t="s">
        <v>784</v>
      </c>
      <c r="E84" s="5" t="s">
        <v>785</v>
      </c>
      <c r="F84" s="5" t="s">
        <v>45</v>
      </c>
      <c r="G84" s="5" t="s">
        <v>132</v>
      </c>
      <c r="H84" s="6" t="s">
        <v>133</v>
      </c>
      <c r="I84" s="5" t="s">
        <v>134</v>
      </c>
      <c r="J84" s="5" t="s">
        <v>49</v>
      </c>
      <c r="K84" s="5" t="n">
        <v>3.41</v>
      </c>
      <c r="L84" s="5" t="n">
        <v>92</v>
      </c>
      <c r="M84" s="5" t="s">
        <v>50</v>
      </c>
      <c r="N84" s="5" t="s">
        <v>51</v>
      </c>
      <c r="O84" s="5" t="s">
        <v>483</v>
      </c>
      <c r="P84" s="5" t="s">
        <v>53</v>
      </c>
      <c r="Q84" s="5" t="s">
        <v>54</v>
      </c>
      <c r="R84" s="5" t="s">
        <v>132</v>
      </c>
      <c r="S84" s="6" t="s">
        <v>55</v>
      </c>
      <c r="T84" s="5" t="s">
        <v>56</v>
      </c>
      <c r="U84" s="5" t="s">
        <v>57</v>
      </c>
      <c r="V84" s="5" t="n">
        <v>0</v>
      </c>
      <c r="W84" s="5" t="s">
        <v>58</v>
      </c>
      <c r="X84" s="5" t="s">
        <v>59</v>
      </c>
      <c r="Y84" s="6" t="s">
        <v>60</v>
      </c>
      <c r="Z84" s="6" t="s">
        <v>60</v>
      </c>
      <c r="AA84" s="5" t="s">
        <v>61</v>
      </c>
      <c r="AB84" s="5"/>
      <c r="AJ84" s="1" t="s">
        <v>786</v>
      </c>
      <c r="AK84" s="7" t="s">
        <v>63</v>
      </c>
      <c r="AL84" s="7" t="s">
        <v>63</v>
      </c>
      <c r="AM84" s="8" t="s">
        <v>64</v>
      </c>
      <c r="AN84" s="8" t="s">
        <v>64</v>
      </c>
    </row>
    <row r="85" customFormat="false" ht="21.75" hidden="false" customHeight="true" outlineLevel="0" collapsed="false">
      <c r="A85" s="5" t="s">
        <v>787</v>
      </c>
      <c r="B85" s="6" t="s">
        <v>788</v>
      </c>
      <c r="C85" s="5" t="s">
        <v>42</v>
      </c>
      <c r="D85" s="5" t="s">
        <v>789</v>
      </c>
      <c r="E85" s="5" t="s">
        <v>790</v>
      </c>
      <c r="F85" s="5" t="s">
        <v>70</v>
      </c>
      <c r="G85" s="5" t="s">
        <v>791</v>
      </c>
      <c r="H85" s="6" t="s">
        <v>792</v>
      </c>
      <c r="I85" s="5" t="s">
        <v>793</v>
      </c>
      <c r="J85" s="5" t="s">
        <v>74</v>
      </c>
      <c r="K85" s="5" t="n">
        <v>3.09</v>
      </c>
      <c r="L85" s="5" t="n">
        <v>67</v>
      </c>
      <c r="M85" s="5" t="s">
        <v>50</v>
      </c>
      <c r="N85" s="5" t="s">
        <v>51</v>
      </c>
      <c r="O85" s="5" t="s">
        <v>493</v>
      </c>
      <c r="P85" s="5" t="s">
        <v>76</v>
      </c>
      <c r="Q85" s="5" t="s">
        <v>54</v>
      </c>
      <c r="R85" s="5" t="s">
        <v>791</v>
      </c>
      <c r="S85" s="6" t="s">
        <v>77</v>
      </c>
      <c r="T85" s="5" t="s">
        <v>78</v>
      </c>
      <c r="U85" s="5" t="s">
        <v>57</v>
      </c>
      <c r="V85" s="5" t="n">
        <v>0</v>
      </c>
      <c r="W85" s="5" t="s">
        <v>58</v>
      </c>
      <c r="X85" s="5" t="s">
        <v>59</v>
      </c>
      <c r="Y85" s="6" t="s">
        <v>60</v>
      </c>
      <c r="Z85" s="6" t="s">
        <v>60</v>
      </c>
      <c r="AA85" s="5" t="s">
        <v>61</v>
      </c>
      <c r="AB85" s="5"/>
      <c r="AJ85" s="1" t="s">
        <v>786</v>
      </c>
      <c r="AK85" s="7" t="s">
        <v>63</v>
      </c>
      <c r="AL85" s="7" t="s">
        <v>63</v>
      </c>
      <c r="AM85" s="8" t="s">
        <v>64</v>
      </c>
      <c r="AN85" s="8" t="s">
        <v>64</v>
      </c>
    </row>
    <row r="86" customFormat="false" ht="32.25" hidden="false" customHeight="true" outlineLevel="0" collapsed="false">
      <c r="A86" s="5" t="s">
        <v>794</v>
      </c>
      <c r="B86" s="6" t="s">
        <v>795</v>
      </c>
      <c r="C86" s="5" t="s">
        <v>67</v>
      </c>
      <c r="D86" s="5" t="s">
        <v>796</v>
      </c>
      <c r="E86" s="5" t="s">
        <v>797</v>
      </c>
      <c r="F86" s="5" t="s">
        <v>798</v>
      </c>
      <c r="G86" s="5" t="s">
        <v>71</v>
      </c>
      <c r="H86" s="6" t="s">
        <v>799</v>
      </c>
      <c r="I86" s="5" t="s">
        <v>800</v>
      </c>
      <c r="J86" s="5" t="s">
        <v>86</v>
      </c>
      <c r="K86" s="5" t="n">
        <v>3.52</v>
      </c>
      <c r="L86" s="5" t="n">
        <v>129</v>
      </c>
      <c r="M86" s="5" t="s">
        <v>50</v>
      </c>
      <c r="N86" s="5" t="s">
        <v>51</v>
      </c>
      <c r="O86" s="5" t="s">
        <v>501</v>
      </c>
      <c r="P86" s="5" t="s">
        <v>89</v>
      </c>
      <c r="Q86" s="5" t="s">
        <v>54</v>
      </c>
      <c r="R86" s="5" t="s">
        <v>71</v>
      </c>
      <c r="S86" s="6" t="s">
        <v>90</v>
      </c>
      <c r="T86" s="5" t="s">
        <v>91</v>
      </c>
      <c r="U86" s="5" t="s">
        <v>57</v>
      </c>
      <c r="V86" s="5" t="n">
        <v>0</v>
      </c>
      <c r="W86" s="5" t="s">
        <v>58</v>
      </c>
      <c r="X86" s="5" t="s">
        <v>59</v>
      </c>
      <c r="Y86" s="6" t="s">
        <v>60</v>
      </c>
      <c r="Z86" s="6" t="s">
        <v>60</v>
      </c>
      <c r="AA86" s="5" t="s">
        <v>92</v>
      </c>
      <c r="AB86" s="5"/>
      <c r="AJ86" s="1" t="s">
        <v>786</v>
      </c>
      <c r="AK86" s="7" t="s">
        <v>63</v>
      </c>
      <c r="AL86" s="7" t="s">
        <v>93</v>
      </c>
      <c r="AM86" s="8" t="s">
        <v>801</v>
      </c>
      <c r="AN86" s="8" t="s">
        <v>802</v>
      </c>
    </row>
    <row r="87" customFormat="false" ht="21.75" hidden="false" customHeight="true" outlineLevel="0" collapsed="false">
      <c r="A87" s="9" t="s">
        <v>803</v>
      </c>
      <c r="B87" s="10" t="s">
        <v>804</v>
      </c>
      <c r="C87" s="9" t="s">
        <v>42</v>
      </c>
      <c r="D87" s="9" t="s">
        <v>805</v>
      </c>
      <c r="E87" s="9" t="s">
        <v>806</v>
      </c>
      <c r="F87" s="9" t="s">
        <v>807</v>
      </c>
      <c r="G87" s="9" t="s">
        <v>46</v>
      </c>
      <c r="H87" s="10" t="s">
        <v>47</v>
      </c>
      <c r="I87" s="9" t="s">
        <v>808</v>
      </c>
      <c r="J87" s="9" t="s">
        <v>86</v>
      </c>
      <c r="K87" s="9" t="n">
        <v>3.87</v>
      </c>
      <c r="L87" s="9" t="n">
        <v>127</v>
      </c>
      <c r="M87" s="9" t="s">
        <v>103</v>
      </c>
      <c r="N87" s="9" t="s">
        <v>51</v>
      </c>
      <c r="O87" s="9" t="s">
        <v>511</v>
      </c>
      <c r="P87" s="9"/>
      <c r="Q87" s="9" t="s">
        <v>54</v>
      </c>
      <c r="R87" s="9" t="s">
        <v>46</v>
      </c>
      <c r="S87" s="10" t="s">
        <v>106</v>
      </c>
      <c r="T87" s="9" t="s">
        <v>107</v>
      </c>
      <c r="U87" s="9" t="s">
        <v>108</v>
      </c>
      <c r="V87" s="9" t="n">
        <v>0</v>
      </c>
      <c r="W87" s="9" t="s">
        <v>108</v>
      </c>
      <c r="X87" s="9" t="s">
        <v>59</v>
      </c>
      <c r="Y87" s="10" t="s">
        <v>60</v>
      </c>
      <c r="Z87" s="10" t="s">
        <v>60</v>
      </c>
      <c r="AA87" s="9" t="s">
        <v>109</v>
      </c>
      <c r="AB87" s="9" t="s">
        <v>110</v>
      </c>
      <c r="AJ87" s="1" t="s">
        <v>786</v>
      </c>
      <c r="AK87" s="11" t="s">
        <v>63</v>
      </c>
      <c r="AL87" s="11" t="s">
        <v>63</v>
      </c>
      <c r="AM87" s="12" t="s">
        <v>64</v>
      </c>
      <c r="AN87" s="12" t="s">
        <v>64</v>
      </c>
    </row>
    <row r="88" customFormat="false" ht="21.75" hidden="false" customHeight="true" outlineLevel="0" collapsed="false">
      <c r="A88" s="13" t="s">
        <v>809</v>
      </c>
      <c r="B88" s="14" t="s">
        <v>810</v>
      </c>
      <c r="C88" s="13" t="s">
        <v>67</v>
      </c>
      <c r="D88" s="13" t="s">
        <v>811</v>
      </c>
      <c r="E88" s="13" t="s">
        <v>812</v>
      </c>
      <c r="F88" s="13" t="s">
        <v>115</v>
      </c>
      <c r="G88" s="13" t="s">
        <v>71</v>
      </c>
      <c r="H88" s="14" t="s">
        <v>186</v>
      </c>
      <c r="I88" s="13" t="s">
        <v>813</v>
      </c>
      <c r="J88" s="13" t="s">
        <v>118</v>
      </c>
      <c r="K88" s="13" t="n">
        <v>2.31</v>
      </c>
      <c r="L88" s="13" t="n">
        <v>23</v>
      </c>
      <c r="M88" s="13" t="s">
        <v>119</v>
      </c>
      <c r="N88" s="13" t="s">
        <v>51</v>
      </c>
      <c r="O88" s="13" t="s">
        <v>519</v>
      </c>
      <c r="P88" s="13" t="s">
        <v>121</v>
      </c>
      <c r="Q88" s="13" t="s">
        <v>54</v>
      </c>
      <c r="R88" s="13" t="s">
        <v>71</v>
      </c>
      <c r="S88" s="14" t="s">
        <v>122</v>
      </c>
      <c r="T88" s="13" t="s">
        <v>123</v>
      </c>
      <c r="U88" s="13" t="s">
        <v>124</v>
      </c>
      <c r="V88" s="13" t="n">
        <v>35000</v>
      </c>
      <c r="W88" s="13" t="s">
        <v>119</v>
      </c>
      <c r="X88" s="13" t="s">
        <v>125</v>
      </c>
      <c r="Y88" s="14" t="s">
        <v>60</v>
      </c>
      <c r="Z88" s="14" t="s">
        <v>60</v>
      </c>
      <c r="AA88" s="13" t="s">
        <v>126</v>
      </c>
      <c r="AB88" s="13"/>
      <c r="AJ88" s="1" t="s">
        <v>786</v>
      </c>
      <c r="AK88" s="15" t="s">
        <v>63</v>
      </c>
      <c r="AL88" s="15" t="s">
        <v>63</v>
      </c>
      <c r="AM88" s="16" t="s">
        <v>64</v>
      </c>
      <c r="AN88" s="16" t="s">
        <v>64</v>
      </c>
    </row>
    <row r="89" customFormat="false" ht="32.25" hidden="false" customHeight="true" outlineLevel="0" collapsed="false">
      <c r="A89" s="5" t="s">
        <v>814</v>
      </c>
      <c r="B89" s="6" t="s">
        <v>815</v>
      </c>
      <c r="C89" s="5" t="s">
        <v>42</v>
      </c>
      <c r="D89" s="5" t="s">
        <v>816</v>
      </c>
      <c r="E89" s="5" t="s">
        <v>817</v>
      </c>
      <c r="F89" s="5" t="s">
        <v>131</v>
      </c>
      <c r="G89" s="5" t="s">
        <v>46</v>
      </c>
      <c r="H89" s="6" t="s">
        <v>818</v>
      </c>
      <c r="I89" s="5" t="s">
        <v>819</v>
      </c>
      <c r="J89" s="5" t="s">
        <v>49</v>
      </c>
      <c r="K89" s="5" t="n">
        <v>3.22</v>
      </c>
      <c r="L89" s="5" t="n">
        <v>100</v>
      </c>
      <c r="M89" s="5" t="s">
        <v>50</v>
      </c>
      <c r="N89" s="5" t="s">
        <v>51</v>
      </c>
      <c r="O89" s="5" t="s">
        <v>483</v>
      </c>
      <c r="P89" s="5" t="s">
        <v>53</v>
      </c>
      <c r="Q89" s="5" t="s">
        <v>54</v>
      </c>
      <c r="R89" s="5" t="s">
        <v>46</v>
      </c>
      <c r="S89" s="6" t="s">
        <v>55</v>
      </c>
      <c r="T89" s="5" t="s">
        <v>56</v>
      </c>
      <c r="U89" s="5" t="s">
        <v>57</v>
      </c>
      <c r="V89" s="5" t="n">
        <v>0</v>
      </c>
      <c r="W89" s="5" t="s">
        <v>58</v>
      </c>
      <c r="X89" s="5" t="s">
        <v>59</v>
      </c>
      <c r="Y89" s="6" t="s">
        <v>60</v>
      </c>
      <c r="Z89" s="6" t="s">
        <v>60</v>
      </c>
      <c r="AA89" s="5" t="s">
        <v>61</v>
      </c>
      <c r="AB89" s="5"/>
      <c r="AJ89" s="1" t="s">
        <v>786</v>
      </c>
      <c r="AK89" s="7" t="s">
        <v>63</v>
      </c>
      <c r="AL89" s="7" t="s">
        <v>63</v>
      </c>
      <c r="AM89" s="8" t="s">
        <v>64</v>
      </c>
      <c r="AN89" s="8" t="s">
        <v>64</v>
      </c>
    </row>
    <row r="90" customFormat="false" ht="21.75" hidden="false" customHeight="true" outlineLevel="0" collapsed="false">
      <c r="A90" s="5" t="s">
        <v>820</v>
      </c>
      <c r="B90" s="6" t="s">
        <v>821</v>
      </c>
      <c r="C90" s="5" t="s">
        <v>67</v>
      </c>
      <c r="D90" s="5" t="s">
        <v>822</v>
      </c>
      <c r="E90" s="5" t="s">
        <v>823</v>
      </c>
      <c r="F90" s="5" t="s">
        <v>139</v>
      </c>
      <c r="G90" s="5" t="s">
        <v>791</v>
      </c>
      <c r="H90" s="6" t="s">
        <v>157</v>
      </c>
      <c r="I90" s="5" t="s">
        <v>793</v>
      </c>
      <c r="J90" s="5" t="s">
        <v>74</v>
      </c>
      <c r="K90" s="5" t="n">
        <v>3.64</v>
      </c>
      <c r="L90" s="5" t="n">
        <v>66</v>
      </c>
      <c r="M90" s="5" t="s">
        <v>50</v>
      </c>
      <c r="N90" s="5" t="s">
        <v>51</v>
      </c>
      <c r="O90" s="5" t="s">
        <v>493</v>
      </c>
      <c r="P90" s="5" t="s">
        <v>76</v>
      </c>
      <c r="Q90" s="5" t="s">
        <v>54</v>
      </c>
      <c r="R90" s="5" t="s">
        <v>791</v>
      </c>
      <c r="S90" s="6" t="s">
        <v>77</v>
      </c>
      <c r="T90" s="5" t="s">
        <v>78</v>
      </c>
      <c r="U90" s="5" t="s">
        <v>57</v>
      </c>
      <c r="V90" s="5" t="n">
        <v>0</v>
      </c>
      <c r="W90" s="5" t="s">
        <v>58</v>
      </c>
      <c r="X90" s="5" t="s">
        <v>59</v>
      </c>
      <c r="Y90" s="6" t="s">
        <v>60</v>
      </c>
      <c r="Z90" s="6" t="s">
        <v>60</v>
      </c>
      <c r="AA90" s="5" t="s">
        <v>61</v>
      </c>
      <c r="AB90" s="5"/>
      <c r="AJ90" s="1" t="s">
        <v>786</v>
      </c>
      <c r="AK90" s="7" t="s">
        <v>63</v>
      </c>
      <c r="AL90" s="7" t="s">
        <v>63</v>
      </c>
      <c r="AM90" s="8" t="s">
        <v>64</v>
      </c>
      <c r="AN90" s="8" t="s">
        <v>64</v>
      </c>
    </row>
    <row r="91" customFormat="false" ht="15" hidden="false" customHeight="true" outlineLevel="0" collapsed="false">
      <c r="A91" s="5" t="s">
        <v>824</v>
      </c>
      <c r="B91" s="6" t="s">
        <v>825</v>
      </c>
      <c r="C91" s="5" t="s">
        <v>42</v>
      </c>
      <c r="D91" s="5" t="s">
        <v>826</v>
      </c>
      <c r="E91" s="5" t="s">
        <v>827</v>
      </c>
      <c r="F91" s="5" t="s">
        <v>828</v>
      </c>
      <c r="G91" s="5" t="s">
        <v>132</v>
      </c>
      <c r="H91" s="6" t="s">
        <v>829</v>
      </c>
      <c r="I91" s="5" t="s">
        <v>134</v>
      </c>
      <c r="J91" s="5" t="s">
        <v>86</v>
      </c>
      <c r="K91" s="5" t="n">
        <v>3.17</v>
      </c>
      <c r="L91" s="5" t="n">
        <v>128</v>
      </c>
      <c r="M91" s="5" t="s">
        <v>50</v>
      </c>
      <c r="N91" s="5" t="s">
        <v>51</v>
      </c>
      <c r="O91" s="5" t="s">
        <v>501</v>
      </c>
      <c r="P91" s="5" t="s">
        <v>89</v>
      </c>
      <c r="Q91" s="5" t="s">
        <v>54</v>
      </c>
      <c r="R91" s="5" t="s">
        <v>132</v>
      </c>
      <c r="S91" s="6" t="s">
        <v>90</v>
      </c>
      <c r="T91" s="5" t="s">
        <v>91</v>
      </c>
      <c r="U91" s="5" t="s">
        <v>57</v>
      </c>
      <c r="V91" s="5" t="n">
        <v>0</v>
      </c>
      <c r="W91" s="5" t="s">
        <v>58</v>
      </c>
      <c r="X91" s="5" t="s">
        <v>59</v>
      </c>
      <c r="Y91" s="6" t="s">
        <v>60</v>
      </c>
      <c r="Z91" s="6" t="s">
        <v>60</v>
      </c>
      <c r="AA91" s="5" t="s">
        <v>92</v>
      </c>
      <c r="AB91" s="5"/>
      <c r="AJ91" s="1" t="s">
        <v>786</v>
      </c>
      <c r="AK91" s="7" t="s">
        <v>63</v>
      </c>
      <c r="AL91" s="7" t="s">
        <v>63</v>
      </c>
      <c r="AM91" s="8" t="s">
        <v>64</v>
      </c>
      <c r="AN91" s="8" t="s">
        <v>64</v>
      </c>
    </row>
    <row r="92" customFormat="false" ht="32.25" hidden="false" customHeight="true" outlineLevel="0" collapsed="false">
      <c r="A92" s="17" t="s">
        <v>830</v>
      </c>
      <c r="B92" s="18" t="s">
        <v>831</v>
      </c>
      <c r="C92" s="17" t="s">
        <v>67</v>
      </c>
      <c r="D92" s="17" t="s">
        <v>832</v>
      </c>
      <c r="E92" s="17" t="s">
        <v>833</v>
      </c>
      <c r="F92" s="17" t="s">
        <v>155</v>
      </c>
      <c r="G92" s="17" t="s">
        <v>46</v>
      </c>
      <c r="H92" s="18" t="s">
        <v>173</v>
      </c>
      <c r="I92" s="17" t="s">
        <v>819</v>
      </c>
      <c r="J92" s="17" t="s">
        <v>49</v>
      </c>
      <c r="K92" s="17" t="n">
        <v>2.78</v>
      </c>
      <c r="L92" s="17" t="n">
        <v>90</v>
      </c>
      <c r="M92" s="17" t="s">
        <v>158</v>
      </c>
      <c r="N92" s="17" t="s">
        <v>51</v>
      </c>
      <c r="O92" s="17" t="s">
        <v>343</v>
      </c>
      <c r="P92" s="17" t="s">
        <v>53</v>
      </c>
      <c r="Q92" s="17" t="s">
        <v>54</v>
      </c>
      <c r="R92" s="17" t="s">
        <v>46</v>
      </c>
      <c r="S92" s="18" t="s">
        <v>159</v>
      </c>
      <c r="T92" s="17" t="s">
        <v>56</v>
      </c>
      <c r="U92" s="17" t="s">
        <v>160</v>
      </c>
      <c r="V92" s="17" t="n">
        <v>0</v>
      </c>
      <c r="W92" s="17" t="s">
        <v>58</v>
      </c>
      <c r="X92" s="17" t="s">
        <v>59</v>
      </c>
      <c r="Y92" s="18" t="s">
        <v>60</v>
      </c>
      <c r="Z92" s="18" t="s">
        <v>60</v>
      </c>
      <c r="AA92" s="17" t="s">
        <v>61</v>
      </c>
      <c r="AB92" s="17"/>
      <c r="AJ92" s="1" t="s">
        <v>786</v>
      </c>
      <c r="AK92" s="19" t="s">
        <v>63</v>
      </c>
      <c r="AL92" s="19" t="s">
        <v>63</v>
      </c>
      <c r="AM92" s="20" t="s">
        <v>64</v>
      </c>
      <c r="AN92" s="20" t="s">
        <v>64</v>
      </c>
    </row>
    <row r="93" customFormat="false" ht="32.25" hidden="false" customHeight="true" outlineLevel="0" collapsed="false">
      <c r="A93" s="5" t="s">
        <v>834</v>
      </c>
      <c r="B93" s="6" t="s">
        <v>835</v>
      </c>
      <c r="C93" s="5" t="s">
        <v>42</v>
      </c>
      <c r="D93" s="5" t="s">
        <v>163</v>
      </c>
      <c r="E93" s="5" t="s">
        <v>836</v>
      </c>
      <c r="F93" s="5" t="s">
        <v>165</v>
      </c>
      <c r="G93" s="5" t="s">
        <v>71</v>
      </c>
      <c r="H93" s="6" t="s">
        <v>837</v>
      </c>
      <c r="I93" s="5" t="s">
        <v>800</v>
      </c>
      <c r="J93" s="5" t="s">
        <v>118</v>
      </c>
      <c r="K93" s="5" t="n">
        <v>3.45</v>
      </c>
      <c r="L93" s="5" t="n">
        <v>28</v>
      </c>
      <c r="M93" s="5" t="s">
        <v>50</v>
      </c>
      <c r="N93" s="5" t="s">
        <v>51</v>
      </c>
      <c r="O93" s="5" t="s">
        <v>519</v>
      </c>
      <c r="P93" s="5" t="s">
        <v>121</v>
      </c>
      <c r="Q93" s="5" t="s">
        <v>54</v>
      </c>
      <c r="R93" s="5" t="s">
        <v>71</v>
      </c>
      <c r="S93" s="6" t="s">
        <v>167</v>
      </c>
      <c r="T93" s="5" t="s">
        <v>123</v>
      </c>
      <c r="U93" s="5" t="s">
        <v>57</v>
      </c>
      <c r="V93" s="5" t="n">
        <v>0</v>
      </c>
      <c r="W93" s="5" t="s">
        <v>58</v>
      </c>
      <c r="X93" s="5" t="s">
        <v>59</v>
      </c>
      <c r="Y93" s="6" t="s">
        <v>60</v>
      </c>
      <c r="Z93" s="6" t="s">
        <v>60</v>
      </c>
      <c r="AA93" s="5" t="s">
        <v>61</v>
      </c>
      <c r="AB93" s="5"/>
      <c r="AJ93" s="1" t="s">
        <v>786</v>
      </c>
      <c r="AK93" s="7" t="s">
        <v>63</v>
      </c>
      <c r="AL93" s="7" t="s">
        <v>63</v>
      </c>
      <c r="AM93" s="8" t="s">
        <v>64</v>
      </c>
      <c r="AN93" s="8" t="s">
        <v>64</v>
      </c>
    </row>
    <row r="94" customFormat="false" ht="21.75" hidden="false" customHeight="true" outlineLevel="0" collapsed="false">
      <c r="A94" s="5" t="s">
        <v>838</v>
      </c>
      <c r="B94" s="6" t="s">
        <v>839</v>
      </c>
      <c r="C94" s="5" t="s">
        <v>67</v>
      </c>
      <c r="D94" s="5" t="s">
        <v>840</v>
      </c>
      <c r="E94" s="5" t="s">
        <v>841</v>
      </c>
      <c r="F94" s="5" t="s">
        <v>172</v>
      </c>
      <c r="G94" s="5" t="s">
        <v>46</v>
      </c>
      <c r="H94" s="6" t="s">
        <v>47</v>
      </c>
      <c r="I94" s="5" t="s">
        <v>808</v>
      </c>
      <c r="J94" s="5" t="s">
        <v>74</v>
      </c>
      <c r="K94" s="5" t="n">
        <v>3.06</v>
      </c>
      <c r="L94" s="5" t="n">
        <v>67</v>
      </c>
      <c r="M94" s="5" t="s">
        <v>50</v>
      </c>
      <c r="N94" s="5" t="s">
        <v>51</v>
      </c>
      <c r="O94" s="5" t="s">
        <v>558</v>
      </c>
      <c r="P94" s="5" t="s">
        <v>76</v>
      </c>
      <c r="Q94" s="5" t="s">
        <v>54</v>
      </c>
      <c r="R94" s="5" t="s">
        <v>46</v>
      </c>
      <c r="S94" s="6" t="s">
        <v>77</v>
      </c>
      <c r="T94" s="5" t="s">
        <v>78</v>
      </c>
      <c r="U94" s="5" t="s">
        <v>57</v>
      </c>
      <c r="V94" s="5" t="n">
        <v>0</v>
      </c>
      <c r="W94" s="5" t="s">
        <v>58</v>
      </c>
      <c r="X94" s="5" t="s">
        <v>59</v>
      </c>
      <c r="Y94" s="6" t="s">
        <v>60</v>
      </c>
      <c r="Z94" s="6" t="s">
        <v>60</v>
      </c>
      <c r="AA94" s="5" t="s">
        <v>61</v>
      </c>
      <c r="AB94" s="5"/>
      <c r="AJ94" s="1" t="s">
        <v>786</v>
      </c>
      <c r="AK94" s="7" t="s">
        <v>63</v>
      </c>
      <c r="AL94" s="7" t="s">
        <v>63</v>
      </c>
      <c r="AM94" s="8" t="s">
        <v>64</v>
      </c>
      <c r="AN94" s="8" t="s">
        <v>64</v>
      </c>
    </row>
    <row r="95" customFormat="false" ht="15" hidden="false" customHeight="true" outlineLevel="0" collapsed="false">
      <c r="A95" s="9" t="s">
        <v>842</v>
      </c>
      <c r="B95" s="10" t="s">
        <v>843</v>
      </c>
      <c r="C95" s="9" t="s">
        <v>42</v>
      </c>
      <c r="D95" s="9" t="s">
        <v>844</v>
      </c>
      <c r="E95" s="9" t="s">
        <v>845</v>
      </c>
      <c r="F95" s="9" t="s">
        <v>846</v>
      </c>
      <c r="G95" s="9" t="s">
        <v>132</v>
      </c>
      <c r="H95" s="10" t="s">
        <v>847</v>
      </c>
      <c r="I95" s="9" t="s">
        <v>134</v>
      </c>
      <c r="J95" s="9" t="s">
        <v>86</v>
      </c>
      <c r="K95" s="9" t="n">
        <v>2.61</v>
      </c>
      <c r="L95" s="9" t="n">
        <v>129</v>
      </c>
      <c r="M95" s="9" t="s">
        <v>103</v>
      </c>
      <c r="N95" s="9" t="s">
        <v>51</v>
      </c>
      <c r="O95" s="9" t="s">
        <v>564</v>
      </c>
      <c r="P95" s="9"/>
      <c r="Q95" s="9" t="s">
        <v>54</v>
      </c>
      <c r="R95" s="9" t="s">
        <v>132</v>
      </c>
      <c r="S95" s="10" t="s">
        <v>106</v>
      </c>
      <c r="T95" s="9" t="s">
        <v>107</v>
      </c>
      <c r="U95" s="9" t="s">
        <v>108</v>
      </c>
      <c r="V95" s="9" t="n">
        <v>0</v>
      </c>
      <c r="W95" s="9" t="s">
        <v>108</v>
      </c>
      <c r="X95" s="9" t="s">
        <v>59</v>
      </c>
      <c r="Y95" s="10" t="s">
        <v>60</v>
      </c>
      <c r="Z95" s="10" t="s">
        <v>60</v>
      </c>
      <c r="AA95" s="9" t="s">
        <v>109</v>
      </c>
      <c r="AB95" s="9" t="s">
        <v>110</v>
      </c>
      <c r="AJ95" s="1" t="s">
        <v>786</v>
      </c>
      <c r="AK95" s="11" t="s">
        <v>63</v>
      </c>
      <c r="AL95" s="11" t="s">
        <v>63</v>
      </c>
      <c r="AM95" s="12" t="s">
        <v>64</v>
      </c>
      <c r="AN95" s="12" t="s">
        <v>64</v>
      </c>
    </row>
    <row r="96" customFormat="false" ht="21.75" hidden="false" customHeight="true" outlineLevel="0" collapsed="false">
      <c r="A96" s="5" t="s">
        <v>848</v>
      </c>
      <c r="B96" s="6" t="s">
        <v>849</v>
      </c>
      <c r="C96" s="5" t="s">
        <v>67</v>
      </c>
      <c r="D96" s="5" t="s">
        <v>850</v>
      </c>
      <c r="E96" s="5" t="s">
        <v>851</v>
      </c>
      <c r="F96" s="5" t="s">
        <v>185</v>
      </c>
      <c r="G96" s="5" t="s">
        <v>71</v>
      </c>
      <c r="H96" s="6" t="s">
        <v>241</v>
      </c>
      <c r="I96" s="5" t="s">
        <v>813</v>
      </c>
      <c r="J96" s="5" t="s">
        <v>49</v>
      </c>
      <c r="K96" s="5" t="n">
        <v>3.48</v>
      </c>
      <c r="L96" s="5" t="n">
        <v>95</v>
      </c>
      <c r="M96" s="5" t="s">
        <v>50</v>
      </c>
      <c r="N96" s="5" t="s">
        <v>51</v>
      </c>
      <c r="O96" s="5" t="s">
        <v>52</v>
      </c>
      <c r="P96" s="5" t="s">
        <v>53</v>
      </c>
      <c r="Q96" s="5" t="s">
        <v>54</v>
      </c>
      <c r="R96" s="5" t="s">
        <v>71</v>
      </c>
      <c r="S96" s="6" t="s">
        <v>55</v>
      </c>
      <c r="T96" s="5" t="s">
        <v>56</v>
      </c>
      <c r="U96" s="5" t="s">
        <v>57</v>
      </c>
      <c r="V96" s="5" t="n">
        <v>0</v>
      </c>
      <c r="W96" s="5" t="s">
        <v>58</v>
      </c>
      <c r="X96" s="5" t="s">
        <v>59</v>
      </c>
      <c r="Y96" s="6" t="s">
        <v>60</v>
      </c>
      <c r="Z96" s="6" t="s">
        <v>60</v>
      </c>
      <c r="AA96" s="5" t="s">
        <v>61</v>
      </c>
      <c r="AB96" s="5"/>
      <c r="AJ96" s="1" t="s">
        <v>786</v>
      </c>
      <c r="AK96" s="7" t="s">
        <v>63</v>
      </c>
      <c r="AL96" s="7" t="s">
        <v>63</v>
      </c>
      <c r="AM96" s="8" t="s">
        <v>64</v>
      </c>
      <c r="AN96" s="8" t="s">
        <v>64</v>
      </c>
    </row>
    <row r="97" customFormat="false" ht="32.25" hidden="false" customHeight="true" outlineLevel="0" collapsed="false">
      <c r="A97" s="21" t="s">
        <v>852</v>
      </c>
      <c r="B97" s="22" t="s">
        <v>853</v>
      </c>
      <c r="C97" s="21" t="s">
        <v>42</v>
      </c>
      <c r="D97" s="21" t="s">
        <v>854</v>
      </c>
      <c r="E97" s="21" t="s">
        <v>855</v>
      </c>
      <c r="F97" s="21" t="s">
        <v>192</v>
      </c>
      <c r="G97" s="21" t="s">
        <v>46</v>
      </c>
      <c r="H97" s="22" t="s">
        <v>856</v>
      </c>
      <c r="I97" s="21" t="s">
        <v>819</v>
      </c>
      <c r="J97" s="21" t="s">
        <v>86</v>
      </c>
      <c r="K97" s="21" t="n">
        <v>1.96</v>
      </c>
      <c r="L97" s="21" t="n">
        <v>119</v>
      </c>
      <c r="M97" s="21" t="s">
        <v>195</v>
      </c>
      <c r="N97" s="21" t="s">
        <v>51</v>
      </c>
      <c r="O97" s="21" t="s">
        <v>511</v>
      </c>
      <c r="P97" s="21" t="s">
        <v>89</v>
      </c>
      <c r="Q97" s="21" t="s">
        <v>54</v>
      </c>
      <c r="R97" s="21" t="s">
        <v>46</v>
      </c>
      <c r="S97" s="22" t="s">
        <v>196</v>
      </c>
      <c r="T97" s="21" t="s">
        <v>91</v>
      </c>
      <c r="U97" s="21" t="s">
        <v>197</v>
      </c>
      <c r="V97" s="21" t="n">
        <v>75000</v>
      </c>
      <c r="W97" s="21" t="s">
        <v>195</v>
      </c>
      <c r="X97" s="21" t="s">
        <v>125</v>
      </c>
      <c r="Y97" s="22" t="s">
        <v>60</v>
      </c>
      <c r="Z97" s="22" t="s">
        <v>60</v>
      </c>
      <c r="AA97" s="21" t="s">
        <v>126</v>
      </c>
      <c r="AB97" s="21"/>
      <c r="AJ97" s="1" t="s">
        <v>786</v>
      </c>
      <c r="AK97" s="23" t="s">
        <v>63</v>
      </c>
      <c r="AL97" s="23" t="s">
        <v>63</v>
      </c>
      <c r="AM97" s="24" t="s">
        <v>64</v>
      </c>
      <c r="AN97" s="24" t="s">
        <v>64</v>
      </c>
    </row>
    <row r="98" customFormat="false" ht="21.75" hidden="false" customHeight="true" outlineLevel="0" collapsed="false">
      <c r="A98" s="5" t="s">
        <v>857</v>
      </c>
      <c r="B98" s="6" t="s">
        <v>858</v>
      </c>
      <c r="C98" s="5" t="s">
        <v>67</v>
      </c>
      <c r="D98" s="5" t="s">
        <v>859</v>
      </c>
      <c r="E98" s="5" t="s">
        <v>860</v>
      </c>
      <c r="F98" s="5" t="s">
        <v>861</v>
      </c>
      <c r="G98" s="5" t="s">
        <v>46</v>
      </c>
      <c r="H98" s="6" t="s">
        <v>116</v>
      </c>
      <c r="I98" s="5" t="s">
        <v>808</v>
      </c>
      <c r="J98" s="5" t="s">
        <v>118</v>
      </c>
      <c r="K98" s="5" t="n">
        <v>3.71</v>
      </c>
      <c r="L98" s="5" t="n">
        <v>36</v>
      </c>
      <c r="M98" s="5" t="s">
        <v>50</v>
      </c>
      <c r="N98" s="5" t="s">
        <v>87</v>
      </c>
      <c r="O98" s="5" t="s">
        <v>519</v>
      </c>
      <c r="P98" s="5" t="s">
        <v>121</v>
      </c>
      <c r="Q98" s="5" t="s">
        <v>54</v>
      </c>
      <c r="R98" s="5" t="s">
        <v>46</v>
      </c>
      <c r="S98" s="6" t="s">
        <v>167</v>
      </c>
      <c r="T98" s="5" t="s">
        <v>123</v>
      </c>
      <c r="U98" s="5" t="s">
        <v>57</v>
      </c>
      <c r="V98" s="5" t="n">
        <v>0</v>
      </c>
      <c r="W98" s="5" t="s">
        <v>58</v>
      </c>
      <c r="X98" s="5" t="s">
        <v>59</v>
      </c>
      <c r="Y98" s="6" t="s">
        <v>60</v>
      </c>
      <c r="Z98" s="6" t="s">
        <v>60</v>
      </c>
      <c r="AA98" s="5" t="s">
        <v>61</v>
      </c>
      <c r="AB98" s="5"/>
      <c r="AJ98" s="1" t="s">
        <v>786</v>
      </c>
      <c r="AK98" s="7" t="s">
        <v>63</v>
      </c>
      <c r="AL98" s="7" t="s">
        <v>63</v>
      </c>
      <c r="AM98" s="8" t="s">
        <v>64</v>
      </c>
      <c r="AN98" s="8" t="s">
        <v>64</v>
      </c>
    </row>
    <row r="99" customFormat="false" ht="21.75" hidden="false" customHeight="true" outlineLevel="0" collapsed="false">
      <c r="A99" s="5" t="s">
        <v>862</v>
      </c>
      <c r="B99" s="6" t="s">
        <v>863</v>
      </c>
      <c r="C99" s="5" t="s">
        <v>42</v>
      </c>
      <c r="D99" s="5" t="s">
        <v>864</v>
      </c>
      <c r="E99" s="5" t="s">
        <v>865</v>
      </c>
      <c r="F99" s="5" t="s">
        <v>209</v>
      </c>
      <c r="G99" s="5" t="s">
        <v>791</v>
      </c>
      <c r="H99" s="6" t="s">
        <v>866</v>
      </c>
      <c r="I99" s="5" t="s">
        <v>793</v>
      </c>
      <c r="J99" s="5" t="s">
        <v>49</v>
      </c>
      <c r="K99" s="5" t="n">
        <v>3.13</v>
      </c>
      <c r="L99" s="5" t="n">
        <v>98</v>
      </c>
      <c r="M99" s="5" t="s">
        <v>50</v>
      </c>
      <c r="N99" s="5" t="s">
        <v>51</v>
      </c>
      <c r="O99" s="5" t="s">
        <v>483</v>
      </c>
      <c r="P99" s="5" t="s">
        <v>53</v>
      </c>
      <c r="Q99" s="5" t="s">
        <v>54</v>
      </c>
      <c r="R99" s="5" t="s">
        <v>791</v>
      </c>
      <c r="S99" s="6" t="s">
        <v>55</v>
      </c>
      <c r="T99" s="5" t="s">
        <v>56</v>
      </c>
      <c r="U99" s="5" t="s">
        <v>57</v>
      </c>
      <c r="V99" s="5" t="n">
        <v>0</v>
      </c>
      <c r="W99" s="5" t="s">
        <v>58</v>
      </c>
      <c r="X99" s="5" t="s">
        <v>59</v>
      </c>
      <c r="Y99" s="6" t="s">
        <v>60</v>
      </c>
      <c r="Z99" s="6" t="s">
        <v>60</v>
      </c>
      <c r="AA99" s="5" t="s">
        <v>61</v>
      </c>
      <c r="AB99" s="5"/>
      <c r="AJ99" s="1" t="s">
        <v>786</v>
      </c>
      <c r="AK99" s="7" t="s">
        <v>63</v>
      </c>
      <c r="AL99" s="7" t="s">
        <v>63</v>
      </c>
      <c r="AM99" s="8" t="s">
        <v>64</v>
      </c>
      <c r="AN99" s="8" t="s">
        <v>64</v>
      </c>
    </row>
    <row r="100" customFormat="false" ht="21.75" hidden="false" customHeight="true" outlineLevel="0" collapsed="false">
      <c r="A100" s="5" t="s">
        <v>867</v>
      </c>
      <c r="B100" s="6" t="s">
        <v>868</v>
      </c>
      <c r="C100" s="5" t="s">
        <v>67</v>
      </c>
      <c r="D100" s="5" t="s">
        <v>869</v>
      </c>
      <c r="E100" s="5" t="s">
        <v>870</v>
      </c>
      <c r="F100" s="5" t="s">
        <v>217</v>
      </c>
      <c r="G100" s="5" t="s">
        <v>46</v>
      </c>
      <c r="H100" s="6" t="s">
        <v>871</v>
      </c>
      <c r="I100" s="5" t="s">
        <v>808</v>
      </c>
      <c r="J100" s="5" t="s">
        <v>74</v>
      </c>
      <c r="K100" s="5" t="n">
        <v>3.59</v>
      </c>
      <c r="L100" s="5" t="n">
        <v>64</v>
      </c>
      <c r="M100" s="5" t="s">
        <v>50</v>
      </c>
      <c r="N100" s="5" t="s">
        <v>51</v>
      </c>
      <c r="O100" s="5" t="s">
        <v>493</v>
      </c>
      <c r="P100" s="5" t="s">
        <v>76</v>
      </c>
      <c r="Q100" s="5" t="s">
        <v>54</v>
      </c>
      <c r="R100" s="5" t="s">
        <v>46</v>
      </c>
      <c r="S100" s="6" t="s">
        <v>77</v>
      </c>
      <c r="T100" s="5" t="s">
        <v>78</v>
      </c>
      <c r="U100" s="5" t="s">
        <v>57</v>
      </c>
      <c r="V100" s="5" t="n">
        <v>0</v>
      </c>
      <c r="W100" s="5" t="s">
        <v>58</v>
      </c>
      <c r="X100" s="5" t="s">
        <v>59</v>
      </c>
      <c r="Y100" s="6" t="s">
        <v>60</v>
      </c>
      <c r="Z100" s="6" t="s">
        <v>60</v>
      </c>
      <c r="AA100" s="5" t="s">
        <v>61</v>
      </c>
      <c r="AB100" s="5"/>
      <c r="AJ100" s="1" t="s">
        <v>786</v>
      </c>
      <c r="AK100" s="7" t="s">
        <v>63</v>
      </c>
      <c r="AL100" s="7" t="s">
        <v>93</v>
      </c>
      <c r="AM100" s="8" t="s">
        <v>872</v>
      </c>
      <c r="AN100" s="8" t="s">
        <v>873</v>
      </c>
    </row>
    <row r="101" customFormat="false" ht="21.75" hidden="false" customHeight="true" outlineLevel="0" collapsed="false">
      <c r="A101" s="5" t="s">
        <v>874</v>
      </c>
      <c r="B101" s="6" t="s">
        <v>875</v>
      </c>
      <c r="C101" s="5" t="s">
        <v>42</v>
      </c>
      <c r="D101" s="5" t="s">
        <v>876</v>
      </c>
      <c r="E101" s="5" t="s">
        <v>877</v>
      </c>
      <c r="F101" s="5" t="s">
        <v>878</v>
      </c>
      <c r="G101" s="5" t="s">
        <v>71</v>
      </c>
      <c r="H101" s="6" t="s">
        <v>186</v>
      </c>
      <c r="I101" s="5" t="s">
        <v>813</v>
      </c>
      <c r="J101" s="5" t="s">
        <v>86</v>
      </c>
      <c r="K101" s="5" t="n">
        <v>2.97</v>
      </c>
      <c r="L101" s="5" t="n">
        <v>126</v>
      </c>
      <c r="M101" s="5" t="s">
        <v>50</v>
      </c>
      <c r="N101" s="5" t="s">
        <v>51</v>
      </c>
      <c r="O101" s="5" t="s">
        <v>501</v>
      </c>
      <c r="P101" s="5" t="s">
        <v>89</v>
      </c>
      <c r="Q101" s="5" t="s">
        <v>54</v>
      </c>
      <c r="R101" s="5" t="s">
        <v>71</v>
      </c>
      <c r="S101" s="6" t="s">
        <v>90</v>
      </c>
      <c r="T101" s="5" t="s">
        <v>91</v>
      </c>
      <c r="U101" s="5" t="s">
        <v>57</v>
      </c>
      <c r="V101" s="5" t="n">
        <v>0</v>
      </c>
      <c r="W101" s="5" t="s">
        <v>58</v>
      </c>
      <c r="X101" s="5" t="s">
        <v>59</v>
      </c>
      <c r="Y101" s="6" t="s">
        <v>60</v>
      </c>
      <c r="Z101" s="6" t="s">
        <v>60</v>
      </c>
      <c r="AA101" s="5" t="s">
        <v>92</v>
      </c>
      <c r="AB101" s="5"/>
      <c r="AJ101" s="1" t="s">
        <v>786</v>
      </c>
      <c r="AK101" s="7" t="s">
        <v>63</v>
      </c>
      <c r="AL101" s="7" t="s">
        <v>63</v>
      </c>
      <c r="AM101" s="8" t="s">
        <v>64</v>
      </c>
      <c r="AN101" s="8" t="s">
        <v>64</v>
      </c>
    </row>
    <row r="102" customFormat="false" ht="15" hidden="false" customHeight="true" outlineLevel="0" collapsed="false">
      <c r="A102" s="5" t="s">
        <v>879</v>
      </c>
      <c r="B102" s="6" t="s">
        <v>880</v>
      </c>
      <c r="C102" s="5" t="s">
        <v>67</v>
      </c>
      <c r="D102" s="5" t="s">
        <v>881</v>
      </c>
      <c r="E102" s="5" t="s">
        <v>882</v>
      </c>
      <c r="F102" s="5" t="s">
        <v>229</v>
      </c>
      <c r="G102" s="5" t="s">
        <v>132</v>
      </c>
      <c r="H102" s="6" t="s">
        <v>883</v>
      </c>
      <c r="I102" s="5" t="s">
        <v>134</v>
      </c>
      <c r="J102" s="5" t="s">
        <v>49</v>
      </c>
      <c r="K102" s="5" t="n">
        <v>3.34</v>
      </c>
      <c r="L102" s="5" t="n">
        <v>92</v>
      </c>
      <c r="M102" s="5" t="s">
        <v>50</v>
      </c>
      <c r="N102" s="5" t="s">
        <v>51</v>
      </c>
      <c r="O102" s="5" t="s">
        <v>343</v>
      </c>
      <c r="P102" s="5" t="s">
        <v>53</v>
      </c>
      <c r="Q102" s="5" t="s">
        <v>54</v>
      </c>
      <c r="R102" s="5" t="s">
        <v>132</v>
      </c>
      <c r="S102" s="6" t="s">
        <v>55</v>
      </c>
      <c r="T102" s="5" t="s">
        <v>56</v>
      </c>
      <c r="U102" s="5" t="s">
        <v>57</v>
      </c>
      <c r="V102" s="5" t="n">
        <v>0</v>
      </c>
      <c r="W102" s="5" t="s">
        <v>58</v>
      </c>
      <c r="X102" s="5" t="s">
        <v>59</v>
      </c>
      <c r="Y102" s="6" t="s">
        <v>60</v>
      </c>
      <c r="Z102" s="6" t="s">
        <v>60</v>
      </c>
      <c r="AA102" s="5" t="s">
        <v>61</v>
      </c>
      <c r="AB102" s="5"/>
      <c r="AJ102" s="1" t="s">
        <v>786</v>
      </c>
      <c r="AK102" s="7" t="s">
        <v>63</v>
      </c>
      <c r="AL102" s="7" t="s">
        <v>63</v>
      </c>
      <c r="AM102" s="8" t="s">
        <v>64</v>
      </c>
      <c r="AN102" s="8" t="s">
        <v>64</v>
      </c>
    </row>
    <row r="103" customFormat="false" ht="32.25" hidden="false" customHeight="true" outlineLevel="0" collapsed="false">
      <c r="A103" s="13" t="s">
        <v>884</v>
      </c>
      <c r="B103" s="14" t="s">
        <v>885</v>
      </c>
      <c r="C103" s="13" t="s">
        <v>42</v>
      </c>
      <c r="D103" s="13" t="s">
        <v>886</v>
      </c>
      <c r="E103" s="13" t="s">
        <v>887</v>
      </c>
      <c r="F103" s="13" t="s">
        <v>888</v>
      </c>
      <c r="G103" s="13" t="s">
        <v>46</v>
      </c>
      <c r="H103" s="14" t="s">
        <v>889</v>
      </c>
      <c r="I103" s="13" t="s">
        <v>819</v>
      </c>
      <c r="J103" s="13" t="s">
        <v>118</v>
      </c>
      <c r="K103" s="13" t="n">
        <v>2.24</v>
      </c>
      <c r="L103" s="13" t="n">
        <v>29</v>
      </c>
      <c r="M103" s="13" t="s">
        <v>119</v>
      </c>
      <c r="N103" s="13" t="s">
        <v>51</v>
      </c>
      <c r="O103" s="13" t="s">
        <v>519</v>
      </c>
      <c r="P103" s="13" t="s">
        <v>121</v>
      </c>
      <c r="Q103" s="13" t="s">
        <v>54</v>
      </c>
      <c r="R103" s="13" t="s">
        <v>46</v>
      </c>
      <c r="S103" s="14" t="s">
        <v>122</v>
      </c>
      <c r="T103" s="13" t="s">
        <v>123</v>
      </c>
      <c r="U103" s="13" t="s">
        <v>124</v>
      </c>
      <c r="V103" s="13" t="n">
        <v>35000</v>
      </c>
      <c r="W103" s="13" t="s">
        <v>119</v>
      </c>
      <c r="X103" s="13" t="s">
        <v>125</v>
      </c>
      <c r="Y103" s="14" t="s">
        <v>60</v>
      </c>
      <c r="Z103" s="14" t="s">
        <v>60</v>
      </c>
      <c r="AA103" s="13" t="s">
        <v>126</v>
      </c>
      <c r="AB103" s="13"/>
      <c r="AJ103" s="1" t="s">
        <v>786</v>
      </c>
      <c r="AK103" s="15" t="s">
        <v>63</v>
      </c>
      <c r="AL103" s="15" t="s">
        <v>63</v>
      </c>
      <c r="AM103" s="16" t="s">
        <v>64</v>
      </c>
      <c r="AN103" s="16" t="s">
        <v>64</v>
      </c>
    </row>
    <row r="104" customFormat="false" ht="32.25" hidden="false" customHeight="true" outlineLevel="0" collapsed="false">
      <c r="A104" s="5" t="s">
        <v>890</v>
      </c>
      <c r="B104" s="6" t="s">
        <v>891</v>
      </c>
      <c r="C104" s="5" t="s">
        <v>67</v>
      </c>
      <c r="D104" s="5" t="s">
        <v>892</v>
      </c>
      <c r="E104" s="5" t="s">
        <v>893</v>
      </c>
      <c r="F104" s="5" t="s">
        <v>894</v>
      </c>
      <c r="G104" s="5" t="s">
        <v>71</v>
      </c>
      <c r="H104" s="6" t="s">
        <v>799</v>
      </c>
      <c r="I104" s="5" t="s">
        <v>800</v>
      </c>
      <c r="J104" s="5" t="s">
        <v>74</v>
      </c>
      <c r="K104" s="5" t="n">
        <v>3.37</v>
      </c>
      <c r="L104" s="5" t="n">
        <v>65</v>
      </c>
      <c r="M104" s="5" t="s">
        <v>50</v>
      </c>
      <c r="N104" s="5" t="s">
        <v>895</v>
      </c>
      <c r="O104" s="5" t="s">
        <v>558</v>
      </c>
      <c r="P104" s="5" t="s">
        <v>76</v>
      </c>
      <c r="Q104" s="5" t="s">
        <v>54</v>
      </c>
      <c r="R104" s="5" t="s">
        <v>71</v>
      </c>
      <c r="S104" s="6" t="s">
        <v>77</v>
      </c>
      <c r="T104" s="5" t="s">
        <v>78</v>
      </c>
      <c r="U104" s="5" t="s">
        <v>57</v>
      </c>
      <c r="V104" s="5" t="n">
        <v>0</v>
      </c>
      <c r="W104" s="5" t="s">
        <v>58</v>
      </c>
      <c r="X104" s="5" t="s">
        <v>59</v>
      </c>
      <c r="Y104" s="6" t="s">
        <v>60</v>
      </c>
      <c r="Z104" s="6" t="s">
        <v>60</v>
      </c>
      <c r="AA104" s="5" t="s">
        <v>61</v>
      </c>
      <c r="AB104" s="5"/>
      <c r="AJ104" s="1" t="s">
        <v>786</v>
      </c>
      <c r="AK104" s="7" t="s">
        <v>63</v>
      </c>
      <c r="AL104" s="7" t="s">
        <v>63</v>
      </c>
      <c r="AM104" s="8" t="s">
        <v>64</v>
      </c>
      <c r="AN104" s="8" t="s">
        <v>64</v>
      </c>
    </row>
    <row r="105" customFormat="false" ht="21.75" hidden="false" customHeight="true" outlineLevel="0" collapsed="false">
      <c r="A105" s="5" t="s">
        <v>896</v>
      </c>
      <c r="B105" s="6" t="s">
        <v>897</v>
      </c>
      <c r="C105" s="5" t="s">
        <v>42</v>
      </c>
      <c r="D105" s="5" t="s">
        <v>898</v>
      </c>
      <c r="E105" s="5" t="s">
        <v>899</v>
      </c>
      <c r="F105" s="5" t="s">
        <v>246</v>
      </c>
      <c r="G105" s="5" t="s">
        <v>46</v>
      </c>
      <c r="H105" s="6" t="s">
        <v>47</v>
      </c>
      <c r="I105" s="5" t="s">
        <v>808</v>
      </c>
      <c r="J105" s="5" t="s">
        <v>86</v>
      </c>
      <c r="K105" s="5" t="n">
        <v>3.63</v>
      </c>
      <c r="L105" s="5" t="n">
        <v>127</v>
      </c>
      <c r="M105" s="5" t="s">
        <v>50</v>
      </c>
      <c r="N105" s="5" t="s">
        <v>51</v>
      </c>
      <c r="O105" s="5" t="s">
        <v>564</v>
      </c>
      <c r="P105" s="5" t="s">
        <v>89</v>
      </c>
      <c r="Q105" s="5" t="s">
        <v>54</v>
      </c>
      <c r="R105" s="5" t="s">
        <v>46</v>
      </c>
      <c r="S105" s="6" t="s">
        <v>90</v>
      </c>
      <c r="T105" s="5" t="s">
        <v>91</v>
      </c>
      <c r="U105" s="5" t="s">
        <v>57</v>
      </c>
      <c r="V105" s="5" t="n">
        <v>0</v>
      </c>
      <c r="W105" s="5" t="s">
        <v>58</v>
      </c>
      <c r="X105" s="5" t="s">
        <v>59</v>
      </c>
      <c r="Y105" s="6" t="s">
        <v>60</v>
      </c>
      <c r="Z105" s="6" t="s">
        <v>60</v>
      </c>
      <c r="AA105" s="5" t="s">
        <v>92</v>
      </c>
      <c r="AB105" s="5"/>
      <c r="AJ105" s="1" t="s">
        <v>786</v>
      </c>
      <c r="AK105" s="7" t="s">
        <v>63</v>
      </c>
      <c r="AL105" s="7" t="s">
        <v>63</v>
      </c>
      <c r="AM105" s="8" t="s">
        <v>64</v>
      </c>
      <c r="AN105" s="8" t="s">
        <v>64</v>
      </c>
    </row>
    <row r="106" customFormat="false" ht="21.75" hidden="false" customHeight="true" outlineLevel="0" collapsed="false">
      <c r="A106" s="17" t="s">
        <v>900</v>
      </c>
      <c r="B106" s="18" t="s">
        <v>901</v>
      </c>
      <c r="C106" s="17" t="s">
        <v>67</v>
      </c>
      <c r="D106" s="17" t="s">
        <v>902</v>
      </c>
      <c r="E106" s="17" t="s">
        <v>903</v>
      </c>
      <c r="F106" s="17" t="s">
        <v>251</v>
      </c>
      <c r="G106" s="17" t="s">
        <v>791</v>
      </c>
      <c r="H106" s="18" t="s">
        <v>252</v>
      </c>
      <c r="I106" s="17" t="s">
        <v>793</v>
      </c>
      <c r="J106" s="17" t="s">
        <v>49</v>
      </c>
      <c r="K106" s="17" t="n">
        <v>2.85</v>
      </c>
      <c r="L106" s="17" t="n">
        <v>89</v>
      </c>
      <c r="M106" s="17" t="s">
        <v>158</v>
      </c>
      <c r="N106" s="17" t="s">
        <v>51</v>
      </c>
      <c r="O106" s="17" t="s">
        <v>52</v>
      </c>
      <c r="P106" s="17" t="s">
        <v>53</v>
      </c>
      <c r="Q106" s="17" t="s">
        <v>54</v>
      </c>
      <c r="R106" s="17" t="s">
        <v>791</v>
      </c>
      <c r="S106" s="18" t="s">
        <v>159</v>
      </c>
      <c r="T106" s="17" t="s">
        <v>56</v>
      </c>
      <c r="U106" s="17" t="s">
        <v>160</v>
      </c>
      <c r="V106" s="17" t="n">
        <v>0</v>
      </c>
      <c r="W106" s="17" t="s">
        <v>58</v>
      </c>
      <c r="X106" s="17" t="s">
        <v>59</v>
      </c>
      <c r="Y106" s="18" t="s">
        <v>60</v>
      </c>
      <c r="Z106" s="18" t="s">
        <v>60</v>
      </c>
      <c r="AA106" s="17" t="s">
        <v>61</v>
      </c>
      <c r="AB106" s="17"/>
      <c r="AJ106" s="1" t="s">
        <v>786</v>
      </c>
      <c r="AK106" s="19" t="s">
        <v>63</v>
      </c>
      <c r="AL106" s="19" t="s">
        <v>63</v>
      </c>
      <c r="AM106" s="20" t="s">
        <v>64</v>
      </c>
      <c r="AN106" s="20" t="s">
        <v>64</v>
      </c>
    </row>
    <row r="107" customFormat="false" ht="32.25" hidden="false" customHeight="true" outlineLevel="0" collapsed="false">
      <c r="A107" s="5" t="s">
        <v>904</v>
      </c>
      <c r="B107" s="6" t="s">
        <v>905</v>
      </c>
      <c r="C107" s="5" t="s">
        <v>42</v>
      </c>
      <c r="D107" s="5" t="s">
        <v>906</v>
      </c>
      <c r="E107" s="5" t="s">
        <v>907</v>
      </c>
      <c r="F107" s="5" t="s">
        <v>257</v>
      </c>
      <c r="G107" s="5" t="s">
        <v>46</v>
      </c>
      <c r="H107" s="6" t="s">
        <v>908</v>
      </c>
      <c r="I107" s="5" t="s">
        <v>819</v>
      </c>
      <c r="J107" s="5" t="s">
        <v>74</v>
      </c>
      <c r="K107" s="5" t="n">
        <v>3.41</v>
      </c>
      <c r="L107" s="5" t="n">
        <v>68</v>
      </c>
      <c r="M107" s="5" t="s">
        <v>50</v>
      </c>
      <c r="N107" s="5" t="s">
        <v>51</v>
      </c>
      <c r="O107" s="5" t="s">
        <v>141</v>
      </c>
      <c r="P107" s="5" t="s">
        <v>76</v>
      </c>
      <c r="Q107" s="5" t="s">
        <v>54</v>
      </c>
      <c r="R107" s="5" t="s">
        <v>46</v>
      </c>
      <c r="S107" s="6" t="s">
        <v>77</v>
      </c>
      <c r="T107" s="5" t="s">
        <v>78</v>
      </c>
      <c r="U107" s="5" t="s">
        <v>57</v>
      </c>
      <c r="V107" s="5" t="n">
        <v>0</v>
      </c>
      <c r="W107" s="5" t="s">
        <v>58</v>
      </c>
      <c r="X107" s="5" t="s">
        <v>59</v>
      </c>
      <c r="Y107" s="6" t="s">
        <v>60</v>
      </c>
      <c r="Z107" s="6" t="s">
        <v>60</v>
      </c>
      <c r="AA107" s="5" t="s">
        <v>61</v>
      </c>
      <c r="AB107" s="5"/>
      <c r="AJ107" s="1" t="s">
        <v>786</v>
      </c>
      <c r="AK107" s="7" t="s">
        <v>63</v>
      </c>
      <c r="AL107" s="7" t="s">
        <v>63</v>
      </c>
      <c r="AM107" s="8" t="s">
        <v>64</v>
      </c>
      <c r="AN107" s="8" t="s">
        <v>64</v>
      </c>
    </row>
    <row r="108" customFormat="false" ht="32.25" hidden="false" customHeight="true" outlineLevel="0" collapsed="false">
      <c r="A108" s="5" t="s">
        <v>909</v>
      </c>
      <c r="B108" s="6" t="s">
        <v>910</v>
      </c>
      <c r="C108" s="5" t="s">
        <v>67</v>
      </c>
      <c r="D108" s="5" t="s">
        <v>911</v>
      </c>
      <c r="E108" s="5" t="s">
        <v>912</v>
      </c>
      <c r="F108" s="5" t="s">
        <v>262</v>
      </c>
      <c r="G108" s="5" t="s">
        <v>71</v>
      </c>
      <c r="H108" s="6" t="s">
        <v>837</v>
      </c>
      <c r="I108" s="5" t="s">
        <v>800</v>
      </c>
      <c r="J108" s="5" t="s">
        <v>118</v>
      </c>
      <c r="K108" s="5" t="n">
        <v>3.56</v>
      </c>
      <c r="L108" s="5" t="n">
        <v>34</v>
      </c>
      <c r="M108" s="5" t="s">
        <v>50</v>
      </c>
      <c r="N108" s="5" t="s">
        <v>51</v>
      </c>
      <c r="O108" s="5" t="s">
        <v>519</v>
      </c>
      <c r="P108" s="5" t="s">
        <v>121</v>
      </c>
      <c r="Q108" s="5" t="s">
        <v>54</v>
      </c>
      <c r="R108" s="5" t="s">
        <v>71</v>
      </c>
      <c r="S108" s="6" t="s">
        <v>167</v>
      </c>
      <c r="T108" s="5" t="s">
        <v>123</v>
      </c>
      <c r="U108" s="5" t="s">
        <v>57</v>
      </c>
      <c r="V108" s="5" t="n">
        <v>0</v>
      </c>
      <c r="W108" s="5" t="s">
        <v>58</v>
      </c>
      <c r="X108" s="5" t="s">
        <v>59</v>
      </c>
      <c r="Y108" s="6" t="s">
        <v>60</v>
      </c>
      <c r="Z108" s="6" t="s">
        <v>60</v>
      </c>
      <c r="AA108" s="5" t="s">
        <v>61</v>
      </c>
      <c r="AB108" s="5"/>
      <c r="AJ108" s="1" t="s">
        <v>786</v>
      </c>
      <c r="AK108" s="7" t="s">
        <v>63</v>
      </c>
      <c r="AL108" s="7" t="s">
        <v>63</v>
      </c>
      <c r="AM108" s="8" t="s">
        <v>64</v>
      </c>
      <c r="AN108" s="8" t="s">
        <v>64</v>
      </c>
    </row>
    <row r="109" customFormat="false" ht="15" hidden="false" customHeight="true" outlineLevel="0" collapsed="false">
      <c r="A109" s="5" t="s">
        <v>913</v>
      </c>
      <c r="B109" s="6" t="s">
        <v>914</v>
      </c>
      <c r="C109" s="5" t="s">
        <v>42</v>
      </c>
      <c r="D109" s="5" t="s">
        <v>915</v>
      </c>
      <c r="E109" s="5" t="s">
        <v>916</v>
      </c>
      <c r="F109" s="5" t="s">
        <v>917</v>
      </c>
      <c r="G109" s="5" t="s">
        <v>918</v>
      </c>
      <c r="H109" s="6" t="s">
        <v>919</v>
      </c>
      <c r="I109" s="5" t="s">
        <v>134</v>
      </c>
      <c r="J109" s="5" t="s">
        <v>74</v>
      </c>
      <c r="K109" s="5" t="n">
        <v>3.66</v>
      </c>
      <c r="L109" s="5" t="n">
        <v>48</v>
      </c>
      <c r="M109" s="5" t="s">
        <v>50</v>
      </c>
      <c r="N109" s="5" t="s">
        <v>51</v>
      </c>
      <c r="O109" s="5" t="s">
        <v>558</v>
      </c>
      <c r="P109" s="5" t="s">
        <v>89</v>
      </c>
      <c r="Q109" s="5" t="s">
        <v>272</v>
      </c>
      <c r="R109" s="5" t="s">
        <v>920</v>
      </c>
      <c r="S109" s="6" t="s">
        <v>274</v>
      </c>
      <c r="T109" s="5" t="s">
        <v>78</v>
      </c>
      <c r="U109" s="5" t="s">
        <v>57</v>
      </c>
      <c r="V109" s="5" t="n">
        <v>0</v>
      </c>
      <c r="W109" s="5" t="s">
        <v>58</v>
      </c>
      <c r="X109" s="5" t="s">
        <v>59</v>
      </c>
      <c r="Y109" s="6" t="s">
        <v>60</v>
      </c>
      <c r="Z109" s="6" t="s">
        <v>60</v>
      </c>
      <c r="AA109" s="5" t="s">
        <v>92</v>
      </c>
      <c r="AB109" s="5"/>
      <c r="AC109" s="1" t="s">
        <v>921</v>
      </c>
      <c r="AD109" s="1" t="s">
        <v>60</v>
      </c>
      <c r="AE109" s="1" t="s">
        <v>922</v>
      </c>
      <c r="AF109" s="1" t="s">
        <v>89</v>
      </c>
      <c r="AG109" s="1" t="s">
        <v>327</v>
      </c>
      <c r="AH109" s="1" t="s">
        <v>279</v>
      </c>
      <c r="AI109" s="1" t="s">
        <v>280</v>
      </c>
      <c r="AJ109" s="1" t="s">
        <v>786</v>
      </c>
      <c r="AK109" s="7" t="s">
        <v>63</v>
      </c>
      <c r="AL109" s="7" t="s">
        <v>63</v>
      </c>
      <c r="AM109" s="8" t="s">
        <v>64</v>
      </c>
      <c r="AN109" s="8" t="s">
        <v>64</v>
      </c>
    </row>
    <row r="110" customFormat="false" ht="21.75" hidden="false" customHeight="true" outlineLevel="0" collapsed="false">
      <c r="A110" s="5" t="s">
        <v>923</v>
      </c>
      <c r="B110" s="6" t="s">
        <v>924</v>
      </c>
      <c r="C110" s="5" t="s">
        <v>67</v>
      </c>
      <c r="D110" s="5" t="s">
        <v>925</v>
      </c>
      <c r="E110" s="5" t="s">
        <v>926</v>
      </c>
      <c r="F110" s="5" t="s">
        <v>927</v>
      </c>
      <c r="G110" s="5" t="s">
        <v>286</v>
      </c>
      <c r="H110" s="6" t="s">
        <v>792</v>
      </c>
      <c r="I110" s="5" t="s">
        <v>793</v>
      </c>
      <c r="J110" s="5" t="s">
        <v>118</v>
      </c>
      <c r="K110" s="5" t="n">
        <v>3.29</v>
      </c>
      <c r="L110" s="5" t="n">
        <v>24</v>
      </c>
      <c r="M110" s="5" t="s">
        <v>50</v>
      </c>
      <c r="N110" s="5" t="s">
        <v>51</v>
      </c>
      <c r="O110" s="5" t="s">
        <v>120</v>
      </c>
      <c r="P110" s="5" t="s">
        <v>53</v>
      </c>
      <c r="Q110" s="5" t="s">
        <v>272</v>
      </c>
      <c r="R110" s="5" t="s">
        <v>289</v>
      </c>
      <c r="S110" s="6" t="s">
        <v>290</v>
      </c>
      <c r="T110" s="5" t="s">
        <v>123</v>
      </c>
      <c r="U110" s="5" t="s">
        <v>57</v>
      </c>
      <c r="V110" s="5" t="n">
        <v>0</v>
      </c>
      <c r="W110" s="5" t="s">
        <v>58</v>
      </c>
      <c r="X110" s="5" t="s">
        <v>59</v>
      </c>
      <c r="Y110" s="6" t="s">
        <v>60</v>
      </c>
      <c r="Z110" s="6" t="s">
        <v>60</v>
      </c>
      <c r="AA110" s="5" t="s">
        <v>61</v>
      </c>
      <c r="AB110" s="5"/>
      <c r="AC110" s="1" t="s">
        <v>928</v>
      </c>
      <c r="AD110" s="1" t="s">
        <v>60</v>
      </c>
      <c r="AE110" s="1" t="s">
        <v>929</v>
      </c>
      <c r="AF110" s="1" t="s">
        <v>53</v>
      </c>
      <c r="AG110" s="1" t="s">
        <v>293</v>
      </c>
      <c r="AH110" s="1" t="s">
        <v>294</v>
      </c>
      <c r="AI110" s="1" t="s">
        <v>295</v>
      </c>
      <c r="AJ110" s="1" t="s">
        <v>786</v>
      </c>
      <c r="AK110" s="7" t="s">
        <v>63</v>
      </c>
      <c r="AL110" s="7" t="s">
        <v>63</v>
      </c>
      <c r="AM110" s="8" t="s">
        <v>64</v>
      </c>
      <c r="AN110" s="8" t="s">
        <v>64</v>
      </c>
    </row>
    <row r="111" customFormat="false" ht="32.25" hidden="false" customHeight="true" outlineLevel="0" collapsed="false">
      <c r="A111" s="9" t="s">
        <v>930</v>
      </c>
      <c r="B111" s="10" t="s">
        <v>931</v>
      </c>
      <c r="C111" s="9" t="s">
        <v>42</v>
      </c>
      <c r="D111" s="9" t="s">
        <v>932</v>
      </c>
      <c r="E111" s="9" t="s">
        <v>933</v>
      </c>
      <c r="F111" s="9" t="s">
        <v>300</v>
      </c>
      <c r="G111" s="9" t="s">
        <v>301</v>
      </c>
      <c r="H111" s="10" t="s">
        <v>837</v>
      </c>
      <c r="I111" s="9" t="s">
        <v>800</v>
      </c>
      <c r="J111" s="9" t="s">
        <v>74</v>
      </c>
      <c r="K111" s="9" t="n">
        <v>3.57</v>
      </c>
      <c r="L111" s="9" t="n">
        <v>52</v>
      </c>
      <c r="M111" s="9" t="s">
        <v>103</v>
      </c>
      <c r="N111" s="9" t="s">
        <v>51</v>
      </c>
      <c r="O111" s="9" t="s">
        <v>75</v>
      </c>
      <c r="P111" s="9"/>
      <c r="Q111" s="9" t="s">
        <v>272</v>
      </c>
      <c r="R111" s="9" t="s">
        <v>302</v>
      </c>
      <c r="S111" s="10" t="s">
        <v>303</v>
      </c>
      <c r="T111" s="9" t="s">
        <v>107</v>
      </c>
      <c r="U111" s="9" t="s">
        <v>108</v>
      </c>
      <c r="V111" s="9" t="n">
        <v>0</v>
      </c>
      <c r="W111" s="9" t="s">
        <v>108</v>
      </c>
      <c r="X111" s="9" t="s">
        <v>304</v>
      </c>
      <c r="Y111" s="10" t="s">
        <v>60</v>
      </c>
      <c r="Z111" s="10" t="s">
        <v>60</v>
      </c>
      <c r="AA111" s="9" t="s">
        <v>109</v>
      </c>
      <c r="AB111" s="9" t="s">
        <v>110</v>
      </c>
      <c r="AC111" s="1" t="s">
        <v>934</v>
      </c>
      <c r="AD111" s="1" t="s">
        <v>60</v>
      </c>
      <c r="AE111" s="1" t="s">
        <v>935</v>
      </c>
      <c r="AF111" s="1" t="s">
        <v>89</v>
      </c>
      <c r="AG111" s="1" t="s">
        <v>327</v>
      </c>
      <c r="AH111" s="1" t="s">
        <v>307</v>
      </c>
      <c r="AI111" s="1" t="s">
        <v>936</v>
      </c>
      <c r="AJ111" s="1" t="s">
        <v>786</v>
      </c>
      <c r="AK111" s="11" t="s">
        <v>63</v>
      </c>
      <c r="AL111" s="11" t="s">
        <v>63</v>
      </c>
      <c r="AM111" s="12" t="s">
        <v>64</v>
      </c>
      <c r="AN111" s="12" t="s">
        <v>64</v>
      </c>
    </row>
    <row r="112" customFormat="false" ht="21.75" hidden="false" customHeight="true" outlineLevel="0" collapsed="false">
      <c r="A112" s="13" t="s">
        <v>937</v>
      </c>
      <c r="B112" s="14" t="s">
        <v>938</v>
      </c>
      <c r="C112" s="13" t="s">
        <v>67</v>
      </c>
      <c r="D112" s="13" t="s">
        <v>939</v>
      </c>
      <c r="E112" s="13" t="s">
        <v>940</v>
      </c>
      <c r="F112" s="13" t="s">
        <v>941</v>
      </c>
      <c r="G112" s="13" t="s">
        <v>269</v>
      </c>
      <c r="H112" s="14" t="s">
        <v>47</v>
      </c>
      <c r="I112" s="13" t="s">
        <v>808</v>
      </c>
      <c r="J112" s="13" t="s">
        <v>118</v>
      </c>
      <c r="K112" s="13" t="n">
        <v>2.69</v>
      </c>
      <c r="L112" s="13" t="n">
        <v>20</v>
      </c>
      <c r="M112" s="13" t="s">
        <v>119</v>
      </c>
      <c r="N112" s="13" t="s">
        <v>51</v>
      </c>
      <c r="O112" s="13" t="s">
        <v>666</v>
      </c>
      <c r="P112" s="13" t="s">
        <v>53</v>
      </c>
      <c r="Q112" s="13" t="s">
        <v>272</v>
      </c>
      <c r="R112" s="13" t="s">
        <v>273</v>
      </c>
      <c r="S112" s="14" t="s">
        <v>122</v>
      </c>
      <c r="T112" s="13" t="s">
        <v>123</v>
      </c>
      <c r="U112" s="13" t="s">
        <v>124</v>
      </c>
      <c r="V112" s="13" t="n">
        <v>35000</v>
      </c>
      <c r="W112" s="13" t="s">
        <v>119</v>
      </c>
      <c r="X112" s="13" t="s">
        <v>125</v>
      </c>
      <c r="Y112" s="14" t="s">
        <v>60</v>
      </c>
      <c r="Z112" s="14" t="s">
        <v>60</v>
      </c>
      <c r="AA112" s="13" t="s">
        <v>126</v>
      </c>
      <c r="AB112" s="13"/>
      <c r="AC112" s="1" t="s">
        <v>942</v>
      </c>
      <c r="AD112" s="1" t="s">
        <v>60</v>
      </c>
      <c r="AE112" s="1" t="s">
        <v>943</v>
      </c>
      <c r="AF112" s="1" t="s">
        <v>53</v>
      </c>
      <c r="AG112" s="1" t="s">
        <v>316</v>
      </c>
      <c r="AH112" s="1" t="s">
        <v>944</v>
      </c>
      <c r="AI112" s="1" t="s">
        <v>318</v>
      </c>
      <c r="AJ112" s="1" t="s">
        <v>786</v>
      </c>
      <c r="AK112" s="15" t="s">
        <v>63</v>
      </c>
      <c r="AL112" s="15" t="s">
        <v>63</v>
      </c>
      <c r="AM112" s="16" t="s">
        <v>64</v>
      </c>
      <c r="AN112" s="16" t="s">
        <v>64</v>
      </c>
    </row>
    <row r="113" customFormat="false" ht="32.25" hidden="false" customHeight="true" outlineLevel="0" collapsed="false">
      <c r="A113" s="5" t="s">
        <v>945</v>
      </c>
      <c r="B113" s="6" t="s">
        <v>946</v>
      </c>
      <c r="C113" s="5" t="s">
        <v>42</v>
      </c>
      <c r="D113" s="5" t="s">
        <v>947</v>
      </c>
      <c r="E113" s="5" t="s">
        <v>948</v>
      </c>
      <c r="F113" s="5" t="s">
        <v>323</v>
      </c>
      <c r="G113" s="5" t="s">
        <v>269</v>
      </c>
      <c r="H113" s="6" t="s">
        <v>908</v>
      </c>
      <c r="I113" s="5" t="s">
        <v>819</v>
      </c>
      <c r="J113" s="5" t="s">
        <v>74</v>
      </c>
      <c r="K113" s="5" t="n">
        <v>3.48</v>
      </c>
      <c r="L113" s="5" t="n">
        <v>48</v>
      </c>
      <c r="M113" s="5" t="s">
        <v>50</v>
      </c>
      <c r="N113" s="5" t="s">
        <v>51</v>
      </c>
      <c r="O113" s="5" t="s">
        <v>675</v>
      </c>
      <c r="P113" s="5" t="s">
        <v>89</v>
      </c>
      <c r="Q113" s="5" t="s">
        <v>272</v>
      </c>
      <c r="R113" s="5" t="s">
        <v>273</v>
      </c>
      <c r="S113" s="6" t="s">
        <v>274</v>
      </c>
      <c r="T113" s="5" t="s">
        <v>78</v>
      </c>
      <c r="U113" s="5" t="s">
        <v>57</v>
      </c>
      <c r="V113" s="5" t="n">
        <v>0</v>
      </c>
      <c r="W113" s="5" t="s">
        <v>58</v>
      </c>
      <c r="X113" s="5" t="s">
        <v>59</v>
      </c>
      <c r="Y113" s="6" t="s">
        <v>60</v>
      </c>
      <c r="Z113" s="6" t="s">
        <v>60</v>
      </c>
      <c r="AA113" s="5" t="s">
        <v>92</v>
      </c>
      <c r="AB113" s="5"/>
      <c r="AC113" s="1" t="s">
        <v>949</v>
      </c>
      <c r="AD113" s="1" t="s">
        <v>950</v>
      </c>
      <c r="AE113" s="1" t="s">
        <v>951</v>
      </c>
      <c r="AF113" s="1" t="s">
        <v>89</v>
      </c>
      <c r="AG113" s="1" t="s">
        <v>327</v>
      </c>
      <c r="AH113" s="1" t="s">
        <v>279</v>
      </c>
      <c r="AI113" s="1" t="s">
        <v>280</v>
      </c>
      <c r="AJ113" s="1" t="s">
        <v>786</v>
      </c>
      <c r="AK113" s="7" t="s">
        <v>63</v>
      </c>
      <c r="AL113" s="7" t="s">
        <v>63</v>
      </c>
      <c r="AM113" s="8" t="s">
        <v>64</v>
      </c>
      <c r="AN113" s="8" t="s">
        <v>64</v>
      </c>
    </row>
    <row r="114" customFormat="false" ht="21.75" hidden="false" customHeight="true" outlineLevel="0" collapsed="false">
      <c r="A114" s="5" t="s">
        <v>952</v>
      </c>
      <c r="B114" s="6" t="s">
        <v>953</v>
      </c>
      <c r="C114" s="5" t="s">
        <v>67</v>
      </c>
      <c r="D114" s="5" t="s">
        <v>954</v>
      </c>
      <c r="E114" s="5" t="s">
        <v>955</v>
      </c>
      <c r="F114" s="5" t="s">
        <v>956</v>
      </c>
      <c r="G114" s="5" t="s">
        <v>286</v>
      </c>
      <c r="H114" s="6" t="s">
        <v>333</v>
      </c>
      <c r="I114" s="5" t="s">
        <v>793</v>
      </c>
      <c r="J114" s="5" t="s">
        <v>118</v>
      </c>
      <c r="K114" s="5" t="n">
        <v>3.18</v>
      </c>
      <c r="L114" s="5" t="n">
        <v>24</v>
      </c>
      <c r="M114" s="5" t="s">
        <v>50</v>
      </c>
      <c r="N114" s="5" t="s">
        <v>51</v>
      </c>
      <c r="O114" s="5" t="s">
        <v>683</v>
      </c>
      <c r="P114" s="5" t="s">
        <v>53</v>
      </c>
      <c r="Q114" s="5" t="s">
        <v>272</v>
      </c>
      <c r="R114" s="5" t="s">
        <v>289</v>
      </c>
      <c r="S114" s="6" t="s">
        <v>290</v>
      </c>
      <c r="T114" s="5" t="s">
        <v>123</v>
      </c>
      <c r="U114" s="5" t="s">
        <v>57</v>
      </c>
      <c r="V114" s="5" t="n">
        <v>0</v>
      </c>
      <c r="W114" s="5" t="s">
        <v>58</v>
      </c>
      <c r="X114" s="5" t="s">
        <v>59</v>
      </c>
      <c r="Y114" s="6" t="s">
        <v>60</v>
      </c>
      <c r="Z114" s="6" t="s">
        <v>60</v>
      </c>
      <c r="AA114" s="5" t="s">
        <v>61</v>
      </c>
      <c r="AB114" s="5"/>
      <c r="AC114" s="1" t="s">
        <v>928</v>
      </c>
      <c r="AD114" s="1" t="s">
        <v>60</v>
      </c>
      <c r="AE114" s="1" t="s">
        <v>957</v>
      </c>
      <c r="AF114" s="1" t="s">
        <v>53</v>
      </c>
      <c r="AG114" s="1" t="s">
        <v>293</v>
      </c>
      <c r="AH114" s="1" t="s">
        <v>294</v>
      </c>
      <c r="AI114" s="1" t="s">
        <v>295</v>
      </c>
      <c r="AJ114" s="1" t="s">
        <v>786</v>
      </c>
      <c r="AK114" s="7" t="s">
        <v>63</v>
      </c>
      <c r="AL114" s="7" t="s">
        <v>63</v>
      </c>
      <c r="AM114" s="8" t="s">
        <v>64</v>
      </c>
      <c r="AN114" s="8" t="s">
        <v>64</v>
      </c>
    </row>
    <row r="115" customFormat="false" ht="32.25" hidden="false" customHeight="true" outlineLevel="0" collapsed="false">
      <c r="A115" s="5" t="s">
        <v>958</v>
      </c>
      <c r="B115" s="6" t="s">
        <v>959</v>
      </c>
      <c r="C115" s="5" t="s">
        <v>42</v>
      </c>
      <c r="D115" s="5" t="s">
        <v>960</v>
      </c>
      <c r="E115" s="5" t="s">
        <v>961</v>
      </c>
      <c r="F115" s="5" t="s">
        <v>341</v>
      </c>
      <c r="G115" s="5" t="s">
        <v>269</v>
      </c>
      <c r="H115" s="6" t="s">
        <v>173</v>
      </c>
      <c r="I115" s="5" t="s">
        <v>819</v>
      </c>
      <c r="J115" s="5" t="s">
        <v>49</v>
      </c>
      <c r="K115" s="5" t="n">
        <v>3.79</v>
      </c>
      <c r="L115" s="5" t="n">
        <v>36</v>
      </c>
      <c r="M115" s="5" t="s">
        <v>50</v>
      </c>
      <c r="N115" s="5" t="s">
        <v>51</v>
      </c>
      <c r="O115" s="5" t="s">
        <v>483</v>
      </c>
      <c r="P115" s="5" t="s">
        <v>89</v>
      </c>
      <c r="Q115" s="5" t="s">
        <v>272</v>
      </c>
      <c r="R115" s="5" t="s">
        <v>342</v>
      </c>
      <c r="S115" s="6" t="s">
        <v>344</v>
      </c>
      <c r="T115" s="5" t="s">
        <v>345</v>
      </c>
      <c r="U115" s="5" t="s">
        <v>57</v>
      </c>
      <c r="V115" s="5" t="n">
        <v>0</v>
      </c>
      <c r="W115" s="5" t="s">
        <v>58</v>
      </c>
      <c r="X115" s="5" t="s">
        <v>59</v>
      </c>
      <c r="Y115" s="6" t="s">
        <v>962</v>
      </c>
      <c r="Z115" s="6" t="s">
        <v>347</v>
      </c>
      <c r="AA115" s="5" t="s">
        <v>61</v>
      </c>
      <c r="AB115" s="5"/>
      <c r="AC115" s="1" t="s">
        <v>949</v>
      </c>
      <c r="AD115" s="1" t="s">
        <v>963</v>
      </c>
      <c r="AE115" s="1" t="s">
        <v>964</v>
      </c>
      <c r="AF115" s="1" t="s">
        <v>89</v>
      </c>
      <c r="AG115" s="1" t="s">
        <v>694</v>
      </c>
      <c r="AH115" s="1" t="s">
        <v>695</v>
      </c>
      <c r="AI115" s="1" t="s">
        <v>965</v>
      </c>
      <c r="AJ115" s="1" t="s">
        <v>786</v>
      </c>
      <c r="AK115" s="7" t="s">
        <v>63</v>
      </c>
      <c r="AL115" s="7" t="s">
        <v>63</v>
      </c>
      <c r="AM115" s="8" t="s">
        <v>64</v>
      </c>
      <c r="AN115" s="8" t="s">
        <v>64</v>
      </c>
    </row>
    <row r="116" customFormat="false" ht="21.75" hidden="false" customHeight="true" outlineLevel="0" collapsed="false">
      <c r="A116" s="5" t="s">
        <v>966</v>
      </c>
      <c r="B116" s="6" t="s">
        <v>967</v>
      </c>
      <c r="C116" s="5" t="s">
        <v>67</v>
      </c>
      <c r="D116" s="5" t="s">
        <v>968</v>
      </c>
      <c r="E116" s="5" t="s">
        <v>969</v>
      </c>
      <c r="F116" s="5" t="s">
        <v>970</v>
      </c>
      <c r="G116" s="5" t="s">
        <v>269</v>
      </c>
      <c r="H116" s="6" t="s">
        <v>47</v>
      </c>
      <c r="I116" s="5" t="s">
        <v>808</v>
      </c>
      <c r="J116" s="5" t="s">
        <v>74</v>
      </c>
      <c r="K116" s="5" t="n">
        <v>3.44</v>
      </c>
      <c r="L116" s="5" t="n">
        <v>24</v>
      </c>
      <c r="M116" s="5" t="s">
        <v>50</v>
      </c>
      <c r="N116" s="5" t="s">
        <v>51</v>
      </c>
      <c r="O116" s="5" t="s">
        <v>493</v>
      </c>
      <c r="P116" s="5" t="s">
        <v>53</v>
      </c>
      <c r="Q116" s="5" t="s">
        <v>272</v>
      </c>
      <c r="R116" s="5" t="s">
        <v>342</v>
      </c>
      <c r="S116" s="6" t="s">
        <v>360</v>
      </c>
      <c r="T116" s="5" t="s">
        <v>361</v>
      </c>
      <c r="U116" s="5" t="s">
        <v>57</v>
      </c>
      <c r="V116" s="5" t="n">
        <v>0</v>
      </c>
      <c r="W116" s="5" t="s">
        <v>58</v>
      </c>
      <c r="X116" s="5" t="s">
        <v>59</v>
      </c>
      <c r="Y116" s="6" t="s">
        <v>971</v>
      </c>
      <c r="Z116" s="6" t="s">
        <v>363</v>
      </c>
      <c r="AA116" s="5" t="s">
        <v>61</v>
      </c>
      <c r="AB116" s="5"/>
      <c r="AC116" s="1" t="s">
        <v>942</v>
      </c>
      <c r="AD116" s="1" t="s">
        <v>972</v>
      </c>
      <c r="AE116" s="1" t="s">
        <v>973</v>
      </c>
      <c r="AF116" s="1" t="s">
        <v>53</v>
      </c>
      <c r="AG116" s="1" t="s">
        <v>395</v>
      </c>
      <c r="AH116" s="1" t="s">
        <v>706</v>
      </c>
      <c r="AI116" s="1" t="s">
        <v>974</v>
      </c>
      <c r="AJ116" s="1" t="s">
        <v>786</v>
      </c>
      <c r="AK116" s="7" t="s">
        <v>63</v>
      </c>
      <c r="AL116" s="7" t="s">
        <v>63</v>
      </c>
      <c r="AM116" s="8" t="s">
        <v>64</v>
      </c>
      <c r="AN116" s="8" t="s">
        <v>64</v>
      </c>
    </row>
    <row r="117" customFormat="false" ht="21.75" hidden="false" customHeight="true" outlineLevel="0" collapsed="false">
      <c r="A117" s="5" t="s">
        <v>975</v>
      </c>
      <c r="B117" s="6" t="s">
        <v>976</v>
      </c>
      <c r="C117" s="5" t="s">
        <v>42</v>
      </c>
      <c r="D117" s="5" t="s">
        <v>977</v>
      </c>
      <c r="E117" s="5" t="s">
        <v>978</v>
      </c>
      <c r="F117" s="5" t="s">
        <v>374</v>
      </c>
      <c r="G117" s="5" t="s">
        <v>301</v>
      </c>
      <c r="H117" s="6" t="s">
        <v>133</v>
      </c>
      <c r="I117" s="5" t="s">
        <v>134</v>
      </c>
      <c r="J117" s="5" t="s">
        <v>49</v>
      </c>
      <c r="K117" s="5" t="n">
        <v>3.52</v>
      </c>
      <c r="L117" s="5" t="n">
        <v>36</v>
      </c>
      <c r="M117" s="5" t="s">
        <v>50</v>
      </c>
      <c r="N117" s="5" t="s">
        <v>51</v>
      </c>
      <c r="O117" s="5" t="s">
        <v>52</v>
      </c>
      <c r="P117" s="5" t="s">
        <v>89</v>
      </c>
      <c r="Q117" s="5" t="s">
        <v>272</v>
      </c>
      <c r="R117" s="5" t="s">
        <v>375</v>
      </c>
      <c r="S117" s="6" t="s">
        <v>344</v>
      </c>
      <c r="T117" s="5" t="s">
        <v>345</v>
      </c>
      <c r="U117" s="5" t="s">
        <v>57</v>
      </c>
      <c r="V117" s="5" t="n">
        <v>0</v>
      </c>
      <c r="W117" s="5" t="s">
        <v>58</v>
      </c>
      <c r="X117" s="5" t="s">
        <v>59</v>
      </c>
      <c r="Y117" s="6" t="s">
        <v>979</v>
      </c>
      <c r="Z117" s="6" t="s">
        <v>347</v>
      </c>
      <c r="AA117" s="5" t="s">
        <v>61</v>
      </c>
      <c r="AB117" s="5"/>
      <c r="AC117" s="1" t="s">
        <v>921</v>
      </c>
      <c r="AD117" s="1" t="s">
        <v>980</v>
      </c>
      <c r="AE117" s="1" t="s">
        <v>981</v>
      </c>
      <c r="AF117" s="1" t="s">
        <v>89</v>
      </c>
      <c r="AG117" s="1" t="s">
        <v>694</v>
      </c>
      <c r="AH117" s="1" t="s">
        <v>695</v>
      </c>
      <c r="AI117" s="1" t="s">
        <v>982</v>
      </c>
      <c r="AJ117" s="1" t="s">
        <v>786</v>
      </c>
      <c r="AK117" s="7" t="s">
        <v>63</v>
      </c>
      <c r="AL117" s="7" t="s">
        <v>63</v>
      </c>
      <c r="AM117" s="8" t="s">
        <v>64</v>
      </c>
      <c r="AN117" s="8" t="s">
        <v>64</v>
      </c>
    </row>
    <row r="118" customFormat="false" ht="32.25" hidden="false" customHeight="true" outlineLevel="0" collapsed="false">
      <c r="A118" s="17" t="s">
        <v>983</v>
      </c>
      <c r="B118" s="18" t="s">
        <v>984</v>
      </c>
      <c r="C118" s="17" t="s">
        <v>67</v>
      </c>
      <c r="D118" s="17" t="s">
        <v>985</v>
      </c>
      <c r="E118" s="17" t="s">
        <v>986</v>
      </c>
      <c r="F118" s="17" t="s">
        <v>987</v>
      </c>
      <c r="G118" s="17" t="s">
        <v>269</v>
      </c>
      <c r="H118" s="18" t="s">
        <v>818</v>
      </c>
      <c r="I118" s="17" t="s">
        <v>819</v>
      </c>
      <c r="J118" s="17" t="s">
        <v>74</v>
      </c>
      <c r="K118" s="17" t="n">
        <v>3.21</v>
      </c>
      <c r="L118" s="17" t="n">
        <v>18</v>
      </c>
      <c r="M118" s="17" t="s">
        <v>158</v>
      </c>
      <c r="N118" s="17" t="s">
        <v>51</v>
      </c>
      <c r="O118" s="17" t="s">
        <v>141</v>
      </c>
      <c r="P118" s="17" t="s">
        <v>53</v>
      </c>
      <c r="Q118" s="17" t="s">
        <v>272</v>
      </c>
      <c r="R118" s="17" t="s">
        <v>342</v>
      </c>
      <c r="S118" s="18" t="s">
        <v>389</v>
      </c>
      <c r="T118" s="17" t="s">
        <v>361</v>
      </c>
      <c r="U118" s="17" t="s">
        <v>160</v>
      </c>
      <c r="V118" s="17" t="n">
        <v>0</v>
      </c>
      <c r="W118" s="17" t="s">
        <v>58</v>
      </c>
      <c r="X118" s="17" t="s">
        <v>59</v>
      </c>
      <c r="Y118" s="18" t="s">
        <v>988</v>
      </c>
      <c r="Z118" s="18" t="s">
        <v>363</v>
      </c>
      <c r="AA118" s="17" t="s">
        <v>61</v>
      </c>
      <c r="AB118" s="17"/>
      <c r="AC118" s="1" t="s">
        <v>949</v>
      </c>
      <c r="AD118" s="1" t="s">
        <v>60</v>
      </c>
      <c r="AE118" s="1" t="s">
        <v>989</v>
      </c>
      <c r="AF118" s="1" t="s">
        <v>53</v>
      </c>
      <c r="AG118" s="1" t="s">
        <v>395</v>
      </c>
      <c r="AH118" s="1" t="s">
        <v>724</v>
      </c>
      <c r="AI118" s="1" t="s">
        <v>397</v>
      </c>
      <c r="AJ118" s="1" t="s">
        <v>786</v>
      </c>
      <c r="AK118" s="19" t="s">
        <v>63</v>
      </c>
      <c r="AL118" s="19" t="s">
        <v>63</v>
      </c>
      <c r="AM118" s="20" t="s">
        <v>64</v>
      </c>
      <c r="AN118" s="20" t="s">
        <v>64</v>
      </c>
    </row>
    <row r="119" customFormat="false" ht="32.25" hidden="false" customHeight="true" outlineLevel="0" collapsed="false">
      <c r="A119" s="9" t="s">
        <v>990</v>
      </c>
      <c r="B119" s="10" t="s">
        <v>991</v>
      </c>
      <c r="C119" s="9" t="s">
        <v>42</v>
      </c>
      <c r="D119" s="9" t="s">
        <v>992</v>
      </c>
      <c r="E119" s="9" t="s">
        <v>993</v>
      </c>
      <c r="F119" s="9" t="s">
        <v>402</v>
      </c>
      <c r="G119" s="9" t="s">
        <v>301</v>
      </c>
      <c r="H119" s="10" t="s">
        <v>837</v>
      </c>
      <c r="I119" s="9" t="s">
        <v>800</v>
      </c>
      <c r="J119" s="9" t="s">
        <v>86</v>
      </c>
      <c r="K119" s="9" t="n">
        <v>3.86</v>
      </c>
      <c r="L119" s="9" t="n">
        <v>48</v>
      </c>
      <c r="M119" s="9" t="s">
        <v>103</v>
      </c>
      <c r="N119" s="9" t="s">
        <v>51</v>
      </c>
      <c r="O119" s="9" t="s">
        <v>88</v>
      </c>
      <c r="P119" s="9"/>
      <c r="Q119" s="9" t="s">
        <v>272</v>
      </c>
      <c r="R119" s="9" t="s">
        <v>375</v>
      </c>
      <c r="S119" s="10" t="s">
        <v>404</v>
      </c>
      <c r="T119" s="9" t="s">
        <v>107</v>
      </c>
      <c r="U119" s="9" t="s">
        <v>108</v>
      </c>
      <c r="V119" s="9" t="n">
        <v>0</v>
      </c>
      <c r="W119" s="9" t="s">
        <v>108</v>
      </c>
      <c r="X119" s="9" t="s">
        <v>304</v>
      </c>
      <c r="Y119" s="10" t="s">
        <v>994</v>
      </c>
      <c r="Z119" s="10" t="s">
        <v>406</v>
      </c>
      <c r="AA119" s="9" t="s">
        <v>109</v>
      </c>
      <c r="AB119" s="9" t="s">
        <v>110</v>
      </c>
      <c r="AC119" s="1" t="s">
        <v>934</v>
      </c>
      <c r="AD119" s="1" t="s">
        <v>972</v>
      </c>
      <c r="AE119" s="1" t="s">
        <v>995</v>
      </c>
      <c r="AF119" s="1" t="s">
        <v>732</v>
      </c>
      <c r="AG119" s="1" t="s">
        <v>410</v>
      </c>
      <c r="AH119" s="1" t="s">
        <v>307</v>
      </c>
      <c r="AI119" s="1" t="s">
        <v>996</v>
      </c>
      <c r="AJ119" s="1" t="s">
        <v>786</v>
      </c>
      <c r="AK119" s="11" t="s">
        <v>63</v>
      </c>
      <c r="AL119" s="11" t="s">
        <v>63</v>
      </c>
      <c r="AM119" s="12" t="s">
        <v>64</v>
      </c>
      <c r="AN119" s="12" t="s">
        <v>64</v>
      </c>
    </row>
    <row r="120" customFormat="false" ht="21.75" hidden="false" customHeight="true" outlineLevel="0" collapsed="false">
      <c r="A120" s="5" t="s">
        <v>997</v>
      </c>
      <c r="B120" s="6" t="s">
        <v>998</v>
      </c>
      <c r="C120" s="5" t="s">
        <v>67</v>
      </c>
      <c r="D120" s="5" t="s">
        <v>999</v>
      </c>
      <c r="E120" s="5" t="s">
        <v>1000</v>
      </c>
      <c r="F120" s="5" t="s">
        <v>416</v>
      </c>
      <c r="G120" s="5" t="s">
        <v>269</v>
      </c>
      <c r="H120" s="6" t="s">
        <v>47</v>
      </c>
      <c r="I120" s="5" t="s">
        <v>808</v>
      </c>
      <c r="J120" s="5" t="s">
        <v>118</v>
      </c>
      <c r="K120" s="5" t="n">
        <v>3.39</v>
      </c>
      <c r="L120" s="5" t="n">
        <v>12</v>
      </c>
      <c r="M120" s="5" t="s">
        <v>50</v>
      </c>
      <c r="N120" s="5" t="s">
        <v>51</v>
      </c>
      <c r="O120" s="5" t="s">
        <v>683</v>
      </c>
      <c r="P120" s="5" t="s">
        <v>76</v>
      </c>
      <c r="Q120" s="5" t="s">
        <v>272</v>
      </c>
      <c r="R120" s="5" t="s">
        <v>342</v>
      </c>
      <c r="S120" s="6" t="s">
        <v>417</v>
      </c>
      <c r="T120" s="5" t="s">
        <v>418</v>
      </c>
      <c r="U120" s="5" t="s">
        <v>57</v>
      </c>
      <c r="V120" s="5" t="n">
        <v>0</v>
      </c>
      <c r="W120" s="5" t="s">
        <v>58</v>
      </c>
      <c r="X120" s="5" t="s">
        <v>59</v>
      </c>
      <c r="Y120" s="6" t="s">
        <v>1001</v>
      </c>
      <c r="Z120" s="6" t="s">
        <v>420</v>
      </c>
      <c r="AA120" s="5" t="s">
        <v>61</v>
      </c>
      <c r="AB120" s="5"/>
      <c r="AC120" s="1" t="s">
        <v>942</v>
      </c>
      <c r="AD120" s="1" t="s">
        <v>60</v>
      </c>
      <c r="AE120" s="1" t="s">
        <v>1002</v>
      </c>
      <c r="AF120" s="1" t="s">
        <v>76</v>
      </c>
      <c r="AG120" s="1" t="s">
        <v>422</v>
      </c>
      <c r="AH120" s="1" t="s">
        <v>740</v>
      </c>
      <c r="AI120" s="1" t="s">
        <v>741</v>
      </c>
      <c r="AJ120" s="1" t="s">
        <v>786</v>
      </c>
      <c r="AK120" s="7" t="s">
        <v>63</v>
      </c>
      <c r="AL120" s="7" t="s">
        <v>63</v>
      </c>
      <c r="AM120" s="8" t="s">
        <v>64</v>
      </c>
      <c r="AN120" s="8" t="s">
        <v>64</v>
      </c>
    </row>
    <row r="121" customFormat="false" ht="21.75" hidden="false" customHeight="true" outlineLevel="0" collapsed="false">
      <c r="A121" s="5" t="s">
        <v>1003</v>
      </c>
      <c r="B121" s="6" t="s">
        <v>1004</v>
      </c>
      <c r="C121" s="5" t="s">
        <v>42</v>
      </c>
      <c r="D121" s="5" t="s">
        <v>1005</v>
      </c>
      <c r="E121" s="5" t="s">
        <v>1006</v>
      </c>
      <c r="F121" s="5" t="s">
        <v>1007</v>
      </c>
      <c r="G121" s="5" t="s">
        <v>429</v>
      </c>
      <c r="H121" s="6" t="s">
        <v>133</v>
      </c>
      <c r="I121" s="5" t="s">
        <v>134</v>
      </c>
      <c r="J121" s="5" t="s">
        <v>49</v>
      </c>
      <c r="K121" s="5" t="n">
        <v>3.69</v>
      </c>
      <c r="L121" s="5" t="n">
        <v>36</v>
      </c>
      <c r="M121" s="5" t="s">
        <v>50</v>
      </c>
      <c r="N121" s="5" t="s">
        <v>51</v>
      </c>
      <c r="O121" s="5" t="s">
        <v>483</v>
      </c>
      <c r="P121" s="5" t="s">
        <v>53</v>
      </c>
      <c r="Q121" s="5" t="s">
        <v>272</v>
      </c>
      <c r="R121" s="5" t="s">
        <v>430</v>
      </c>
      <c r="S121" s="6" t="s">
        <v>431</v>
      </c>
      <c r="T121" s="5" t="s">
        <v>345</v>
      </c>
      <c r="U121" s="5" t="s">
        <v>57</v>
      </c>
      <c r="V121" s="5" t="n">
        <v>0</v>
      </c>
      <c r="W121" s="5" t="s">
        <v>58</v>
      </c>
      <c r="X121" s="5" t="s">
        <v>59</v>
      </c>
      <c r="Y121" s="6" t="s">
        <v>1008</v>
      </c>
      <c r="Z121" s="6" t="s">
        <v>363</v>
      </c>
      <c r="AA121" s="5" t="s">
        <v>61</v>
      </c>
      <c r="AB121" s="5"/>
      <c r="AC121" s="1" t="s">
        <v>921</v>
      </c>
      <c r="AD121" s="1" t="s">
        <v>1009</v>
      </c>
      <c r="AE121" s="1" t="s">
        <v>1010</v>
      </c>
      <c r="AF121" s="1" t="s">
        <v>53</v>
      </c>
      <c r="AG121" s="1" t="s">
        <v>750</v>
      </c>
      <c r="AH121" s="1" t="s">
        <v>751</v>
      </c>
      <c r="AI121" s="1" t="s">
        <v>1011</v>
      </c>
      <c r="AJ121" s="1" t="s">
        <v>786</v>
      </c>
      <c r="AK121" s="7" t="s">
        <v>63</v>
      </c>
      <c r="AL121" s="7" t="s">
        <v>63</v>
      </c>
      <c r="AM121" s="8" t="s">
        <v>64</v>
      </c>
      <c r="AN121" s="8" t="s">
        <v>64</v>
      </c>
    </row>
    <row r="122" customFormat="false" ht="32.25" hidden="false" customHeight="true" outlineLevel="0" collapsed="false">
      <c r="A122" s="5" t="s">
        <v>1012</v>
      </c>
      <c r="B122" s="6" t="s">
        <v>1013</v>
      </c>
      <c r="C122" s="5" t="s">
        <v>67</v>
      </c>
      <c r="D122" s="5" t="s">
        <v>1014</v>
      </c>
      <c r="E122" s="5" t="s">
        <v>1015</v>
      </c>
      <c r="F122" s="5" t="s">
        <v>441</v>
      </c>
      <c r="G122" s="5" t="s">
        <v>429</v>
      </c>
      <c r="H122" s="6" t="s">
        <v>1016</v>
      </c>
      <c r="I122" s="5" t="s">
        <v>819</v>
      </c>
      <c r="J122" s="5" t="s">
        <v>86</v>
      </c>
      <c r="K122" s="5" t="n">
        <v>3.77</v>
      </c>
      <c r="L122" s="5" t="n">
        <v>48</v>
      </c>
      <c r="M122" s="5" t="s">
        <v>50</v>
      </c>
      <c r="N122" s="5" t="s">
        <v>51</v>
      </c>
      <c r="O122" s="5" t="s">
        <v>564</v>
      </c>
      <c r="P122" s="5" t="s">
        <v>89</v>
      </c>
      <c r="Q122" s="5" t="s">
        <v>272</v>
      </c>
      <c r="R122" s="5" t="s">
        <v>430</v>
      </c>
      <c r="S122" s="6" t="s">
        <v>442</v>
      </c>
      <c r="T122" s="5" t="s">
        <v>443</v>
      </c>
      <c r="U122" s="5" t="s">
        <v>57</v>
      </c>
      <c r="V122" s="5" t="n">
        <v>0</v>
      </c>
      <c r="W122" s="5" t="s">
        <v>58</v>
      </c>
      <c r="X122" s="5" t="s">
        <v>59</v>
      </c>
      <c r="Y122" s="6" t="s">
        <v>1017</v>
      </c>
      <c r="Z122" s="6" t="s">
        <v>347</v>
      </c>
      <c r="AA122" s="5" t="s">
        <v>61</v>
      </c>
      <c r="AB122" s="5"/>
      <c r="AC122" s="1" t="s">
        <v>949</v>
      </c>
      <c r="AD122" s="1" t="s">
        <v>963</v>
      </c>
      <c r="AE122" s="1" t="s">
        <v>1018</v>
      </c>
      <c r="AF122" s="1" t="s">
        <v>89</v>
      </c>
      <c r="AG122" s="1" t="s">
        <v>760</v>
      </c>
      <c r="AH122" s="1" t="s">
        <v>761</v>
      </c>
      <c r="AI122" s="1" t="s">
        <v>1019</v>
      </c>
      <c r="AJ122" s="1" t="s">
        <v>786</v>
      </c>
      <c r="AK122" s="7" t="s">
        <v>63</v>
      </c>
      <c r="AL122" s="7" t="s">
        <v>63</v>
      </c>
      <c r="AM122" s="8" t="s">
        <v>64</v>
      </c>
      <c r="AN122" s="8" t="s">
        <v>64</v>
      </c>
    </row>
    <row r="123" customFormat="false" ht="21.75" hidden="false" customHeight="true" outlineLevel="0" collapsed="false">
      <c r="A123" s="5" t="s">
        <v>1020</v>
      </c>
      <c r="B123" s="6" t="s">
        <v>1021</v>
      </c>
      <c r="C123" s="5" t="s">
        <v>42</v>
      </c>
      <c r="D123" s="5" t="s">
        <v>1022</v>
      </c>
      <c r="E123" s="5" t="s">
        <v>1023</v>
      </c>
      <c r="F123" s="5" t="s">
        <v>1024</v>
      </c>
      <c r="G123" s="5" t="s">
        <v>429</v>
      </c>
      <c r="H123" s="6" t="s">
        <v>287</v>
      </c>
      <c r="I123" s="5" t="s">
        <v>793</v>
      </c>
      <c r="J123" s="5" t="s">
        <v>118</v>
      </c>
      <c r="K123" s="5" t="n">
        <v>3.58</v>
      </c>
      <c r="L123" s="5" t="n">
        <v>12</v>
      </c>
      <c r="M123" s="5" t="s">
        <v>50</v>
      </c>
      <c r="N123" s="5" t="s">
        <v>51</v>
      </c>
      <c r="O123" s="5" t="s">
        <v>768</v>
      </c>
      <c r="P123" s="5" t="s">
        <v>121</v>
      </c>
      <c r="Q123" s="5" t="s">
        <v>272</v>
      </c>
      <c r="R123" s="5" t="s">
        <v>430</v>
      </c>
      <c r="S123" s="6" t="s">
        <v>456</v>
      </c>
      <c r="T123" s="5" t="s">
        <v>418</v>
      </c>
      <c r="U123" s="5" t="s">
        <v>57</v>
      </c>
      <c r="V123" s="5" t="n">
        <v>0</v>
      </c>
      <c r="W123" s="5" t="s">
        <v>58</v>
      </c>
      <c r="X123" s="5" t="s">
        <v>59</v>
      </c>
      <c r="Y123" s="6" t="s">
        <v>1025</v>
      </c>
      <c r="Z123" s="6" t="s">
        <v>458</v>
      </c>
      <c r="AA123" s="5" t="s">
        <v>61</v>
      </c>
      <c r="AB123" s="5"/>
      <c r="AC123" s="1" t="s">
        <v>928</v>
      </c>
      <c r="AD123" s="1" t="s">
        <v>1026</v>
      </c>
      <c r="AE123" s="1" t="s">
        <v>1027</v>
      </c>
      <c r="AF123" s="1" t="s">
        <v>121</v>
      </c>
      <c r="AG123" s="1" t="s">
        <v>771</v>
      </c>
      <c r="AH123" s="1" t="s">
        <v>772</v>
      </c>
      <c r="AI123" s="1" t="s">
        <v>463</v>
      </c>
      <c r="AJ123" s="1" t="s">
        <v>786</v>
      </c>
      <c r="AK123" s="7" t="s">
        <v>63</v>
      </c>
      <c r="AL123" s="7" t="s">
        <v>63</v>
      </c>
      <c r="AM123" s="8" t="s">
        <v>64</v>
      </c>
      <c r="AN123" s="8" t="s">
        <v>64</v>
      </c>
    </row>
    <row r="124" customFormat="false" ht="21.75" hidden="false" customHeight="true" outlineLevel="0" collapsed="false">
      <c r="A124" s="5" t="s">
        <v>1028</v>
      </c>
      <c r="B124" s="6" t="s">
        <v>1029</v>
      </c>
      <c r="C124" s="5" t="s">
        <v>67</v>
      </c>
      <c r="D124" s="5" t="s">
        <v>1030</v>
      </c>
      <c r="E124" s="5" t="s">
        <v>1031</v>
      </c>
      <c r="F124" s="5" t="s">
        <v>467</v>
      </c>
      <c r="G124" s="5" t="s">
        <v>429</v>
      </c>
      <c r="H124" s="6" t="s">
        <v>47</v>
      </c>
      <c r="I124" s="5" t="s">
        <v>808</v>
      </c>
      <c r="J124" s="5" t="s">
        <v>74</v>
      </c>
      <c r="K124" s="5" t="n">
        <v>3.41</v>
      </c>
      <c r="L124" s="5" t="n">
        <v>24</v>
      </c>
      <c r="M124" s="5" t="s">
        <v>50</v>
      </c>
      <c r="N124" s="5" t="s">
        <v>51</v>
      </c>
      <c r="O124" s="5" t="s">
        <v>141</v>
      </c>
      <c r="P124" s="5" t="s">
        <v>76</v>
      </c>
      <c r="Q124" s="5" t="s">
        <v>272</v>
      </c>
      <c r="R124" s="5" t="s">
        <v>430</v>
      </c>
      <c r="S124" s="6" t="s">
        <v>468</v>
      </c>
      <c r="T124" s="5" t="s">
        <v>361</v>
      </c>
      <c r="U124" s="5" t="s">
        <v>57</v>
      </c>
      <c r="V124" s="5" t="n">
        <v>0</v>
      </c>
      <c r="W124" s="5" t="s">
        <v>58</v>
      </c>
      <c r="X124" s="5" t="s">
        <v>59</v>
      </c>
      <c r="Y124" s="6" t="s">
        <v>1032</v>
      </c>
      <c r="Z124" s="6" t="s">
        <v>470</v>
      </c>
      <c r="AA124" s="5" t="s">
        <v>61</v>
      </c>
      <c r="AB124" s="5"/>
      <c r="AC124" s="1" t="s">
        <v>942</v>
      </c>
      <c r="AD124" s="1" t="s">
        <v>972</v>
      </c>
      <c r="AE124" s="1" t="s">
        <v>1033</v>
      </c>
      <c r="AF124" s="1" t="s">
        <v>76</v>
      </c>
      <c r="AG124" s="1" t="s">
        <v>780</v>
      </c>
      <c r="AH124" s="1" t="s">
        <v>740</v>
      </c>
      <c r="AI124" s="1" t="s">
        <v>1034</v>
      </c>
      <c r="AJ124" s="1" t="s">
        <v>786</v>
      </c>
      <c r="AK124" s="7" t="s">
        <v>63</v>
      </c>
      <c r="AL124" s="7" t="s">
        <v>63</v>
      </c>
      <c r="AM124" s="8" t="s">
        <v>64</v>
      </c>
      <c r="AN124" s="8" t="s">
        <v>64</v>
      </c>
    </row>
    <row r="125" customFormat="false" ht="15" hidden="false" customHeight="true" outlineLevel="0" collapsed="false">
      <c r="A125" s="5" t="s">
        <v>1035</v>
      </c>
      <c r="B125" s="6" t="s">
        <v>1036</v>
      </c>
      <c r="C125" s="5" t="s">
        <v>42</v>
      </c>
      <c r="D125" s="5" t="s">
        <v>1037</v>
      </c>
      <c r="E125" s="5" t="s">
        <v>1038</v>
      </c>
      <c r="F125" s="5" t="s">
        <v>1039</v>
      </c>
      <c r="G125" s="5" t="s">
        <v>46</v>
      </c>
      <c r="H125" s="6" t="s">
        <v>47</v>
      </c>
      <c r="I125" s="5" t="s">
        <v>48</v>
      </c>
      <c r="J125" s="5" t="s">
        <v>74</v>
      </c>
      <c r="K125" s="5" t="n">
        <v>3.5</v>
      </c>
      <c r="L125" s="5" t="n">
        <v>67</v>
      </c>
      <c r="M125" s="5" t="s">
        <v>50</v>
      </c>
      <c r="N125" s="5" t="s">
        <v>51</v>
      </c>
      <c r="O125" s="5" t="s">
        <v>493</v>
      </c>
      <c r="P125" s="5" t="s">
        <v>76</v>
      </c>
      <c r="Q125" s="5" t="s">
        <v>54</v>
      </c>
      <c r="R125" s="5" t="s">
        <v>46</v>
      </c>
      <c r="S125" s="6" t="s">
        <v>77</v>
      </c>
      <c r="T125" s="5" t="s">
        <v>78</v>
      </c>
      <c r="U125" s="5" t="s">
        <v>57</v>
      </c>
      <c r="V125" s="5" t="n">
        <v>0</v>
      </c>
      <c r="W125" s="5" t="s">
        <v>58</v>
      </c>
      <c r="X125" s="5" t="s">
        <v>59</v>
      </c>
      <c r="Y125" s="6" t="s">
        <v>60</v>
      </c>
      <c r="Z125" s="6" t="s">
        <v>60</v>
      </c>
      <c r="AA125" s="5" t="s">
        <v>61</v>
      </c>
      <c r="AB125" s="5"/>
      <c r="AJ125" s="1" t="s">
        <v>62</v>
      </c>
      <c r="AK125" s="7" t="s">
        <v>63</v>
      </c>
      <c r="AL125" s="7" t="s">
        <v>63</v>
      </c>
      <c r="AM125" s="8" t="s">
        <v>64</v>
      </c>
      <c r="AN125" s="8" t="s">
        <v>64</v>
      </c>
    </row>
    <row r="126" customFormat="false" ht="15" hidden="false" customHeight="true" outlineLevel="0" collapsed="false">
      <c r="A126" s="5" t="s">
        <v>1040</v>
      </c>
      <c r="B126" s="6" t="s">
        <v>1041</v>
      </c>
      <c r="C126" s="5" t="s">
        <v>42</v>
      </c>
      <c r="D126" s="5" t="s">
        <v>1042</v>
      </c>
      <c r="E126" s="5" t="s">
        <v>1043</v>
      </c>
      <c r="F126" s="5" t="s">
        <v>1044</v>
      </c>
      <c r="G126" s="5" t="s">
        <v>269</v>
      </c>
      <c r="H126" s="6" t="s">
        <v>47</v>
      </c>
      <c r="I126" s="5" t="s">
        <v>48</v>
      </c>
      <c r="J126" s="5" t="s">
        <v>118</v>
      </c>
      <c r="K126" s="5" t="n">
        <v>3.5</v>
      </c>
      <c r="L126" s="5" t="n">
        <v>24</v>
      </c>
      <c r="M126" s="5" t="s">
        <v>50</v>
      </c>
      <c r="N126" s="5" t="s">
        <v>51</v>
      </c>
      <c r="O126" s="5" t="s">
        <v>1045</v>
      </c>
      <c r="P126" s="5" t="s">
        <v>76</v>
      </c>
      <c r="Q126" s="5" t="s">
        <v>272</v>
      </c>
      <c r="R126" s="5" t="s">
        <v>273</v>
      </c>
      <c r="S126" s="6" t="s">
        <v>290</v>
      </c>
      <c r="T126" s="5" t="s">
        <v>123</v>
      </c>
      <c r="U126" s="5" t="s">
        <v>57</v>
      </c>
      <c r="V126" s="5" t="n">
        <v>0</v>
      </c>
      <c r="W126" s="5" t="s">
        <v>58</v>
      </c>
      <c r="X126" s="5" t="s">
        <v>59</v>
      </c>
      <c r="Y126" s="6" t="s">
        <v>60</v>
      </c>
      <c r="Z126" s="6" t="s">
        <v>60</v>
      </c>
      <c r="AA126" s="5" t="s">
        <v>61</v>
      </c>
      <c r="AB126" s="5"/>
      <c r="AC126" s="1" t="s">
        <v>1046</v>
      </c>
      <c r="AD126" s="1" t="s">
        <v>60</v>
      </c>
      <c r="AE126" s="1" t="s">
        <v>1047</v>
      </c>
      <c r="AF126" s="1" t="s">
        <v>76</v>
      </c>
      <c r="AG126" s="1" t="s">
        <v>293</v>
      </c>
      <c r="AH126" s="1" t="s">
        <v>294</v>
      </c>
      <c r="AI126" s="1" t="s">
        <v>295</v>
      </c>
      <c r="AJ126" s="1" t="s">
        <v>62</v>
      </c>
      <c r="AK126" s="7" t="s">
        <v>63</v>
      </c>
      <c r="AL126" s="7" t="s">
        <v>63</v>
      </c>
      <c r="AM126" s="8" t="s">
        <v>64</v>
      </c>
      <c r="AN126" s="8" t="s">
        <v>64</v>
      </c>
    </row>
    <row r="127" customFormat="false" ht="15" hidden="false" customHeight="true" outlineLevel="0" collapsed="false">
      <c r="A127" s="5" t="s">
        <v>1048</v>
      </c>
      <c r="B127" s="6" t="s">
        <v>1049</v>
      </c>
      <c r="C127" s="5" t="s">
        <v>42</v>
      </c>
      <c r="D127" s="5" t="s">
        <v>1050</v>
      </c>
      <c r="E127" s="5" t="s">
        <v>1051</v>
      </c>
      <c r="F127" s="5" t="s">
        <v>1052</v>
      </c>
      <c r="G127" s="5" t="s">
        <v>429</v>
      </c>
      <c r="H127" s="6" t="s">
        <v>47</v>
      </c>
      <c r="I127" s="5" t="s">
        <v>48</v>
      </c>
      <c r="J127" s="5" t="s">
        <v>118</v>
      </c>
      <c r="K127" s="5" t="n">
        <v>3.5</v>
      </c>
      <c r="L127" s="5" t="n">
        <v>12</v>
      </c>
      <c r="M127" s="5" t="s">
        <v>50</v>
      </c>
      <c r="N127" s="5" t="s">
        <v>51</v>
      </c>
      <c r="O127" s="5" t="s">
        <v>1053</v>
      </c>
      <c r="P127" s="5" t="s">
        <v>1054</v>
      </c>
      <c r="Q127" s="5" t="s">
        <v>272</v>
      </c>
      <c r="R127" s="5" t="s">
        <v>430</v>
      </c>
      <c r="S127" s="6" t="s">
        <v>456</v>
      </c>
      <c r="T127" s="5" t="s">
        <v>418</v>
      </c>
      <c r="U127" s="5" t="s">
        <v>57</v>
      </c>
      <c r="V127" s="5" t="n">
        <v>0</v>
      </c>
      <c r="W127" s="5" t="s">
        <v>58</v>
      </c>
      <c r="X127" s="5" t="s">
        <v>59</v>
      </c>
      <c r="Y127" s="6" t="s">
        <v>1055</v>
      </c>
      <c r="Z127" s="6" t="s">
        <v>458</v>
      </c>
      <c r="AA127" s="5" t="s">
        <v>61</v>
      </c>
      <c r="AB127" s="5"/>
      <c r="AC127" s="1" t="s">
        <v>1046</v>
      </c>
      <c r="AD127" s="1" t="s">
        <v>60</v>
      </c>
      <c r="AE127" s="1" t="s">
        <v>1056</v>
      </c>
      <c r="AF127" s="1" t="s">
        <v>1054</v>
      </c>
      <c r="AG127" s="1" t="s">
        <v>771</v>
      </c>
      <c r="AH127" s="1" t="s">
        <v>772</v>
      </c>
      <c r="AI127" s="1" t="s">
        <v>463</v>
      </c>
      <c r="AJ127" s="1" t="s">
        <v>62</v>
      </c>
      <c r="AK127" s="7" t="s">
        <v>63</v>
      </c>
      <c r="AL127" s="7" t="s">
        <v>63</v>
      </c>
      <c r="AM127" s="8" t="s">
        <v>64</v>
      </c>
      <c r="AN127" s="8" t="s">
        <v>64</v>
      </c>
    </row>
    <row r="128" customFormat="false" ht="15" hidden="false" customHeight="true" outlineLevel="0" collapsed="false">
      <c r="A128" s="5" t="s">
        <v>1057</v>
      </c>
      <c r="B128" s="6" t="s">
        <v>1036</v>
      </c>
      <c r="C128" s="5" t="s">
        <v>42</v>
      </c>
      <c r="D128" s="5" t="s">
        <v>1037</v>
      </c>
      <c r="E128" s="5" t="s">
        <v>1058</v>
      </c>
      <c r="F128" s="5" t="s">
        <v>1059</v>
      </c>
      <c r="G128" s="5" t="s">
        <v>46</v>
      </c>
      <c r="H128" s="6" t="s">
        <v>47</v>
      </c>
      <c r="I128" s="5" t="s">
        <v>481</v>
      </c>
      <c r="J128" s="5" t="s">
        <v>74</v>
      </c>
      <c r="K128" s="5" t="n">
        <v>3.5</v>
      </c>
      <c r="L128" s="5" t="n">
        <v>67</v>
      </c>
      <c r="M128" s="5" t="s">
        <v>50</v>
      </c>
      <c r="N128" s="5" t="s">
        <v>482</v>
      </c>
      <c r="O128" s="5" t="s">
        <v>493</v>
      </c>
      <c r="P128" s="5" t="s">
        <v>76</v>
      </c>
      <c r="Q128" s="5" t="s">
        <v>54</v>
      </c>
      <c r="R128" s="5" t="s">
        <v>46</v>
      </c>
      <c r="S128" s="6" t="s">
        <v>77</v>
      </c>
      <c r="T128" s="5" t="s">
        <v>78</v>
      </c>
      <c r="U128" s="5" t="s">
        <v>57</v>
      </c>
      <c r="V128" s="5" t="n">
        <v>0</v>
      </c>
      <c r="W128" s="5" t="s">
        <v>58</v>
      </c>
      <c r="X128" s="5" t="s">
        <v>59</v>
      </c>
      <c r="Y128" s="6" t="s">
        <v>60</v>
      </c>
      <c r="Z128" s="6" t="s">
        <v>60</v>
      </c>
      <c r="AA128" s="5" t="s">
        <v>61</v>
      </c>
      <c r="AB128" s="5"/>
      <c r="AJ128" s="1" t="s">
        <v>484</v>
      </c>
      <c r="AK128" s="7" t="s">
        <v>63</v>
      </c>
      <c r="AL128" s="7" t="s">
        <v>63</v>
      </c>
      <c r="AM128" s="8" t="s">
        <v>64</v>
      </c>
      <c r="AN128" s="8" t="s">
        <v>64</v>
      </c>
    </row>
    <row r="129" customFormat="false" ht="15" hidden="false" customHeight="true" outlineLevel="0" collapsed="false">
      <c r="A129" s="5" t="s">
        <v>1060</v>
      </c>
      <c r="B129" s="6" t="s">
        <v>1041</v>
      </c>
      <c r="C129" s="5" t="s">
        <v>42</v>
      </c>
      <c r="D129" s="5" t="s">
        <v>1042</v>
      </c>
      <c r="E129" s="5" t="s">
        <v>1061</v>
      </c>
      <c r="F129" s="5" t="s">
        <v>1062</v>
      </c>
      <c r="G129" s="5" t="s">
        <v>269</v>
      </c>
      <c r="H129" s="6" t="s">
        <v>47</v>
      </c>
      <c r="I129" s="5" t="s">
        <v>481</v>
      </c>
      <c r="J129" s="5" t="s">
        <v>118</v>
      </c>
      <c r="K129" s="5" t="n">
        <v>3.5</v>
      </c>
      <c r="L129" s="5" t="n">
        <v>24</v>
      </c>
      <c r="M129" s="5" t="s">
        <v>50</v>
      </c>
      <c r="N129" s="5" t="s">
        <v>482</v>
      </c>
      <c r="O129" s="5" t="s">
        <v>1045</v>
      </c>
      <c r="P129" s="5" t="s">
        <v>76</v>
      </c>
      <c r="Q129" s="5" t="s">
        <v>272</v>
      </c>
      <c r="R129" s="5" t="s">
        <v>273</v>
      </c>
      <c r="S129" s="6" t="s">
        <v>290</v>
      </c>
      <c r="T129" s="5" t="s">
        <v>123</v>
      </c>
      <c r="U129" s="5" t="s">
        <v>57</v>
      </c>
      <c r="V129" s="5" t="n">
        <v>0</v>
      </c>
      <c r="W129" s="5" t="s">
        <v>58</v>
      </c>
      <c r="X129" s="5" t="s">
        <v>59</v>
      </c>
      <c r="Y129" s="6" t="s">
        <v>60</v>
      </c>
      <c r="Z129" s="6" t="s">
        <v>60</v>
      </c>
      <c r="AA129" s="5" t="s">
        <v>61</v>
      </c>
      <c r="AB129" s="5"/>
      <c r="AC129" s="1" t="s">
        <v>1046</v>
      </c>
      <c r="AD129" s="1" t="s">
        <v>60</v>
      </c>
      <c r="AE129" s="1" t="s">
        <v>1047</v>
      </c>
      <c r="AF129" s="1" t="s">
        <v>76</v>
      </c>
      <c r="AG129" s="1" t="s">
        <v>293</v>
      </c>
      <c r="AH129" s="1" t="s">
        <v>294</v>
      </c>
      <c r="AI129" s="1" t="s">
        <v>295</v>
      </c>
      <c r="AJ129" s="1" t="s">
        <v>484</v>
      </c>
      <c r="AK129" s="7" t="s">
        <v>63</v>
      </c>
      <c r="AL129" s="7" t="s">
        <v>63</v>
      </c>
      <c r="AM129" s="8" t="s">
        <v>64</v>
      </c>
      <c r="AN129" s="8" t="s">
        <v>64</v>
      </c>
    </row>
    <row r="130" customFormat="false" ht="15" hidden="false" customHeight="true" outlineLevel="0" collapsed="false">
      <c r="A130" s="5" t="s">
        <v>1063</v>
      </c>
      <c r="B130" s="6" t="s">
        <v>1049</v>
      </c>
      <c r="C130" s="5" t="s">
        <v>42</v>
      </c>
      <c r="D130" s="5" t="s">
        <v>1050</v>
      </c>
      <c r="E130" s="5" t="s">
        <v>1064</v>
      </c>
      <c r="F130" s="5" t="s">
        <v>1065</v>
      </c>
      <c r="G130" s="5" t="s">
        <v>429</v>
      </c>
      <c r="H130" s="6" t="s">
        <v>47</v>
      </c>
      <c r="I130" s="5" t="s">
        <v>481</v>
      </c>
      <c r="J130" s="5" t="s">
        <v>118</v>
      </c>
      <c r="K130" s="5" t="n">
        <v>3.5</v>
      </c>
      <c r="L130" s="5" t="n">
        <v>12</v>
      </c>
      <c r="M130" s="5" t="s">
        <v>50</v>
      </c>
      <c r="N130" s="5" t="s">
        <v>482</v>
      </c>
      <c r="O130" s="5" t="s">
        <v>1053</v>
      </c>
      <c r="P130" s="5" t="s">
        <v>1054</v>
      </c>
      <c r="Q130" s="5" t="s">
        <v>272</v>
      </c>
      <c r="R130" s="5" t="s">
        <v>430</v>
      </c>
      <c r="S130" s="6" t="s">
        <v>456</v>
      </c>
      <c r="T130" s="5" t="s">
        <v>418</v>
      </c>
      <c r="U130" s="5" t="s">
        <v>57</v>
      </c>
      <c r="V130" s="5" t="n">
        <v>0</v>
      </c>
      <c r="W130" s="5" t="s">
        <v>58</v>
      </c>
      <c r="X130" s="5" t="s">
        <v>59</v>
      </c>
      <c r="Y130" s="6" t="s">
        <v>1055</v>
      </c>
      <c r="Z130" s="6" t="s">
        <v>458</v>
      </c>
      <c r="AA130" s="5" t="s">
        <v>61</v>
      </c>
      <c r="AB130" s="5"/>
      <c r="AC130" s="1" t="s">
        <v>1046</v>
      </c>
      <c r="AD130" s="1" t="s">
        <v>60</v>
      </c>
      <c r="AE130" s="1" t="s">
        <v>1056</v>
      </c>
      <c r="AF130" s="1" t="s">
        <v>1054</v>
      </c>
      <c r="AG130" s="1" t="s">
        <v>771</v>
      </c>
      <c r="AH130" s="1" t="s">
        <v>772</v>
      </c>
      <c r="AI130" s="1" t="s">
        <v>463</v>
      </c>
      <c r="AJ130" s="1" t="s">
        <v>484</v>
      </c>
      <c r="AK130" s="7" t="s">
        <v>63</v>
      </c>
      <c r="AL130" s="7" t="s">
        <v>63</v>
      </c>
      <c r="AM130" s="8" t="s">
        <v>64</v>
      </c>
      <c r="AN130" s="8" t="s">
        <v>64</v>
      </c>
    </row>
    <row r="131" customFormat="false" ht="21.75" hidden="false" customHeight="true" outlineLevel="0" collapsed="false">
      <c r="A131" s="5" t="s">
        <v>1066</v>
      </c>
      <c r="B131" s="6" t="s">
        <v>1036</v>
      </c>
      <c r="C131" s="5" t="s">
        <v>42</v>
      </c>
      <c r="D131" s="5" t="s">
        <v>1037</v>
      </c>
      <c r="E131" s="5" t="s">
        <v>1067</v>
      </c>
      <c r="F131" s="5" t="s">
        <v>1039</v>
      </c>
      <c r="G131" s="5" t="s">
        <v>46</v>
      </c>
      <c r="H131" s="6" t="s">
        <v>47</v>
      </c>
      <c r="I131" s="5" t="s">
        <v>808</v>
      </c>
      <c r="J131" s="5" t="s">
        <v>74</v>
      </c>
      <c r="K131" s="5" t="n">
        <v>3.5</v>
      </c>
      <c r="L131" s="5" t="n">
        <v>67</v>
      </c>
      <c r="M131" s="5" t="s">
        <v>50</v>
      </c>
      <c r="N131" s="5" t="s">
        <v>51</v>
      </c>
      <c r="O131" s="5" t="s">
        <v>493</v>
      </c>
      <c r="P131" s="5" t="s">
        <v>76</v>
      </c>
      <c r="Q131" s="5" t="s">
        <v>54</v>
      </c>
      <c r="R131" s="5" t="s">
        <v>46</v>
      </c>
      <c r="S131" s="6" t="s">
        <v>77</v>
      </c>
      <c r="T131" s="5" t="s">
        <v>78</v>
      </c>
      <c r="U131" s="5" t="s">
        <v>57</v>
      </c>
      <c r="V131" s="5" t="n">
        <v>0</v>
      </c>
      <c r="W131" s="5" t="s">
        <v>58</v>
      </c>
      <c r="X131" s="5" t="s">
        <v>59</v>
      </c>
      <c r="Y131" s="6" t="s">
        <v>60</v>
      </c>
      <c r="Z131" s="6" t="s">
        <v>60</v>
      </c>
      <c r="AA131" s="5" t="s">
        <v>61</v>
      </c>
      <c r="AB131" s="5"/>
      <c r="AJ131" s="1" t="s">
        <v>786</v>
      </c>
      <c r="AK131" s="7" t="s">
        <v>63</v>
      </c>
      <c r="AL131" s="7" t="s">
        <v>63</v>
      </c>
      <c r="AM131" s="8" t="s">
        <v>64</v>
      </c>
      <c r="AN131" s="8" t="s">
        <v>64</v>
      </c>
    </row>
    <row r="132" customFormat="false" ht="21.75" hidden="false" customHeight="true" outlineLevel="0" collapsed="false">
      <c r="A132" s="5" t="s">
        <v>1068</v>
      </c>
      <c r="B132" s="6" t="s">
        <v>1041</v>
      </c>
      <c r="C132" s="5" t="s">
        <v>42</v>
      </c>
      <c r="D132" s="5" t="s">
        <v>1042</v>
      </c>
      <c r="E132" s="5" t="s">
        <v>1069</v>
      </c>
      <c r="F132" s="5" t="s">
        <v>1044</v>
      </c>
      <c r="G132" s="5" t="s">
        <v>269</v>
      </c>
      <c r="H132" s="6" t="s">
        <v>47</v>
      </c>
      <c r="I132" s="5" t="s">
        <v>808</v>
      </c>
      <c r="J132" s="5" t="s">
        <v>118</v>
      </c>
      <c r="K132" s="5" t="n">
        <v>3.5</v>
      </c>
      <c r="L132" s="5" t="n">
        <v>24</v>
      </c>
      <c r="M132" s="5" t="s">
        <v>50</v>
      </c>
      <c r="N132" s="5" t="s">
        <v>51</v>
      </c>
      <c r="O132" s="5" t="s">
        <v>1045</v>
      </c>
      <c r="P132" s="5" t="s">
        <v>76</v>
      </c>
      <c r="Q132" s="5" t="s">
        <v>272</v>
      </c>
      <c r="R132" s="5" t="s">
        <v>273</v>
      </c>
      <c r="S132" s="6" t="s">
        <v>290</v>
      </c>
      <c r="T132" s="5" t="s">
        <v>123</v>
      </c>
      <c r="U132" s="5" t="s">
        <v>57</v>
      </c>
      <c r="V132" s="5" t="n">
        <v>0</v>
      </c>
      <c r="W132" s="5" t="s">
        <v>58</v>
      </c>
      <c r="X132" s="5" t="s">
        <v>59</v>
      </c>
      <c r="Y132" s="6" t="s">
        <v>60</v>
      </c>
      <c r="Z132" s="6" t="s">
        <v>60</v>
      </c>
      <c r="AA132" s="5" t="s">
        <v>61</v>
      </c>
      <c r="AB132" s="5"/>
      <c r="AC132" s="1" t="s">
        <v>1046</v>
      </c>
      <c r="AD132" s="1" t="s">
        <v>60</v>
      </c>
      <c r="AE132" s="1" t="s">
        <v>1047</v>
      </c>
      <c r="AF132" s="1" t="s">
        <v>76</v>
      </c>
      <c r="AG132" s="1" t="s">
        <v>293</v>
      </c>
      <c r="AH132" s="1" t="s">
        <v>294</v>
      </c>
      <c r="AI132" s="1" t="s">
        <v>295</v>
      </c>
      <c r="AJ132" s="1" t="s">
        <v>786</v>
      </c>
      <c r="AK132" s="7" t="s">
        <v>63</v>
      </c>
      <c r="AL132" s="7" t="s">
        <v>63</v>
      </c>
      <c r="AM132" s="8" t="s">
        <v>64</v>
      </c>
      <c r="AN132" s="8" t="s">
        <v>64</v>
      </c>
    </row>
    <row r="133" customFormat="false" ht="21.75" hidden="false" customHeight="true" outlineLevel="0" collapsed="false">
      <c r="A133" s="5" t="s">
        <v>1070</v>
      </c>
      <c r="B133" s="6" t="s">
        <v>1049</v>
      </c>
      <c r="C133" s="5" t="s">
        <v>42</v>
      </c>
      <c r="D133" s="5" t="s">
        <v>1050</v>
      </c>
      <c r="E133" s="5" t="s">
        <v>1071</v>
      </c>
      <c r="F133" s="5" t="s">
        <v>1052</v>
      </c>
      <c r="G133" s="5" t="s">
        <v>429</v>
      </c>
      <c r="H133" s="6" t="s">
        <v>47</v>
      </c>
      <c r="I133" s="5" t="s">
        <v>808</v>
      </c>
      <c r="J133" s="5" t="s">
        <v>118</v>
      </c>
      <c r="K133" s="5" t="n">
        <v>3.5</v>
      </c>
      <c r="L133" s="5" t="n">
        <v>12</v>
      </c>
      <c r="M133" s="5" t="s">
        <v>50</v>
      </c>
      <c r="N133" s="5" t="s">
        <v>51</v>
      </c>
      <c r="O133" s="5" t="s">
        <v>1053</v>
      </c>
      <c r="P133" s="5" t="s">
        <v>1054</v>
      </c>
      <c r="Q133" s="5" t="s">
        <v>272</v>
      </c>
      <c r="R133" s="5" t="s">
        <v>430</v>
      </c>
      <c r="S133" s="6" t="s">
        <v>456</v>
      </c>
      <c r="T133" s="5" t="s">
        <v>418</v>
      </c>
      <c r="U133" s="5" t="s">
        <v>57</v>
      </c>
      <c r="V133" s="5" t="n">
        <v>0</v>
      </c>
      <c r="W133" s="5" t="s">
        <v>58</v>
      </c>
      <c r="X133" s="5" t="s">
        <v>59</v>
      </c>
      <c r="Y133" s="6" t="s">
        <v>1055</v>
      </c>
      <c r="Z133" s="6" t="s">
        <v>458</v>
      </c>
      <c r="AA133" s="5" t="s">
        <v>61</v>
      </c>
      <c r="AB133" s="5"/>
      <c r="AC133" s="1" t="s">
        <v>1046</v>
      </c>
      <c r="AD133" s="1" t="s">
        <v>60</v>
      </c>
      <c r="AE133" s="1" t="s">
        <v>1056</v>
      </c>
      <c r="AF133" s="1" t="s">
        <v>1054</v>
      </c>
      <c r="AG133" s="1" t="s">
        <v>771</v>
      </c>
      <c r="AH133" s="1" t="s">
        <v>772</v>
      </c>
      <c r="AI133" s="1" t="s">
        <v>463</v>
      </c>
      <c r="AJ133" s="1" t="s">
        <v>786</v>
      </c>
      <c r="AK133" s="7" t="s">
        <v>63</v>
      </c>
      <c r="AL133" s="7" t="s">
        <v>63</v>
      </c>
      <c r="AM133" s="8" t="s">
        <v>64</v>
      </c>
      <c r="AN133" s="8" t="s">
        <v>64</v>
      </c>
    </row>
    <row r="134" customFormat="false" ht="15" hidden="false" customHeight="true" outlineLevel="0" collapsed="false">
      <c r="A134" s="31" t="s">
        <v>1072</v>
      </c>
      <c r="B134" s="31" t="s">
        <v>1073</v>
      </c>
      <c r="C134" s="32" t="s">
        <v>42</v>
      </c>
      <c r="D134" s="32" t="s">
        <v>1074</v>
      </c>
      <c r="E134" s="31" t="s">
        <v>1075</v>
      </c>
      <c r="F134" s="32" t="s">
        <v>1076</v>
      </c>
      <c r="G134" s="32" t="s">
        <v>46</v>
      </c>
      <c r="H134" s="32" t="s">
        <v>47</v>
      </c>
      <c r="I134" s="31" t="s">
        <v>48</v>
      </c>
      <c r="J134" s="32" t="s">
        <v>74</v>
      </c>
      <c r="K134" s="32" t="n">
        <v>3.62</v>
      </c>
      <c r="L134" s="32" t="n">
        <v>48</v>
      </c>
      <c r="M134" s="32" t="s">
        <v>50</v>
      </c>
      <c r="N134" s="32" t="s">
        <v>334</v>
      </c>
      <c r="O134" s="32" t="s">
        <v>1045</v>
      </c>
      <c r="P134" s="32" t="s">
        <v>121</v>
      </c>
      <c r="Q134" s="32" t="s">
        <v>54</v>
      </c>
      <c r="R134" s="32" t="s">
        <v>46</v>
      </c>
      <c r="S134" s="32" t="s">
        <v>77</v>
      </c>
      <c r="T134" s="32" t="s">
        <v>78</v>
      </c>
      <c r="U134" s="32" t="s">
        <v>57</v>
      </c>
      <c r="V134" s="32" t="n">
        <v>0</v>
      </c>
      <c r="W134" s="32" t="s">
        <v>58</v>
      </c>
      <c r="X134" s="32" t="s">
        <v>1077</v>
      </c>
      <c r="Y134" s="31" t="s">
        <v>60</v>
      </c>
      <c r="Z134" s="32" t="s">
        <v>60</v>
      </c>
      <c r="AA134" s="32" t="s">
        <v>61</v>
      </c>
      <c r="AB134" s="32"/>
      <c r="AC134" s="31"/>
      <c r="AD134" s="31"/>
      <c r="AE134" s="31"/>
      <c r="AF134" s="32"/>
      <c r="AG134" s="31"/>
      <c r="AH134" s="31"/>
      <c r="AI134" s="31"/>
      <c r="AJ134" s="32" t="s">
        <v>62</v>
      </c>
      <c r="AK134" s="32" t="s">
        <v>93</v>
      </c>
      <c r="AL134" s="32" t="s">
        <v>63</v>
      </c>
      <c r="AM134" s="31" t="s">
        <v>64</v>
      </c>
      <c r="AN134" s="31" t="s">
        <v>64</v>
      </c>
    </row>
    <row r="135" customFormat="false" ht="15" hidden="false" customHeight="true" outlineLevel="0" collapsed="false">
      <c r="A135" s="33" t="s">
        <v>1078</v>
      </c>
      <c r="B135" s="33" t="s">
        <v>1079</v>
      </c>
      <c r="C135" s="34" t="s">
        <v>67</v>
      </c>
      <c r="D135" s="34" t="s">
        <v>1080</v>
      </c>
      <c r="E135" s="33" t="s">
        <v>1081</v>
      </c>
      <c r="F135" s="34" t="s">
        <v>1039</v>
      </c>
      <c r="G135" s="34" t="s">
        <v>71</v>
      </c>
      <c r="H135" s="34" t="s">
        <v>72</v>
      </c>
      <c r="I135" s="33" t="s">
        <v>73</v>
      </c>
      <c r="J135" s="34" t="s">
        <v>49</v>
      </c>
      <c r="K135" s="34" t="n">
        <v>2.35</v>
      </c>
      <c r="L135" s="34" t="n">
        <v>80</v>
      </c>
      <c r="M135" s="34" t="s">
        <v>119</v>
      </c>
      <c r="N135" s="34" t="s">
        <v>334</v>
      </c>
      <c r="O135" s="34" t="s">
        <v>768</v>
      </c>
      <c r="P135" s="34" t="s">
        <v>53</v>
      </c>
      <c r="Q135" s="34" t="s">
        <v>54</v>
      </c>
      <c r="R135" s="34" t="s">
        <v>71</v>
      </c>
      <c r="S135" s="34" t="s">
        <v>55</v>
      </c>
      <c r="T135" s="34" t="s">
        <v>56</v>
      </c>
      <c r="U135" s="34" t="s">
        <v>124</v>
      </c>
      <c r="V135" s="34" t="n">
        <v>65000</v>
      </c>
      <c r="W135" s="34" t="s">
        <v>119</v>
      </c>
      <c r="X135" s="34" t="s">
        <v>1077</v>
      </c>
      <c r="Y135" s="33" t="s">
        <v>60</v>
      </c>
      <c r="Z135" s="34" t="s">
        <v>60</v>
      </c>
      <c r="AA135" s="34" t="s">
        <v>61</v>
      </c>
      <c r="AB135" s="34"/>
      <c r="AC135" s="33"/>
      <c r="AD135" s="33"/>
      <c r="AE135" s="33"/>
      <c r="AF135" s="34"/>
      <c r="AG135" s="33"/>
      <c r="AH135" s="33"/>
      <c r="AI135" s="33"/>
      <c r="AJ135" s="34" t="s">
        <v>62</v>
      </c>
      <c r="AK135" s="34" t="s">
        <v>93</v>
      </c>
      <c r="AL135" s="34" t="s">
        <v>63</v>
      </c>
      <c r="AM135" s="33" t="s">
        <v>64</v>
      </c>
      <c r="AN135" s="33" t="s">
        <v>64</v>
      </c>
    </row>
    <row r="136" customFormat="false" ht="15" hidden="false" customHeight="true" outlineLevel="0" collapsed="false">
      <c r="A136" s="31" t="s">
        <v>1082</v>
      </c>
      <c r="B136" s="31" t="s">
        <v>1083</v>
      </c>
      <c r="C136" s="32" t="s">
        <v>42</v>
      </c>
      <c r="D136" s="32" t="s">
        <v>1084</v>
      </c>
      <c r="E136" s="31" t="s">
        <v>1085</v>
      </c>
      <c r="F136" s="32" t="s">
        <v>1044</v>
      </c>
      <c r="G136" s="32" t="s">
        <v>46</v>
      </c>
      <c r="H136" s="32" t="s">
        <v>101</v>
      </c>
      <c r="I136" s="31" t="s">
        <v>102</v>
      </c>
      <c r="J136" s="32" t="s">
        <v>118</v>
      </c>
      <c r="K136" s="32" t="n">
        <v>3.15</v>
      </c>
      <c r="L136" s="32" t="n">
        <v>16</v>
      </c>
      <c r="M136" s="32" t="s">
        <v>50</v>
      </c>
      <c r="N136" s="32" t="s">
        <v>334</v>
      </c>
      <c r="O136" s="32" t="s">
        <v>1086</v>
      </c>
      <c r="P136" s="32" t="s">
        <v>1087</v>
      </c>
      <c r="Q136" s="32" t="s">
        <v>54</v>
      </c>
      <c r="R136" s="32" t="s">
        <v>46</v>
      </c>
      <c r="S136" s="32" t="s">
        <v>1088</v>
      </c>
      <c r="T136" s="32" t="s">
        <v>123</v>
      </c>
      <c r="U136" s="32" t="s">
        <v>57</v>
      </c>
      <c r="V136" s="32" t="n">
        <v>0</v>
      </c>
      <c r="W136" s="32" t="s">
        <v>58</v>
      </c>
      <c r="X136" s="32" t="s">
        <v>1077</v>
      </c>
      <c r="Y136" s="31" t="s">
        <v>60</v>
      </c>
      <c r="Z136" s="32" t="s">
        <v>60</v>
      </c>
      <c r="AA136" s="32" t="s">
        <v>61</v>
      </c>
      <c r="AB136" s="32"/>
      <c r="AC136" s="31"/>
      <c r="AD136" s="31"/>
      <c r="AE136" s="31"/>
      <c r="AF136" s="32"/>
      <c r="AG136" s="31"/>
      <c r="AH136" s="31"/>
      <c r="AI136" s="31"/>
      <c r="AJ136" s="32" t="s">
        <v>62</v>
      </c>
      <c r="AK136" s="32" t="s">
        <v>93</v>
      </c>
      <c r="AL136" s="32" t="s">
        <v>93</v>
      </c>
      <c r="AM136" s="31" t="s">
        <v>211</v>
      </c>
      <c r="AN136" s="31" t="s">
        <v>212</v>
      </c>
    </row>
    <row r="137" customFormat="false" ht="15" hidden="false" customHeight="true" outlineLevel="0" collapsed="false">
      <c r="A137" s="31" t="s">
        <v>1089</v>
      </c>
      <c r="B137" s="31" t="s">
        <v>1090</v>
      </c>
      <c r="C137" s="32" t="s">
        <v>67</v>
      </c>
      <c r="D137" s="32" t="s">
        <v>1091</v>
      </c>
      <c r="E137" s="31" t="s">
        <v>1092</v>
      </c>
      <c r="F137" s="32" t="s">
        <v>1052</v>
      </c>
      <c r="G137" s="32" t="s">
        <v>147</v>
      </c>
      <c r="H137" s="32" t="s">
        <v>148</v>
      </c>
      <c r="I137" s="31" t="s">
        <v>149</v>
      </c>
      <c r="J137" s="32" t="s">
        <v>86</v>
      </c>
      <c r="K137" s="32" t="n">
        <v>3.81</v>
      </c>
      <c r="L137" s="32" t="n">
        <v>112</v>
      </c>
      <c r="M137" s="32" t="s">
        <v>50</v>
      </c>
      <c r="N137" s="32" t="s">
        <v>334</v>
      </c>
      <c r="O137" s="32" t="s">
        <v>75</v>
      </c>
      <c r="P137" s="32" t="s">
        <v>732</v>
      </c>
      <c r="Q137" s="32" t="s">
        <v>54</v>
      </c>
      <c r="R137" s="32" t="s">
        <v>147</v>
      </c>
      <c r="S137" s="32" t="s">
        <v>1093</v>
      </c>
      <c r="T137" s="32" t="s">
        <v>91</v>
      </c>
      <c r="U137" s="32" t="s">
        <v>57</v>
      </c>
      <c r="V137" s="32" t="n">
        <v>0</v>
      </c>
      <c r="W137" s="32" t="s">
        <v>58</v>
      </c>
      <c r="X137" s="32" t="s">
        <v>1077</v>
      </c>
      <c r="Y137" s="31" t="s">
        <v>60</v>
      </c>
      <c r="Z137" s="32" t="s">
        <v>60</v>
      </c>
      <c r="AA137" s="32" t="s">
        <v>61</v>
      </c>
      <c r="AB137" s="32"/>
      <c r="AC137" s="31"/>
      <c r="AD137" s="31"/>
      <c r="AE137" s="31"/>
      <c r="AF137" s="32"/>
      <c r="AG137" s="31"/>
      <c r="AH137" s="31"/>
      <c r="AI137" s="31"/>
      <c r="AJ137" s="32" t="s">
        <v>62</v>
      </c>
      <c r="AK137" s="32" t="s">
        <v>93</v>
      </c>
      <c r="AL137" s="32" t="s">
        <v>63</v>
      </c>
      <c r="AM137" s="31" t="s">
        <v>64</v>
      </c>
      <c r="AN137" s="31" t="s">
        <v>64</v>
      </c>
    </row>
    <row r="138" customFormat="false" ht="15" hidden="false" customHeight="true" outlineLevel="0" collapsed="false">
      <c r="A138" s="31" t="s">
        <v>1094</v>
      </c>
      <c r="B138" s="31" t="s">
        <v>1095</v>
      </c>
      <c r="C138" s="32" t="s">
        <v>42</v>
      </c>
      <c r="D138" s="32" t="s">
        <v>1096</v>
      </c>
      <c r="E138" s="31" t="s">
        <v>1097</v>
      </c>
      <c r="F138" s="32" t="s">
        <v>1098</v>
      </c>
      <c r="G138" s="32" t="s">
        <v>132</v>
      </c>
      <c r="H138" s="32" t="s">
        <v>133</v>
      </c>
      <c r="I138" s="31" t="s">
        <v>134</v>
      </c>
      <c r="J138" s="32" t="s">
        <v>74</v>
      </c>
      <c r="K138" s="32" t="n">
        <v>2.92</v>
      </c>
      <c r="L138" s="32" t="n">
        <v>48</v>
      </c>
      <c r="M138" s="32" t="s">
        <v>50</v>
      </c>
      <c r="N138" s="32" t="s">
        <v>334</v>
      </c>
      <c r="O138" s="32" t="s">
        <v>1045</v>
      </c>
      <c r="P138" s="32" t="s">
        <v>121</v>
      </c>
      <c r="Q138" s="32" t="s">
        <v>54</v>
      </c>
      <c r="R138" s="32" t="s">
        <v>132</v>
      </c>
      <c r="S138" s="32" t="s">
        <v>77</v>
      </c>
      <c r="T138" s="32" t="s">
        <v>78</v>
      </c>
      <c r="U138" s="32" t="s">
        <v>57</v>
      </c>
      <c r="V138" s="32" t="n">
        <v>0</v>
      </c>
      <c r="W138" s="32" t="s">
        <v>58</v>
      </c>
      <c r="X138" s="32" t="s">
        <v>1077</v>
      </c>
      <c r="Y138" s="31" t="s">
        <v>60</v>
      </c>
      <c r="Z138" s="32" t="s">
        <v>60</v>
      </c>
      <c r="AA138" s="32" t="s">
        <v>61</v>
      </c>
      <c r="AB138" s="32"/>
      <c r="AC138" s="31"/>
      <c r="AD138" s="31"/>
      <c r="AE138" s="31"/>
      <c r="AF138" s="32"/>
      <c r="AG138" s="31"/>
      <c r="AH138" s="31"/>
      <c r="AI138" s="31"/>
      <c r="AJ138" s="32" t="s">
        <v>62</v>
      </c>
      <c r="AK138" s="32" t="s">
        <v>93</v>
      </c>
      <c r="AL138" s="32" t="s">
        <v>63</v>
      </c>
      <c r="AM138" s="31" t="s">
        <v>64</v>
      </c>
      <c r="AN138" s="31" t="s">
        <v>64</v>
      </c>
    </row>
    <row r="139" customFormat="false" ht="15" hidden="false" customHeight="true" outlineLevel="0" collapsed="false">
      <c r="A139" s="35" t="s">
        <v>1099</v>
      </c>
      <c r="B139" s="35" t="s">
        <v>1100</v>
      </c>
      <c r="C139" s="36" t="s">
        <v>67</v>
      </c>
      <c r="D139" s="36" t="s">
        <v>1101</v>
      </c>
      <c r="E139" s="35" t="s">
        <v>1102</v>
      </c>
      <c r="F139" s="36" t="s">
        <v>1103</v>
      </c>
      <c r="G139" s="36" t="s">
        <v>156</v>
      </c>
      <c r="H139" s="36" t="s">
        <v>157</v>
      </c>
      <c r="I139" s="35" t="s">
        <v>73</v>
      </c>
      <c r="J139" s="36" t="s">
        <v>86</v>
      </c>
      <c r="K139" s="36" t="n">
        <v>1.95</v>
      </c>
      <c r="L139" s="36" t="n">
        <v>112</v>
      </c>
      <c r="M139" s="36" t="s">
        <v>195</v>
      </c>
      <c r="N139" s="36" t="s">
        <v>334</v>
      </c>
      <c r="O139" s="36" t="s">
        <v>75</v>
      </c>
      <c r="P139" s="36" t="s">
        <v>732</v>
      </c>
      <c r="Q139" s="36" t="s">
        <v>54</v>
      </c>
      <c r="R139" s="36" t="s">
        <v>156</v>
      </c>
      <c r="S139" s="36" t="s">
        <v>1093</v>
      </c>
      <c r="T139" s="36" t="s">
        <v>91</v>
      </c>
      <c r="U139" s="36" t="s">
        <v>263</v>
      </c>
      <c r="V139" s="36" t="n">
        <v>50000</v>
      </c>
      <c r="W139" s="36" t="s">
        <v>195</v>
      </c>
      <c r="X139" s="36" t="s">
        <v>1077</v>
      </c>
      <c r="Y139" s="35" t="s">
        <v>60</v>
      </c>
      <c r="Z139" s="36" t="s">
        <v>60</v>
      </c>
      <c r="AA139" s="36" t="s">
        <v>61</v>
      </c>
      <c r="AB139" s="36"/>
      <c r="AC139" s="35"/>
      <c r="AD139" s="35"/>
      <c r="AE139" s="35"/>
      <c r="AF139" s="36"/>
      <c r="AG139" s="35"/>
      <c r="AH139" s="35"/>
      <c r="AI139" s="35"/>
      <c r="AJ139" s="36" t="s">
        <v>62</v>
      </c>
      <c r="AK139" s="36" t="s">
        <v>93</v>
      </c>
      <c r="AL139" s="36" t="s">
        <v>63</v>
      </c>
      <c r="AM139" s="35" t="s">
        <v>64</v>
      </c>
      <c r="AN139" s="35" t="s">
        <v>64</v>
      </c>
    </row>
    <row r="140" customFormat="false" ht="15" hidden="false" customHeight="true" outlineLevel="0" collapsed="false">
      <c r="A140" s="31" t="s">
        <v>1104</v>
      </c>
      <c r="B140" s="31" t="s">
        <v>1105</v>
      </c>
      <c r="C140" s="32" t="s">
        <v>42</v>
      </c>
      <c r="D140" s="32" t="s">
        <v>1106</v>
      </c>
      <c r="E140" s="31" t="s">
        <v>1107</v>
      </c>
      <c r="F140" s="32" t="s">
        <v>1108</v>
      </c>
      <c r="G140" s="32" t="s">
        <v>46</v>
      </c>
      <c r="H140" s="32" t="s">
        <v>84</v>
      </c>
      <c r="I140" s="31" t="s">
        <v>85</v>
      </c>
      <c r="J140" s="32" t="s">
        <v>49</v>
      </c>
      <c r="K140" s="32" t="n">
        <v>3.45</v>
      </c>
      <c r="L140" s="32" t="n">
        <v>80</v>
      </c>
      <c r="M140" s="32" t="s">
        <v>50</v>
      </c>
      <c r="N140" s="32" t="s">
        <v>334</v>
      </c>
      <c r="O140" s="32" t="s">
        <v>768</v>
      </c>
      <c r="P140" s="32" t="s">
        <v>53</v>
      </c>
      <c r="Q140" s="32" t="s">
        <v>54</v>
      </c>
      <c r="R140" s="32" t="s">
        <v>46</v>
      </c>
      <c r="S140" s="32" t="s">
        <v>55</v>
      </c>
      <c r="T140" s="32" t="s">
        <v>56</v>
      </c>
      <c r="U140" s="32" t="s">
        <v>57</v>
      </c>
      <c r="V140" s="32" t="n">
        <v>0</v>
      </c>
      <c r="W140" s="32" t="s">
        <v>58</v>
      </c>
      <c r="X140" s="32" t="s">
        <v>1077</v>
      </c>
      <c r="Y140" s="31" t="s">
        <v>60</v>
      </c>
      <c r="Z140" s="32" t="s">
        <v>60</v>
      </c>
      <c r="AA140" s="32" t="s">
        <v>61</v>
      </c>
      <c r="AB140" s="32"/>
      <c r="AC140" s="31"/>
      <c r="AD140" s="31"/>
      <c r="AE140" s="31"/>
      <c r="AF140" s="32"/>
      <c r="AG140" s="31"/>
      <c r="AH140" s="31"/>
      <c r="AI140" s="31"/>
      <c r="AJ140" s="32" t="s">
        <v>62</v>
      </c>
      <c r="AK140" s="32" t="s">
        <v>93</v>
      </c>
      <c r="AL140" s="32" t="s">
        <v>93</v>
      </c>
      <c r="AM140" s="31" t="s">
        <v>94</v>
      </c>
      <c r="AN140" s="31" t="s">
        <v>1109</v>
      </c>
    </row>
    <row r="141" customFormat="false" ht="15" hidden="false" customHeight="true" outlineLevel="0" collapsed="false">
      <c r="A141" s="31" t="s">
        <v>1110</v>
      </c>
      <c r="B141" s="31" t="s">
        <v>1111</v>
      </c>
      <c r="C141" s="32" t="s">
        <v>67</v>
      </c>
      <c r="D141" s="32" t="s">
        <v>1112</v>
      </c>
      <c r="E141" s="31" t="s">
        <v>1113</v>
      </c>
      <c r="F141" s="32" t="s">
        <v>1114</v>
      </c>
      <c r="G141" s="32" t="s">
        <v>46</v>
      </c>
      <c r="H141" s="32" t="s">
        <v>166</v>
      </c>
      <c r="I141" s="31" t="s">
        <v>48</v>
      </c>
      <c r="J141" s="32" t="s">
        <v>118</v>
      </c>
      <c r="K141" s="32" t="n">
        <v>3.05</v>
      </c>
      <c r="L141" s="32" t="n">
        <v>16</v>
      </c>
      <c r="M141" s="32" t="s">
        <v>50</v>
      </c>
      <c r="N141" s="32" t="s">
        <v>334</v>
      </c>
      <c r="O141" s="32" t="s">
        <v>1086</v>
      </c>
      <c r="P141" s="32" t="s">
        <v>1087</v>
      </c>
      <c r="Q141" s="32" t="s">
        <v>54</v>
      </c>
      <c r="R141" s="32" t="s">
        <v>46</v>
      </c>
      <c r="S141" s="32" t="s">
        <v>1088</v>
      </c>
      <c r="T141" s="32" t="s">
        <v>123</v>
      </c>
      <c r="U141" s="32" t="s">
        <v>124</v>
      </c>
      <c r="V141" s="32" t="n">
        <v>75000</v>
      </c>
      <c r="W141" s="32" t="s">
        <v>58</v>
      </c>
      <c r="X141" s="32" t="s">
        <v>1077</v>
      </c>
      <c r="Y141" s="31" t="s">
        <v>60</v>
      </c>
      <c r="Z141" s="32" t="s">
        <v>60</v>
      </c>
      <c r="AA141" s="32" t="s">
        <v>61</v>
      </c>
      <c r="AB141" s="32"/>
      <c r="AC141" s="31"/>
      <c r="AD141" s="31"/>
      <c r="AE141" s="31"/>
      <c r="AF141" s="32"/>
      <c r="AG141" s="31"/>
      <c r="AH141" s="31"/>
      <c r="AI141" s="31"/>
      <c r="AJ141" s="32" t="s">
        <v>62</v>
      </c>
      <c r="AK141" s="32" t="s">
        <v>93</v>
      </c>
      <c r="AL141" s="32" t="s">
        <v>63</v>
      </c>
      <c r="AM141" s="31" t="s">
        <v>64</v>
      </c>
      <c r="AN141" s="31" t="s">
        <v>64</v>
      </c>
    </row>
    <row r="142" customFormat="false" ht="15" hidden="false" customHeight="true" outlineLevel="0" collapsed="false">
      <c r="A142" s="37" t="s">
        <v>1115</v>
      </c>
      <c r="B142" s="37" t="s">
        <v>1116</v>
      </c>
      <c r="C142" s="38" t="s">
        <v>42</v>
      </c>
      <c r="D142" s="38" t="s">
        <v>1117</v>
      </c>
      <c r="E142" s="37" t="s">
        <v>1118</v>
      </c>
      <c r="F142" s="38" t="s">
        <v>1119</v>
      </c>
      <c r="G142" s="38" t="s">
        <v>193</v>
      </c>
      <c r="H142" s="38" t="s">
        <v>194</v>
      </c>
      <c r="I142" s="37" t="s">
        <v>102</v>
      </c>
      <c r="J142" s="38" t="s">
        <v>86</v>
      </c>
      <c r="K142" s="38" t="n">
        <v>3.7</v>
      </c>
      <c r="L142" s="38" t="n">
        <v>128</v>
      </c>
      <c r="M142" s="38" t="s">
        <v>103</v>
      </c>
      <c r="N142" s="38" t="s">
        <v>334</v>
      </c>
      <c r="O142" s="38" t="s">
        <v>75</v>
      </c>
      <c r="P142" s="38" t="s">
        <v>732</v>
      </c>
      <c r="Q142" s="38" t="s">
        <v>54</v>
      </c>
      <c r="R142" s="38" t="s">
        <v>193</v>
      </c>
      <c r="S142" s="38" t="s">
        <v>107</v>
      </c>
      <c r="T142" s="38" t="s">
        <v>107</v>
      </c>
      <c r="U142" s="38" t="s">
        <v>108</v>
      </c>
      <c r="V142" s="38" t="n">
        <v>0</v>
      </c>
      <c r="W142" s="38" t="s">
        <v>108</v>
      </c>
      <c r="X142" s="38" t="s">
        <v>1077</v>
      </c>
      <c r="Y142" s="37" t="s">
        <v>60</v>
      </c>
      <c r="Z142" s="38" t="s">
        <v>60</v>
      </c>
      <c r="AA142" s="38" t="s">
        <v>108</v>
      </c>
      <c r="AB142" s="38" t="s">
        <v>732</v>
      </c>
      <c r="AC142" s="37"/>
      <c r="AD142" s="37"/>
      <c r="AE142" s="37"/>
      <c r="AF142" s="38"/>
      <c r="AG142" s="37"/>
      <c r="AH142" s="37"/>
      <c r="AI142" s="37"/>
      <c r="AJ142" s="38" t="s">
        <v>62</v>
      </c>
      <c r="AK142" s="38" t="s">
        <v>93</v>
      </c>
      <c r="AL142" s="38" t="s">
        <v>63</v>
      </c>
      <c r="AM142" s="37" t="s">
        <v>64</v>
      </c>
      <c r="AN142" s="37" t="s">
        <v>64</v>
      </c>
    </row>
    <row r="143" customFormat="false" ht="15" hidden="false" customHeight="true" outlineLevel="0" collapsed="false">
      <c r="A143" s="31" t="s">
        <v>1120</v>
      </c>
      <c r="B143" s="31" t="s">
        <v>1121</v>
      </c>
      <c r="C143" s="32" t="s">
        <v>67</v>
      </c>
      <c r="D143" s="32" t="s">
        <v>1122</v>
      </c>
      <c r="E143" s="31" t="s">
        <v>1123</v>
      </c>
      <c r="F143" s="32" t="s">
        <v>1124</v>
      </c>
      <c r="G143" s="32" t="s">
        <v>46</v>
      </c>
      <c r="H143" s="32" t="s">
        <v>116</v>
      </c>
      <c r="I143" s="31" t="s">
        <v>117</v>
      </c>
      <c r="J143" s="32" t="s">
        <v>74</v>
      </c>
      <c r="K143" s="32" t="n">
        <v>2.55</v>
      </c>
      <c r="L143" s="32" t="n">
        <v>48</v>
      </c>
      <c r="M143" s="32" t="s">
        <v>50</v>
      </c>
      <c r="N143" s="32" t="s">
        <v>334</v>
      </c>
      <c r="O143" s="32" t="s">
        <v>1045</v>
      </c>
      <c r="P143" s="32" t="s">
        <v>121</v>
      </c>
      <c r="Q143" s="32" t="s">
        <v>54</v>
      </c>
      <c r="R143" s="32" t="s">
        <v>46</v>
      </c>
      <c r="S143" s="32" t="s">
        <v>77</v>
      </c>
      <c r="T143" s="32" t="s">
        <v>78</v>
      </c>
      <c r="U143" s="32" t="s">
        <v>57</v>
      </c>
      <c r="V143" s="32" t="n">
        <v>0</v>
      </c>
      <c r="W143" s="32" t="s">
        <v>58</v>
      </c>
      <c r="X143" s="32" t="s">
        <v>1077</v>
      </c>
      <c r="Y143" s="31" t="s">
        <v>60</v>
      </c>
      <c r="Z143" s="32" t="s">
        <v>60</v>
      </c>
      <c r="AA143" s="32" t="s">
        <v>61</v>
      </c>
      <c r="AB143" s="32"/>
      <c r="AC143" s="31"/>
      <c r="AD143" s="31"/>
      <c r="AE143" s="31"/>
      <c r="AF143" s="32"/>
      <c r="AG143" s="31"/>
      <c r="AH143" s="31"/>
      <c r="AI143" s="31"/>
      <c r="AJ143" s="32" t="s">
        <v>62</v>
      </c>
      <c r="AK143" s="32" t="s">
        <v>93</v>
      </c>
      <c r="AL143" s="32" t="s">
        <v>63</v>
      </c>
      <c r="AM143" s="31" t="s">
        <v>64</v>
      </c>
      <c r="AN143" s="31" t="s">
        <v>64</v>
      </c>
    </row>
    <row r="144" customFormat="false" ht="15" hidden="false" customHeight="true" outlineLevel="0" collapsed="false">
      <c r="A144" s="31" t="s">
        <v>1125</v>
      </c>
      <c r="B144" s="31" t="s">
        <v>1126</v>
      </c>
      <c r="C144" s="32" t="s">
        <v>42</v>
      </c>
      <c r="D144" s="32" t="s">
        <v>1127</v>
      </c>
      <c r="E144" s="31" t="s">
        <v>1128</v>
      </c>
      <c r="F144" s="32" t="s">
        <v>1129</v>
      </c>
      <c r="G144" s="32" t="s">
        <v>71</v>
      </c>
      <c r="H144" s="32" t="s">
        <v>186</v>
      </c>
      <c r="I144" s="31" t="s">
        <v>187</v>
      </c>
      <c r="J144" s="32" t="s">
        <v>49</v>
      </c>
      <c r="K144" s="32" t="n">
        <v>3.3</v>
      </c>
      <c r="L144" s="32" t="n">
        <v>80</v>
      </c>
      <c r="M144" s="32" t="s">
        <v>50</v>
      </c>
      <c r="N144" s="32" t="s">
        <v>334</v>
      </c>
      <c r="O144" s="32" t="s">
        <v>768</v>
      </c>
      <c r="P144" s="32" t="s">
        <v>53</v>
      </c>
      <c r="Q144" s="32" t="s">
        <v>54</v>
      </c>
      <c r="R144" s="32" t="s">
        <v>71</v>
      </c>
      <c r="S144" s="32" t="s">
        <v>55</v>
      </c>
      <c r="T144" s="32" t="s">
        <v>56</v>
      </c>
      <c r="U144" s="32" t="s">
        <v>57</v>
      </c>
      <c r="V144" s="32" t="n">
        <v>0</v>
      </c>
      <c r="W144" s="32" t="s">
        <v>58</v>
      </c>
      <c r="X144" s="32" t="s">
        <v>1077</v>
      </c>
      <c r="Y144" s="31" t="s">
        <v>60</v>
      </c>
      <c r="Z144" s="32" t="s">
        <v>60</v>
      </c>
      <c r="AA144" s="32" t="s">
        <v>61</v>
      </c>
      <c r="AB144" s="32"/>
      <c r="AC144" s="31"/>
      <c r="AD144" s="31"/>
      <c r="AE144" s="31"/>
      <c r="AF144" s="32"/>
      <c r="AG144" s="31"/>
      <c r="AH144" s="31"/>
      <c r="AI144" s="31"/>
      <c r="AJ144" s="32" t="s">
        <v>62</v>
      </c>
      <c r="AK144" s="32" t="s">
        <v>93</v>
      </c>
      <c r="AL144" s="32" t="s">
        <v>93</v>
      </c>
      <c r="AM144" s="31" t="s">
        <v>502</v>
      </c>
      <c r="AN144" s="31" t="s">
        <v>503</v>
      </c>
    </row>
    <row r="145" customFormat="false" ht="15" hidden="false" customHeight="true" outlineLevel="0" collapsed="false">
      <c r="A145" s="33" t="s">
        <v>1130</v>
      </c>
      <c r="B145" s="33" t="s">
        <v>1131</v>
      </c>
      <c r="C145" s="34" t="s">
        <v>67</v>
      </c>
      <c r="D145" s="34" t="s">
        <v>1132</v>
      </c>
      <c r="E145" s="33" t="s">
        <v>1133</v>
      </c>
      <c r="F145" s="34" t="s">
        <v>1134</v>
      </c>
      <c r="G145" s="34" t="s">
        <v>46</v>
      </c>
      <c r="H145" s="34" t="s">
        <v>210</v>
      </c>
      <c r="I145" s="33" t="s">
        <v>117</v>
      </c>
      <c r="J145" s="34" t="s">
        <v>118</v>
      </c>
      <c r="K145" s="34" t="n">
        <v>2.1</v>
      </c>
      <c r="L145" s="34" t="n">
        <v>16</v>
      </c>
      <c r="M145" s="34" t="s">
        <v>119</v>
      </c>
      <c r="N145" s="34" t="s">
        <v>334</v>
      </c>
      <c r="O145" s="34" t="s">
        <v>1086</v>
      </c>
      <c r="P145" s="34" t="s">
        <v>1087</v>
      </c>
      <c r="Q145" s="34" t="s">
        <v>54</v>
      </c>
      <c r="R145" s="34" t="s">
        <v>46</v>
      </c>
      <c r="S145" s="34" t="s">
        <v>1088</v>
      </c>
      <c r="T145" s="34" t="s">
        <v>123</v>
      </c>
      <c r="U145" s="34" t="s">
        <v>197</v>
      </c>
      <c r="V145" s="34" t="n">
        <v>80000</v>
      </c>
      <c r="W145" s="34" t="s">
        <v>119</v>
      </c>
      <c r="X145" s="34" t="s">
        <v>1077</v>
      </c>
      <c r="Y145" s="33" t="s">
        <v>60</v>
      </c>
      <c r="Z145" s="34" t="s">
        <v>60</v>
      </c>
      <c r="AA145" s="34" t="s">
        <v>61</v>
      </c>
      <c r="AB145" s="34"/>
      <c r="AC145" s="33"/>
      <c r="AD145" s="33"/>
      <c r="AE145" s="33"/>
      <c r="AF145" s="34"/>
      <c r="AG145" s="33"/>
      <c r="AH145" s="33"/>
      <c r="AI145" s="33"/>
      <c r="AJ145" s="34" t="s">
        <v>62</v>
      </c>
      <c r="AK145" s="34" t="s">
        <v>93</v>
      </c>
      <c r="AL145" s="34" t="s">
        <v>63</v>
      </c>
      <c r="AM145" s="33" t="s">
        <v>64</v>
      </c>
      <c r="AN145" s="33" t="s">
        <v>64</v>
      </c>
    </row>
    <row r="146" customFormat="false" ht="15" hidden="false" customHeight="true" outlineLevel="0" collapsed="false">
      <c r="A146" s="31" t="s">
        <v>1135</v>
      </c>
      <c r="B146" s="31" t="s">
        <v>1136</v>
      </c>
      <c r="C146" s="32" t="s">
        <v>42</v>
      </c>
      <c r="D146" s="32" t="s">
        <v>1137</v>
      </c>
      <c r="E146" s="31" t="s">
        <v>1138</v>
      </c>
      <c r="F146" s="32" t="s">
        <v>1139</v>
      </c>
      <c r="G146" s="32" t="s">
        <v>46</v>
      </c>
      <c r="H146" s="32" t="s">
        <v>140</v>
      </c>
      <c r="I146" s="31" t="s">
        <v>117</v>
      </c>
      <c r="J146" s="32" t="s">
        <v>74</v>
      </c>
      <c r="K146" s="32" t="n">
        <v>3.88</v>
      </c>
      <c r="L146" s="32" t="n">
        <v>48</v>
      </c>
      <c r="M146" s="32" t="s">
        <v>50</v>
      </c>
      <c r="N146" s="32" t="s">
        <v>334</v>
      </c>
      <c r="O146" s="32" t="s">
        <v>1045</v>
      </c>
      <c r="P146" s="32" t="s">
        <v>121</v>
      </c>
      <c r="Q146" s="32" t="s">
        <v>54</v>
      </c>
      <c r="R146" s="32" t="s">
        <v>46</v>
      </c>
      <c r="S146" s="32" t="s">
        <v>77</v>
      </c>
      <c r="T146" s="32" t="s">
        <v>78</v>
      </c>
      <c r="U146" s="32" t="s">
        <v>57</v>
      </c>
      <c r="V146" s="32" t="n">
        <v>0</v>
      </c>
      <c r="W146" s="32" t="s">
        <v>58</v>
      </c>
      <c r="X146" s="32" t="s">
        <v>1077</v>
      </c>
      <c r="Y146" s="31" t="s">
        <v>60</v>
      </c>
      <c r="Z146" s="32" t="s">
        <v>60</v>
      </c>
      <c r="AA146" s="32" t="s">
        <v>61</v>
      </c>
      <c r="AB146" s="32"/>
      <c r="AC146" s="31"/>
      <c r="AD146" s="31"/>
      <c r="AE146" s="31"/>
      <c r="AF146" s="32"/>
      <c r="AG146" s="31"/>
      <c r="AH146" s="31"/>
      <c r="AI146" s="31"/>
      <c r="AJ146" s="32" t="s">
        <v>62</v>
      </c>
      <c r="AK146" s="32" t="s">
        <v>93</v>
      </c>
      <c r="AL146" s="32" t="s">
        <v>63</v>
      </c>
      <c r="AM146" s="31" t="s">
        <v>64</v>
      </c>
      <c r="AN146" s="31" t="s">
        <v>64</v>
      </c>
    </row>
    <row r="147" customFormat="false" ht="15" hidden="false" customHeight="true" outlineLevel="0" collapsed="false">
      <c r="A147" s="31" t="s">
        <v>1140</v>
      </c>
      <c r="B147" s="31" t="s">
        <v>1141</v>
      </c>
      <c r="C147" s="32" t="s">
        <v>67</v>
      </c>
      <c r="D147" s="32" t="s">
        <v>1142</v>
      </c>
      <c r="E147" s="31" t="s">
        <v>1143</v>
      </c>
      <c r="F147" s="32" t="s">
        <v>1144</v>
      </c>
      <c r="G147" s="32" t="s">
        <v>71</v>
      </c>
      <c r="H147" s="32" t="s">
        <v>241</v>
      </c>
      <c r="I147" s="31" t="s">
        <v>187</v>
      </c>
      <c r="J147" s="32" t="s">
        <v>86</v>
      </c>
      <c r="K147" s="32" t="n">
        <v>3</v>
      </c>
      <c r="L147" s="32" t="n">
        <v>112</v>
      </c>
      <c r="M147" s="32" t="s">
        <v>50</v>
      </c>
      <c r="N147" s="32" t="s">
        <v>334</v>
      </c>
      <c r="O147" s="32" t="s">
        <v>75</v>
      </c>
      <c r="P147" s="32" t="s">
        <v>732</v>
      </c>
      <c r="Q147" s="32" t="s">
        <v>54</v>
      </c>
      <c r="R147" s="32" t="s">
        <v>71</v>
      </c>
      <c r="S147" s="32" t="s">
        <v>1093</v>
      </c>
      <c r="T147" s="32" t="s">
        <v>91</v>
      </c>
      <c r="U147" s="32" t="s">
        <v>57</v>
      </c>
      <c r="V147" s="32" t="n">
        <v>0</v>
      </c>
      <c r="W147" s="32" t="s">
        <v>58</v>
      </c>
      <c r="X147" s="32" t="s">
        <v>1077</v>
      </c>
      <c r="Y147" s="31" t="s">
        <v>60</v>
      </c>
      <c r="Z147" s="32" t="s">
        <v>60</v>
      </c>
      <c r="AA147" s="32" t="s">
        <v>61</v>
      </c>
      <c r="AB147" s="32"/>
      <c r="AC147" s="31"/>
      <c r="AD147" s="31"/>
      <c r="AE147" s="31"/>
      <c r="AF147" s="32"/>
      <c r="AG147" s="31"/>
      <c r="AH147" s="31"/>
      <c r="AI147" s="31"/>
      <c r="AJ147" s="32" t="s">
        <v>62</v>
      </c>
      <c r="AK147" s="32" t="s">
        <v>93</v>
      </c>
      <c r="AL147" s="32" t="s">
        <v>63</v>
      </c>
      <c r="AM147" s="31" t="s">
        <v>64</v>
      </c>
      <c r="AN147" s="31" t="s">
        <v>64</v>
      </c>
    </row>
    <row r="148" customFormat="false" ht="15" hidden="false" customHeight="true" outlineLevel="0" collapsed="false">
      <c r="A148" s="31" t="s">
        <v>1145</v>
      </c>
      <c r="B148" s="31" t="s">
        <v>1146</v>
      </c>
      <c r="C148" s="32" t="s">
        <v>42</v>
      </c>
      <c r="D148" s="32" t="s">
        <v>1147</v>
      </c>
      <c r="E148" s="31" t="s">
        <v>1148</v>
      </c>
      <c r="F148" s="32" t="s">
        <v>1149</v>
      </c>
      <c r="G148" s="32" t="s">
        <v>46</v>
      </c>
      <c r="H148" s="32" t="s">
        <v>173</v>
      </c>
      <c r="I148" s="31" t="s">
        <v>117</v>
      </c>
      <c r="J148" s="32" t="s">
        <v>74</v>
      </c>
      <c r="K148" s="32" t="n">
        <v>2.7</v>
      </c>
      <c r="L148" s="32" t="n">
        <v>48</v>
      </c>
      <c r="M148" s="32" t="s">
        <v>50</v>
      </c>
      <c r="N148" s="32" t="s">
        <v>334</v>
      </c>
      <c r="O148" s="32" t="s">
        <v>1045</v>
      </c>
      <c r="P148" s="32" t="s">
        <v>121</v>
      </c>
      <c r="Q148" s="32" t="s">
        <v>54</v>
      </c>
      <c r="R148" s="32" t="s">
        <v>46</v>
      </c>
      <c r="S148" s="32" t="s">
        <v>77</v>
      </c>
      <c r="T148" s="32" t="s">
        <v>78</v>
      </c>
      <c r="U148" s="32" t="s">
        <v>124</v>
      </c>
      <c r="V148" s="32" t="n">
        <v>75000</v>
      </c>
      <c r="W148" s="32" t="s">
        <v>58</v>
      </c>
      <c r="X148" s="32" t="s">
        <v>1077</v>
      </c>
      <c r="Y148" s="31" t="s">
        <v>60</v>
      </c>
      <c r="Z148" s="32" t="s">
        <v>60</v>
      </c>
      <c r="AA148" s="32" t="s">
        <v>61</v>
      </c>
      <c r="AB148" s="32"/>
      <c r="AC148" s="31"/>
      <c r="AD148" s="31"/>
      <c r="AE148" s="31"/>
      <c r="AF148" s="32"/>
      <c r="AG148" s="31"/>
      <c r="AH148" s="31"/>
      <c r="AI148" s="31"/>
      <c r="AJ148" s="32" t="s">
        <v>62</v>
      </c>
      <c r="AK148" s="32" t="s">
        <v>93</v>
      </c>
      <c r="AL148" s="32" t="s">
        <v>63</v>
      </c>
      <c r="AM148" s="31" t="s">
        <v>64</v>
      </c>
      <c r="AN148" s="31" t="s">
        <v>64</v>
      </c>
    </row>
    <row r="149" customFormat="false" ht="15" hidden="false" customHeight="true" outlineLevel="0" collapsed="false">
      <c r="A149" s="31" t="s">
        <v>1150</v>
      </c>
      <c r="B149" s="31" t="s">
        <v>1151</v>
      </c>
      <c r="C149" s="32" t="s">
        <v>42</v>
      </c>
      <c r="D149" s="32" t="s">
        <v>1152</v>
      </c>
      <c r="E149" s="31" t="s">
        <v>1153</v>
      </c>
      <c r="F149" s="32" t="s">
        <v>1154</v>
      </c>
      <c r="G149" s="32" t="s">
        <v>156</v>
      </c>
      <c r="H149" s="32" t="s">
        <v>252</v>
      </c>
      <c r="I149" s="31" t="s">
        <v>73</v>
      </c>
      <c r="J149" s="32" t="s">
        <v>49</v>
      </c>
      <c r="K149" s="32" t="n">
        <v>3.58</v>
      </c>
      <c r="L149" s="32" t="n">
        <v>80</v>
      </c>
      <c r="M149" s="32" t="s">
        <v>50</v>
      </c>
      <c r="N149" s="32" t="s">
        <v>334</v>
      </c>
      <c r="O149" s="32" t="s">
        <v>768</v>
      </c>
      <c r="P149" s="32" t="s">
        <v>53</v>
      </c>
      <c r="Q149" s="32" t="s">
        <v>54</v>
      </c>
      <c r="R149" s="32" t="s">
        <v>156</v>
      </c>
      <c r="S149" s="32" t="s">
        <v>55</v>
      </c>
      <c r="T149" s="32" t="s">
        <v>56</v>
      </c>
      <c r="U149" s="32" t="s">
        <v>57</v>
      </c>
      <c r="V149" s="32" t="n">
        <v>0</v>
      </c>
      <c r="W149" s="32" t="s">
        <v>58</v>
      </c>
      <c r="X149" s="32" t="s">
        <v>1077</v>
      </c>
      <c r="Y149" s="31" t="s">
        <v>60</v>
      </c>
      <c r="Z149" s="32" t="s">
        <v>60</v>
      </c>
      <c r="AA149" s="32" t="s">
        <v>61</v>
      </c>
      <c r="AB149" s="32"/>
      <c r="AC149" s="31"/>
      <c r="AD149" s="31"/>
      <c r="AE149" s="31"/>
      <c r="AF149" s="32"/>
      <c r="AG149" s="31"/>
      <c r="AH149" s="31"/>
      <c r="AI149" s="31"/>
      <c r="AJ149" s="32" t="s">
        <v>62</v>
      </c>
      <c r="AK149" s="32" t="s">
        <v>93</v>
      </c>
      <c r="AL149" s="32" t="s">
        <v>93</v>
      </c>
      <c r="AM149" s="31" t="s">
        <v>596</v>
      </c>
      <c r="AN149" s="31" t="s">
        <v>597</v>
      </c>
    </row>
    <row r="150" customFormat="false" ht="15" hidden="false" customHeight="true" outlineLevel="0" collapsed="false">
      <c r="A150" s="31" t="s">
        <v>1155</v>
      </c>
      <c r="B150" s="31" t="s">
        <v>1156</v>
      </c>
      <c r="C150" s="32" t="s">
        <v>67</v>
      </c>
      <c r="D150" s="32" t="s">
        <v>1157</v>
      </c>
      <c r="E150" s="31" t="s">
        <v>1158</v>
      </c>
      <c r="F150" s="32" t="s">
        <v>1159</v>
      </c>
      <c r="G150" s="32" t="s">
        <v>46</v>
      </c>
      <c r="H150" s="32" t="s">
        <v>179</v>
      </c>
      <c r="I150" s="31" t="s">
        <v>85</v>
      </c>
      <c r="J150" s="32" t="s">
        <v>118</v>
      </c>
      <c r="K150" s="32" t="n">
        <v>3.2</v>
      </c>
      <c r="L150" s="32" t="n">
        <v>16</v>
      </c>
      <c r="M150" s="32" t="s">
        <v>50</v>
      </c>
      <c r="N150" s="32" t="s">
        <v>334</v>
      </c>
      <c r="O150" s="32" t="s">
        <v>1086</v>
      </c>
      <c r="P150" s="32" t="s">
        <v>1087</v>
      </c>
      <c r="Q150" s="32" t="s">
        <v>54</v>
      </c>
      <c r="R150" s="32" t="s">
        <v>46</v>
      </c>
      <c r="S150" s="32" t="s">
        <v>1088</v>
      </c>
      <c r="T150" s="32" t="s">
        <v>123</v>
      </c>
      <c r="U150" s="32" t="s">
        <v>57</v>
      </c>
      <c r="V150" s="32" t="n">
        <v>0</v>
      </c>
      <c r="W150" s="32" t="s">
        <v>58</v>
      </c>
      <c r="X150" s="32" t="s">
        <v>1077</v>
      </c>
      <c r="Y150" s="31" t="s">
        <v>60</v>
      </c>
      <c r="Z150" s="32" t="s">
        <v>60</v>
      </c>
      <c r="AA150" s="32" t="s">
        <v>61</v>
      </c>
      <c r="AB150" s="32"/>
      <c r="AC150" s="31"/>
      <c r="AD150" s="31"/>
      <c r="AE150" s="31"/>
      <c r="AF150" s="32"/>
      <c r="AG150" s="31"/>
      <c r="AH150" s="31"/>
      <c r="AI150" s="31"/>
      <c r="AJ150" s="32" t="s">
        <v>62</v>
      </c>
      <c r="AK150" s="32" t="s">
        <v>93</v>
      </c>
      <c r="AL150" s="32" t="s">
        <v>63</v>
      </c>
      <c r="AM150" s="31" t="s">
        <v>64</v>
      </c>
      <c r="AN150" s="31" t="s">
        <v>64</v>
      </c>
    </row>
    <row r="151" customFormat="false" ht="15" hidden="false" customHeight="true" outlineLevel="0" collapsed="false">
      <c r="A151" s="39" t="s">
        <v>1160</v>
      </c>
      <c r="B151" s="39" t="s">
        <v>1161</v>
      </c>
      <c r="C151" s="40" t="s">
        <v>42</v>
      </c>
      <c r="D151" s="40" t="s">
        <v>1162</v>
      </c>
      <c r="E151" s="39" t="s">
        <v>1163</v>
      </c>
      <c r="F151" s="40" t="s">
        <v>1164</v>
      </c>
      <c r="G151" s="40" t="s">
        <v>71</v>
      </c>
      <c r="H151" s="40" t="s">
        <v>203</v>
      </c>
      <c r="I151" s="39" t="s">
        <v>204</v>
      </c>
      <c r="J151" s="40" t="s">
        <v>86</v>
      </c>
      <c r="K151" s="40" t="n">
        <v>2.4</v>
      </c>
      <c r="L151" s="40" t="n">
        <v>112</v>
      </c>
      <c r="M151" s="40" t="s">
        <v>158</v>
      </c>
      <c r="N151" s="40" t="s">
        <v>334</v>
      </c>
      <c r="O151" s="40" t="s">
        <v>75</v>
      </c>
      <c r="P151" s="40" t="s">
        <v>732</v>
      </c>
      <c r="Q151" s="40" t="s">
        <v>54</v>
      </c>
      <c r="R151" s="40" t="s">
        <v>71</v>
      </c>
      <c r="S151" s="40" t="s">
        <v>1093</v>
      </c>
      <c r="T151" s="40" t="s">
        <v>91</v>
      </c>
      <c r="U151" s="40" t="s">
        <v>160</v>
      </c>
      <c r="V151" s="40" t="n">
        <v>0</v>
      </c>
      <c r="W151" s="40" t="s">
        <v>58</v>
      </c>
      <c r="X151" s="40" t="s">
        <v>1077</v>
      </c>
      <c r="Y151" s="39" t="s">
        <v>60</v>
      </c>
      <c r="Z151" s="40" t="s">
        <v>60</v>
      </c>
      <c r="AA151" s="40" t="s">
        <v>61</v>
      </c>
      <c r="AB151" s="40"/>
      <c r="AC151" s="39"/>
      <c r="AD151" s="39"/>
      <c r="AE151" s="39"/>
      <c r="AF151" s="40"/>
      <c r="AG151" s="39"/>
      <c r="AH151" s="39"/>
      <c r="AI151" s="39"/>
      <c r="AJ151" s="40" t="s">
        <v>62</v>
      </c>
      <c r="AK151" s="40" t="s">
        <v>93</v>
      </c>
      <c r="AL151" s="40" t="s">
        <v>63</v>
      </c>
      <c r="AM151" s="39" t="s">
        <v>64</v>
      </c>
      <c r="AN151" s="39" t="s">
        <v>64</v>
      </c>
    </row>
    <row r="152" customFormat="false" ht="15" hidden="false" customHeight="true" outlineLevel="0" collapsed="false">
      <c r="A152" s="31" t="s">
        <v>1165</v>
      </c>
      <c r="B152" s="31" t="s">
        <v>1166</v>
      </c>
      <c r="C152" s="32" t="s">
        <v>67</v>
      </c>
      <c r="D152" s="32" t="s">
        <v>1167</v>
      </c>
      <c r="E152" s="31" t="s">
        <v>1168</v>
      </c>
      <c r="F152" s="32" t="s">
        <v>1169</v>
      </c>
      <c r="G152" s="32" t="s">
        <v>46</v>
      </c>
      <c r="H152" s="32" t="s">
        <v>230</v>
      </c>
      <c r="I152" s="31" t="s">
        <v>102</v>
      </c>
      <c r="J152" s="32" t="s">
        <v>74</v>
      </c>
      <c r="K152" s="32" t="n">
        <v>3.4</v>
      </c>
      <c r="L152" s="32" t="n">
        <v>48</v>
      </c>
      <c r="M152" s="32" t="s">
        <v>50</v>
      </c>
      <c r="N152" s="32" t="s">
        <v>334</v>
      </c>
      <c r="O152" s="32" t="s">
        <v>1045</v>
      </c>
      <c r="P152" s="32" t="s">
        <v>121</v>
      </c>
      <c r="Q152" s="32" t="s">
        <v>54</v>
      </c>
      <c r="R152" s="32" t="s">
        <v>46</v>
      </c>
      <c r="S152" s="32" t="s">
        <v>77</v>
      </c>
      <c r="T152" s="32" t="s">
        <v>78</v>
      </c>
      <c r="U152" s="32" t="s">
        <v>57</v>
      </c>
      <c r="V152" s="32" t="n">
        <v>0</v>
      </c>
      <c r="W152" s="32" t="s">
        <v>58</v>
      </c>
      <c r="X152" s="32" t="s">
        <v>1077</v>
      </c>
      <c r="Y152" s="31" t="s">
        <v>60</v>
      </c>
      <c r="Z152" s="32" t="s">
        <v>60</v>
      </c>
      <c r="AA152" s="32" t="s">
        <v>61</v>
      </c>
      <c r="AB152" s="32"/>
      <c r="AC152" s="31"/>
      <c r="AD152" s="31"/>
      <c r="AE152" s="31"/>
      <c r="AF152" s="32"/>
      <c r="AG152" s="31"/>
      <c r="AH152" s="31"/>
      <c r="AI152" s="31"/>
      <c r="AJ152" s="32" t="s">
        <v>62</v>
      </c>
      <c r="AK152" s="32" t="s">
        <v>93</v>
      </c>
      <c r="AL152" s="32" t="s">
        <v>63</v>
      </c>
      <c r="AM152" s="31" t="s">
        <v>64</v>
      </c>
      <c r="AN152" s="31" t="s">
        <v>64</v>
      </c>
    </row>
    <row r="153" customFormat="false" ht="15" hidden="false" customHeight="true" outlineLevel="0" collapsed="false">
      <c r="A153" s="33" t="s">
        <v>1170</v>
      </c>
      <c r="B153" s="33" t="s">
        <v>1171</v>
      </c>
      <c r="C153" s="34" t="s">
        <v>42</v>
      </c>
      <c r="D153" s="34" t="s">
        <v>1172</v>
      </c>
      <c r="E153" s="33" t="s">
        <v>1173</v>
      </c>
      <c r="F153" s="34" t="s">
        <v>1174</v>
      </c>
      <c r="G153" s="34" t="s">
        <v>46</v>
      </c>
      <c r="H153" s="34" t="s">
        <v>166</v>
      </c>
      <c r="I153" s="33" t="s">
        <v>48</v>
      </c>
      <c r="J153" s="34" t="s">
        <v>74</v>
      </c>
      <c r="K153" s="34" t="n">
        <v>1.8</v>
      </c>
      <c r="L153" s="34" t="n">
        <v>48</v>
      </c>
      <c r="M153" s="34" t="s">
        <v>119</v>
      </c>
      <c r="N153" s="34" t="s">
        <v>334</v>
      </c>
      <c r="O153" s="34" t="s">
        <v>1045</v>
      </c>
      <c r="P153" s="34" t="s">
        <v>121</v>
      </c>
      <c r="Q153" s="34" t="s">
        <v>54</v>
      </c>
      <c r="R153" s="34" t="s">
        <v>46</v>
      </c>
      <c r="S153" s="34" t="s">
        <v>77</v>
      </c>
      <c r="T153" s="34" t="s">
        <v>78</v>
      </c>
      <c r="U153" s="34" t="s">
        <v>197</v>
      </c>
      <c r="V153" s="34" t="n">
        <v>80000</v>
      </c>
      <c r="W153" s="34" t="s">
        <v>119</v>
      </c>
      <c r="X153" s="34" t="s">
        <v>1077</v>
      </c>
      <c r="Y153" s="33" t="s">
        <v>60</v>
      </c>
      <c r="Z153" s="34" t="s">
        <v>60</v>
      </c>
      <c r="AA153" s="34" t="s">
        <v>61</v>
      </c>
      <c r="AB153" s="34"/>
      <c r="AC153" s="33"/>
      <c r="AD153" s="33"/>
      <c r="AE153" s="33"/>
      <c r="AF153" s="34"/>
      <c r="AG153" s="33"/>
      <c r="AH153" s="33"/>
      <c r="AI153" s="33"/>
      <c r="AJ153" s="34" t="s">
        <v>62</v>
      </c>
      <c r="AK153" s="34" t="s">
        <v>93</v>
      </c>
      <c r="AL153" s="34" t="s">
        <v>93</v>
      </c>
      <c r="AM153" s="33" t="s">
        <v>801</v>
      </c>
      <c r="AN153" s="33" t="s">
        <v>802</v>
      </c>
    </row>
    <row r="154" customFormat="false" ht="15" hidden="false" customHeight="true" outlineLevel="0" collapsed="false">
      <c r="A154" s="31" t="s">
        <v>1175</v>
      </c>
      <c r="B154" s="31" t="s">
        <v>1176</v>
      </c>
      <c r="C154" s="32" t="s">
        <v>67</v>
      </c>
      <c r="D154" s="32" t="s">
        <v>1177</v>
      </c>
      <c r="E154" s="31" t="s">
        <v>1178</v>
      </c>
      <c r="F154" s="32" t="s">
        <v>1179</v>
      </c>
      <c r="G154" s="32" t="s">
        <v>46</v>
      </c>
      <c r="H154" s="32" t="s">
        <v>47</v>
      </c>
      <c r="I154" s="31" t="s">
        <v>48</v>
      </c>
      <c r="J154" s="32" t="s">
        <v>49</v>
      </c>
      <c r="K154" s="32" t="n">
        <v>3.55</v>
      </c>
      <c r="L154" s="32" t="n">
        <v>80</v>
      </c>
      <c r="M154" s="32" t="s">
        <v>50</v>
      </c>
      <c r="N154" s="32" t="s">
        <v>334</v>
      </c>
      <c r="O154" s="32" t="s">
        <v>768</v>
      </c>
      <c r="P154" s="32" t="s">
        <v>53</v>
      </c>
      <c r="Q154" s="32" t="s">
        <v>54</v>
      </c>
      <c r="R154" s="32" t="s">
        <v>46</v>
      </c>
      <c r="S154" s="32" t="s">
        <v>55</v>
      </c>
      <c r="T154" s="32" t="s">
        <v>56</v>
      </c>
      <c r="U154" s="32" t="s">
        <v>57</v>
      </c>
      <c r="V154" s="32" t="n">
        <v>0</v>
      </c>
      <c r="W154" s="32" t="s">
        <v>58</v>
      </c>
      <c r="X154" s="32" t="s">
        <v>1077</v>
      </c>
      <c r="Y154" s="31" t="s">
        <v>60</v>
      </c>
      <c r="Z154" s="32" t="s">
        <v>60</v>
      </c>
      <c r="AA154" s="32" t="s">
        <v>61</v>
      </c>
      <c r="AB154" s="32"/>
      <c r="AC154" s="31"/>
      <c r="AD154" s="31"/>
      <c r="AE154" s="31"/>
      <c r="AF154" s="32"/>
      <c r="AG154" s="31"/>
      <c r="AH154" s="31"/>
      <c r="AI154" s="31"/>
      <c r="AJ154" s="32" t="s">
        <v>62</v>
      </c>
      <c r="AK154" s="32" t="s">
        <v>93</v>
      </c>
      <c r="AL154" s="32" t="s">
        <v>63</v>
      </c>
      <c r="AM154" s="31" t="s">
        <v>64</v>
      </c>
      <c r="AN154" s="31" t="s">
        <v>64</v>
      </c>
    </row>
    <row r="155" customFormat="false" ht="15" hidden="false" customHeight="true" outlineLevel="0" collapsed="false">
      <c r="A155" s="31" t="s">
        <v>1180</v>
      </c>
      <c r="B155" s="31" t="s">
        <v>1181</v>
      </c>
      <c r="C155" s="32" t="s">
        <v>42</v>
      </c>
      <c r="D155" s="32" t="s">
        <v>1182</v>
      </c>
      <c r="E155" s="31" t="s">
        <v>1183</v>
      </c>
      <c r="F155" s="32" t="s">
        <v>1184</v>
      </c>
      <c r="G155" s="32" t="s">
        <v>71</v>
      </c>
      <c r="H155" s="32" t="s">
        <v>1185</v>
      </c>
      <c r="I155" s="31" t="s">
        <v>187</v>
      </c>
      <c r="J155" s="32" t="s">
        <v>74</v>
      </c>
      <c r="K155" s="32" t="n">
        <v>2.85</v>
      </c>
      <c r="L155" s="32" t="n">
        <v>48</v>
      </c>
      <c r="M155" s="32" t="s">
        <v>50</v>
      </c>
      <c r="N155" s="32" t="s">
        <v>334</v>
      </c>
      <c r="O155" s="32" t="s">
        <v>1045</v>
      </c>
      <c r="P155" s="32" t="s">
        <v>121</v>
      </c>
      <c r="Q155" s="32" t="s">
        <v>54</v>
      </c>
      <c r="R155" s="32" t="s">
        <v>71</v>
      </c>
      <c r="S155" s="32" t="s">
        <v>77</v>
      </c>
      <c r="T155" s="32" t="s">
        <v>78</v>
      </c>
      <c r="U155" s="32" t="s">
        <v>57</v>
      </c>
      <c r="V155" s="32" t="n">
        <v>0</v>
      </c>
      <c r="W155" s="32" t="s">
        <v>58</v>
      </c>
      <c r="X155" s="32" t="s">
        <v>1077</v>
      </c>
      <c r="Y155" s="31" t="s">
        <v>60</v>
      </c>
      <c r="Z155" s="32" t="s">
        <v>60</v>
      </c>
      <c r="AA155" s="32" t="s">
        <v>61</v>
      </c>
      <c r="AB155" s="32"/>
      <c r="AC155" s="31"/>
      <c r="AD155" s="31"/>
      <c r="AE155" s="31"/>
      <c r="AF155" s="32"/>
      <c r="AG155" s="31"/>
      <c r="AH155" s="31"/>
      <c r="AI155" s="31"/>
      <c r="AJ155" s="32" t="s">
        <v>62</v>
      </c>
      <c r="AK155" s="32" t="s">
        <v>93</v>
      </c>
      <c r="AL155" s="32" t="s">
        <v>63</v>
      </c>
      <c r="AM155" s="31" t="s">
        <v>64</v>
      </c>
      <c r="AN155" s="31" t="s">
        <v>64</v>
      </c>
    </row>
    <row r="156" customFormat="false" ht="15" hidden="false" customHeight="true" outlineLevel="0" collapsed="false">
      <c r="A156" s="31" t="s">
        <v>1186</v>
      </c>
      <c r="B156" s="31" t="s">
        <v>1187</v>
      </c>
      <c r="C156" s="32" t="s">
        <v>67</v>
      </c>
      <c r="D156" s="32" t="s">
        <v>1188</v>
      </c>
      <c r="E156" s="31" t="s">
        <v>1189</v>
      </c>
      <c r="F156" s="32" t="s">
        <v>1190</v>
      </c>
      <c r="G156" s="32" t="s">
        <v>156</v>
      </c>
      <c r="H156" s="32" t="s">
        <v>157</v>
      </c>
      <c r="I156" s="31" t="s">
        <v>73</v>
      </c>
      <c r="J156" s="32" t="s">
        <v>86</v>
      </c>
      <c r="K156" s="32" t="n">
        <v>3.1</v>
      </c>
      <c r="L156" s="32" t="n">
        <v>112</v>
      </c>
      <c r="M156" s="32" t="s">
        <v>50</v>
      </c>
      <c r="N156" s="32" t="s">
        <v>334</v>
      </c>
      <c r="O156" s="32" t="s">
        <v>75</v>
      </c>
      <c r="P156" s="32" t="s">
        <v>732</v>
      </c>
      <c r="Q156" s="32" t="s">
        <v>54</v>
      </c>
      <c r="R156" s="32" t="s">
        <v>156</v>
      </c>
      <c r="S156" s="32" t="s">
        <v>1093</v>
      </c>
      <c r="T156" s="32" t="s">
        <v>91</v>
      </c>
      <c r="U156" s="32" t="s">
        <v>124</v>
      </c>
      <c r="V156" s="32" t="n">
        <v>65000</v>
      </c>
      <c r="W156" s="32" t="s">
        <v>58</v>
      </c>
      <c r="X156" s="32" t="s">
        <v>1077</v>
      </c>
      <c r="Y156" s="31" t="s">
        <v>60</v>
      </c>
      <c r="Z156" s="32" t="s">
        <v>60</v>
      </c>
      <c r="AA156" s="32" t="s">
        <v>61</v>
      </c>
      <c r="AB156" s="32"/>
      <c r="AC156" s="31"/>
      <c r="AD156" s="31"/>
      <c r="AE156" s="31"/>
      <c r="AF156" s="32"/>
      <c r="AG156" s="31"/>
      <c r="AH156" s="31"/>
      <c r="AI156" s="31"/>
      <c r="AJ156" s="32" t="s">
        <v>62</v>
      </c>
      <c r="AK156" s="32" t="s">
        <v>93</v>
      </c>
      <c r="AL156" s="32" t="s">
        <v>63</v>
      </c>
      <c r="AM156" s="31" t="s">
        <v>64</v>
      </c>
      <c r="AN156" s="31" t="s">
        <v>64</v>
      </c>
    </row>
    <row r="157" customFormat="false" ht="15" hidden="false" customHeight="true" outlineLevel="0" collapsed="false">
      <c r="A157" s="31" t="s">
        <v>1191</v>
      </c>
      <c r="B157" s="31" t="s">
        <v>1192</v>
      </c>
      <c r="C157" s="32" t="s">
        <v>42</v>
      </c>
      <c r="D157" s="32" t="s">
        <v>1193</v>
      </c>
      <c r="E157" s="31" t="s">
        <v>1194</v>
      </c>
      <c r="F157" s="32" t="s">
        <v>1195</v>
      </c>
      <c r="G157" s="32" t="s">
        <v>46</v>
      </c>
      <c r="H157" s="32" t="s">
        <v>101</v>
      </c>
      <c r="I157" s="31" t="s">
        <v>102</v>
      </c>
      <c r="J157" s="32" t="s">
        <v>118</v>
      </c>
      <c r="K157" s="32" t="n">
        <v>3.3</v>
      </c>
      <c r="L157" s="32" t="n">
        <v>16</v>
      </c>
      <c r="M157" s="32" t="s">
        <v>50</v>
      </c>
      <c r="N157" s="32" t="s">
        <v>334</v>
      </c>
      <c r="O157" s="32" t="s">
        <v>1086</v>
      </c>
      <c r="P157" s="32" t="s">
        <v>1087</v>
      </c>
      <c r="Q157" s="32" t="s">
        <v>54</v>
      </c>
      <c r="R157" s="32" t="s">
        <v>46</v>
      </c>
      <c r="S157" s="32" t="s">
        <v>1088</v>
      </c>
      <c r="T157" s="32" t="s">
        <v>123</v>
      </c>
      <c r="U157" s="32" t="s">
        <v>57</v>
      </c>
      <c r="V157" s="32" t="n">
        <v>0</v>
      </c>
      <c r="W157" s="32" t="s">
        <v>58</v>
      </c>
      <c r="X157" s="32" t="s">
        <v>1077</v>
      </c>
      <c r="Y157" s="31" t="s">
        <v>60</v>
      </c>
      <c r="Z157" s="32" t="s">
        <v>60</v>
      </c>
      <c r="AA157" s="32" t="s">
        <v>61</v>
      </c>
      <c r="AB157" s="32"/>
      <c r="AC157" s="31"/>
      <c r="AD157" s="31"/>
      <c r="AE157" s="31"/>
      <c r="AF157" s="32"/>
      <c r="AG157" s="31"/>
      <c r="AH157" s="31"/>
      <c r="AI157" s="31"/>
      <c r="AJ157" s="32" t="s">
        <v>62</v>
      </c>
      <c r="AK157" s="32" t="s">
        <v>93</v>
      </c>
      <c r="AL157" s="32" t="s">
        <v>93</v>
      </c>
      <c r="AM157" s="31" t="s">
        <v>211</v>
      </c>
      <c r="AN157" s="31" t="s">
        <v>212</v>
      </c>
    </row>
    <row r="158" customFormat="false" ht="15" hidden="false" customHeight="true" outlineLevel="0" collapsed="false">
      <c r="A158" s="33" t="s">
        <v>1196</v>
      </c>
      <c r="B158" s="33" t="s">
        <v>1197</v>
      </c>
      <c r="C158" s="34" t="s">
        <v>67</v>
      </c>
      <c r="D158" s="34" t="s">
        <v>1198</v>
      </c>
      <c r="E158" s="33" t="s">
        <v>1199</v>
      </c>
      <c r="F158" s="34" t="s">
        <v>1200</v>
      </c>
      <c r="G158" s="34" t="s">
        <v>147</v>
      </c>
      <c r="H158" s="34" t="s">
        <v>148</v>
      </c>
      <c r="I158" s="33" t="s">
        <v>149</v>
      </c>
      <c r="J158" s="34" t="s">
        <v>49</v>
      </c>
      <c r="K158" s="34" t="n">
        <v>2.6</v>
      </c>
      <c r="L158" s="34" t="n">
        <v>80</v>
      </c>
      <c r="M158" s="34" t="s">
        <v>119</v>
      </c>
      <c r="N158" s="34" t="s">
        <v>334</v>
      </c>
      <c r="O158" s="34" t="s">
        <v>768</v>
      </c>
      <c r="P158" s="34" t="s">
        <v>53</v>
      </c>
      <c r="Q158" s="34" t="s">
        <v>54</v>
      </c>
      <c r="R158" s="34" t="s">
        <v>147</v>
      </c>
      <c r="S158" s="34" t="s">
        <v>55</v>
      </c>
      <c r="T158" s="34" t="s">
        <v>56</v>
      </c>
      <c r="U158" s="34" t="s">
        <v>197</v>
      </c>
      <c r="V158" s="34" t="n">
        <v>75000</v>
      </c>
      <c r="W158" s="34" t="s">
        <v>119</v>
      </c>
      <c r="X158" s="34" t="s">
        <v>1077</v>
      </c>
      <c r="Y158" s="33" t="s">
        <v>60</v>
      </c>
      <c r="Z158" s="34" t="s">
        <v>60</v>
      </c>
      <c r="AA158" s="34" t="s">
        <v>61</v>
      </c>
      <c r="AB158" s="34"/>
      <c r="AC158" s="33"/>
      <c r="AD158" s="33"/>
      <c r="AE158" s="33"/>
      <c r="AF158" s="34"/>
      <c r="AG158" s="33"/>
      <c r="AH158" s="33"/>
      <c r="AI158" s="33"/>
      <c r="AJ158" s="34" t="s">
        <v>62</v>
      </c>
      <c r="AK158" s="34" t="s">
        <v>93</v>
      </c>
      <c r="AL158" s="34" t="s">
        <v>63</v>
      </c>
      <c r="AM158" s="33" t="s">
        <v>64</v>
      </c>
      <c r="AN158" s="33" t="s">
        <v>64</v>
      </c>
    </row>
    <row r="159" customFormat="false" ht="15" hidden="false" customHeight="true" outlineLevel="0" collapsed="false">
      <c r="A159" s="31" t="s">
        <v>1201</v>
      </c>
      <c r="B159" s="31" t="s">
        <v>1202</v>
      </c>
      <c r="C159" s="32" t="s">
        <v>42</v>
      </c>
      <c r="D159" s="32" t="s">
        <v>1203</v>
      </c>
      <c r="E159" s="31" t="s">
        <v>1204</v>
      </c>
      <c r="F159" s="32" t="s">
        <v>1205</v>
      </c>
      <c r="G159" s="32" t="s">
        <v>132</v>
      </c>
      <c r="H159" s="32" t="s">
        <v>133</v>
      </c>
      <c r="I159" s="31" t="s">
        <v>134</v>
      </c>
      <c r="J159" s="32" t="s">
        <v>74</v>
      </c>
      <c r="K159" s="32" t="n">
        <v>3.05</v>
      </c>
      <c r="L159" s="32" t="n">
        <v>48</v>
      </c>
      <c r="M159" s="32" t="s">
        <v>50</v>
      </c>
      <c r="N159" s="32" t="s">
        <v>334</v>
      </c>
      <c r="O159" s="32" t="s">
        <v>1045</v>
      </c>
      <c r="P159" s="32" t="s">
        <v>121</v>
      </c>
      <c r="Q159" s="32" t="s">
        <v>54</v>
      </c>
      <c r="R159" s="32" t="s">
        <v>132</v>
      </c>
      <c r="S159" s="32" t="s">
        <v>77</v>
      </c>
      <c r="T159" s="32" t="s">
        <v>78</v>
      </c>
      <c r="U159" s="32" t="s">
        <v>57</v>
      </c>
      <c r="V159" s="32" t="n">
        <v>0</v>
      </c>
      <c r="W159" s="32" t="s">
        <v>58</v>
      </c>
      <c r="X159" s="32" t="s">
        <v>1077</v>
      </c>
      <c r="Y159" s="31" t="s">
        <v>60</v>
      </c>
      <c r="Z159" s="32" t="s">
        <v>60</v>
      </c>
      <c r="AA159" s="32" t="s">
        <v>61</v>
      </c>
      <c r="AB159" s="32"/>
      <c r="AC159" s="31"/>
      <c r="AD159" s="31"/>
      <c r="AE159" s="31"/>
      <c r="AF159" s="32"/>
      <c r="AG159" s="31"/>
      <c r="AH159" s="31"/>
      <c r="AI159" s="31"/>
      <c r="AJ159" s="32" t="s">
        <v>62</v>
      </c>
      <c r="AK159" s="32" t="s">
        <v>93</v>
      </c>
      <c r="AL159" s="32" t="s">
        <v>63</v>
      </c>
      <c r="AM159" s="31" t="s">
        <v>64</v>
      </c>
      <c r="AN159" s="31" t="s">
        <v>64</v>
      </c>
    </row>
    <row r="160" customFormat="false" ht="15" hidden="false" customHeight="true" outlineLevel="0" collapsed="false">
      <c r="A160" s="31" t="s">
        <v>1206</v>
      </c>
      <c r="B160" s="31" t="s">
        <v>1207</v>
      </c>
      <c r="C160" s="32" t="s">
        <v>67</v>
      </c>
      <c r="D160" s="32" t="s">
        <v>1208</v>
      </c>
      <c r="E160" s="31" t="s">
        <v>1209</v>
      </c>
      <c r="F160" s="32" t="s">
        <v>1210</v>
      </c>
      <c r="G160" s="32" t="s">
        <v>46</v>
      </c>
      <c r="H160" s="32" t="s">
        <v>84</v>
      </c>
      <c r="I160" s="31" t="s">
        <v>85</v>
      </c>
      <c r="J160" s="32" t="s">
        <v>86</v>
      </c>
      <c r="K160" s="32" t="n">
        <v>3.75</v>
      </c>
      <c r="L160" s="32" t="n">
        <v>112</v>
      </c>
      <c r="M160" s="32" t="s">
        <v>50</v>
      </c>
      <c r="N160" s="32" t="s">
        <v>334</v>
      </c>
      <c r="O160" s="32" t="s">
        <v>75</v>
      </c>
      <c r="P160" s="32" t="s">
        <v>732</v>
      </c>
      <c r="Q160" s="32" t="s">
        <v>54</v>
      </c>
      <c r="R160" s="32" t="s">
        <v>46</v>
      </c>
      <c r="S160" s="32" t="s">
        <v>1093</v>
      </c>
      <c r="T160" s="32" t="s">
        <v>91</v>
      </c>
      <c r="U160" s="32" t="s">
        <v>57</v>
      </c>
      <c r="V160" s="32" t="n">
        <v>0</v>
      </c>
      <c r="W160" s="32" t="s">
        <v>58</v>
      </c>
      <c r="X160" s="32" t="s">
        <v>1077</v>
      </c>
      <c r="Y160" s="31" t="s">
        <v>60</v>
      </c>
      <c r="Z160" s="32" t="s">
        <v>60</v>
      </c>
      <c r="AA160" s="32" t="s">
        <v>61</v>
      </c>
      <c r="AB160" s="32"/>
      <c r="AC160" s="31"/>
      <c r="AD160" s="31"/>
      <c r="AE160" s="31"/>
      <c r="AF160" s="32"/>
      <c r="AG160" s="31"/>
      <c r="AH160" s="31"/>
      <c r="AI160" s="31"/>
      <c r="AJ160" s="32" t="s">
        <v>62</v>
      </c>
      <c r="AK160" s="32" t="s">
        <v>93</v>
      </c>
      <c r="AL160" s="32" t="s">
        <v>63</v>
      </c>
      <c r="AM160" s="31" t="s">
        <v>64</v>
      </c>
      <c r="AN160" s="31" t="s">
        <v>64</v>
      </c>
    </row>
    <row r="161" customFormat="false" ht="15" hidden="false" customHeight="true" outlineLevel="0" collapsed="false">
      <c r="A161" s="33" t="s">
        <v>1211</v>
      </c>
      <c r="B161" s="33" t="s">
        <v>1212</v>
      </c>
      <c r="C161" s="34" t="s">
        <v>42</v>
      </c>
      <c r="D161" s="34" t="s">
        <v>1213</v>
      </c>
      <c r="E161" s="33" t="s">
        <v>1214</v>
      </c>
      <c r="F161" s="34" t="s">
        <v>1215</v>
      </c>
      <c r="G161" s="34" t="s">
        <v>46</v>
      </c>
      <c r="H161" s="34" t="s">
        <v>173</v>
      </c>
      <c r="I161" s="33" t="s">
        <v>117</v>
      </c>
      <c r="J161" s="34" t="s">
        <v>118</v>
      </c>
      <c r="K161" s="34" t="n">
        <v>2.2</v>
      </c>
      <c r="L161" s="34" t="n">
        <v>16</v>
      </c>
      <c r="M161" s="34" t="s">
        <v>119</v>
      </c>
      <c r="N161" s="34" t="s">
        <v>334</v>
      </c>
      <c r="O161" s="34" t="s">
        <v>1086</v>
      </c>
      <c r="P161" s="34" t="s">
        <v>1087</v>
      </c>
      <c r="Q161" s="34" t="s">
        <v>54</v>
      </c>
      <c r="R161" s="34" t="s">
        <v>46</v>
      </c>
      <c r="S161" s="34" t="s">
        <v>1088</v>
      </c>
      <c r="T161" s="34" t="s">
        <v>123</v>
      </c>
      <c r="U161" s="34" t="s">
        <v>124</v>
      </c>
      <c r="V161" s="34" t="n">
        <v>75000</v>
      </c>
      <c r="W161" s="34" t="s">
        <v>119</v>
      </c>
      <c r="X161" s="34" t="s">
        <v>1077</v>
      </c>
      <c r="Y161" s="33" t="s">
        <v>60</v>
      </c>
      <c r="Z161" s="34" t="s">
        <v>60</v>
      </c>
      <c r="AA161" s="34" t="s">
        <v>61</v>
      </c>
      <c r="AB161" s="34"/>
      <c r="AC161" s="33"/>
      <c r="AD161" s="33"/>
      <c r="AE161" s="33"/>
      <c r="AF161" s="34"/>
      <c r="AG161" s="33"/>
      <c r="AH161" s="33"/>
      <c r="AI161" s="33"/>
      <c r="AJ161" s="34" t="s">
        <v>62</v>
      </c>
      <c r="AK161" s="34" t="s">
        <v>93</v>
      </c>
      <c r="AL161" s="34" t="s">
        <v>63</v>
      </c>
      <c r="AM161" s="33" t="s">
        <v>64</v>
      </c>
      <c r="AN161" s="33" t="s">
        <v>64</v>
      </c>
    </row>
    <row r="162" customFormat="false" ht="15" hidden="false" customHeight="true" outlineLevel="0" collapsed="false">
      <c r="A162" s="35" t="s">
        <v>1216</v>
      </c>
      <c r="B162" s="35" t="s">
        <v>1217</v>
      </c>
      <c r="C162" s="36" t="s">
        <v>67</v>
      </c>
      <c r="D162" s="36" t="s">
        <v>1218</v>
      </c>
      <c r="E162" s="35" t="s">
        <v>1219</v>
      </c>
      <c r="F162" s="36" t="s">
        <v>1220</v>
      </c>
      <c r="G162" s="36" t="s">
        <v>156</v>
      </c>
      <c r="H162" s="36" t="s">
        <v>252</v>
      </c>
      <c r="I162" s="35" t="s">
        <v>73</v>
      </c>
      <c r="J162" s="36" t="s">
        <v>49</v>
      </c>
      <c r="K162" s="36" t="n">
        <v>1.9</v>
      </c>
      <c r="L162" s="36" t="n">
        <v>80</v>
      </c>
      <c r="M162" s="36" t="s">
        <v>195</v>
      </c>
      <c r="N162" s="36" t="s">
        <v>334</v>
      </c>
      <c r="O162" s="36" t="s">
        <v>768</v>
      </c>
      <c r="P162" s="36" t="s">
        <v>53</v>
      </c>
      <c r="Q162" s="36" t="s">
        <v>54</v>
      </c>
      <c r="R162" s="36" t="s">
        <v>156</v>
      </c>
      <c r="S162" s="36" t="s">
        <v>55</v>
      </c>
      <c r="T162" s="36" t="s">
        <v>56</v>
      </c>
      <c r="U162" s="36" t="s">
        <v>263</v>
      </c>
      <c r="V162" s="36" t="n">
        <v>50000</v>
      </c>
      <c r="W162" s="36" t="s">
        <v>195</v>
      </c>
      <c r="X162" s="36" t="s">
        <v>1077</v>
      </c>
      <c r="Y162" s="35" t="s">
        <v>60</v>
      </c>
      <c r="Z162" s="36" t="s">
        <v>60</v>
      </c>
      <c r="AA162" s="36" t="s">
        <v>61</v>
      </c>
      <c r="AB162" s="36"/>
      <c r="AC162" s="35"/>
      <c r="AD162" s="35"/>
      <c r="AE162" s="35"/>
      <c r="AF162" s="36"/>
      <c r="AG162" s="35"/>
      <c r="AH162" s="35"/>
      <c r="AI162" s="35"/>
      <c r="AJ162" s="36" t="s">
        <v>62</v>
      </c>
      <c r="AK162" s="36" t="s">
        <v>93</v>
      </c>
      <c r="AL162" s="36" t="s">
        <v>63</v>
      </c>
      <c r="AM162" s="35" t="s">
        <v>64</v>
      </c>
      <c r="AN162" s="35" t="s">
        <v>64</v>
      </c>
    </row>
    <row r="163" customFormat="false" ht="15" hidden="false" customHeight="true" outlineLevel="0" collapsed="false">
      <c r="A163" s="31" t="s">
        <v>1221</v>
      </c>
      <c r="B163" s="31" t="s">
        <v>1222</v>
      </c>
      <c r="C163" s="32" t="s">
        <v>42</v>
      </c>
      <c r="D163" s="32" t="s">
        <v>1223</v>
      </c>
      <c r="E163" s="31" t="s">
        <v>1224</v>
      </c>
      <c r="F163" s="32" t="s">
        <v>1225</v>
      </c>
      <c r="G163" s="32" t="s">
        <v>193</v>
      </c>
      <c r="H163" s="32" t="s">
        <v>194</v>
      </c>
      <c r="I163" s="31" t="s">
        <v>102</v>
      </c>
      <c r="J163" s="32" t="s">
        <v>86</v>
      </c>
      <c r="K163" s="32" t="n">
        <v>3.65</v>
      </c>
      <c r="L163" s="32" t="n">
        <v>112</v>
      </c>
      <c r="M163" s="32" t="s">
        <v>50</v>
      </c>
      <c r="N163" s="32" t="s">
        <v>334</v>
      </c>
      <c r="O163" s="32" t="s">
        <v>75</v>
      </c>
      <c r="P163" s="32" t="s">
        <v>732</v>
      </c>
      <c r="Q163" s="32" t="s">
        <v>54</v>
      </c>
      <c r="R163" s="32" t="s">
        <v>193</v>
      </c>
      <c r="S163" s="32" t="s">
        <v>1093</v>
      </c>
      <c r="T163" s="32" t="s">
        <v>91</v>
      </c>
      <c r="U163" s="32" t="s">
        <v>57</v>
      </c>
      <c r="V163" s="32" t="n">
        <v>0</v>
      </c>
      <c r="W163" s="32" t="s">
        <v>58</v>
      </c>
      <c r="X163" s="32" t="s">
        <v>1077</v>
      </c>
      <c r="Y163" s="31" t="s">
        <v>60</v>
      </c>
      <c r="Z163" s="32" t="s">
        <v>60</v>
      </c>
      <c r="AA163" s="32" t="s">
        <v>61</v>
      </c>
      <c r="AB163" s="32"/>
      <c r="AC163" s="31"/>
      <c r="AD163" s="31"/>
      <c r="AE163" s="31"/>
      <c r="AF163" s="32"/>
      <c r="AG163" s="31"/>
      <c r="AH163" s="31"/>
      <c r="AI163" s="31"/>
      <c r="AJ163" s="32" t="s">
        <v>62</v>
      </c>
      <c r="AK163" s="32" t="s">
        <v>93</v>
      </c>
      <c r="AL163" s="32" t="s">
        <v>93</v>
      </c>
      <c r="AM163" s="31" t="s">
        <v>1226</v>
      </c>
      <c r="AN163" s="31" t="s">
        <v>1227</v>
      </c>
    </row>
    <row r="164" customFormat="false" ht="15" hidden="false" customHeight="true" outlineLevel="0" collapsed="false">
      <c r="A164" s="31" t="s">
        <v>1228</v>
      </c>
      <c r="B164" s="31" t="s">
        <v>1229</v>
      </c>
      <c r="C164" s="32" t="s">
        <v>67</v>
      </c>
      <c r="D164" s="32" t="s">
        <v>1230</v>
      </c>
      <c r="E164" s="31" t="s">
        <v>1231</v>
      </c>
      <c r="F164" s="32" t="s">
        <v>1232</v>
      </c>
      <c r="G164" s="32" t="s">
        <v>46</v>
      </c>
      <c r="H164" s="32" t="s">
        <v>116</v>
      </c>
      <c r="I164" s="31" t="s">
        <v>117</v>
      </c>
      <c r="J164" s="32" t="s">
        <v>74</v>
      </c>
      <c r="K164" s="32" t="n">
        <v>3.4</v>
      </c>
      <c r="L164" s="32" t="n">
        <v>48</v>
      </c>
      <c r="M164" s="32" t="s">
        <v>50</v>
      </c>
      <c r="N164" s="32" t="s">
        <v>334</v>
      </c>
      <c r="O164" s="32" t="s">
        <v>1045</v>
      </c>
      <c r="P164" s="32" t="s">
        <v>121</v>
      </c>
      <c r="Q164" s="32" t="s">
        <v>54</v>
      </c>
      <c r="R164" s="32" t="s">
        <v>46</v>
      </c>
      <c r="S164" s="32" t="s">
        <v>77</v>
      </c>
      <c r="T164" s="32" t="s">
        <v>78</v>
      </c>
      <c r="U164" s="32" t="s">
        <v>57</v>
      </c>
      <c r="V164" s="32" t="n">
        <v>0</v>
      </c>
      <c r="W164" s="32" t="s">
        <v>58</v>
      </c>
      <c r="X164" s="32" t="s">
        <v>1077</v>
      </c>
      <c r="Y164" s="31" t="s">
        <v>60</v>
      </c>
      <c r="Z164" s="32" t="s">
        <v>60</v>
      </c>
      <c r="AA164" s="32" t="s">
        <v>61</v>
      </c>
      <c r="AB164" s="32"/>
      <c r="AC164" s="31"/>
      <c r="AD164" s="31"/>
      <c r="AE164" s="31"/>
      <c r="AF164" s="32"/>
      <c r="AG164" s="31"/>
      <c r="AH164" s="31"/>
      <c r="AI164" s="31"/>
      <c r="AJ164" s="32" t="s">
        <v>62</v>
      </c>
      <c r="AK164" s="32" t="s">
        <v>93</v>
      </c>
      <c r="AL164" s="32" t="s">
        <v>63</v>
      </c>
      <c r="AM164" s="31" t="s">
        <v>64</v>
      </c>
      <c r="AN164" s="31" t="s">
        <v>64</v>
      </c>
    </row>
    <row r="165" customFormat="false" ht="15" hidden="false" customHeight="true" outlineLevel="0" collapsed="false">
      <c r="A165" s="31" t="s">
        <v>1233</v>
      </c>
      <c r="B165" s="31" t="s">
        <v>1234</v>
      </c>
      <c r="C165" s="32" t="s">
        <v>42</v>
      </c>
      <c r="D165" s="32" t="s">
        <v>1235</v>
      </c>
      <c r="E165" s="31" t="s">
        <v>1236</v>
      </c>
      <c r="F165" s="32" t="s">
        <v>1237</v>
      </c>
      <c r="G165" s="32" t="s">
        <v>71</v>
      </c>
      <c r="H165" s="32" t="s">
        <v>203</v>
      </c>
      <c r="I165" s="31" t="s">
        <v>204</v>
      </c>
      <c r="J165" s="32" t="s">
        <v>118</v>
      </c>
      <c r="K165" s="32" t="n">
        <v>2.95</v>
      </c>
      <c r="L165" s="32" t="n">
        <v>16</v>
      </c>
      <c r="M165" s="32" t="s">
        <v>50</v>
      </c>
      <c r="N165" s="32" t="s">
        <v>334</v>
      </c>
      <c r="O165" s="32" t="s">
        <v>1086</v>
      </c>
      <c r="P165" s="32" t="s">
        <v>1087</v>
      </c>
      <c r="Q165" s="32" t="s">
        <v>54</v>
      </c>
      <c r="R165" s="32" t="s">
        <v>71</v>
      </c>
      <c r="S165" s="32" t="s">
        <v>1088</v>
      </c>
      <c r="T165" s="32" t="s">
        <v>123</v>
      </c>
      <c r="U165" s="32" t="s">
        <v>197</v>
      </c>
      <c r="V165" s="32" t="n">
        <v>70000</v>
      </c>
      <c r="W165" s="32" t="s">
        <v>119</v>
      </c>
      <c r="X165" s="32" t="s">
        <v>1077</v>
      </c>
      <c r="Y165" s="31" t="s">
        <v>60</v>
      </c>
      <c r="Z165" s="32" t="s">
        <v>60</v>
      </c>
      <c r="AA165" s="32" t="s">
        <v>61</v>
      </c>
      <c r="AB165" s="32"/>
      <c r="AC165" s="31"/>
      <c r="AD165" s="31"/>
      <c r="AE165" s="31"/>
      <c r="AF165" s="32"/>
      <c r="AG165" s="31"/>
      <c r="AH165" s="31"/>
      <c r="AI165" s="31"/>
      <c r="AJ165" s="32" t="s">
        <v>62</v>
      </c>
      <c r="AK165" s="32" t="s">
        <v>93</v>
      </c>
      <c r="AL165" s="32" t="s">
        <v>63</v>
      </c>
      <c r="AM165" s="31" t="s">
        <v>64</v>
      </c>
      <c r="AN165" s="31" t="s">
        <v>64</v>
      </c>
    </row>
    <row r="166" customFormat="false" ht="15" hidden="false" customHeight="true" outlineLevel="0" collapsed="false">
      <c r="A166" s="31" t="s">
        <v>1238</v>
      </c>
      <c r="B166" s="31" t="s">
        <v>1239</v>
      </c>
      <c r="C166" s="32" t="s">
        <v>42</v>
      </c>
      <c r="D166" s="32" t="s">
        <v>1240</v>
      </c>
      <c r="E166" s="31" t="s">
        <v>1241</v>
      </c>
      <c r="F166" s="32" t="s">
        <v>1242</v>
      </c>
      <c r="G166" s="32" t="s">
        <v>269</v>
      </c>
      <c r="H166" s="32" t="s">
        <v>270</v>
      </c>
      <c r="I166" s="31" t="s">
        <v>48</v>
      </c>
      <c r="J166" s="32" t="s">
        <v>118</v>
      </c>
      <c r="K166" s="32" t="n">
        <v>3.5</v>
      </c>
      <c r="L166" s="32" t="n">
        <v>24</v>
      </c>
      <c r="M166" s="32" t="s">
        <v>50</v>
      </c>
      <c r="N166" s="32" t="s">
        <v>334</v>
      </c>
      <c r="O166" s="32" t="s">
        <v>1086</v>
      </c>
      <c r="P166" s="32" t="s">
        <v>121</v>
      </c>
      <c r="Q166" s="32" t="s">
        <v>272</v>
      </c>
      <c r="R166" s="32" t="s">
        <v>273</v>
      </c>
      <c r="S166" s="32" t="s">
        <v>290</v>
      </c>
      <c r="T166" s="32" t="s">
        <v>123</v>
      </c>
      <c r="U166" s="32" t="s">
        <v>57</v>
      </c>
      <c r="V166" s="32" t="n">
        <v>0</v>
      </c>
      <c r="W166" s="32" t="s">
        <v>58</v>
      </c>
      <c r="X166" s="32" t="s">
        <v>1077</v>
      </c>
      <c r="Y166" s="31" t="s">
        <v>60</v>
      </c>
      <c r="Z166" s="32" t="s">
        <v>60</v>
      </c>
      <c r="AA166" s="32" t="s">
        <v>61</v>
      </c>
      <c r="AB166" s="32"/>
      <c r="AC166" s="31" t="s">
        <v>364</v>
      </c>
      <c r="AD166" s="31" t="s">
        <v>275</v>
      </c>
      <c r="AE166" s="31" t="s">
        <v>1243</v>
      </c>
      <c r="AF166" s="32" t="s">
        <v>121</v>
      </c>
      <c r="AG166" s="31" t="s">
        <v>293</v>
      </c>
      <c r="AH166" s="31" t="s">
        <v>294</v>
      </c>
      <c r="AI166" s="31" t="s">
        <v>295</v>
      </c>
      <c r="AJ166" s="32" t="s">
        <v>62</v>
      </c>
      <c r="AK166" s="32" t="s">
        <v>93</v>
      </c>
      <c r="AL166" s="32" t="s">
        <v>63</v>
      </c>
      <c r="AM166" s="31" t="s">
        <v>64</v>
      </c>
      <c r="AN166" s="31" t="s">
        <v>64</v>
      </c>
    </row>
    <row r="167" customFormat="false" ht="15" hidden="false" customHeight="true" outlineLevel="0" collapsed="false">
      <c r="A167" s="31" t="s">
        <v>1244</v>
      </c>
      <c r="B167" s="31" t="s">
        <v>1245</v>
      </c>
      <c r="C167" s="32" t="s">
        <v>67</v>
      </c>
      <c r="D167" s="32" t="s">
        <v>1246</v>
      </c>
      <c r="E167" s="31" t="s">
        <v>1247</v>
      </c>
      <c r="F167" s="32" t="s">
        <v>1248</v>
      </c>
      <c r="G167" s="32" t="s">
        <v>286</v>
      </c>
      <c r="H167" s="32" t="s">
        <v>287</v>
      </c>
      <c r="I167" s="31" t="s">
        <v>73</v>
      </c>
      <c r="J167" s="32" t="s">
        <v>118</v>
      </c>
      <c r="K167" s="32" t="n">
        <v>3.2</v>
      </c>
      <c r="L167" s="32" t="n">
        <v>24</v>
      </c>
      <c r="M167" s="32" t="s">
        <v>50</v>
      </c>
      <c r="N167" s="32" t="s">
        <v>334</v>
      </c>
      <c r="O167" s="32" t="s">
        <v>1086</v>
      </c>
      <c r="P167" s="32" t="s">
        <v>121</v>
      </c>
      <c r="Q167" s="32" t="s">
        <v>272</v>
      </c>
      <c r="R167" s="32" t="s">
        <v>289</v>
      </c>
      <c r="S167" s="32" t="s">
        <v>290</v>
      </c>
      <c r="T167" s="32" t="s">
        <v>123</v>
      </c>
      <c r="U167" s="32" t="s">
        <v>124</v>
      </c>
      <c r="V167" s="32" t="n">
        <v>160000</v>
      </c>
      <c r="W167" s="32" t="s">
        <v>58</v>
      </c>
      <c r="X167" s="32" t="s">
        <v>1077</v>
      </c>
      <c r="Y167" s="31" t="s">
        <v>60</v>
      </c>
      <c r="Z167" s="32" t="s">
        <v>60</v>
      </c>
      <c r="AA167" s="32" t="s">
        <v>61</v>
      </c>
      <c r="AB167" s="32"/>
      <c r="AC167" s="31" t="s">
        <v>291</v>
      </c>
      <c r="AD167" s="31" t="s">
        <v>1249</v>
      </c>
      <c r="AE167" s="31" t="s">
        <v>1250</v>
      </c>
      <c r="AF167" s="32" t="s">
        <v>121</v>
      </c>
      <c r="AG167" s="31" t="s">
        <v>1251</v>
      </c>
      <c r="AH167" s="31" t="s">
        <v>1252</v>
      </c>
      <c r="AI167" s="31" t="s">
        <v>295</v>
      </c>
      <c r="AJ167" s="32" t="s">
        <v>62</v>
      </c>
      <c r="AK167" s="32" t="s">
        <v>93</v>
      </c>
      <c r="AL167" s="32" t="s">
        <v>63</v>
      </c>
      <c r="AM167" s="31" t="s">
        <v>64</v>
      </c>
      <c r="AN167" s="31" t="s">
        <v>64</v>
      </c>
    </row>
    <row r="168" customFormat="false" ht="15" hidden="false" customHeight="true" outlineLevel="0" collapsed="false">
      <c r="A168" s="31" t="s">
        <v>1253</v>
      </c>
      <c r="B168" s="31" t="s">
        <v>1254</v>
      </c>
      <c r="C168" s="32" t="s">
        <v>42</v>
      </c>
      <c r="D168" s="32" t="s">
        <v>1255</v>
      </c>
      <c r="E168" s="31" t="s">
        <v>1256</v>
      </c>
      <c r="F168" s="32" t="s">
        <v>1257</v>
      </c>
      <c r="G168" s="32" t="s">
        <v>918</v>
      </c>
      <c r="H168" s="32" t="s">
        <v>1258</v>
      </c>
      <c r="I168" s="31" t="s">
        <v>134</v>
      </c>
      <c r="J168" s="32" t="s">
        <v>74</v>
      </c>
      <c r="K168" s="32" t="n">
        <v>3.65</v>
      </c>
      <c r="L168" s="32" t="n">
        <v>48</v>
      </c>
      <c r="M168" s="32" t="s">
        <v>50</v>
      </c>
      <c r="N168" s="32" t="s">
        <v>334</v>
      </c>
      <c r="O168" s="32" t="s">
        <v>1045</v>
      </c>
      <c r="P168" s="32" t="s">
        <v>76</v>
      </c>
      <c r="Q168" s="32" t="s">
        <v>272</v>
      </c>
      <c r="R168" s="32" t="s">
        <v>920</v>
      </c>
      <c r="S168" s="32" t="s">
        <v>274</v>
      </c>
      <c r="T168" s="32" t="s">
        <v>78</v>
      </c>
      <c r="U168" s="32" t="s">
        <v>57</v>
      </c>
      <c r="V168" s="32" t="n">
        <v>0</v>
      </c>
      <c r="W168" s="32" t="s">
        <v>58</v>
      </c>
      <c r="X168" s="32" t="s">
        <v>1077</v>
      </c>
      <c r="Y168" s="31" t="s">
        <v>60</v>
      </c>
      <c r="Z168" s="32" t="s">
        <v>60</v>
      </c>
      <c r="AA168" s="32" t="s">
        <v>92</v>
      </c>
      <c r="AB168" s="32"/>
      <c r="AC168" s="31" t="s">
        <v>377</v>
      </c>
      <c r="AD168" s="31" t="s">
        <v>60</v>
      </c>
      <c r="AE168" s="31" t="s">
        <v>1259</v>
      </c>
      <c r="AF168" s="32" t="s">
        <v>76</v>
      </c>
      <c r="AG168" s="31" t="s">
        <v>327</v>
      </c>
      <c r="AH168" s="31" t="s">
        <v>279</v>
      </c>
      <c r="AI168" s="31" t="s">
        <v>280</v>
      </c>
      <c r="AJ168" s="32" t="s">
        <v>62</v>
      </c>
      <c r="AK168" s="32" t="s">
        <v>93</v>
      </c>
      <c r="AL168" s="32" t="s">
        <v>63</v>
      </c>
      <c r="AM168" s="31" t="s">
        <v>64</v>
      </c>
      <c r="AN168" s="31" t="s">
        <v>64</v>
      </c>
    </row>
    <row r="169" customFormat="false" ht="15" hidden="false" customHeight="true" outlineLevel="0" collapsed="false">
      <c r="A169" s="31" t="s">
        <v>1260</v>
      </c>
      <c r="B169" s="31" t="s">
        <v>1261</v>
      </c>
      <c r="C169" s="32" t="s">
        <v>67</v>
      </c>
      <c r="D169" s="32" t="s">
        <v>1262</v>
      </c>
      <c r="E169" s="31" t="s">
        <v>1263</v>
      </c>
      <c r="F169" s="32" t="s">
        <v>1264</v>
      </c>
      <c r="G169" s="32" t="s">
        <v>301</v>
      </c>
      <c r="H169" s="32" t="s">
        <v>186</v>
      </c>
      <c r="I169" s="31" t="s">
        <v>187</v>
      </c>
      <c r="J169" s="32" t="s">
        <v>74</v>
      </c>
      <c r="K169" s="32" t="n">
        <v>3.1</v>
      </c>
      <c r="L169" s="32" t="n">
        <v>36</v>
      </c>
      <c r="M169" s="32" t="s">
        <v>50</v>
      </c>
      <c r="N169" s="32" t="s">
        <v>334</v>
      </c>
      <c r="O169" s="32" t="s">
        <v>1045</v>
      </c>
      <c r="P169" s="32" t="s">
        <v>121</v>
      </c>
      <c r="Q169" s="32" t="s">
        <v>272</v>
      </c>
      <c r="R169" s="32" t="s">
        <v>375</v>
      </c>
      <c r="S169" s="32" t="s">
        <v>344</v>
      </c>
      <c r="T169" s="32" t="s">
        <v>361</v>
      </c>
      <c r="U169" s="32" t="s">
        <v>57</v>
      </c>
      <c r="V169" s="32" t="n">
        <v>0</v>
      </c>
      <c r="W169" s="32" t="s">
        <v>58</v>
      </c>
      <c r="X169" s="32" t="s">
        <v>1077</v>
      </c>
      <c r="Y169" s="31" t="s">
        <v>1265</v>
      </c>
      <c r="Z169" s="32" t="s">
        <v>363</v>
      </c>
      <c r="AA169" s="32" t="s">
        <v>61</v>
      </c>
      <c r="AB169" s="32"/>
      <c r="AC169" s="31" t="s">
        <v>1266</v>
      </c>
      <c r="AD169" s="31" t="s">
        <v>60</v>
      </c>
      <c r="AE169" s="31" t="s">
        <v>1267</v>
      </c>
      <c r="AF169" s="32" t="s">
        <v>121</v>
      </c>
      <c r="AG169" s="31" t="s">
        <v>1268</v>
      </c>
      <c r="AH169" s="31" t="s">
        <v>1269</v>
      </c>
      <c r="AI169" s="31" t="s">
        <v>1270</v>
      </c>
      <c r="AJ169" s="32" t="s">
        <v>62</v>
      </c>
      <c r="AK169" s="32" t="s">
        <v>93</v>
      </c>
      <c r="AL169" s="32" t="s">
        <v>63</v>
      </c>
      <c r="AM169" s="31" t="s">
        <v>64</v>
      </c>
      <c r="AN169" s="31" t="s">
        <v>64</v>
      </c>
    </row>
    <row r="170" customFormat="false" ht="15" hidden="false" customHeight="true" outlineLevel="0" collapsed="false">
      <c r="A170" s="31" t="s">
        <v>1271</v>
      </c>
      <c r="B170" s="31" t="s">
        <v>1272</v>
      </c>
      <c r="C170" s="32" t="s">
        <v>42</v>
      </c>
      <c r="D170" s="32" t="s">
        <v>1273</v>
      </c>
      <c r="E170" s="31" t="s">
        <v>1274</v>
      </c>
      <c r="F170" s="32" t="s">
        <v>1275</v>
      </c>
      <c r="G170" s="32" t="s">
        <v>269</v>
      </c>
      <c r="H170" s="32" t="s">
        <v>173</v>
      </c>
      <c r="I170" s="31" t="s">
        <v>117</v>
      </c>
      <c r="J170" s="32" t="s">
        <v>74</v>
      </c>
      <c r="K170" s="32" t="n">
        <v>3.45</v>
      </c>
      <c r="L170" s="32" t="n">
        <v>36</v>
      </c>
      <c r="M170" s="32" t="s">
        <v>50</v>
      </c>
      <c r="N170" s="32" t="s">
        <v>334</v>
      </c>
      <c r="O170" s="32" t="s">
        <v>1045</v>
      </c>
      <c r="P170" s="32" t="s">
        <v>121</v>
      </c>
      <c r="Q170" s="32" t="s">
        <v>272</v>
      </c>
      <c r="R170" s="32" t="s">
        <v>342</v>
      </c>
      <c r="S170" s="32" t="s">
        <v>344</v>
      </c>
      <c r="T170" s="32" t="s">
        <v>361</v>
      </c>
      <c r="U170" s="32" t="s">
        <v>197</v>
      </c>
      <c r="V170" s="32" t="n">
        <v>91000</v>
      </c>
      <c r="W170" s="32" t="s">
        <v>119</v>
      </c>
      <c r="X170" s="32" t="s">
        <v>1077</v>
      </c>
      <c r="Y170" s="31" t="s">
        <v>1276</v>
      </c>
      <c r="Z170" s="32" t="s">
        <v>1277</v>
      </c>
      <c r="AA170" s="32" t="s">
        <v>61</v>
      </c>
      <c r="AB170" s="32"/>
      <c r="AC170" s="31" t="s">
        <v>314</v>
      </c>
      <c r="AD170" s="31" t="s">
        <v>348</v>
      </c>
      <c r="AE170" s="31" t="s">
        <v>1278</v>
      </c>
      <c r="AF170" s="32" t="s">
        <v>121</v>
      </c>
      <c r="AG170" s="31" t="s">
        <v>1279</v>
      </c>
      <c r="AH170" s="31" t="s">
        <v>1280</v>
      </c>
      <c r="AI170" s="31" t="s">
        <v>1281</v>
      </c>
      <c r="AJ170" s="32" t="s">
        <v>62</v>
      </c>
      <c r="AK170" s="32" t="s">
        <v>93</v>
      </c>
      <c r="AL170" s="32" t="s">
        <v>63</v>
      </c>
      <c r="AM170" s="31" t="s">
        <v>64</v>
      </c>
      <c r="AN170" s="31" t="s">
        <v>64</v>
      </c>
    </row>
    <row r="171" customFormat="false" ht="15" hidden="false" customHeight="true" outlineLevel="0" collapsed="false">
      <c r="A171" s="31" t="s">
        <v>1282</v>
      </c>
      <c r="B171" s="31" t="s">
        <v>1283</v>
      </c>
      <c r="C171" s="32" t="s">
        <v>67</v>
      </c>
      <c r="D171" s="32" t="s">
        <v>1284</v>
      </c>
      <c r="E171" s="31" t="s">
        <v>1285</v>
      </c>
      <c r="F171" s="32" t="s">
        <v>1286</v>
      </c>
      <c r="G171" s="32" t="s">
        <v>429</v>
      </c>
      <c r="H171" s="32" t="s">
        <v>47</v>
      </c>
      <c r="I171" s="31" t="s">
        <v>48</v>
      </c>
      <c r="J171" s="32" t="s">
        <v>74</v>
      </c>
      <c r="K171" s="32" t="n">
        <v>3.8</v>
      </c>
      <c r="L171" s="32" t="n">
        <v>36</v>
      </c>
      <c r="M171" s="32" t="s">
        <v>50</v>
      </c>
      <c r="N171" s="32" t="s">
        <v>334</v>
      </c>
      <c r="O171" s="32" t="s">
        <v>1045</v>
      </c>
      <c r="P171" s="32" t="s">
        <v>121</v>
      </c>
      <c r="Q171" s="32" t="s">
        <v>272</v>
      </c>
      <c r="R171" s="32" t="s">
        <v>430</v>
      </c>
      <c r="S171" s="32" t="s">
        <v>431</v>
      </c>
      <c r="T171" s="32" t="s">
        <v>361</v>
      </c>
      <c r="U171" s="32" t="s">
        <v>57</v>
      </c>
      <c r="V171" s="32" t="n">
        <v>0</v>
      </c>
      <c r="W171" s="32" t="s">
        <v>58</v>
      </c>
      <c r="X171" s="32" t="s">
        <v>1077</v>
      </c>
      <c r="Y171" s="31" t="s">
        <v>1287</v>
      </c>
      <c r="Z171" s="32" t="s">
        <v>1288</v>
      </c>
      <c r="AA171" s="32" t="s">
        <v>61</v>
      </c>
      <c r="AB171" s="32"/>
      <c r="AC171" s="31" t="s">
        <v>364</v>
      </c>
      <c r="AD171" s="31" t="s">
        <v>275</v>
      </c>
      <c r="AE171" s="31" t="s">
        <v>1289</v>
      </c>
      <c r="AF171" s="32" t="s">
        <v>121</v>
      </c>
      <c r="AG171" s="31" t="s">
        <v>1290</v>
      </c>
      <c r="AH171" s="31" t="s">
        <v>1291</v>
      </c>
      <c r="AI171" s="31" t="s">
        <v>1292</v>
      </c>
      <c r="AJ171" s="32" t="s">
        <v>62</v>
      </c>
      <c r="AK171" s="32" t="s">
        <v>93</v>
      </c>
      <c r="AL171" s="32" t="s">
        <v>93</v>
      </c>
      <c r="AM171" s="31" t="s">
        <v>94</v>
      </c>
      <c r="AN171" s="31" t="s">
        <v>1293</v>
      </c>
    </row>
    <row r="172" customFormat="false" ht="15" hidden="false" customHeight="true" outlineLevel="0" collapsed="false">
      <c r="A172" s="31" t="s">
        <v>1294</v>
      </c>
      <c r="B172" s="31" t="s">
        <v>1295</v>
      </c>
      <c r="C172" s="32" t="s">
        <v>42</v>
      </c>
      <c r="D172" s="32" t="s">
        <v>1296</v>
      </c>
      <c r="E172" s="31" t="s">
        <v>1297</v>
      </c>
      <c r="F172" s="32" t="s">
        <v>1298</v>
      </c>
      <c r="G172" s="32" t="s">
        <v>429</v>
      </c>
      <c r="H172" s="32" t="s">
        <v>403</v>
      </c>
      <c r="I172" s="31" t="s">
        <v>102</v>
      </c>
      <c r="J172" s="32" t="s">
        <v>49</v>
      </c>
      <c r="K172" s="32" t="n">
        <v>3.55</v>
      </c>
      <c r="L172" s="32" t="n">
        <v>36</v>
      </c>
      <c r="M172" s="32" t="s">
        <v>50</v>
      </c>
      <c r="N172" s="32" t="s">
        <v>334</v>
      </c>
      <c r="O172" s="32" t="s">
        <v>768</v>
      </c>
      <c r="P172" s="32" t="s">
        <v>76</v>
      </c>
      <c r="Q172" s="32" t="s">
        <v>272</v>
      </c>
      <c r="R172" s="32" t="s">
        <v>430</v>
      </c>
      <c r="S172" s="32" t="s">
        <v>431</v>
      </c>
      <c r="T172" s="32" t="s">
        <v>345</v>
      </c>
      <c r="U172" s="32" t="s">
        <v>57</v>
      </c>
      <c r="V172" s="32" t="n">
        <v>0</v>
      </c>
      <c r="W172" s="32" t="s">
        <v>58</v>
      </c>
      <c r="X172" s="32" t="s">
        <v>1077</v>
      </c>
      <c r="Y172" s="31" t="s">
        <v>1299</v>
      </c>
      <c r="Z172" s="32" t="s">
        <v>1300</v>
      </c>
      <c r="AA172" s="32" t="s">
        <v>61</v>
      </c>
      <c r="AB172" s="32"/>
      <c r="AC172" s="31" t="s">
        <v>407</v>
      </c>
      <c r="AD172" s="31" t="s">
        <v>60</v>
      </c>
      <c r="AE172" s="31" t="s">
        <v>1301</v>
      </c>
      <c r="AF172" s="32" t="s">
        <v>76</v>
      </c>
      <c r="AG172" s="31" t="s">
        <v>1302</v>
      </c>
      <c r="AH172" s="31" t="s">
        <v>1303</v>
      </c>
      <c r="AI172" s="31" t="s">
        <v>1304</v>
      </c>
      <c r="AJ172" s="32" t="s">
        <v>62</v>
      </c>
      <c r="AK172" s="32" t="s">
        <v>93</v>
      </c>
      <c r="AL172" s="32" t="s">
        <v>63</v>
      </c>
      <c r="AM172" s="31" t="s">
        <v>64</v>
      </c>
      <c r="AN172" s="31" t="s">
        <v>64</v>
      </c>
    </row>
    <row r="173" customFormat="false" ht="15" hidden="false" customHeight="true" outlineLevel="0" collapsed="false">
      <c r="A173" s="33" t="s">
        <v>1305</v>
      </c>
      <c r="B173" s="33" t="s">
        <v>1306</v>
      </c>
      <c r="C173" s="34" t="s">
        <v>67</v>
      </c>
      <c r="D173" s="34" t="s">
        <v>1307</v>
      </c>
      <c r="E173" s="33" t="s">
        <v>1308</v>
      </c>
      <c r="F173" s="34" t="s">
        <v>1309</v>
      </c>
      <c r="G173" s="34" t="s">
        <v>301</v>
      </c>
      <c r="H173" s="34" t="s">
        <v>72</v>
      </c>
      <c r="I173" s="33" t="s">
        <v>73</v>
      </c>
      <c r="J173" s="34" t="s">
        <v>118</v>
      </c>
      <c r="K173" s="34" t="n">
        <v>2.75</v>
      </c>
      <c r="L173" s="34" t="n">
        <v>24</v>
      </c>
      <c r="M173" s="34" t="s">
        <v>119</v>
      </c>
      <c r="N173" s="34" t="s">
        <v>334</v>
      </c>
      <c r="O173" s="34" t="s">
        <v>1086</v>
      </c>
      <c r="P173" s="34" t="s">
        <v>121</v>
      </c>
      <c r="Q173" s="34" t="s">
        <v>272</v>
      </c>
      <c r="R173" s="34" t="s">
        <v>302</v>
      </c>
      <c r="S173" s="34" t="s">
        <v>290</v>
      </c>
      <c r="T173" s="34" t="s">
        <v>123</v>
      </c>
      <c r="U173" s="34" t="s">
        <v>263</v>
      </c>
      <c r="V173" s="34" t="n">
        <v>82000</v>
      </c>
      <c r="W173" s="34" t="s">
        <v>195</v>
      </c>
      <c r="X173" s="34" t="s">
        <v>1077</v>
      </c>
      <c r="Y173" s="33" t="s">
        <v>60</v>
      </c>
      <c r="Z173" s="34" t="s">
        <v>60</v>
      </c>
      <c r="AA173" s="34" t="s">
        <v>61</v>
      </c>
      <c r="AB173" s="34"/>
      <c r="AC173" s="33" t="s">
        <v>291</v>
      </c>
      <c r="AD173" s="33" t="s">
        <v>1249</v>
      </c>
      <c r="AE173" s="33" t="s">
        <v>1310</v>
      </c>
      <c r="AF173" s="34" t="s">
        <v>121</v>
      </c>
      <c r="AG173" s="33" t="s">
        <v>1311</v>
      </c>
      <c r="AH173" s="33" t="s">
        <v>1312</v>
      </c>
      <c r="AI173" s="33" t="s">
        <v>295</v>
      </c>
      <c r="AJ173" s="34" t="s">
        <v>62</v>
      </c>
      <c r="AK173" s="34" t="s">
        <v>93</v>
      </c>
      <c r="AL173" s="34" t="s">
        <v>63</v>
      </c>
      <c r="AM173" s="33" t="s">
        <v>64</v>
      </c>
      <c r="AN173" s="33"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8"/>
    <col collapsed="false" customWidth="true" hidden="false" outlineLevel="0" max="7" min="6" style="1" width="10"/>
    <col collapsed="false" customWidth="true" hidden="false" outlineLevel="0" max="8" min="8" style="1" width="18"/>
    <col collapsed="false" customWidth="true" hidden="false" outlineLevel="0" max="9" min="9" style="1" width="8"/>
    <col collapsed="false" customWidth="true" hidden="false" outlineLevel="0" max="10" min="10" style="1" width="10"/>
  </cols>
  <sheetData>
    <row r="1" customFormat="false" ht="30" hidden="false" customHeight="true" outlineLevel="0" collapsed="false">
      <c r="A1" s="41" t="s">
        <v>1313</v>
      </c>
      <c r="B1" s="41" t="s">
        <v>1314</v>
      </c>
      <c r="C1" s="41" t="s">
        <v>8</v>
      </c>
      <c r="D1" s="41" t="s">
        <v>1315</v>
      </c>
      <c r="E1" s="41" t="s">
        <v>1316</v>
      </c>
      <c r="F1" s="41" t="s">
        <v>1317</v>
      </c>
      <c r="G1" s="41" t="s">
        <v>1318</v>
      </c>
      <c r="H1" s="41" t="s">
        <v>1319</v>
      </c>
      <c r="I1" s="41" t="s">
        <v>1320</v>
      </c>
      <c r="J1" s="41" t="s">
        <v>12</v>
      </c>
      <c r="K1" s="41" t="s">
        <v>35</v>
      </c>
    </row>
    <row r="2" customFormat="false" ht="15" hidden="false" customHeight="true" outlineLevel="0" collapsed="false">
      <c r="A2" s="42" t="s">
        <v>1321</v>
      </c>
      <c r="B2" s="42" t="s">
        <v>1322</v>
      </c>
      <c r="C2" s="42" t="s">
        <v>48</v>
      </c>
      <c r="D2" s="42" t="s">
        <v>364</v>
      </c>
      <c r="E2" s="42" t="n">
        <v>4</v>
      </c>
      <c r="F2" s="42" t="n">
        <v>18</v>
      </c>
      <c r="G2" s="42" t="s">
        <v>1323</v>
      </c>
      <c r="H2" s="42" t="s">
        <v>1324</v>
      </c>
      <c r="I2" s="42" t="s">
        <v>1325</v>
      </c>
      <c r="J2" s="42" t="s">
        <v>50</v>
      </c>
      <c r="K2" s="42" t="s">
        <v>62</v>
      </c>
    </row>
    <row r="3" customFormat="false" ht="15" hidden="false" customHeight="true" outlineLevel="0" collapsed="false">
      <c r="A3" s="43" t="s">
        <v>1326</v>
      </c>
      <c r="B3" s="43" t="s">
        <v>1327</v>
      </c>
      <c r="C3" s="43" t="s">
        <v>48</v>
      </c>
      <c r="D3" s="43" t="s">
        <v>364</v>
      </c>
      <c r="E3" s="43" t="n">
        <v>3</v>
      </c>
      <c r="F3" s="43" t="n">
        <v>22</v>
      </c>
      <c r="G3" s="43" t="s">
        <v>1323</v>
      </c>
      <c r="H3" s="43" t="s">
        <v>1328</v>
      </c>
      <c r="I3" s="43" t="s">
        <v>1329</v>
      </c>
      <c r="J3" s="43" t="s">
        <v>50</v>
      </c>
      <c r="K3" s="43" t="s">
        <v>62</v>
      </c>
    </row>
    <row r="4" customFormat="false" ht="15" hidden="false" customHeight="true" outlineLevel="0" collapsed="false">
      <c r="A4" s="42" t="s">
        <v>1330</v>
      </c>
      <c r="B4" s="42" t="s">
        <v>1331</v>
      </c>
      <c r="C4" s="42" t="s">
        <v>73</v>
      </c>
      <c r="D4" s="42" t="s">
        <v>291</v>
      </c>
      <c r="E4" s="42" t="n">
        <v>3</v>
      </c>
      <c r="F4" s="42" t="n">
        <v>35</v>
      </c>
      <c r="G4" s="42" t="s">
        <v>1323</v>
      </c>
      <c r="H4" s="42" t="s">
        <v>1332</v>
      </c>
      <c r="I4" s="42" t="s">
        <v>1333</v>
      </c>
      <c r="J4" s="42" t="s">
        <v>50</v>
      </c>
      <c r="K4" s="42" t="s">
        <v>62</v>
      </c>
    </row>
    <row r="5" customFormat="false" ht="15" hidden="false" customHeight="true" outlineLevel="0" collapsed="false">
      <c r="A5" s="43" t="s">
        <v>1334</v>
      </c>
      <c r="B5" s="43" t="s">
        <v>1335</v>
      </c>
      <c r="C5" s="43" t="s">
        <v>73</v>
      </c>
      <c r="D5" s="43" t="s">
        <v>1249</v>
      </c>
      <c r="E5" s="43" t="n">
        <v>4</v>
      </c>
      <c r="F5" s="43" t="n">
        <v>28</v>
      </c>
      <c r="G5" s="43" t="s">
        <v>1323</v>
      </c>
      <c r="H5" s="43" t="s">
        <v>1336</v>
      </c>
      <c r="I5" s="43" t="s">
        <v>1337</v>
      </c>
      <c r="J5" s="43" t="s">
        <v>50</v>
      </c>
      <c r="K5" s="43" t="s">
        <v>62</v>
      </c>
    </row>
    <row r="6" customFormat="false" ht="15" hidden="false" customHeight="true" outlineLevel="0" collapsed="false">
      <c r="A6" s="42" t="s">
        <v>1338</v>
      </c>
      <c r="B6" s="42" t="s">
        <v>1339</v>
      </c>
      <c r="C6" s="42" t="s">
        <v>85</v>
      </c>
      <c r="D6" s="42" t="s">
        <v>392</v>
      </c>
      <c r="E6" s="42" t="n">
        <v>4</v>
      </c>
      <c r="F6" s="42" t="n">
        <v>15</v>
      </c>
      <c r="G6" s="42" t="s">
        <v>1323</v>
      </c>
      <c r="H6" s="42" t="s">
        <v>1340</v>
      </c>
      <c r="I6" s="42" t="s">
        <v>1341</v>
      </c>
      <c r="J6" s="42" t="s">
        <v>50</v>
      </c>
      <c r="K6" s="42" t="s">
        <v>62</v>
      </c>
    </row>
    <row r="7" customFormat="false" ht="15" hidden="false" customHeight="true" outlineLevel="0" collapsed="false">
      <c r="A7" s="43" t="s">
        <v>1342</v>
      </c>
      <c r="B7" s="43" t="s">
        <v>1343</v>
      </c>
      <c r="C7" s="43" t="s">
        <v>85</v>
      </c>
      <c r="D7" s="43" t="s">
        <v>1344</v>
      </c>
      <c r="E7" s="43" t="n">
        <v>4</v>
      </c>
      <c r="F7" s="43" t="n">
        <v>12</v>
      </c>
      <c r="G7" s="43" t="s">
        <v>1323</v>
      </c>
      <c r="H7" s="43" t="s">
        <v>1345</v>
      </c>
      <c r="I7" s="43" t="s">
        <v>1346</v>
      </c>
      <c r="J7" s="43" t="s">
        <v>50</v>
      </c>
      <c r="K7" s="43" t="s">
        <v>62</v>
      </c>
    </row>
    <row r="8" customFormat="false" ht="15" hidden="false" customHeight="true" outlineLevel="0" collapsed="false">
      <c r="A8" s="42" t="s">
        <v>1347</v>
      </c>
      <c r="B8" s="42" t="s">
        <v>1348</v>
      </c>
      <c r="C8" s="42" t="s">
        <v>149</v>
      </c>
      <c r="D8" s="42" t="s">
        <v>1349</v>
      </c>
      <c r="E8" s="42" t="n">
        <v>4</v>
      </c>
      <c r="F8" s="42" t="n">
        <v>20</v>
      </c>
      <c r="G8" s="42" t="s">
        <v>1323</v>
      </c>
      <c r="H8" s="42" t="s">
        <v>1350</v>
      </c>
      <c r="I8" s="42" t="s">
        <v>1351</v>
      </c>
      <c r="J8" s="42" t="s">
        <v>50</v>
      </c>
      <c r="K8" s="42" t="s">
        <v>62</v>
      </c>
    </row>
    <row r="9" customFormat="false" ht="15" hidden="false" customHeight="true" outlineLevel="0" collapsed="false">
      <c r="A9" s="43" t="s">
        <v>1352</v>
      </c>
      <c r="B9" s="43" t="s">
        <v>1353</v>
      </c>
      <c r="C9" s="43" t="s">
        <v>117</v>
      </c>
      <c r="D9" s="43" t="s">
        <v>1354</v>
      </c>
      <c r="E9" s="43" t="n">
        <v>3</v>
      </c>
      <c r="F9" s="43" t="n">
        <v>24</v>
      </c>
      <c r="G9" s="43" t="s">
        <v>1323</v>
      </c>
      <c r="H9" s="43" t="s">
        <v>1355</v>
      </c>
      <c r="I9" s="43" t="s">
        <v>1356</v>
      </c>
      <c r="J9" s="43" t="s">
        <v>50</v>
      </c>
      <c r="K9" s="43" t="s">
        <v>62</v>
      </c>
    </row>
    <row r="10" customFormat="false" ht="15" hidden="false" customHeight="true" outlineLevel="0" collapsed="false">
      <c r="A10" s="42" t="s">
        <v>1357</v>
      </c>
      <c r="B10" s="42" t="s">
        <v>1358</v>
      </c>
      <c r="C10" s="42" t="s">
        <v>102</v>
      </c>
      <c r="D10" s="42" t="s">
        <v>407</v>
      </c>
      <c r="E10" s="42" t="n">
        <v>5</v>
      </c>
      <c r="F10" s="42" t="n">
        <v>18</v>
      </c>
      <c r="G10" s="42" t="s">
        <v>1323</v>
      </c>
      <c r="H10" s="42" t="s">
        <v>1359</v>
      </c>
      <c r="I10" s="42" t="s">
        <v>1360</v>
      </c>
      <c r="J10" s="42" t="s">
        <v>50</v>
      </c>
      <c r="K10" s="42" t="s">
        <v>62</v>
      </c>
    </row>
    <row r="11" customFormat="false" ht="15" hidden="false" customHeight="true" outlineLevel="0" collapsed="false">
      <c r="A11" s="43" t="s">
        <v>1361</v>
      </c>
      <c r="B11" s="43" t="s">
        <v>1362</v>
      </c>
      <c r="C11" s="43" t="s">
        <v>134</v>
      </c>
      <c r="D11" s="43" t="s">
        <v>377</v>
      </c>
      <c r="E11" s="43" t="n">
        <v>3</v>
      </c>
      <c r="F11" s="43" t="n">
        <v>20</v>
      </c>
      <c r="G11" s="43" t="s">
        <v>1323</v>
      </c>
      <c r="H11" s="43" t="s">
        <v>1363</v>
      </c>
      <c r="I11" s="43" t="s">
        <v>1364</v>
      </c>
      <c r="J11" s="43" t="s">
        <v>50</v>
      </c>
      <c r="K11" s="43" t="s">
        <v>62</v>
      </c>
    </row>
    <row r="12" customFormat="false" ht="15" hidden="false" customHeight="true" outlineLevel="0" collapsed="false">
      <c r="A12" s="42" t="s">
        <v>1365</v>
      </c>
      <c r="B12" s="42" t="s">
        <v>1366</v>
      </c>
      <c r="C12" s="42" t="s">
        <v>187</v>
      </c>
      <c r="D12" s="42" t="s">
        <v>1266</v>
      </c>
      <c r="E12" s="42" t="n">
        <v>3</v>
      </c>
      <c r="F12" s="42" t="n">
        <v>26</v>
      </c>
      <c r="G12" s="42" t="s">
        <v>1323</v>
      </c>
      <c r="H12" s="42" t="s">
        <v>1367</v>
      </c>
      <c r="I12" s="42" t="s">
        <v>1368</v>
      </c>
      <c r="J12" s="42" t="s">
        <v>50</v>
      </c>
      <c r="K12" s="42" t="s">
        <v>62</v>
      </c>
    </row>
    <row r="13" customFormat="false" ht="15" hidden="false" customHeight="true" outlineLevel="0" collapsed="false">
      <c r="A13" s="43" t="s">
        <v>1369</v>
      </c>
      <c r="B13" s="43" t="s">
        <v>1370</v>
      </c>
      <c r="C13" s="43" t="s">
        <v>204</v>
      </c>
      <c r="D13" s="43" t="s">
        <v>324</v>
      </c>
      <c r="E13" s="43" t="n">
        <v>3</v>
      </c>
      <c r="F13" s="43" t="n">
        <v>30</v>
      </c>
      <c r="G13" s="43" t="s">
        <v>1323</v>
      </c>
      <c r="H13" s="43" t="s">
        <v>1371</v>
      </c>
      <c r="I13" s="43" t="s">
        <v>1372</v>
      </c>
      <c r="J13" s="43" t="s">
        <v>50</v>
      </c>
      <c r="K13" s="43" t="s">
        <v>62</v>
      </c>
    </row>
    <row r="14" customFormat="false" ht="15" hidden="false" customHeight="true" outlineLevel="0" collapsed="false">
      <c r="A14" s="42" t="s">
        <v>1373</v>
      </c>
      <c r="B14" s="42" t="s">
        <v>1374</v>
      </c>
      <c r="C14" s="42" t="s">
        <v>117</v>
      </c>
      <c r="D14" s="42" t="s">
        <v>1375</v>
      </c>
      <c r="E14" s="42" t="n">
        <v>4</v>
      </c>
      <c r="F14" s="42" t="n">
        <v>40</v>
      </c>
      <c r="G14" s="42" t="s">
        <v>1323</v>
      </c>
      <c r="H14" s="42" t="s">
        <v>1376</v>
      </c>
      <c r="I14" s="42" t="s">
        <v>1377</v>
      </c>
      <c r="J14" s="42" t="s">
        <v>50</v>
      </c>
      <c r="K14" s="42" t="s">
        <v>62</v>
      </c>
    </row>
    <row r="15" customFormat="false" ht="15" hidden="false" customHeight="true" outlineLevel="0" collapsed="false">
      <c r="A15" s="43" t="s">
        <v>1378</v>
      </c>
      <c r="B15" s="43" t="s">
        <v>1379</v>
      </c>
      <c r="C15" s="43" t="s">
        <v>117</v>
      </c>
      <c r="D15" s="43" t="s">
        <v>1375</v>
      </c>
      <c r="E15" s="43" t="n">
        <v>3</v>
      </c>
      <c r="F15" s="43" t="n">
        <v>32</v>
      </c>
      <c r="G15" s="43" t="s">
        <v>1323</v>
      </c>
      <c r="H15" s="43" t="s">
        <v>1380</v>
      </c>
      <c r="I15" s="43" t="s">
        <v>1381</v>
      </c>
      <c r="J15" s="43" t="s">
        <v>50</v>
      </c>
      <c r="K15" s="43" t="s">
        <v>62</v>
      </c>
    </row>
    <row r="16" customFormat="false" ht="15" hidden="false" customHeight="true" outlineLevel="0" collapsed="false">
      <c r="A16" s="42" t="s">
        <v>1382</v>
      </c>
      <c r="B16" s="42" t="s">
        <v>1383</v>
      </c>
      <c r="C16" s="42" t="s">
        <v>48</v>
      </c>
      <c r="D16" s="42" t="s">
        <v>275</v>
      </c>
      <c r="E16" s="42" t="n">
        <v>3</v>
      </c>
      <c r="F16" s="42" t="n">
        <v>26</v>
      </c>
      <c r="G16" s="42" t="s">
        <v>1323</v>
      </c>
      <c r="H16" s="42" t="s">
        <v>1384</v>
      </c>
      <c r="I16" s="42" t="s">
        <v>1385</v>
      </c>
      <c r="J16" s="42" t="s">
        <v>50</v>
      </c>
      <c r="K16" s="42" t="s">
        <v>62</v>
      </c>
    </row>
    <row r="17" customFormat="false" ht="15" hidden="false" customHeight="true" outlineLevel="0" collapsed="false">
      <c r="A17" s="43" t="s">
        <v>1386</v>
      </c>
      <c r="B17" s="43" t="s">
        <v>1387</v>
      </c>
      <c r="C17" s="43" t="s">
        <v>117</v>
      </c>
      <c r="D17" s="43" t="s">
        <v>314</v>
      </c>
      <c r="E17" s="43" t="n">
        <v>3</v>
      </c>
      <c r="F17" s="43" t="n">
        <v>22</v>
      </c>
      <c r="G17" s="43" t="s">
        <v>1388</v>
      </c>
      <c r="H17" s="43" t="s">
        <v>1389</v>
      </c>
      <c r="I17" s="43" t="s">
        <v>1390</v>
      </c>
      <c r="J17" s="43" t="s">
        <v>50</v>
      </c>
      <c r="K17" s="43" t="s">
        <v>62</v>
      </c>
    </row>
    <row r="18" customFormat="false" ht="15" hidden="false" customHeight="true" outlineLevel="0" collapsed="false">
      <c r="A18" s="42" t="s">
        <v>1391</v>
      </c>
      <c r="B18" s="42" t="s">
        <v>1392</v>
      </c>
      <c r="C18" s="42" t="s">
        <v>73</v>
      </c>
      <c r="D18" s="42" t="s">
        <v>1393</v>
      </c>
      <c r="E18" s="42" t="n">
        <v>3</v>
      </c>
      <c r="F18" s="42" t="n">
        <v>34</v>
      </c>
      <c r="G18" s="42" t="s">
        <v>1323</v>
      </c>
      <c r="H18" s="42" t="s">
        <v>1324</v>
      </c>
      <c r="I18" s="42" t="s">
        <v>1394</v>
      </c>
      <c r="J18" s="42" t="s">
        <v>50</v>
      </c>
      <c r="K18" s="42" t="s">
        <v>62</v>
      </c>
    </row>
    <row r="19" customFormat="false" ht="15" hidden="false" customHeight="true" outlineLevel="0" collapsed="false">
      <c r="A19" s="43" t="s">
        <v>1395</v>
      </c>
      <c r="B19" s="43" t="s">
        <v>1396</v>
      </c>
      <c r="C19" s="43" t="s">
        <v>102</v>
      </c>
      <c r="D19" s="43" t="s">
        <v>407</v>
      </c>
      <c r="E19" s="43" t="n">
        <v>4</v>
      </c>
      <c r="F19" s="43" t="n">
        <v>14</v>
      </c>
      <c r="G19" s="43" t="s">
        <v>1323</v>
      </c>
      <c r="H19" s="43" t="s">
        <v>1336</v>
      </c>
      <c r="I19" s="43" t="s">
        <v>1397</v>
      </c>
      <c r="J19" s="43" t="s">
        <v>195</v>
      </c>
      <c r="K19" s="43" t="s">
        <v>62</v>
      </c>
    </row>
    <row r="20" customFormat="false" ht="15" hidden="false" customHeight="true" outlineLevel="0" collapsed="false">
      <c r="A20" s="42" t="s">
        <v>1398</v>
      </c>
      <c r="B20" s="42" t="s">
        <v>1399</v>
      </c>
      <c r="C20" s="42" t="s">
        <v>48</v>
      </c>
      <c r="D20" s="42" t="s">
        <v>275</v>
      </c>
      <c r="E20" s="42" t="n">
        <v>3</v>
      </c>
      <c r="F20" s="42" t="n">
        <v>45</v>
      </c>
      <c r="G20" s="42" t="s">
        <v>1323</v>
      </c>
      <c r="H20" s="42" t="s">
        <v>1332</v>
      </c>
      <c r="I20" s="42" t="s">
        <v>1400</v>
      </c>
      <c r="J20" s="42" t="s">
        <v>50</v>
      </c>
      <c r="K20" s="42" t="s">
        <v>62</v>
      </c>
    </row>
    <row r="21" customFormat="false" ht="15" hidden="false" customHeight="true" outlineLevel="0" collapsed="false">
      <c r="A21" s="43" t="s">
        <v>1401</v>
      </c>
      <c r="B21" s="43" t="s">
        <v>1402</v>
      </c>
      <c r="C21" s="43" t="s">
        <v>204</v>
      </c>
      <c r="D21" s="43" t="s">
        <v>324</v>
      </c>
      <c r="E21" s="43" t="n">
        <v>2</v>
      </c>
      <c r="F21" s="43" t="n">
        <v>80</v>
      </c>
      <c r="G21" s="43" t="s">
        <v>1323</v>
      </c>
      <c r="H21" s="43" t="s">
        <v>1403</v>
      </c>
      <c r="I21" s="43" t="s">
        <v>1404</v>
      </c>
      <c r="J21" s="43" t="s">
        <v>50</v>
      </c>
      <c r="K21" s="43" t="s">
        <v>62</v>
      </c>
    </row>
    <row r="22" customFormat="false" ht="15" hidden="false" customHeight="true" outlineLevel="0" collapsed="false">
      <c r="A22" s="1" t="s">
        <v>1405</v>
      </c>
      <c r="B22" s="1" t="s">
        <v>1406</v>
      </c>
      <c r="C22" s="1" t="s">
        <v>1407</v>
      </c>
      <c r="D22" s="1" t="s">
        <v>1408</v>
      </c>
      <c r="E22" s="1" t="n">
        <v>3</v>
      </c>
      <c r="F22" s="1" t="n">
        <v>8</v>
      </c>
      <c r="G22" s="1" t="s">
        <v>1409</v>
      </c>
      <c r="H22" s="1" t="s">
        <v>1371</v>
      </c>
      <c r="I22" s="1" t="s">
        <v>1410</v>
      </c>
      <c r="J22" s="1" t="s">
        <v>50</v>
      </c>
      <c r="K22" s="1" t="s">
        <v>62</v>
      </c>
    </row>
    <row r="23" customFormat="false" ht="15" hidden="false" customHeight="true" outlineLevel="0" collapsed="false">
      <c r="A23" s="1" t="s">
        <v>1411</v>
      </c>
      <c r="B23" s="1" t="s">
        <v>1412</v>
      </c>
      <c r="C23" s="1" t="s">
        <v>1407</v>
      </c>
      <c r="D23" s="1" t="s">
        <v>324</v>
      </c>
      <c r="E23" s="1" t="n">
        <v>2</v>
      </c>
      <c r="F23" s="1" t="n">
        <v>6</v>
      </c>
      <c r="G23" s="1" t="s">
        <v>1409</v>
      </c>
      <c r="H23" s="1" t="s">
        <v>1413</v>
      </c>
      <c r="I23" s="1" t="s">
        <v>1410</v>
      </c>
      <c r="J23" s="1" t="s">
        <v>50</v>
      </c>
      <c r="K23" s="1" t="s">
        <v>62</v>
      </c>
    </row>
    <row r="24" customFormat="false" ht="15" hidden="false" customHeight="true" outlineLevel="0" collapsed="false">
      <c r="A24" s="1" t="s">
        <v>1414</v>
      </c>
      <c r="B24" s="1" t="s">
        <v>1415</v>
      </c>
      <c r="C24" s="1" t="s">
        <v>1407</v>
      </c>
      <c r="D24" s="1" t="s">
        <v>1408</v>
      </c>
      <c r="E24" s="1" t="n">
        <v>1</v>
      </c>
      <c r="F24" s="1" t="n">
        <v>11</v>
      </c>
      <c r="G24" s="1" t="s">
        <v>1409</v>
      </c>
      <c r="H24" s="1" t="s">
        <v>1416</v>
      </c>
      <c r="I24" s="1" t="s">
        <v>1417</v>
      </c>
      <c r="J24" s="1" t="s">
        <v>50</v>
      </c>
      <c r="K24" s="1" t="s">
        <v>62</v>
      </c>
    </row>
    <row r="25" customFormat="false" ht="15" hidden="false" customHeight="true" outlineLevel="0" collapsed="false">
      <c r="A25" s="1" t="s">
        <v>1418</v>
      </c>
      <c r="B25" s="1" t="s">
        <v>1419</v>
      </c>
      <c r="C25" s="1" t="s">
        <v>1407</v>
      </c>
      <c r="D25" s="1" t="s">
        <v>1408</v>
      </c>
      <c r="E25" s="1" t="n">
        <v>1</v>
      </c>
      <c r="F25" s="1" t="n">
        <v>6</v>
      </c>
      <c r="G25" s="1" t="s">
        <v>1409</v>
      </c>
      <c r="H25" s="1" t="s">
        <v>1420</v>
      </c>
      <c r="I25" s="1" t="s">
        <v>1421</v>
      </c>
      <c r="J25" s="1" t="s">
        <v>50</v>
      </c>
      <c r="K25" s="1" t="s">
        <v>62</v>
      </c>
    </row>
    <row r="26" customFormat="false" ht="15" hidden="false" customHeight="true" outlineLevel="0" collapsed="false">
      <c r="A26" s="1" t="s">
        <v>1422</v>
      </c>
      <c r="B26" s="1" t="s">
        <v>1423</v>
      </c>
      <c r="C26" s="1" t="s">
        <v>73</v>
      </c>
      <c r="D26" s="1" t="s">
        <v>291</v>
      </c>
      <c r="E26" s="1" t="n">
        <v>3</v>
      </c>
      <c r="F26" s="1" t="n">
        <v>3</v>
      </c>
      <c r="G26" s="1" t="s">
        <v>1424</v>
      </c>
      <c r="H26" s="1" t="s">
        <v>1371</v>
      </c>
      <c r="I26" s="1" t="s">
        <v>1425</v>
      </c>
      <c r="J26" s="1" t="s">
        <v>50</v>
      </c>
      <c r="K26" s="1" t="s">
        <v>62</v>
      </c>
    </row>
    <row r="27" customFormat="false" ht="15" hidden="false" customHeight="true" outlineLevel="0" collapsed="false">
      <c r="A27" s="1" t="s">
        <v>1426</v>
      </c>
      <c r="B27" s="1" t="s">
        <v>1427</v>
      </c>
      <c r="C27" s="1" t="s">
        <v>73</v>
      </c>
      <c r="D27" s="1" t="s">
        <v>1249</v>
      </c>
      <c r="E27" s="1" t="n">
        <v>3</v>
      </c>
      <c r="F27" s="1" t="n">
        <v>3</v>
      </c>
      <c r="G27" s="1" t="s">
        <v>1424</v>
      </c>
      <c r="H27" s="1" t="s">
        <v>1380</v>
      </c>
      <c r="I27" s="1" t="s">
        <v>1428</v>
      </c>
      <c r="J27" s="1" t="s">
        <v>50</v>
      </c>
      <c r="K27" s="1" t="s">
        <v>62</v>
      </c>
    </row>
    <row r="28" customFormat="false" ht="15" hidden="false" customHeight="true" outlineLevel="0" collapsed="false">
      <c r="A28" s="1" t="s">
        <v>1429</v>
      </c>
      <c r="B28" s="1" t="s">
        <v>1430</v>
      </c>
      <c r="C28" s="1" t="s">
        <v>73</v>
      </c>
      <c r="D28" s="1" t="s">
        <v>1393</v>
      </c>
      <c r="E28" s="1" t="n">
        <v>3</v>
      </c>
      <c r="F28" s="1" t="n">
        <v>3</v>
      </c>
      <c r="G28" s="1" t="s">
        <v>1424</v>
      </c>
      <c r="H28" s="1" t="s">
        <v>1431</v>
      </c>
      <c r="I28" s="1" t="s">
        <v>1432</v>
      </c>
      <c r="J28" s="1" t="s">
        <v>50</v>
      </c>
      <c r="K28" s="1" t="s">
        <v>62</v>
      </c>
    </row>
    <row r="29" customFormat="false" ht="15" hidden="false" customHeight="true" outlineLevel="0" collapsed="false">
      <c r="A29" s="1" t="s">
        <v>1433</v>
      </c>
      <c r="B29" s="1" t="s">
        <v>1434</v>
      </c>
      <c r="C29" s="1" t="s">
        <v>48</v>
      </c>
      <c r="D29" s="1" t="s">
        <v>275</v>
      </c>
      <c r="E29" s="1" t="n">
        <v>3</v>
      </c>
      <c r="F29" s="1" t="n">
        <v>1</v>
      </c>
      <c r="G29" s="1" t="s">
        <v>1435</v>
      </c>
      <c r="H29" s="1" t="s">
        <v>1332</v>
      </c>
      <c r="I29" s="1" t="s">
        <v>1436</v>
      </c>
      <c r="J29" s="1" t="s">
        <v>50</v>
      </c>
      <c r="K29" s="1" t="s">
        <v>62</v>
      </c>
    </row>
    <row r="30" customFormat="false" ht="15" hidden="false" customHeight="true" outlineLevel="0" collapsed="false">
      <c r="A30" s="1" t="s">
        <v>1437</v>
      </c>
      <c r="B30" s="1" t="s">
        <v>1438</v>
      </c>
      <c r="C30" s="1" t="s">
        <v>117</v>
      </c>
      <c r="D30" s="1" t="s">
        <v>314</v>
      </c>
      <c r="E30" s="1" t="n">
        <v>3</v>
      </c>
      <c r="F30" s="1" t="n">
        <v>1</v>
      </c>
      <c r="G30" s="1" t="s">
        <v>1435</v>
      </c>
      <c r="H30" s="1" t="s">
        <v>1350</v>
      </c>
      <c r="I30" s="1" t="s">
        <v>1439</v>
      </c>
      <c r="J30" s="1" t="s">
        <v>50</v>
      </c>
      <c r="K30" s="1" t="s">
        <v>62</v>
      </c>
    </row>
    <row r="31" customFormat="false" ht="15" hidden="false" customHeight="true" outlineLevel="0" collapsed="false">
      <c r="A31" s="1" t="s">
        <v>1440</v>
      </c>
      <c r="B31" s="1" t="s">
        <v>1441</v>
      </c>
      <c r="C31" s="1" t="s">
        <v>1407</v>
      </c>
      <c r="D31" s="1" t="s">
        <v>1408</v>
      </c>
      <c r="E31" s="1" t="n">
        <v>3</v>
      </c>
      <c r="F31" s="1" t="n">
        <v>4</v>
      </c>
      <c r="G31" s="1" t="s">
        <v>1442</v>
      </c>
      <c r="H31" s="1" t="s">
        <v>1350</v>
      </c>
      <c r="I31" s="1" t="s">
        <v>1421</v>
      </c>
      <c r="J31" s="1" t="s">
        <v>50</v>
      </c>
      <c r="K31" s="1" t="s">
        <v>62</v>
      </c>
    </row>
    <row r="32" customFormat="false" ht="15" hidden="false" customHeight="true" outlineLevel="0" collapsed="false">
      <c r="A32" s="1" t="s">
        <v>1443</v>
      </c>
      <c r="B32" s="1" t="s">
        <v>1444</v>
      </c>
      <c r="C32" s="1" t="s">
        <v>1407</v>
      </c>
      <c r="D32" s="1" t="s">
        <v>1408</v>
      </c>
      <c r="E32" s="1" t="n">
        <v>1</v>
      </c>
      <c r="F32" s="1" t="n">
        <v>4</v>
      </c>
      <c r="G32" s="1" t="s">
        <v>1442</v>
      </c>
      <c r="H32" s="1" t="s">
        <v>1445</v>
      </c>
      <c r="I32" s="1" t="s">
        <v>1417</v>
      </c>
      <c r="J32" s="1" t="s">
        <v>50</v>
      </c>
      <c r="K32" s="1" t="s">
        <v>62</v>
      </c>
    </row>
    <row r="33" customFormat="false" ht="15" hidden="false" customHeight="true" outlineLevel="0" collapsed="false">
      <c r="A33" s="1" t="s">
        <v>1446</v>
      </c>
      <c r="B33" s="1" t="s">
        <v>1447</v>
      </c>
      <c r="C33" s="1" t="s">
        <v>1407</v>
      </c>
      <c r="D33" s="1" t="s">
        <v>1408</v>
      </c>
      <c r="E33" s="1" t="n">
        <v>2</v>
      </c>
      <c r="F33" s="1" t="n">
        <v>2</v>
      </c>
      <c r="G33" s="1" t="s">
        <v>1442</v>
      </c>
      <c r="H33" s="1" t="s">
        <v>1448</v>
      </c>
      <c r="I33" s="1" t="s">
        <v>1410</v>
      </c>
      <c r="J33" s="1" t="s">
        <v>50</v>
      </c>
      <c r="K33" s="1" t="s">
        <v>62</v>
      </c>
    </row>
    <row r="34" customFormat="false" ht="15" hidden="false" customHeight="true" outlineLevel="0" collapsed="false">
      <c r="A34" s="42" t="s">
        <v>1449</v>
      </c>
      <c r="B34" s="42" t="s">
        <v>1399</v>
      </c>
      <c r="C34" s="42" t="s">
        <v>481</v>
      </c>
      <c r="D34" s="42" t="s">
        <v>703</v>
      </c>
      <c r="E34" s="42" t="n">
        <v>3</v>
      </c>
      <c r="F34" s="42" t="n">
        <v>28</v>
      </c>
      <c r="G34" s="42" t="s">
        <v>1323</v>
      </c>
      <c r="H34" s="42" t="s">
        <v>1450</v>
      </c>
      <c r="I34" s="42" t="s">
        <v>1451</v>
      </c>
      <c r="J34" s="42" t="s">
        <v>50</v>
      </c>
      <c r="K34" s="42" t="s">
        <v>484</v>
      </c>
    </row>
    <row r="35" customFormat="false" ht="15" hidden="false" customHeight="true" outlineLevel="0" collapsed="false">
      <c r="A35" s="42" t="s">
        <v>1452</v>
      </c>
      <c r="B35" s="42" t="s">
        <v>1322</v>
      </c>
      <c r="C35" s="42" t="s">
        <v>481</v>
      </c>
      <c r="D35" s="42" t="s">
        <v>703</v>
      </c>
      <c r="E35" s="42" t="n">
        <v>4</v>
      </c>
      <c r="F35" s="42" t="n">
        <v>22</v>
      </c>
      <c r="G35" s="42" t="s">
        <v>1323</v>
      </c>
      <c r="H35" s="42" t="s">
        <v>1355</v>
      </c>
      <c r="I35" s="42" t="s">
        <v>1453</v>
      </c>
      <c r="J35" s="42" t="s">
        <v>50</v>
      </c>
      <c r="K35" s="42" t="s">
        <v>484</v>
      </c>
    </row>
    <row r="36" customFormat="false" ht="15" hidden="false" customHeight="true" outlineLevel="0" collapsed="false">
      <c r="A36" s="42" t="s">
        <v>1454</v>
      </c>
      <c r="B36" s="42" t="s">
        <v>1383</v>
      </c>
      <c r="C36" s="42" t="s">
        <v>481</v>
      </c>
      <c r="D36" s="42" t="s">
        <v>1455</v>
      </c>
      <c r="E36" s="42" t="n">
        <v>3</v>
      </c>
      <c r="F36" s="42" t="n">
        <v>18</v>
      </c>
      <c r="G36" s="42" t="s">
        <v>1323</v>
      </c>
      <c r="H36" s="42" t="s">
        <v>1456</v>
      </c>
      <c r="I36" s="42" t="s">
        <v>1457</v>
      </c>
      <c r="J36" s="42" t="s">
        <v>50</v>
      </c>
      <c r="K36" s="42" t="s">
        <v>484</v>
      </c>
    </row>
    <row r="37" customFormat="false" ht="15" hidden="false" customHeight="true" outlineLevel="0" collapsed="false">
      <c r="A37" s="42" t="s">
        <v>1458</v>
      </c>
      <c r="B37" s="42" t="s">
        <v>1459</v>
      </c>
      <c r="C37" s="42" t="s">
        <v>491</v>
      </c>
      <c r="D37" s="42" t="s">
        <v>667</v>
      </c>
      <c r="E37" s="42" t="n">
        <v>3</v>
      </c>
      <c r="F37" s="42" t="n">
        <v>24</v>
      </c>
      <c r="G37" s="42" t="s">
        <v>1323</v>
      </c>
      <c r="H37" s="42" t="s">
        <v>1324</v>
      </c>
      <c r="I37" s="42" t="s">
        <v>1460</v>
      </c>
      <c r="J37" s="42" t="s">
        <v>50</v>
      </c>
      <c r="K37" s="42" t="s">
        <v>484</v>
      </c>
    </row>
    <row r="38" customFormat="false" ht="15" hidden="false" customHeight="true" outlineLevel="0" collapsed="false">
      <c r="A38" s="42" t="s">
        <v>1461</v>
      </c>
      <c r="B38" s="42" t="s">
        <v>1462</v>
      </c>
      <c r="C38" s="42" t="s">
        <v>491</v>
      </c>
      <c r="D38" s="42" t="s">
        <v>667</v>
      </c>
      <c r="E38" s="42" t="n">
        <v>4</v>
      </c>
      <c r="F38" s="42" t="n">
        <v>16</v>
      </c>
      <c r="G38" s="42" t="s">
        <v>1323</v>
      </c>
      <c r="H38" s="42" t="s">
        <v>1328</v>
      </c>
      <c r="I38" s="42" t="s">
        <v>1463</v>
      </c>
      <c r="J38" s="42" t="s">
        <v>50</v>
      </c>
      <c r="K38" s="42" t="s">
        <v>484</v>
      </c>
    </row>
    <row r="39" customFormat="false" ht="15" hidden="false" customHeight="true" outlineLevel="0" collapsed="false">
      <c r="A39" s="42" t="s">
        <v>1464</v>
      </c>
      <c r="B39" s="42" t="s">
        <v>1465</v>
      </c>
      <c r="C39" s="42" t="s">
        <v>509</v>
      </c>
      <c r="D39" s="42" t="s">
        <v>643</v>
      </c>
      <c r="E39" s="42" t="n">
        <v>4</v>
      </c>
      <c r="F39" s="42" t="n">
        <v>26</v>
      </c>
      <c r="G39" s="42" t="s">
        <v>1323</v>
      </c>
      <c r="H39" s="42" t="s">
        <v>1466</v>
      </c>
      <c r="I39" s="42" t="s">
        <v>1467</v>
      </c>
      <c r="J39" s="42" t="s">
        <v>50</v>
      </c>
      <c r="K39" s="42" t="s">
        <v>484</v>
      </c>
    </row>
    <row r="40" customFormat="false" ht="15" hidden="false" customHeight="true" outlineLevel="0" collapsed="false">
      <c r="A40" s="42" t="s">
        <v>1468</v>
      </c>
      <c r="B40" s="42" t="s">
        <v>1469</v>
      </c>
      <c r="C40" s="42" t="s">
        <v>509</v>
      </c>
      <c r="D40" s="42" t="s">
        <v>643</v>
      </c>
      <c r="E40" s="42" t="n">
        <v>4</v>
      </c>
      <c r="F40" s="42" t="n">
        <v>19</v>
      </c>
      <c r="G40" s="42" t="s">
        <v>1323</v>
      </c>
      <c r="H40" s="42" t="s">
        <v>1332</v>
      </c>
      <c r="I40" s="42" t="s">
        <v>1470</v>
      </c>
      <c r="J40" s="42" t="s">
        <v>50</v>
      </c>
      <c r="K40" s="42" t="s">
        <v>484</v>
      </c>
    </row>
    <row r="41" customFormat="false" ht="15" hidden="false" customHeight="true" outlineLevel="0" collapsed="false">
      <c r="A41" s="42" t="s">
        <v>1471</v>
      </c>
      <c r="B41" s="42" t="s">
        <v>1472</v>
      </c>
      <c r="C41" s="42" t="s">
        <v>509</v>
      </c>
      <c r="D41" s="42" t="s">
        <v>691</v>
      </c>
      <c r="E41" s="42" t="n">
        <v>3</v>
      </c>
      <c r="F41" s="42" t="n">
        <v>12</v>
      </c>
      <c r="G41" s="42" t="s">
        <v>1388</v>
      </c>
      <c r="H41" s="42" t="s">
        <v>1350</v>
      </c>
      <c r="I41" s="42" t="s">
        <v>1473</v>
      </c>
      <c r="J41" s="42" t="s">
        <v>50</v>
      </c>
      <c r="K41" s="42" t="s">
        <v>484</v>
      </c>
    </row>
    <row r="42" customFormat="false" ht="15" hidden="false" customHeight="true" outlineLevel="0" collapsed="false">
      <c r="A42" s="42" t="s">
        <v>1474</v>
      </c>
      <c r="B42" s="42" t="s">
        <v>1475</v>
      </c>
      <c r="C42" s="42" t="s">
        <v>499</v>
      </c>
      <c r="D42" s="42" t="s">
        <v>658</v>
      </c>
      <c r="E42" s="42" t="n">
        <v>3</v>
      </c>
      <c r="F42" s="42" t="n">
        <v>23</v>
      </c>
      <c r="G42" s="42" t="s">
        <v>1323</v>
      </c>
      <c r="H42" s="42" t="s">
        <v>1476</v>
      </c>
      <c r="I42" s="42" t="s">
        <v>1477</v>
      </c>
      <c r="J42" s="42" t="s">
        <v>50</v>
      </c>
      <c r="K42" s="42" t="s">
        <v>484</v>
      </c>
    </row>
    <row r="43" customFormat="false" ht="15" hidden="false" customHeight="true" outlineLevel="0" collapsed="false">
      <c r="A43" s="42" t="s">
        <v>1478</v>
      </c>
      <c r="B43" s="42" t="s">
        <v>1479</v>
      </c>
      <c r="C43" s="42" t="s">
        <v>499</v>
      </c>
      <c r="D43" s="42" t="s">
        <v>658</v>
      </c>
      <c r="E43" s="42" t="n">
        <v>4</v>
      </c>
      <c r="F43" s="42" t="n">
        <v>20</v>
      </c>
      <c r="G43" s="42" t="s">
        <v>1323</v>
      </c>
      <c r="H43" s="42" t="s">
        <v>1367</v>
      </c>
      <c r="I43" s="42" t="s">
        <v>1480</v>
      </c>
      <c r="J43" s="42" t="s">
        <v>50</v>
      </c>
      <c r="K43" s="42" t="s">
        <v>484</v>
      </c>
    </row>
    <row r="44" customFormat="false" ht="15" hidden="false" customHeight="true" outlineLevel="0" collapsed="false">
      <c r="A44" s="42" t="s">
        <v>1481</v>
      </c>
      <c r="B44" s="42" t="s">
        <v>1482</v>
      </c>
      <c r="C44" s="42" t="s">
        <v>499</v>
      </c>
      <c r="D44" s="42" t="s">
        <v>658</v>
      </c>
      <c r="E44" s="42" t="n">
        <v>3</v>
      </c>
      <c r="F44" s="42" t="n">
        <v>14</v>
      </c>
      <c r="G44" s="42" t="s">
        <v>1388</v>
      </c>
      <c r="H44" s="42" t="s">
        <v>1483</v>
      </c>
      <c r="I44" s="42" t="s">
        <v>1484</v>
      </c>
      <c r="J44" s="42" t="s">
        <v>50</v>
      </c>
      <c r="K44" s="42" t="s">
        <v>484</v>
      </c>
    </row>
    <row r="45" customFormat="false" ht="15" hidden="false" customHeight="true" outlineLevel="0" collapsed="false">
      <c r="A45" s="42" t="s">
        <v>1485</v>
      </c>
      <c r="B45" s="42" t="s">
        <v>1486</v>
      </c>
      <c r="C45" s="42" t="s">
        <v>532</v>
      </c>
      <c r="D45" s="42" t="s">
        <v>651</v>
      </c>
      <c r="E45" s="42" t="n">
        <v>3</v>
      </c>
      <c r="F45" s="42" t="n">
        <v>25</v>
      </c>
      <c r="G45" s="42" t="s">
        <v>1323</v>
      </c>
      <c r="H45" s="42" t="s">
        <v>1487</v>
      </c>
      <c r="I45" s="42" t="s">
        <v>1488</v>
      </c>
      <c r="J45" s="42" t="s">
        <v>50</v>
      </c>
      <c r="K45" s="42" t="s">
        <v>484</v>
      </c>
    </row>
    <row r="46" customFormat="false" ht="15" hidden="false" customHeight="true" outlineLevel="0" collapsed="false">
      <c r="A46" s="42" t="s">
        <v>1489</v>
      </c>
      <c r="B46" s="42" t="s">
        <v>1490</v>
      </c>
      <c r="C46" s="42" t="s">
        <v>532</v>
      </c>
      <c r="D46" s="42" t="s">
        <v>651</v>
      </c>
      <c r="E46" s="42" t="n">
        <v>3</v>
      </c>
      <c r="F46" s="42" t="n">
        <v>15</v>
      </c>
      <c r="G46" s="42" t="s">
        <v>1388</v>
      </c>
      <c r="H46" s="42" t="s">
        <v>1491</v>
      </c>
      <c r="I46" s="42" t="s">
        <v>1492</v>
      </c>
      <c r="J46" s="42" t="s">
        <v>50</v>
      </c>
      <c r="K46" s="42" t="s">
        <v>484</v>
      </c>
    </row>
    <row r="47" customFormat="false" ht="15" hidden="false" customHeight="true" outlineLevel="0" collapsed="false">
      <c r="A47" s="42" t="s">
        <v>1493</v>
      </c>
      <c r="B47" s="42" t="s">
        <v>1494</v>
      </c>
      <c r="C47" s="42" t="s">
        <v>1407</v>
      </c>
      <c r="D47" s="42" t="s">
        <v>691</v>
      </c>
      <c r="E47" s="42" t="n">
        <v>2</v>
      </c>
      <c r="F47" s="42" t="n">
        <v>60</v>
      </c>
      <c r="G47" s="42" t="s">
        <v>1323</v>
      </c>
      <c r="H47" s="42" t="s">
        <v>1495</v>
      </c>
      <c r="I47" s="42" t="s">
        <v>1496</v>
      </c>
      <c r="J47" s="42" t="s">
        <v>50</v>
      </c>
      <c r="K47" s="42" t="s">
        <v>484</v>
      </c>
    </row>
    <row r="48" customFormat="false" ht="15" hidden="false" customHeight="true" outlineLevel="0" collapsed="false">
      <c r="A48" s="42" t="s">
        <v>1497</v>
      </c>
      <c r="B48" s="42" t="s">
        <v>1498</v>
      </c>
      <c r="C48" s="42" t="s">
        <v>481</v>
      </c>
      <c r="D48" s="42" t="s">
        <v>703</v>
      </c>
      <c r="E48" s="42" t="n">
        <v>3</v>
      </c>
      <c r="F48" s="42" t="n">
        <v>30</v>
      </c>
      <c r="G48" s="42" t="s">
        <v>1323</v>
      </c>
      <c r="H48" s="42" t="s">
        <v>1466</v>
      </c>
      <c r="I48" s="42" t="s">
        <v>1499</v>
      </c>
      <c r="J48" s="42" t="s">
        <v>50</v>
      </c>
      <c r="K48" s="42" t="s">
        <v>484</v>
      </c>
    </row>
    <row r="49" customFormat="false" ht="15" hidden="false" customHeight="true" outlineLevel="0" collapsed="false">
      <c r="A49" s="42" t="s">
        <v>1500</v>
      </c>
      <c r="B49" s="42" t="s">
        <v>1406</v>
      </c>
      <c r="C49" s="42" t="s">
        <v>1407</v>
      </c>
      <c r="D49" s="42" t="s">
        <v>643</v>
      </c>
      <c r="E49" s="42" t="n">
        <v>3</v>
      </c>
      <c r="F49" s="42" t="n">
        <v>7</v>
      </c>
      <c r="G49" s="42" t="s">
        <v>1409</v>
      </c>
      <c r="H49" s="42" t="s">
        <v>1371</v>
      </c>
      <c r="I49" s="42" t="s">
        <v>1501</v>
      </c>
      <c r="J49" s="42" t="s">
        <v>50</v>
      </c>
      <c r="K49" s="42" t="s">
        <v>484</v>
      </c>
    </row>
    <row r="50" customFormat="false" ht="15" hidden="false" customHeight="true" outlineLevel="0" collapsed="false">
      <c r="A50" s="42" t="s">
        <v>1502</v>
      </c>
      <c r="B50" s="42" t="s">
        <v>1412</v>
      </c>
      <c r="C50" s="42" t="s">
        <v>1407</v>
      </c>
      <c r="D50" s="42" t="s">
        <v>667</v>
      </c>
      <c r="E50" s="42" t="n">
        <v>2</v>
      </c>
      <c r="F50" s="42" t="n">
        <v>5</v>
      </c>
      <c r="G50" s="42" t="s">
        <v>1409</v>
      </c>
      <c r="H50" s="42" t="s">
        <v>1503</v>
      </c>
      <c r="I50" s="42" t="s">
        <v>1501</v>
      </c>
      <c r="J50" s="42" t="s">
        <v>50</v>
      </c>
      <c r="K50" s="42" t="s">
        <v>484</v>
      </c>
    </row>
    <row r="51" customFormat="false" ht="15" hidden="false" customHeight="true" outlineLevel="0" collapsed="false">
      <c r="A51" s="42" t="s">
        <v>1504</v>
      </c>
      <c r="B51" s="42" t="s">
        <v>1415</v>
      </c>
      <c r="C51" s="42" t="s">
        <v>1407</v>
      </c>
      <c r="D51" s="42" t="s">
        <v>643</v>
      </c>
      <c r="E51" s="42" t="n">
        <v>1</v>
      </c>
      <c r="F51" s="42" t="n">
        <v>9</v>
      </c>
      <c r="G51" s="42" t="s">
        <v>1409</v>
      </c>
      <c r="H51" s="42" t="s">
        <v>1416</v>
      </c>
      <c r="I51" s="42" t="s">
        <v>1505</v>
      </c>
      <c r="J51" s="42" t="s">
        <v>50</v>
      </c>
      <c r="K51" s="42" t="s">
        <v>484</v>
      </c>
    </row>
    <row r="52" customFormat="false" ht="15" hidden="false" customHeight="true" outlineLevel="0" collapsed="false">
      <c r="A52" s="42" t="s">
        <v>1506</v>
      </c>
      <c r="B52" s="42" t="s">
        <v>1507</v>
      </c>
      <c r="C52" s="42" t="s">
        <v>532</v>
      </c>
      <c r="D52" s="42" t="s">
        <v>651</v>
      </c>
      <c r="E52" s="42" t="n">
        <v>3</v>
      </c>
      <c r="F52" s="42" t="n">
        <v>2</v>
      </c>
      <c r="G52" s="42" t="s">
        <v>1424</v>
      </c>
      <c r="H52" s="42" t="s">
        <v>1371</v>
      </c>
      <c r="I52" s="42" t="s">
        <v>1508</v>
      </c>
      <c r="J52" s="42" t="s">
        <v>50</v>
      </c>
      <c r="K52" s="42" t="s">
        <v>484</v>
      </c>
    </row>
    <row r="53" customFormat="false" ht="15" hidden="false" customHeight="true" outlineLevel="0" collapsed="false">
      <c r="A53" s="42" t="s">
        <v>1509</v>
      </c>
      <c r="B53" s="42" t="s">
        <v>1510</v>
      </c>
      <c r="C53" s="42" t="s">
        <v>509</v>
      </c>
      <c r="D53" s="42" t="s">
        <v>691</v>
      </c>
      <c r="E53" s="42" t="n">
        <v>3</v>
      </c>
      <c r="F53" s="42" t="n">
        <v>2</v>
      </c>
      <c r="G53" s="42" t="s">
        <v>1435</v>
      </c>
      <c r="H53" s="42" t="s">
        <v>1476</v>
      </c>
      <c r="I53" s="42" t="s">
        <v>1511</v>
      </c>
      <c r="J53" s="42" t="s">
        <v>50</v>
      </c>
      <c r="K53" s="42" t="s">
        <v>484</v>
      </c>
    </row>
    <row r="54" customFormat="false" ht="15" hidden="false" customHeight="true" outlineLevel="0" collapsed="false">
      <c r="A54" s="42" t="s">
        <v>1512</v>
      </c>
      <c r="B54" s="42" t="s">
        <v>1441</v>
      </c>
      <c r="C54" s="42" t="s">
        <v>1407</v>
      </c>
      <c r="D54" s="42" t="s">
        <v>703</v>
      </c>
      <c r="E54" s="42" t="n">
        <v>3</v>
      </c>
      <c r="F54" s="42" t="n">
        <v>4</v>
      </c>
      <c r="G54" s="42" t="s">
        <v>1442</v>
      </c>
      <c r="H54" s="42" t="s">
        <v>1350</v>
      </c>
      <c r="I54" s="42" t="s">
        <v>1513</v>
      </c>
      <c r="J54" s="42" t="s">
        <v>50</v>
      </c>
      <c r="K54" s="42" t="s">
        <v>484</v>
      </c>
    </row>
    <row r="55" customFormat="false" ht="15" hidden="false" customHeight="true" outlineLevel="0" collapsed="false">
      <c r="A55" s="42" t="s">
        <v>1514</v>
      </c>
      <c r="B55" s="42" t="s">
        <v>1444</v>
      </c>
      <c r="C55" s="42" t="s">
        <v>1407</v>
      </c>
      <c r="D55" s="42" t="s">
        <v>643</v>
      </c>
      <c r="E55" s="42" t="n">
        <v>1</v>
      </c>
      <c r="F55" s="42" t="n">
        <v>4</v>
      </c>
      <c r="G55" s="42" t="s">
        <v>1442</v>
      </c>
      <c r="H55" s="42" t="s">
        <v>1515</v>
      </c>
      <c r="I55" s="42" t="s">
        <v>1505</v>
      </c>
      <c r="J55" s="42" t="s">
        <v>50</v>
      </c>
      <c r="K55" s="42" t="s">
        <v>484</v>
      </c>
    </row>
    <row r="56" customFormat="false" ht="15" hidden="false" customHeight="true" outlineLevel="0" collapsed="false">
      <c r="A56" s="42" t="s">
        <v>1516</v>
      </c>
      <c r="B56" s="42" t="s">
        <v>1517</v>
      </c>
      <c r="C56" s="42" t="s">
        <v>134</v>
      </c>
      <c r="D56" s="42" t="s">
        <v>921</v>
      </c>
      <c r="E56" s="42" t="n">
        <v>3</v>
      </c>
      <c r="F56" s="42" t="n">
        <v>34</v>
      </c>
      <c r="G56" s="42" t="s">
        <v>1323</v>
      </c>
      <c r="H56" s="42" t="s">
        <v>1324</v>
      </c>
      <c r="I56" s="42" t="s">
        <v>1518</v>
      </c>
      <c r="J56" s="42" t="s">
        <v>50</v>
      </c>
      <c r="K56" s="42" t="s">
        <v>786</v>
      </c>
    </row>
    <row r="57" customFormat="false" ht="15" hidden="false" customHeight="true" outlineLevel="0" collapsed="false">
      <c r="A57" s="42" t="s">
        <v>1519</v>
      </c>
      <c r="B57" s="42" t="s">
        <v>1362</v>
      </c>
      <c r="C57" s="42" t="s">
        <v>134</v>
      </c>
      <c r="D57" s="42" t="s">
        <v>1520</v>
      </c>
      <c r="E57" s="42" t="n">
        <v>3</v>
      </c>
      <c r="F57" s="42" t="n">
        <v>26</v>
      </c>
      <c r="G57" s="42" t="s">
        <v>1323</v>
      </c>
      <c r="H57" s="42" t="s">
        <v>1363</v>
      </c>
      <c r="I57" s="42" t="s">
        <v>1521</v>
      </c>
      <c r="J57" s="42" t="s">
        <v>50</v>
      </c>
      <c r="K57" s="42" t="s">
        <v>786</v>
      </c>
    </row>
    <row r="58" customFormat="false" ht="15" hidden="false" customHeight="true" outlineLevel="0" collapsed="false">
      <c r="A58" s="42" t="s">
        <v>1522</v>
      </c>
      <c r="B58" s="42" t="s">
        <v>1523</v>
      </c>
      <c r="C58" s="42" t="s">
        <v>793</v>
      </c>
      <c r="D58" s="42" t="s">
        <v>928</v>
      </c>
      <c r="E58" s="42" t="n">
        <v>3</v>
      </c>
      <c r="F58" s="42" t="n">
        <v>30</v>
      </c>
      <c r="G58" s="42" t="s">
        <v>1323</v>
      </c>
      <c r="H58" s="42" t="s">
        <v>1332</v>
      </c>
      <c r="I58" s="42" t="s">
        <v>1524</v>
      </c>
      <c r="J58" s="42" t="s">
        <v>50</v>
      </c>
      <c r="K58" s="42" t="s">
        <v>786</v>
      </c>
    </row>
    <row r="59" customFormat="false" ht="15" hidden="false" customHeight="true" outlineLevel="0" collapsed="false">
      <c r="A59" s="42" t="s">
        <v>1525</v>
      </c>
      <c r="B59" s="42" t="s">
        <v>1526</v>
      </c>
      <c r="C59" s="42" t="s">
        <v>793</v>
      </c>
      <c r="D59" s="42" t="s">
        <v>1527</v>
      </c>
      <c r="E59" s="42" t="n">
        <v>4</v>
      </c>
      <c r="F59" s="42" t="n">
        <v>22</v>
      </c>
      <c r="G59" s="42" t="s">
        <v>1323</v>
      </c>
      <c r="H59" s="42" t="s">
        <v>1336</v>
      </c>
      <c r="I59" s="42" t="s">
        <v>1528</v>
      </c>
      <c r="J59" s="42" t="s">
        <v>50</v>
      </c>
      <c r="K59" s="42" t="s">
        <v>786</v>
      </c>
    </row>
    <row r="60" customFormat="false" ht="15" hidden="false" customHeight="true" outlineLevel="0" collapsed="false">
      <c r="A60" s="42" t="s">
        <v>1529</v>
      </c>
      <c r="B60" s="42" t="s">
        <v>1530</v>
      </c>
      <c r="C60" s="42" t="s">
        <v>800</v>
      </c>
      <c r="D60" s="42" t="s">
        <v>934</v>
      </c>
      <c r="E60" s="42" t="n">
        <v>3</v>
      </c>
      <c r="F60" s="42" t="n">
        <v>28</v>
      </c>
      <c r="G60" s="42" t="s">
        <v>1323</v>
      </c>
      <c r="H60" s="42" t="s">
        <v>1355</v>
      </c>
      <c r="I60" s="42" t="s">
        <v>1531</v>
      </c>
      <c r="J60" s="42" t="s">
        <v>50</v>
      </c>
      <c r="K60" s="42" t="s">
        <v>786</v>
      </c>
    </row>
    <row r="61" customFormat="false" ht="15" hidden="false" customHeight="true" outlineLevel="0" collapsed="false">
      <c r="A61" s="42" t="s">
        <v>1532</v>
      </c>
      <c r="B61" s="42" t="s">
        <v>1533</v>
      </c>
      <c r="C61" s="42" t="s">
        <v>800</v>
      </c>
      <c r="D61" s="42" t="s">
        <v>934</v>
      </c>
      <c r="E61" s="42" t="n">
        <v>3</v>
      </c>
      <c r="F61" s="42" t="n">
        <v>18</v>
      </c>
      <c r="G61" s="42" t="s">
        <v>1388</v>
      </c>
      <c r="H61" s="42" t="s">
        <v>1389</v>
      </c>
      <c r="I61" s="42" t="s">
        <v>1534</v>
      </c>
      <c r="J61" s="42" t="s">
        <v>50</v>
      </c>
      <c r="K61" s="42" t="s">
        <v>786</v>
      </c>
    </row>
    <row r="62" customFormat="false" ht="15" hidden="false" customHeight="true" outlineLevel="0" collapsed="false">
      <c r="A62" s="42" t="s">
        <v>1535</v>
      </c>
      <c r="B62" s="42" t="s">
        <v>1536</v>
      </c>
      <c r="C62" s="42" t="s">
        <v>813</v>
      </c>
      <c r="D62" s="42" t="s">
        <v>1537</v>
      </c>
      <c r="E62" s="42" t="n">
        <v>3</v>
      </c>
      <c r="F62" s="42" t="n">
        <v>35</v>
      </c>
      <c r="G62" s="42" t="s">
        <v>1323</v>
      </c>
      <c r="H62" s="42" t="s">
        <v>1367</v>
      </c>
      <c r="I62" s="42" t="s">
        <v>1538</v>
      </c>
      <c r="J62" s="42" t="s">
        <v>50</v>
      </c>
      <c r="K62" s="42" t="s">
        <v>786</v>
      </c>
    </row>
    <row r="63" customFormat="false" ht="15" hidden="false" customHeight="true" outlineLevel="0" collapsed="false">
      <c r="A63" s="42" t="s">
        <v>1539</v>
      </c>
      <c r="B63" s="42" t="s">
        <v>1540</v>
      </c>
      <c r="C63" s="42" t="s">
        <v>813</v>
      </c>
      <c r="D63" s="42" t="s">
        <v>1541</v>
      </c>
      <c r="E63" s="42" t="n">
        <v>3</v>
      </c>
      <c r="F63" s="42" t="n">
        <v>20</v>
      </c>
      <c r="G63" s="42" t="s">
        <v>1323</v>
      </c>
      <c r="H63" s="42" t="s">
        <v>1350</v>
      </c>
      <c r="I63" s="42" t="s">
        <v>1542</v>
      </c>
      <c r="J63" s="42" t="s">
        <v>50</v>
      </c>
      <c r="K63" s="42" t="s">
        <v>786</v>
      </c>
    </row>
    <row r="64" customFormat="false" ht="15" hidden="false" customHeight="true" outlineLevel="0" collapsed="false">
      <c r="A64" s="42" t="s">
        <v>1543</v>
      </c>
      <c r="B64" s="42" t="s">
        <v>1322</v>
      </c>
      <c r="C64" s="42" t="s">
        <v>808</v>
      </c>
      <c r="D64" s="42" t="s">
        <v>942</v>
      </c>
      <c r="E64" s="42" t="n">
        <v>4</v>
      </c>
      <c r="F64" s="42" t="n">
        <v>24</v>
      </c>
      <c r="G64" s="42" t="s">
        <v>1323</v>
      </c>
      <c r="H64" s="42" t="s">
        <v>1324</v>
      </c>
      <c r="I64" s="42" t="s">
        <v>1544</v>
      </c>
      <c r="J64" s="42" t="s">
        <v>50</v>
      </c>
      <c r="K64" s="42" t="s">
        <v>786</v>
      </c>
    </row>
    <row r="65" customFormat="false" ht="15" hidden="false" customHeight="true" outlineLevel="0" collapsed="false">
      <c r="A65" s="42" t="s">
        <v>1545</v>
      </c>
      <c r="B65" s="42" t="s">
        <v>1546</v>
      </c>
      <c r="C65" s="42" t="s">
        <v>808</v>
      </c>
      <c r="D65" s="42" t="s">
        <v>942</v>
      </c>
      <c r="E65" s="42" t="n">
        <v>3</v>
      </c>
      <c r="F65" s="42" t="n">
        <v>19</v>
      </c>
      <c r="G65" s="42" t="s">
        <v>1323</v>
      </c>
      <c r="H65" s="42" t="s">
        <v>1384</v>
      </c>
      <c r="I65" s="42" t="s">
        <v>1547</v>
      </c>
      <c r="J65" s="42" t="s">
        <v>50</v>
      </c>
      <c r="K65" s="42" t="s">
        <v>786</v>
      </c>
    </row>
    <row r="66" customFormat="false" ht="15" hidden="false" customHeight="true" outlineLevel="0" collapsed="false">
      <c r="A66" s="42" t="s">
        <v>1548</v>
      </c>
      <c r="B66" s="42" t="s">
        <v>1549</v>
      </c>
      <c r="C66" s="42" t="s">
        <v>808</v>
      </c>
      <c r="D66" s="42" t="s">
        <v>1550</v>
      </c>
      <c r="E66" s="42" t="n">
        <v>4</v>
      </c>
      <c r="F66" s="42" t="n">
        <v>16</v>
      </c>
      <c r="G66" s="42" t="s">
        <v>1323</v>
      </c>
      <c r="H66" s="42" t="s">
        <v>1551</v>
      </c>
      <c r="I66" s="42" t="s">
        <v>1552</v>
      </c>
      <c r="J66" s="42" t="s">
        <v>50</v>
      </c>
      <c r="K66" s="42" t="s">
        <v>786</v>
      </c>
    </row>
    <row r="67" customFormat="false" ht="15" hidden="false" customHeight="true" outlineLevel="0" collapsed="false">
      <c r="A67" s="42" t="s">
        <v>1553</v>
      </c>
      <c r="B67" s="42" t="s">
        <v>1374</v>
      </c>
      <c r="C67" s="42" t="s">
        <v>808</v>
      </c>
      <c r="D67" s="42" t="s">
        <v>1554</v>
      </c>
      <c r="E67" s="42" t="n">
        <v>4</v>
      </c>
      <c r="F67" s="42" t="n">
        <v>38</v>
      </c>
      <c r="G67" s="42" t="s">
        <v>1323</v>
      </c>
      <c r="H67" s="42" t="s">
        <v>1376</v>
      </c>
      <c r="I67" s="42" t="s">
        <v>1555</v>
      </c>
      <c r="J67" s="42" t="s">
        <v>50</v>
      </c>
      <c r="K67" s="42" t="s">
        <v>786</v>
      </c>
    </row>
    <row r="68" customFormat="false" ht="15" hidden="false" customHeight="true" outlineLevel="0" collapsed="false">
      <c r="A68" s="42" t="s">
        <v>1556</v>
      </c>
      <c r="B68" s="42" t="s">
        <v>1557</v>
      </c>
      <c r="C68" s="42" t="s">
        <v>819</v>
      </c>
      <c r="D68" s="42" t="s">
        <v>949</v>
      </c>
      <c r="E68" s="42" t="n">
        <v>3</v>
      </c>
      <c r="F68" s="42" t="n">
        <v>25</v>
      </c>
      <c r="G68" s="42" t="s">
        <v>1323</v>
      </c>
      <c r="H68" s="42" t="s">
        <v>1328</v>
      </c>
      <c r="I68" s="42" t="s">
        <v>1558</v>
      </c>
      <c r="J68" s="42" t="s">
        <v>50</v>
      </c>
      <c r="K68" s="42" t="s">
        <v>786</v>
      </c>
    </row>
    <row r="69" customFormat="false" ht="15" hidden="false" customHeight="true" outlineLevel="0" collapsed="false">
      <c r="A69" s="42" t="s">
        <v>1559</v>
      </c>
      <c r="B69" s="42" t="s">
        <v>1560</v>
      </c>
      <c r="C69" s="42" t="s">
        <v>819</v>
      </c>
      <c r="D69" s="42" t="s">
        <v>1561</v>
      </c>
      <c r="E69" s="42" t="n">
        <v>3</v>
      </c>
      <c r="F69" s="42" t="n">
        <v>17</v>
      </c>
      <c r="G69" s="42" t="s">
        <v>1388</v>
      </c>
      <c r="H69" s="42" t="s">
        <v>1562</v>
      </c>
      <c r="I69" s="42" t="s">
        <v>1563</v>
      </c>
      <c r="J69" s="42" t="s">
        <v>50</v>
      </c>
      <c r="K69" s="42" t="s">
        <v>786</v>
      </c>
    </row>
    <row r="70" customFormat="false" ht="15" hidden="false" customHeight="true" outlineLevel="0" collapsed="false">
      <c r="A70" s="42" t="s">
        <v>1564</v>
      </c>
      <c r="B70" s="42" t="s">
        <v>1565</v>
      </c>
      <c r="C70" s="42" t="s">
        <v>819</v>
      </c>
      <c r="D70" s="42" t="s">
        <v>949</v>
      </c>
      <c r="E70" s="42" t="n">
        <v>3</v>
      </c>
      <c r="F70" s="42" t="n">
        <v>21</v>
      </c>
      <c r="G70" s="42" t="s">
        <v>1323</v>
      </c>
      <c r="H70" s="42" t="s">
        <v>1371</v>
      </c>
      <c r="I70" s="42" t="s">
        <v>1566</v>
      </c>
      <c r="J70" s="42" t="s">
        <v>50</v>
      </c>
      <c r="K70" s="42" t="s">
        <v>786</v>
      </c>
    </row>
    <row r="71" customFormat="false" ht="15" hidden="false" customHeight="true" outlineLevel="0" collapsed="false">
      <c r="A71" s="42" t="s">
        <v>1567</v>
      </c>
      <c r="B71" s="42" t="s">
        <v>1402</v>
      </c>
      <c r="C71" s="42" t="s">
        <v>1568</v>
      </c>
      <c r="D71" s="42" t="s">
        <v>934</v>
      </c>
      <c r="E71" s="42" t="n">
        <v>2</v>
      </c>
      <c r="F71" s="42" t="n">
        <v>70</v>
      </c>
      <c r="G71" s="42" t="s">
        <v>1323</v>
      </c>
      <c r="H71" s="42" t="s">
        <v>1403</v>
      </c>
      <c r="I71" s="42" t="s">
        <v>1569</v>
      </c>
      <c r="J71" s="42" t="s">
        <v>50</v>
      </c>
      <c r="K71" s="42" t="s">
        <v>786</v>
      </c>
    </row>
    <row r="72" customFormat="false" ht="15" hidden="false" customHeight="true" outlineLevel="0" collapsed="false">
      <c r="A72" s="42" t="s">
        <v>1570</v>
      </c>
      <c r="B72" s="42" t="s">
        <v>1406</v>
      </c>
      <c r="C72" s="42" t="s">
        <v>1568</v>
      </c>
      <c r="D72" s="42" t="s">
        <v>942</v>
      </c>
      <c r="E72" s="42" t="n">
        <v>3</v>
      </c>
      <c r="F72" s="42" t="n">
        <v>8</v>
      </c>
      <c r="G72" s="42" t="s">
        <v>1409</v>
      </c>
      <c r="H72" s="42" t="s">
        <v>1371</v>
      </c>
      <c r="I72" s="42" t="s">
        <v>1501</v>
      </c>
      <c r="J72" s="42" t="s">
        <v>50</v>
      </c>
      <c r="K72" s="42" t="s">
        <v>786</v>
      </c>
    </row>
    <row r="73" customFormat="false" ht="15" hidden="false" customHeight="true" outlineLevel="0" collapsed="false">
      <c r="A73" s="42" t="s">
        <v>1571</v>
      </c>
      <c r="B73" s="42" t="s">
        <v>1412</v>
      </c>
      <c r="C73" s="42" t="s">
        <v>1568</v>
      </c>
      <c r="D73" s="42" t="s">
        <v>928</v>
      </c>
      <c r="E73" s="42" t="n">
        <v>2</v>
      </c>
      <c r="F73" s="42" t="n">
        <v>6</v>
      </c>
      <c r="G73" s="42" t="s">
        <v>1409</v>
      </c>
      <c r="H73" s="42" t="s">
        <v>1413</v>
      </c>
      <c r="I73" s="42" t="s">
        <v>1501</v>
      </c>
      <c r="J73" s="42" t="s">
        <v>50</v>
      </c>
      <c r="K73" s="42" t="s">
        <v>786</v>
      </c>
    </row>
    <row r="74" customFormat="false" ht="15" hidden="false" customHeight="true" outlineLevel="0" collapsed="false">
      <c r="A74" s="42" t="s">
        <v>1572</v>
      </c>
      <c r="B74" s="42" t="s">
        <v>1415</v>
      </c>
      <c r="C74" s="42" t="s">
        <v>1568</v>
      </c>
      <c r="D74" s="42" t="s">
        <v>921</v>
      </c>
      <c r="E74" s="42" t="n">
        <v>1</v>
      </c>
      <c r="F74" s="42" t="n">
        <v>10</v>
      </c>
      <c r="G74" s="42" t="s">
        <v>1409</v>
      </c>
      <c r="H74" s="42" t="s">
        <v>1416</v>
      </c>
      <c r="I74" s="42" t="s">
        <v>1505</v>
      </c>
      <c r="J74" s="42" t="s">
        <v>50</v>
      </c>
      <c r="K74" s="42" t="s">
        <v>786</v>
      </c>
    </row>
    <row r="75" customFormat="false" ht="15" hidden="false" customHeight="true" outlineLevel="0" collapsed="false">
      <c r="A75" s="42" t="s">
        <v>1573</v>
      </c>
      <c r="B75" s="42" t="s">
        <v>1574</v>
      </c>
      <c r="C75" s="42" t="s">
        <v>793</v>
      </c>
      <c r="D75" s="42" t="s">
        <v>928</v>
      </c>
      <c r="E75" s="42" t="n">
        <v>3</v>
      </c>
      <c r="F75" s="42" t="n">
        <v>3</v>
      </c>
      <c r="G75" s="42" t="s">
        <v>1424</v>
      </c>
      <c r="H75" s="42" t="s">
        <v>1371</v>
      </c>
      <c r="I75" s="42" t="s">
        <v>1575</v>
      </c>
      <c r="J75" s="42" t="s">
        <v>50</v>
      </c>
      <c r="K75" s="42" t="s">
        <v>786</v>
      </c>
    </row>
    <row r="76" customFormat="false" ht="15" hidden="false" customHeight="true" outlineLevel="0" collapsed="false">
      <c r="A76" s="42" t="s">
        <v>1576</v>
      </c>
      <c r="B76" s="42" t="s">
        <v>1577</v>
      </c>
      <c r="C76" s="42" t="s">
        <v>134</v>
      </c>
      <c r="D76" s="42" t="s">
        <v>921</v>
      </c>
      <c r="E76" s="42" t="n">
        <v>3</v>
      </c>
      <c r="F76" s="42" t="n">
        <v>2</v>
      </c>
      <c r="G76" s="42" t="s">
        <v>1578</v>
      </c>
      <c r="H76" s="42" t="s">
        <v>1380</v>
      </c>
      <c r="I76" s="42" t="s">
        <v>1579</v>
      </c>
      <c r="J76" s="42" t="s">
        <v>50</v>
      </c>
      <c r="K76" s="42" t="s">
        <v>786</v>
      </c>
    </row>
    <row r="77" customFormat="false" ht="15" hidden="false" customHeight="true" outlineLevel="0" collapsed="false">
      <c r="A77" s="42" t="s">
        <v>1580</v>
      </c>
      <c r="B77" s="42" t="s">
        <v>1441</v>
      </c>
      <c r="C77" s="42" t="s">
        <v>1568</v>
      </c>
      <c r="D77" s="42" t="s">
        <v>942</v>
      </c>
      <c r="E77" s="42" t="n">
        <v>3</v>
      </c>
      <c r="F77" s="42" t="n">
        <v>4</v>
      </c>
      <c r="G77" s="42" t="s">
        <v>1442</v>
      </c>
      <c r="H77" s="42" t="s">
        <v>1350</v>
      </c>
      <c r="I77" s="42" t="s">
        <v>1513</v>
      </c>
      <c r="J77" s="42" t="s">
        <v>50</v>
      </c>
      <c r="K77" s="42" t="s">
        <v>786</v>
      </c>
    </row>
    <row r="78" customFormat="false" ht="15" hidden="false" customHeight="true" outlineLevel="0" collapsed="false">
      <c r="A78" s="42" t="s">
        <v>1581</v>
      </c>
      <c r="B78" s="42" t="s">
        <v>1444</v>
      </c>
      <c r="C78" s="42" t="s">
        <v>1568</v>
      </c>
      <c r="D78" s="42" t="s">
        <v>921</v>
      </c>
      <c r="E78" s="42" t="n">
        <v>1</v>
      </c>
      <c r="F78" s="42" t="n">
        <v>4</v>
      </c>
      <c r="G78" s="42" t="s">
        <v>1442</v>
      </c>
      <c r="H78" s="42" t="s">
        <v>1445</v>
      </c>
      <c r="I78" s="42" t="s">
        <v>1505</v>
      </c>
      <c r="J78" s="42" t="s">
        <v>50</v>
      </c>
      <c r="K78" s="42" t="s">
        <v>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22"/>
    <col collapsed="false" customWidth="true" hidden="false" outlineLevel="0" max="4" min="4" style="1" width="10"/>
    <col collapsed="false" customWidth="true" hidden="false" outlineLevel="0" max="5" min="5" style="1" width="28"/>
    <col collapsed="false" customWidth="true" hidden="false" outlineLevel="0" max="7" min="6" style="1" width="12"/>
    <col collapsed="false" customWidth="true" hidden="false" outlineLevel="0" max="8" min="8" style="1" width="10"/>
    <col collapsed="false" customWidth="true" hidden="false" outlineLevel="0" max="9" min="9" style="1" width="14"/>
  </cols>
  <sheetData>
    <row r="1" customFormat="false" ht="30" hidden="false" customHeight="true" outlineLevel="0" collapsed="false">
      <c r="A1" s="41" t="s">
        <v>1582</v>
      </c>
      <c r="B1" s="41" t="s">
        <v>0</v>
      </c>
      <c r="C1" s="41" t="s">
        <v>1583</v>
      </c>
      <c r="D1" s="41" t="s">
        <v>1313</v>
      </c>
      <c r="E1" s="41" t="s">
        <v>1584</v>
      </c>
      <c r="F1" s="41" t="s">
        <v>1585</v>
      </c>
      <c r="G1" s="41" t="s">
        <v>12</v>
      </c>
      <c r="H1" s="41" t="s">
        <v>1586</v>
      </c>
      <c r="I1" s="41" t="s">
        <v>1587</v>
      </c>
      <c r="J1" s="41" t="s">
        <v>35</v>
      </c>
    </row>
    <row r="2" customFormat="false" ht="15" hidden="false" customHeight="true" outlineLevel="0" collapsed="false">
      <c r="A2" s="42" t="s">
        <v>1588</v>
      </c>
      <c r="B2" s="42" t="s">
        <v>40</v>
      </c>
      <c r="C2" s="42" t="s">
        <v>41</v>
      </c>
      <c r="D2" s="42" t="s">
        <v>1321</v>
      </c>
      <c r="E2" s="42" t="s">
        <v>1322</v>
      </c>
      <c r="F2" s="42" t="s">
        <v>768</v>
      </c>
      <c r="G2" s="42" t="s">
        <v>1589</v>
      </c>
      <c r="H2" s="42" t="n">
        <v>82</v>
      </c>
      <c r="I2" s="44" t="n">
        <v>85</v>
      </c>
      <c r="J2" s="44" t="s">
        <v>62</v>
      </c>
    </row>
    <row r="3" customFormat="false" ht="15" hidden="false" customHeight="true" outlineLevel="0" collapsed="false">
      <c r="A3" s="43" t="s">
        <v>1590</v>
      </c>
      <c r="B3" s="43" t="s">
        <v>40</v>
      </c>
      <c r="C3" s="43" t="s">
        <v>41</v>
      </c>
      <c r="D3" s="43" t="s">
        <v>1326</v>
      </c>
      <c r="E3" s="43" t="s">
        <v>1327</v>
      </c>
      <c r="F3" s="43" t="s">
        <v>768</v>
      </c>
      <c r="G3" s="43" t="s">
        <v>1589</v>
      </c>
      <c r="H3" s="43" t="n">
        <v>88</v>
      </c>
      <c r="I3" s="45" t="n">
        <v>87</v>
      </c>
      <c r="J3" s="45" t="s">
        <v>62</v>
      </c>
    </row>
    <row r="4" customFormat="false" ht="15" hidden="false" customHeight="true" outlineLevel="0" collapsed="false">
      <c r="A4" s="42" t="s">
        <v>1591</v>
      </c>
      <c r="B4" s="42" t="s">
        <v>40</v>
      </c>
      <c r="C4" s="42" t="s">
        <v>41</v>
      </c>
      <c r="D4" s="42" t="s">
        <v>1373</v>
      </c>
      <c r="E4" s="42" t="s">
        <v>1374</v>
      </c>
      <c r="F4" s="42" t="s">
        <v>768</v>
      </c>
      <c r="G4" s="42" t="s">
        <v>1589</v>
      </c>
      <c r="H4" s="42" t="n">
        <v>75</v>
      </c>
      <c r="I4" s="44" t="n">
        <v>78</v>
      </c>
      <c r="J4" s="44" t="s">
        <v>62</v>
      </c>
    </row>
    <row r="5" customFormat="false" ht="15" hidden="false" customHeight="true" outlineLevel="0" collapsed="false">
      <c r="A5" s="43" t="s">
        <v>1592</v>
      </c>
      <c r="B5" s="43" t="s">
        <v>40</v>
      </c>
      <c r="C5" s="43" t="s">
        <v>41</v>
      </c>
      <c r="D5" s="43" t="s">
        <v>1401</v>
      </c>
      <c r="E5" s="43" t="s">
        <v>1402</v>
      </c>
      <c r="F5" s="43" t="s">
        <v>768</v>
      </c>
      <c r="G5" s="43" t="s">
        <v>1589</v>
      </c>
      <c r="H5" s="43" t="n">
        <v>90</v>
      </c>
      <c r="I5" s="45" t="n">
        <v>91</v>
      </c>
      <c r="J5" s="45" t="s">
        <v>62</v>
      </c>
    </row>
    <row r="6" customFormat="false" ht="15" hidden="false" customHeight="true" outlineLevel="0" collapsed="false">
      <c r="A6" s="42" t="s">
        <v>1593</v>
      </c>
      <c r="B6" s="42" t="s">
        <v>65</v>
      </c>
      <c r="C6" s="42" t="s">
        <v>66</v>
      </c>
      <c r="D6" s="42" t="s">
        <v>1330</v>
      </c>
      <c r="E6" s="42" t="s">
        <v>1331</v>
      </c>
      <c r="F6" s="42" t="s">
        <v>768</v>
      </c>
      <c r="G6" s="42" t="s">
        <v>1589</v>
      </c>
      <c r="H6" s="42" t="n">
        <v>72</v>
      </c>
      <c r="I6" s="44" t="n">
        <v>74</v>
      </c>
      <c r="J6" s="44" t="s">
        <v>62</v>
      </c>
    </row>
    <row r="7" customFormat="false" ht="15" hidden="false" customHeight="true" outlineLevel="0" collapsed="false">
      <c r="A7" s="43" t="s">
        <v>1594</v>
      </c>
      <c r="B7" s="43" t="s">
        <v>65</v>
      </c>
      <c r="C7" s="43" t="s">
        <v>66</v>
      </c>
      <c r="D7" s="43" t="s">
        <v>1391</v>
      </c>
      <c r="E7" s="43" t="s">
        <v>1392</v>
      </c>
      <c r="F7" s="43" t="s">
        <v>768</v>
      </c>
      <c r="G7" s="43" t="s">
        <v>1589</v>
      </c>
      <c r="H7" s="43" t="n">
        <v>68</v>
      </c>
      <c r="I7" s="45" t="n">
        <v>70</v>
      </c>
      <c r="J7" s="45" t="s">
        <v>62</v>
      </c>
    </row>
    <row r="8" customFormat="false" ht="15" hidden="false" customHeight="true" outlineLevel="0" collapsed="false">
      <c r="A8" s="42" t="s">
        <v>1595</v>
      </c>
      <c r="B8" s="42" t="s">
        <v>65</v>
      </c>
      <c r="C8" s="42" t="s">
        <v>66</v>
      </c>
      <c r="D8" s="42" t="s">
        <v>1373</v>
      </c>
      <c r="E8" s="42" t="s">
        <v>1374</v>
      </c>
      <c r="F8" s="42" t="s">
        <v>768</v>
      </c>
      <c r="G8" s="42" t="s">
        <v>1589</v>
      </c>
      <c r="H8" s="42" t="n">
        <v>65</v>
      </c>
      <c r="I8" s="44" t="n">
        <v>67</v>
      </c>
      <c r="J8" s="44" t="s">
        <v>62</v>
      </c>
    </row>
    <row r="9" customFormat="false" ht="15" hidden="false" customHeight="true" outlineLevel="0" collapsed="false">
      <c r="A9" s="43" t="s">
        <v>1596</v>
      </c>
      <c r="B9" s="43" t="s">
        <v>65</v>
      </c>
      <c r="C9" s="43" t="s">
        <v>66</v>
      </c>
      <c r="D9" s="43" t="s">
        <v>1401</v>
      </c>
      <c r="E9" s="43" t="s">
        <v>1402</v>
      </c>
      <c r="F9" s="43" t="s">
        <v>768</v>
      </c>
      <c r="G9" s="43" t="s">
        <v>1589</v>
      </c>
      <c r="H9" s="43" t="n">
        <v>78</v>
      </c>
      <c r="I9" s="45" t="n">
        <v>77</v>
      </c>
      <c r="J9" s="45" t="s">
        <v>62</v>
      </c>
    </row>
    <row r="10" customFormat="false" ht="15" hidden="false" customHeight="true" outlineLevel="0" collapsed="false">
      <c r="A10" s="42" t="s">
        <v>1597</v>
      </c>
      <c r="B10" s="42" t="s">
        <v>79</v>
      </c>
      <c r="C10" s="42" t="s">
        <v>80</v>
      </c>
      <c r="D10" s="42" t="s">
        <v>1338</v>
      </c>
      <c r="E10" s="42" t="s">
        <v>1339</v>
      </c>
      <c r="F10" s="42" t="s">
        <v>519</v>
      </c>
      <c r="G10" s="42" t="s">
        <v>1589</v>
      </c>
      <c r="H10" s="42" t="n">
        <v>80</v>
      </c>
      <c r="I10" s="44" t="n">
        <v>82</v>
      </c>
      <c r="J10" s="44" t="s">
        <v>62</v>
      </c>
    </row>
    <row r="11" customFormat="false" ht="15" hidden="false" customHeight="true" outlineLevel="0" collapsed="false">
      <c r="A11" s="43" t="s">
        <v>1598</v>
      </c>
      <c r="B11" s="43" t="s">
        <v>79</v>
      </c>
      <c r="C11" s="43" t="s">
        <v>80</v>
      </c>
      <c r="D11" s="43" t="s">
        <v>1373</v>
      </c>
      <c r="E11" s="43" t="s">
        <v>1374</v>
      </c>
      <c r="F11" s="43" t="s">
        <v>519</v>
      </c>
      <c r="G11" s="43" t="s">
        <v>1589</v>
      </c>
      <c r="H11" s="43" t="n">
        <v>76</v>
      </c>
      <c r="I11" s="45" t="n">
        <v>78</v>
      </c>
      <c r="J11" s="45" t="s">
        <v>62</v>
      </c>
    </row>
    <row r="12" customFormat="false" ht="15" hidden="false" customHeight="true" outlineLevel="0" collapsed="false">
      <c r="A12" s="42" t="s">
        <v>1599</v>
      </c>
      <c r="B12" s="42" t="s">
        <v>79</v>
      </c>
      <c r="C12" s="42" t="s">
        <v>80</v>
      </c>
      <c r="D12" s="42" t="s">
        <v>1386</v>
      </c>
      <c r="E12" s="42" t="s">
        <v>1387</v>
      </c>
      <c r="F12" s="42" t="s">
        <v>519</v>
      </c>
      <c r="G12" s="42" t="s">
        <v>1589</v>
      </c>
      <c r="H12" s="42" t="n">
        <v>83</v>
      </c>
      <c r="I12" s="44" t="n">
        <v>84</v>
      </c>
      <c r="J12" s="44" t="s">
        <v>62</v>
      </c>
    </row>
    <row r="13" customFormat="false" ht="15" hidden="false" customHeight="true" outlineLevel="0" collapsed="false">
      <c r="A13" s="43" t="s">
        <v>1600</v>
      </c>
      <c r="B13" s="43" t="s">
        <v>79</v>
      </c>
      <c r="C13" s="43" t="s">
        <v>80</v>
      </c>
      <c r="D13" s="43" t="s">
        <v>1401</v>
      </c>
      <c r="E13" s="43" t="s">
        <v>1402</v>
      </c>
      <c r="F13" s="43" t="s">
        <v>519</v>
      </c>
      <c r="G13" s="43" t="s">
        <v>1589</v>
      </c>
      <c r="H13" s="43" t="n">
        <v>88</v>
      </c>
      <c r="I13" s="45" t="n">
        <v>89</v>
      </c>
      <c r="J13" s="45" t="s">
        <v>62</v>
      </c>
    </row>
    <row r="14" customFormat="false" ht="15" hidden="false" customHeight="true" outlineLevel="0" collapsed="false">
      <c r="A14" s="42" t="s">
        <v>1601</v>
      </c>
      <c r="B14" s="42" t="s">
        <v>96</v>
      </c>
      <c r="C14" s="42" t="s">
        <v>97</v>
      </c>
      <c r="D14" s="42" t="s">
        <v>1357</v>
      </c>
      <c r="E14" s="42" t="s">
        <v>1358</v>
      </c>
      <c r="F14" s="42" t="s">
        <v>683</v>
      </c>
      <c r="G14" s="42" t="s">
        <v>107</v>
      </c>
      <c r="H14" s="42" t="n">
        <v>91</v>
      </c>
      <c r="I14" s="44" t="n">
        <v>93</v>
      </c>
      <c r="J14" s="44" t="s">
        <v>62</v>
      </c>
    </row>
    <row r="15" customFormat="false" ht="15" hidden="false" customHeight="true" outlineLevel="0" collapsed="false">
      <c r="A15" s="43" t="s">
        <v>1602</v>
      </c>
      <c r="B15" s="43" t="s">
        <v>96</v>
      </c>
      <c r="C15" s="43" t="s">
        <v>97</v>
      </c>
      <c r="D15" s="43" t="s">
        <v>1352</v>
      </c>
      <c r="E15" s="43" t="s">
        <v>1353</v>
      </c>
      <c r="F15" s="43" t="s">
        <v>683</v>
      </c>
      <c r="G15" s="43" t="s">
        <v>107</v>
      </c>
      <c r="H15" s="43" t="n">
        <v>88</v>
      </c>
      <c r="I15" s="45" t="n">
        <v>90</v>
      </c>
      <c r="J15" s="45" t="s">
        <v>62</v>
      </c>
    </row>
    <row r="16" customFormat="false" ht="15" hidden="false" customHeight="true" outlineLevel="0" collapsed="false">
      <c r="A16" s="42" t="s">
        <v>1603</v>
      </c>
      <c r="B16" s="42" t="s">
        <v>96</v>
      </c>
      <c r="C16" s="42" t="s">
        <v>97</v>
      </c>
      <c r="D16" s="42" t="s">
        <v>1401</v>
      </c>
      <c r="E16" s="42" t="s">
        <v>1402</v>
      </c>
      <c r="F16" s="42" t="s">
        <v>683</v>
      </c>
      <c r="G16" s="42" t="s">
        <v>107</v>
      </c>
      <c r="H16" s="42" t="n">
        <v>92</v>
      </c>
      <c r="I16" s="44" t="n">
        <v>94</v>
      </c>
      <c r="J16" s="44" t="s">
        <v>62</v>
      </c>
    </row>
    <row r="17" customFormat="false" ht="15" hidden="false" customHeight="true" outlineLevel="0" collapsed="false">
      <c r="A17" s="43" t="s">
        <v>1604</v>
      </c>
      <c r="B17" s="43" t="s">
        <v>111</v>
      </c>
      <c r="C17" s="43" t="s">
        <v>112</v>
      </c>
      <c r="D17" s="43" t="s">
        <v>1373</v>
      </c>
      <c r="E17" s="43" t="s">
        <v>1374</v>
      </c>
      <c r="F17" s="43" t="s">
        <v>120</v>
      </c>
      <c r="G17" s="43" t="s">
        <v>1589</v>
      </c>
      <c r="H17" s="43" t="n">
        <v>48</v>
      </c>
      <c r="I17" s="45" t="n">
        <v>52</v>
      </c>
      <c r="J17" s="45" t="s">
        <v>62</v>
      </c>
    </row>
    <row r="18" customFormat="false" ht="15" hidden="false" customHeight="true" outlineLevel="0" collapsed="false">
      <c r="A18" s="42" t="s">
        <v>1605</v>
      </c>
      <c r="B18" s="42" t="s">
        <v>111</v>
      </c>
      <c r="C18" s="42" t="s">
        <v>112</v>
      </c>
      <c r="D18" s="42" t="s">
        <v>1378</v>
      </c>
      <c r="E18" s="42" t="s">
        <v>1379</v>
      </c>
      <c r="F18" s="42" t="s">
        <v>120</v>
      </c>
      <c r="G18" s="42" t="s">
        <v>1589</v>
      </c>
      <c r="H18" s="42" t="n">
        <v>55</v>
      </c>
      <c r="I18" s="44" t="n">
        <v>57</v>
      </c>
      <c r="J18" s="44" t="s">
        <v>62</v>
      </c>
    </row>
    <row r="19" customFormat="false" ht="15" hidden="false" customHeight="true" outlineLevel="0" collapsed="false">
      <c r="A19" s="43" t="s">
        <v>1606</v>
      </c>
      <c r="B19" s="43" t="s">
        <v>111</v>
      </c>
      <c r="C19" s="43" t="s">
        <v>112</v>
      </c>
      <c r="D19" s="43" t="s">
        <v>1401</v>
      </c>
      <c r="E19" s="43" t="s">
        <v>1402</v>
      </c>
      <c r="F19" s="43" t="s">
        <v>120</v>
      </c>
      <c r="G19" s="43" t="s">
        <v>1589</v>
      </c>
      <c r="H19" s="43" t="n">
        <v>60</v>
      </c>
      <c r="I19" s="45" t="n">
        <v>62</v>
      </c>
      <c r="J19" s="45" t="s">
        <v>62</v>
      </c>
    </row>
    <row r="20" customFormat="false" ht="15" hidden="false" customHeight="true" outlineLevel="0" collapsed="false">
      <c r="A20" s="42" t="s">
        <v>1607</v>
      </c>
      <c r="B20" s="42" t="s">
        <v>127</v>
      </c>
      <c r="C20" s="42" t="s">
        <v>128</v>
      </c>
      <c r="D20" s="42" t="s">
        <v>1361</v>
      </c>
      <c r="E20" s="42" t="s">
        <v>1362</v>
      </c>
      <c r="F20" s="42" t="s">
        <v>768</v>
      </c>
      <c r="G20" s="42" t="s">
        <v>1589</v>
      </c>
      <c r="H20" s="42" t="n">
        <v>74</v>
      </c>
      <c r="I20" s="44" t="n">
        <v>76</v>
      </c>
      <c r="J20" s="44" t="s">
        <v>62</v>
      </c>
    </row>
    <row r="21" customFormat="false" ht="15" hidden="false" customHeight="true" outlineLevel="0" collapsed="false">
      <c r="A21" s="43" t="s">
        <v>1608</v>
      </c>
      <c r="B21" s="43" t="s">
        <v>127</v>
      </c>
      <c r="C21" s="43" t="s">
        <v>128</v>
      </c>
      <c r="D21" s="43" t="s">
        <v>1365</v>
      </c>
      <c r="E21" s="43" t="s">
        <v>1366</v>
      </c>
      <c r="F21" s="43" t="s">
        <v>768</v>
      </c>
      <c r="G21" s="43" t="s">
        <v>1589</v>
      </c>
      <c r="H21" s="43" t="n">
        <v>71</v>
      </c>
      <c r="I21" s="45" t="n">
        <v>73</v>
      </c>
      <c r="J21" s="45" t="s">
        <v>62</v>
      </c>
    </row>
    <row r="22" customFormat="false" ht="15" hidden="false" customHeight="true" outlineLevel="0" collapsed="false">
      <c r="A22" s="42" t="s">
        <v>1609</v>
      </c>
      <c r="B22" s="42" t="s">
        <v>127</v>
      </c>
      <c r="C22" s="42" t="s">
        <v>128</v>
      </c>
      <c r="D22" s="42" t="s">
        <v>1401</v>
      </c>
      <c r="E22" s="42" t="s">
        <v>1402</v>
      </c>
      <c r="F22" s="42" t="s">
        <v>768</v>
      </c>
      <c r="G22" s="42" t="s">
        <v>1589</v>
      </c>
      <c r="H22" s="42" t="n">
        <v>79</v>
      </c>
      <c r="I22" s="44" t="n">
        <v>80</v>
      </c>
      <c r="J22" s="44" t="s">
        <v>62</v>
      </c>
    </row>
    <row r="23" customFormat="false" ht="15" hidden="false" customHeight="true" outlineLevel="0" collapsed="false">
      <c r="A23" s="43" t="s">
        <v>1610</v>
      </c>
      <c r="B23" s="43" t="s">
        <v>135</v>
      </c>
      <c r="C23" s="43" t="s">
        <v>136</v>
      </c>
      <c r="D23" s="43" t="s">
        <v>1352</v>
      </c>
      <c r="E23" s="43" t="s">
        <v>1353</v>
      </c>
      <c r="F23" s="43" t="s">
        <v>666</v>
      </c>
      <c r="G23" s="43" t="s">
        <v>1589</v>
      </c>
      <c r="H23" s="43" t="n">
        <v>84</v>
      </c>
      <c r="I23" s="45" t="n">
        <v>86</v>
      </c>
      <c r="J23" s="45" t="s">
        <v>62</v>
      </c>
    </row>
    <row r="24" customFormat="false" ht="15" hidden="false" customHeight="true" outlineLevel="0" collapsed="false">
      <c r="A24" s="42" t="s">
        <v>1611</v>
      </c>
      <c r="B24" s="42" t="s">
        <v>135</v>
      </c>
      <c r="C24" s="42" t="s">
        <v>136</v>
      </c>
      <c r="D24" s="42" t="s">
        <v>1386</v>
      </c>
      <c r="E24" s="42" t="s">
        <v>1387</v>
      </c>
      <c r="F24" s="42" t="s">
        <v>666</v>
      </c>
      <c r="G24" s="42" t="s">
        <v>1589</v>
      </c>
      <c r="H24" s="42" t="n">
        <v>80</v>
      </c>
      <c r="I24" s="44" t="n">
        <v>82</v>
      </c>
      <c r="J24" s="44" t="s">
        <v>62</v>
      </c>
    </row>
    <row r="25" customFormat="false" ht="15" hidden="false" customHeight="true" outlineLevel="0" collapsed="false">
      <c r="A25" s="43" t="s">
        <v>1612</v>
      </c>
      <c r="B25" s="43" t="s">
        <v>135</v>
      </c>
      <c r="C25" s="43" t="s">
        <v>136</v>
      </c>
      <c r="D25" s="43" t="s">
        <v>1373</v>
      </c>
      <c r="E25" s="43" t="s">
        <v>1374</v>
      </c>
      <c r="F25" s="43" t="s">
        <v>666</v>
      </c>
      <c r="G25" s="43" t="s">
        <v>1589</v>
      </c>
      <c r="H25" s="43" t="n">
        <v>77</v>
      </c>
      <c r="I25" s="45" t="n">
        <v>79</v>
      </c>
      <c r="J25" s="45" t="s">
        <v>62</v>
      </c>
    </row>
    <row r="26" customFormat="false" ht="15" hidden="false" customHeight="true" outlineLevel="0" collapsed="false">
      <c r="A26" s="42" t="s">
        <v>1613</v>
      </c>
      <c r="B26" s="42" t="s">
        <v>135</v>
      </c>
      <c r="C26" s="42" t="s">
        <v>136</v>
      </c>
      <c r="D26" s="42" t="s">
        <v>1401</v>
      </c>
      <c r="E26" s="42" t="s">
        <v>1402</v>
      </c>
      <c r="F26" s="42" t="s">
        <v>666</v>
      </c>
      <c r="G26" s="42" t="s">
        <v>1589</v>
      </c>
      <c r="H26" s="42" t="n">
        <v>88</v>
      </c>
      <c r="I26" s="44" t="n">
        <v>89</v>
      </c>
      <c r="J26" s="44" t="s">
        <v>62</v>
      </c>
    </row>
    <row r="27" customFormat="false" ht="15" hidden="false" customHeight="true" outlineLevel="0" collapsed="false">
      <c r="A27" s="43" t="s">
        <v>1614</v>
      </c>
      <c r="B27" s="43" t="s">
        <v>142</v>
      </c>
      <c r="C27" s="43" t="s">
        <v>143</v>
      </c>
      <c r="D27" s="43" t="s">
        <v>1347</v>
      </c>
      <c r="E27" s="43" t="s">
        <v>1348</v>
      </c>
      <c r="F27" s="43" t="s">
        <v>519</v>
      </c>
      <c r="G27" s="43" t="s">
        <v>1589</v>
      </c>
      <c r="H27" s="43" t="n">
        <v>73</v>
      </c>
      <c r="I27" s="45" t="n">
        <v>74</v>
      </c>
      <c r="J27" s="45" t="s">
        <v>62</v>
      </c>
    </row>
    <row r="28" customFormat="false" ht="15" hidden="false" customHeight="true" outlineLevel="0" collapsed="false">
      <c r="A28" s="42" t="s">
        <v>1615</v>
      </c>
      <c r="B28" s="42" t="s">
        <v>142</v>
      </c>
      <c r="C28" s="42" t="s">
        <v>143</v>
      </c>
      <c r="D28" s="42" t="s">
        <v>1365</v>
      </c>
      <c r="E28" s="42" t="s">
        <v>1366</v>
      </c>
      <c r="F28" s="42" t="s">
        <v>519</v>
      </c>
      <c r="G28" s="42" t="s">
        <v>1589</v>
      </c>
      <c r="H28" s="42" t="n">
        <v>70</v>
      </c>
      <c r="I28" s="44" t="n">
        <v>72</v>
      </c>
      <c r="J28" s="44" t="s">
        <v>62</v>
      </c>
    </row>
    <row r="29" customFormat="false" ht="15" hidden="false" customHeight="true" outlineLevel="0" collapsed="false">
      <c r="A29" s="43" t="s">
        <v>1616</v>
      </c>
      <c r="B29" s="43" t="s">
        <v>142</v>
      </c>
      <c r="C29" s="43" t="s">
        <v>143</v>
      </c>
      <c r="D29" s="43" t="s">
        <v>1401</v>
      </c>
      <c r="E29" s="43" t="s">
        <v>1402</v>
      </c>
      <c r="F29" s="43" t="s">
        <v>519</v>
      </c>
      <c r="G29" s="43" t="s">
        <v>1589</v>
      </c>
      <c r="H29" s="43" t="n">
        <v>75</v>
      </c>
      <c r="I29" s="45" t="n">
        <v>76</v>
      </c>
      <c r="J29" s="45" t="s">
        <v>62</v>
      </c>
    </row>
    <row r="30" customFormat="false" ht="15" hidden="false" customHeight="true" outlineLevel="0" collapsed="false">
      <c r="A30" s="42" t="s">
        <v>1617</v>
      </c>
      <c r="B30" s="42" t="s">
        <v>151</v>
      </c>
      <c r="C30" s="42" t="s">
        <v>152</v>
      </c>
      <c r="D30" s="42" t="s">
        <v>1334</v>
      </c>
      <c r="E30" s="42" t="s">
        <v>1335</v>
      </c>
      <c r="F30" s="42" t="s">
        <v>768</v>
      </c>
      <c r="G30" s="42" t="s">
        <v>1589</v>
      </c>
      <c r="H30" s="42" t="n">
        <v>66</v>
      </c>
      <c r="I30" s="44" t="n">
        <v>68</v>
      </c>
      <c r="J30" s="44" t="s">
        <v>62</v>
      </c>
    </row>
    <row r="31" customFormat="false" ht="15" hidden="false" customHeight="true" outlineLevel="0" collapsed="false">
      <c r="A31" s="43" t="s">
        <v>1618</v>
      </c>
      <c r="B31" s="43" t="s">
        <v>151</v>
      </c>
      <c r="C31" s="43" t="s">
        <v>152</v>
      </c>
      <c r="D31" s="43" t="s">
        <v>1330</v>
      </c>
      <c r="E31" s="43" t="s">
        <v>1331</v>
      </c>
      <c r="F31" s="43" t="s">
        <v>768</v>
      </c>
      <c r="G31" s="43" t="s">
        <v>1589</v>
      </c>
      <c r="H31" s="43" t="n">
        <v>63</v>
      </c>
      <c r="I31" s="45" t="n">
        <v>65</v>
      </c>
      <c r="J31" s="45" t="s">
        <v>62</v>
      </c>
    </row>
    <row r="32" customFormat="false" ht="15" hidden="false" customHeight="true" outlineLevel="0" collapsed="false">
      <c r="A32" s="42" t="s">
        <v>1619</v>
      </c>
      <c r="B32" s="42" t="s">
        <v>151</v>
      </c>
      <c r="C32" s="42" t="s">
        <v>152</v>
      </c>
      <c r="D32" s="42" t="s">
        <v>1401</v>
      </c>
      <c r="E32" s="42" t="s">
        <v>1402</v>
      </c>
      <c r="F32" s="42" t="s">
        <v>768</v>
      </c>
      <c r="G32" s="42" t="s">
        <v>1589</v>
      </c>
      <c r="H32" s="42" t="n">
        <v>70</v>
      </c>
      <c r="I32" s="44" t="n">
        <v>71</v>
      </c>
      <c r="J32" s="44" t="s">
        <v>62</v>
      </c>
    </row>
    <row r="33" customFormat="false" ht="15" hidden="false" customHeight="true" outlineLevel="0" collapsed="false">
      <c r="A33" s="43" t="s">
        <v>1620</v>
      </c>
      <c r="B33" s="43" t="s">
        <v>161</v>
      </c>
      <c r="C33" s="43" t="s">
        <v>162</v>
      </c>
      <c r="D33" s="43" t="s">
        <v>1398</v>
      </c>
      <c r="E33" s="43" t="s">
        <v>1399</v>
      </c>
      <c r="F33" s="43" t="s">
        <v>120</v>
      </c>
      <c r="G33" s="43" t="s">
        <v>1589</v>
      </c>
      <c r="H33" s="43" t="n">
        <v>79</v>
      </c>
      <c r="I33" s="45" t="n">
        <v>81</v>
      </c>
      <c r="J33" s="45" t="s">
        <v>62</v>
      </c>
    </row>
    <row r="34" customFormat="false" ht="15" hidden="false" customHeight="true" outlineLevel="0" collapsed="false">
      <c r="A34" s="42" t="s">
        <v>1621</v>
      </c>
      <c r="B34" s="42" t="s">
        <v>161</v>
      </c>
      <c r="C34" s="42" t="s">
        <v>162</v>
      </c>
      <c r="D34" s="42" t="s">
        <v>1382</v>
      </c>
      <c r="E34" s="42" t="s">
        <v>1383</v>
      </c>
      <c r="F34" s="42" t="s">
        <v>120</v>
      </c>
      <c r="G34" s="42" t="s">
        <v>1589</v>
      </c>
      <c r="H34" s="42" t="n">
        <v>76</v>
      </c>
      <c r="I34" s="44" t="n">
        <v>78</v>
      </c>
      <c r="J34" s="44" t="s">
        <v>62</v>
      </c>
    </row>
    <row r="35" customFormat="false" ht="15" hidden="false" customHeight="true" outlineLevel="0" collapsed="false">
      <c r="A35" s="43" t="s">
        <v>1622</v>
      </c>
      <c r="B35" s="43" t="s">
        <v>161</v>
      </c>
      <c r="C35" s="43" t="s">
        <v>162</v>
      </c>
      <c r="D35" s="43" t="s">
        <v>1401</v>
      </c>
      <c r="E35" s="43" t="s">
        <v>1402</v>
      </c>
      <c r="F35" s="43" t="s">
        <v>120</v>
      </c>
      <c r="G35" s="43" t="s">
        <v>1589</v>
      </c>
      <c r="H35" s="43" t="n">
        <v>83</v>
      </c>
      <c r="I35" s="45" t="n">
        <v>84</v>
      </c>
      <c r="J35" s="45" t="s">
        <v>62</v>
      </c>
    </row>
    <row r="36" customFormat="false" ht="15" hidden="false" customHeight="true" outlineLevel="0" collapsed="false">
      <c r="A36" s="42" t="s">
        <v>1623</v>
      </c>
      <c r="B36" s="42" t="s">
        <v>168</v>
      </c>
      <c r="C36" s="42" t="s">
        <v>169</v>
      </c>
      <c r="D36" s="42" t="s">
        <v>1386</v>
      </c>
      <c r="E36" s="42" t="s">
        <v>1387</v>
      </c>
      <c r="F36" s="42" t="s">
        <v>666</v>
      </c>
      <c r="G36" s="42" t="s">
        <v>1589</v>
      </c>
      <c r="H36" s="42" t="n">
        <v>74</v>
      </c>
      <c r="I36" s="44" t="n">
        <v>75</v>
      </c>
      <c r="J36" s="44" t="s">
        <v>62</v>
      </c>
    </row>
    <row r="37" customFormat="false" ht="15" hidden="false" customHeight="true" outlineLevel="0" collapsed="false">
      <c r="A37" s="43" t="s">
        <v>1624</v>
      </c>
      <c r="B37" s="43" t="s">
        <v>168</v>
      </c>
      <c r="C37" s="43" t="s">
        <v>169</v>
      </c>
      <c r="D37" s="43" t="s">
        <v>1378</v>
      </c>
      <c r="E37" s="43" t="s">
        <v>1379</v>
      </c>
      <c r="F37" s="43" t="s">
        <v>666</v>
      </c>
      <c r="G37" s="43" t="s">
        <v>1589</v>
      </c>
      <c r="H37" s="43" t="n">
        <v>70</v>
      </c>
      <c r="I37" s="45" t="n">
        <v>72</v>
      </c>
      <c r="J37" s="45" t="s">
        <v>62</v>
      </c>
    </row>
    <row r="38" customFormat="false" ht="15" hidden="false" customHeight="true" outlineLevel="0" collapsed="false">
      <c r="A38" s="42" t="s">
        <v>1625</v>
      </c>
      <c r="B38" s="42" t="s">
        <v>168</v>
      </c>
      <c r="C38" s="42" t="s">
        <v>169</v>
      </c>
      <c r="D38" s="42" t="s">
        <v>1401</v>
      </c>
      <c r="E38" s="42" t="s">
        <v>1402</v>
      </c>
      <c r="F38" s="42" t="s">
        <v>666</v>
      </c>
      <c r="G38" s="42" t="s">
        <v>1589</v>
      </c>
      <c r="H38" s="42" t="n">
        <v>77</v>
      </c>
      <c r="I38" s="44" t="n">
        <v>78</v>
      </c>
      <c r="J38" s="44" t="s">
        <v>62</v>
      </c>
    </row>
    <row r="39" customFormat="false" ht="15" hidden="false" customHeight="true" outlineLevel="0" collapsed="false">
      <c r="A39" s="43" t="s">
        <v>1626</v>
      </c>
      <c r="B39" s="43" t="s">
        <v>174</v>
      </c>
      <c r="C39" s="43" t="s">
        <v>175</v>
      </c>
      <c r="D39" s="43" t="s">
        <v>1342</v>
      </c>
      <c r="E39" s="43" t="s">
        <v>1343</v>
      </c>
      <c r="F39" s="43" t="s">
        <v>683</v>
      </c>
      <c r="G39" s="43" t="s">
        <v>107</v>
      </c>
      <c r="H39" s="43" t="n">
        <v>65</v>
      </c>
      <c r="I39" s="45" t="n">
        <v>67</v>
      </c>
      <c r="J39" s="45" t="s">
        <v>62</v>
      </c>
    </row>
    <row r="40" customFormat="false" ht="15" hidden="false" customHeight="true" outlineLevel="0" collapsed="false">
      <c r="A40" s="42" t="s">
        <v>1627</v>
      </c>
      <c r="B40" s="42" t="s">
        <v>174</v>
      </c>
      <c r="C40" s="42" t="s">
        <v>175</v>
      </c>
      <c r="D40" s="42" t="s">
        <v>1373</v>
      </c>
      <c r="E40" s="42" t="s">
        <v>1374</v>
      </c>
      <c r="F40" s="42" t="s">
        <v>683</v>
      </c>
      <c r="G40" s="42" t="s">
        <v>107</v>
      </c>
      <c r="H40" s="42" t="n">
        <v>60</v>
      </c>
      <c r="I40" s="44" t="n">
        <v>62</v>
      </c>
      <c r="J40" s="44" t="s">
        <v>62</v>
      </c>
    </row>
    <row r="41" customFormat="false" ht="15" hidden="false" customHeight="true" outlineLevel="0" collapsed="false">
      <c r="A41" s="43" t="s">
        <v>1628</v>
      </c>
      <c r="B41" s="43" t="s">
        <v>174</v>
      </c>
      <c r="C41" s="43" t="s">
        <v>175</v>
      </c>
      <c r="D41" s="43" t="s">
        <v>1401</v>
      </c>
      <c r="E41" s="43" t="s">
        <v>1402</v>
      </c>
      <c r="F41" s="43" t="s">
        <v>683</v>
      </c>
      <c r="G41" s="43" t="s">
        <v>107</v>
      </c>
      <c r="H41" s="43" t="n">
        <v>68</v>
      </c>
      <c r="I41" s="45" t="n">
        <v>70</v>
      </c>
      <c r="J41" s="45" t="s">
        <v>62</v>
      </c>
    </row>
    <row r="42" customFormat="false" ht="15" hidden="false" customHeight="true" outlineLevel="0" collapsed="false">
      <c r="A42" s="42" t="s">
        <v>1629</v>
      </c>
      <c r="B42" s="42" t="s">
        <v>181</v>
      </c>
      <c r="C42" s="42" t="s">
        <v>182</v>
      </c>
      <c r="D42" s="42" t="s">
        <v>1365</v>
      </c>
      <c r="E42" s="42" t="s">
        <v>1366</v>
      </c>
      <c r="F42" s="42" t="s">
        <v>768</v>
      </c>
      <c r="G42" s="42" t="s">
        <v>1589</v>
      </c>
      <c r="H42" s="42" t="n">
        <v>82</v>
      </c>
      <c r="I42" s="44" t="n">
        <v>84</v>
      </c>
      <c r="J42" s="44" t="s">
        <v>62</v>
      </c>
    </row>
    <row r="43" customFormat="false" ht="15" hidden="false" customHeight="true" outlineLevel="0" collapsed="false">
      <c r="A43" s="43" t="s">
        <v>1630</v>
      </c>
      <c r="B43" s="43" t="s">
        <v>181</v>
      </c>
      <c r="C43" s="43" t="s">
        <v>182</v>
      </c>
      <c r="D43" s="43" t="s">
        <v>1369</v>
      </c>
      <c r="E43" s="43" t="s">
        <v>1370</v>
      </c>
      <c r="F43" s="43" t="s">
        <v>768</v>
      </c>
      <c r="G43" s="43" t="s">
        <v>1589</v>
      </c>
      <c r="H43" s="43" t="n">
        <v>85</v>
      </c>
      <c r="I43" s="45" t="n">
        <v>86</v>
      </c>
      <c r="J43" s="45" t="s">
        <v>62</v>
      </c>
    </row>
    <row r="44" customFormat="false" ht="15" hidden="false" customHeight="true" outlineLevel="0" collapsed="false">
      <c r="A44" s="42" t="s">
        <v>1631</v>
      </c>
      <c r="B44" s="42" t="s">
        <v>181</v>
      </c>
      <c r="C44" s="42" t="s">
        <v>182</v>
      </c>
      <c r="D44" s="42" t="s">
        <v>1401</v>
      </c>
      <c r="E44" s="42" t="s">
        <v>1402</v>
      </c>
      <c r="F44" s="42" t="s">
        <v>768</v>
      </c>
      <c r="G44" s="42" t="s">
        <v>1589</v>
      </c>
      <c r="H44" s="42" t="n">
        <v>88</v>
      </c>
      <c r="I44" s="44" t="n">
        <v>89</v>
      </c>
      <c r="J44" s="44" t="s">
        <v>62</v>
      </c>
    </row>
    <row r="45" customFormat="false" ht="15" hidden="false" customHeight="true" outlineLevel="0" collapsed="false">
      <c r="A45" s="43" t="s">
        <v>1632</v>
      </c>
      <c r="B45" s="43" t="s">
        <v>188</v>
      </c>
      <c r="C45" s="43" t="s">
        <v>189</v>
      </c>
      <c r="D45" s="43" t="s">
        <v>1395</v>
      </c>
      <c r="E45" s="43" t="s">
        <v>1396</v>
      </c>
      <c r="F45" s="43" t="s">
        <v>519</v>
      </c>
      <c r="G45" s="43" t="s">
        <v>1633</v>
      </c>
      <c r="H45" s="43" t="n">
        <v>40</v>
      </c>
      <c r="I45" s="45" t="n">
        <v>42</v>
      </c>
      <c r="J45" s="45" t="s">
        <v>62</v>
      </c>
    </row>
    <row r="46" customFormat="false" ht="15" hidden="false" customHeight="true" outlineLevel="0" collapsed="false">
      <c r="A46" s="42" t="s">
        <v>1634</v>
      </c>
      <c r="B46" s="42" t="s">
        <v>188</v>
      </c>
      <c r="C46" s="42" t="s">
        <v>189</v>
      </c>
      <c r="D46" s="42" t="s">
        <v>1352</v>
      </c>
      <c r="E46" s="42" t="s">
        <v>1353</v>
      </c>
      <c r="F46" s="42" t="s">
        <v>519</v>
      </c>
      <c r="G46" s="42" t="s">
        <v>1589</v>
      </c>
      <c r="H46" s="42" t="n">
        <v>45</v>
      </c>
      <c r="I46" s="44" t="n">
        <v>47</v>
      </c>
      <c r="J46" s="44" t="s">
        <v>62</v>
      </c>
    </row>
    <row r="47" customFormat="false" ht="15" hidden="false" customHeight="true" outlineLevel="0" collapsed="false">
      <c r="A47" s="43" t="s">
        <v>1635</v>
      </c>
      <c r="B47" s="43" t="s">
        <v>188</v>
      </c>
      <c r="C47" s="43" t="s">
        <v>189</v>
      </c>
      <c r="D47" s="43" t="s">
        <v>1401</v>
      </c>
      <c r="E47" s="43" t="s">
        <v>1402</v>
      </c>
      <c r="F47" s="43" t="s">
        <v>519</v>
      </c>
      <c r="G47" s="43" t="s">
        <v>1589</v>
      </c>
      <c r="H47" s="43" t="n">
        <v>50</v>
      </c>
      <c r="I47" s="45" t="n">
        <v>52</v>
      </c>
      <c r="J47" s="45" t="s">
        <v>62</v>
      </c>
    </row>
    <row r="48" customFormat="false" ht="15" hidden="false" customHeight="true" outlineLevel="0" collapsed="false">
      <c r="A48" s="42" t="s">
        <v>1636</v>
      </c>
      <c r="B48" s="42" t="s">
        <v>198</v>
      </c>
      <c r="C48" s="42" t="s">
        <v>199</v>
      </c>
      <c r="D48" s="42" t="s">
        <v>1369</v>
      </c>
      <c r="E48" s="42" t="s">
        <v>1370</v>
      </c>
      <c r="F48" s="42" t="s">
        <v>120</v>
      </c>
      <c r="G48" s="42" t="s">
        <v>1589</v>
      </c>
      <c r="H48" s="42" t="n">
        <v>89</v>
      </c>
      <c r="I48" s="44" t="n">
        <v>91</v>
      </c>
      <c r="J48" s="44" t="s">
        <v>62</v>
      </c>
    </row>
    <row r="49" customFormat="false" ht="15" hidden="false" customHeight="true" outlineLevel="0" collapsed="false">
      <c r="A49" s="43" t="s">
        <v>1637</v>
      </c>
      <c r="B49" s="43" t="s">
        <v>198</v>
      </c>
      <c r="C49" s="43" t="s">
        <v>199</v>
      </c>
      <c r="D49" s="43" t="s">
        <v>1401</v>
      </c>
      <c r="E49" s="43" t="s">
        <v>1402</v>
      </c>
      <c r="F49" s="43" t="s">
        <v>120</v>
      </c>
      <c r="G49" s="43" t="s">
        <v>1589</v>
      </c>
      <c r="H49" s="43" t="n">
        <v>92</v>
      </c>
      <c r="I49" s="45" t="n">
        <v>93</v>
      </c>
      <c r="J49" s="45" t="s">
        <v>62</v>
      </c>
    </row>
    <row r="50" customFormat="false" ht="15" hidden="false" customHeight="true" outlineLevel="0" collapsed="false">
      <c r="A50" s="42" t="s">
        <v>1638</v>
      </c>
      <c r="B50" s="42" t="s">
        <v>198</v>
      </c>
      <c r="C50" s="42" t="s">
        <v>199</v>
      </c>
      <c r="D50" s="42" t="s">
        <v>1365</v>
      </c>
      <c r="E50" s="42" t="s">
        <v>1366</v>
      </c>
      <c r="F50" s="42" t="s">
        <v>120</v>
      </c>
      <c r="G50" s="42" t="s">
        <v>1589</v>
      </c>
      <c r="H50" s="42" t="n">
        <v>86</v>
      </c>
      <c r="I50" s="44" t="n">
        <v>87</v>
      </c>
      <c r="J50" s="44" t="s">
        <v>62</v>
      </c>
    </row>
    <row r="51" customFormat="false" ht="15" hidden="false" customHeight="true" outlineLevel="0" collapsed="false">
      <c r="A51" s="43" t="s">
        <v>1639</v>
      </c>
      <c r="B51" s="43" t="s">
        <v>205</v>
      </c>
      <c r="C51" s="43" t="s">
        <v>206</v>
      </c>
      <c r="D51" s="43" t="s">
        <v>1378</v>
      </c>
      <c r="E51" s="43" t="s">
        <v>1379</v>
      </c>
      <c r="F51" s="43" t="s">
        <v>666</v>
      </c>
      <c r="G51" s="43" t="s">
        <v>1589</v>
      </c>
      <c r="H51" s="43" t="n">
        <v>69</v>
      </c>
      <c r="I51" s="45" t="n">
        <v>71</v>
      </c>
      <c r="J51" s="45" t="s">
        <v>62</v>
      </c>
    </row>
    <row r="52" customFormat="false" ht="15" hidden="false" customHeight="true" outlineLevel="0" collapsed="false">
      <c r="A52" s="42" t="s">
        <v>1640</v>
      </c>
      <c r="B52" s="42" t="s">
        <v>205</v>
      </c>
      <c r="C52" s="42" t="s">
        <v>206</v>
      </c>
      <c r="D52" s="42" t="s">
        <v>1373</v>
      </c>
      <c r="E52" s="42" t="s">
        <v>1374</v>
      </c>
      <c r="F52" s="42" t="s">
        <v>666</v>
      </c>
      <c r="G52" s="42" t="s">
        <v>1589</v>
      </c>
      <c r="H52" s="42" t="n">
        <v>66</v>
      </c>
      <c r="I52" s="44" t="n">
        <v>68</v>
      </c>
      <c r="J52" s="44" t="s">
        <v>62</v>
      </c>
    </row>
    <row r="53" customFormat="false" ht="15" hidden="false" customHeight="true" outlineLevel="0" collapsed="false">
      <c r="A53" s="43" t="s">
        <v>1641</v>
      </c>
      <c r="B53" s="43" t="s">
        <v>205</v>
      </c>
      <c r="C53" s="43" t="s">
        <v>206</v>
      </c>
      <c r="D53" s="43" t="s">
        <v>1401</v>
      </c>
      <c r="E53" s="43" t="s">
        <v>1402</v>
      </c>
      <c r="F53" s="43" t="s">
        <v>666</v>
      </c>
      <c r="G53" s="43" t="s">
        <v>1589</v>
      </c>
      <c r="H53" s="43" t="n">
        <v>72</v>
      </c>
      <c r="I53" s="45" t="n">
        <v>73</v>
      </c>
      <c r="J53" s="45" t="s">
        <v>62</v>
      </c>
    </row>
    <row r="54" customFormat="false" ht="15" hidden="false" customHeight="true" outlineLevel="0" collapsed="false">
      <c r="A54" s="42" t="s">
        <v>1642</v>
      </c>
      <c r="B54" s="42" t="s">
        <v>213</v>
      </c>
      <c r="C54" s="42" t="s">
        <v>214</v>
      </c>
      <c r="D54" s="42" t="s">
        <v>1321</v>
      </c>
      <c r="E54" s="42" t="s">
        <v>1322</v>
      </c>
      <c r="F54" s="42" t="s">
        <v>768</v>
      </c>
      <c r="G54" s="42" t="s">
        <v>1589</v>
      </c>
      <c r="H54" s="42" t="n">
        <v>95</v>
      </c>
      <c r="I54" s="44" t="n">
        <v>96</v>
      </c>
      <c r="J54" s="44" t="s">
        <v>62</v>
      </c>
    </row>
    <row r="55" customFormat="false" ht="15" hidden="false" customHeight="true" outlineLevel="0" collapsed="false">
      <c r="A55" s="43" t="s">
        <v>1643</v>
      </c>
      <c r="B55" s="43" t="s">
        <v>213</v>
      </c>
      <c r="C55" s="43" t="s">
        <v>214</v>
      </c>
      <c r="D55" s="43" t="s">
        <v>1382</v>
      </c>
      <c r="E55" s="43" t="s">
        <v>1383</v>
      </c>
      <c r="F55" s="43" t="s">
        <v>768</v>
      </c>
      <c r="G55" s="43" t="s">
        <v>1589</v>
      </c>
      <c r="H55" s="43" t="n">
        <v>92</v>
      </c>
      <c r="I55" s="45" t="n">
        <v>93</v>
      </c>
      <c r="J55" s="45" t="s">
        <v>62</v>
      </c>
    </row>
    <row r="56" customFormat="false" ht="15" hidden="false" customHeight="true" outlineLevel="0" collapsed="false">
      <c r="A56" s="42" t="s">
        <v>1644</v>
      </c>
      <c r="B56" s="42" t="s">
        <v>213</v>
      </c>
      <c r="C56" s="42" t="s">
        <v>214</v>
      </c>
      <c r="D56" s="42" t="s">
        <v>1326</v>
      </c>
      <c r="E56" s="42" t="s">
        <v>1327</v>
      </c>
      <c r="F56" s="42" t="s">
        <v>768</v>
      </c>
      <c r="G56" s="42" t="s">
        <v>1589</v>
      </c>
      <c r="H56" s="42" t="n">
        <v>94</v>
      </c>
      <c r="I56" s="44" t="n">
        <v>95</v>
      </c>
      <c r="J56" s="44" t="s">
        <v>62</v>
      </c>
    </row>
    <row r="57" customFormat="false" ht="15" hidden="false" customHeight="true" outlineLevel="0" collapsed="false">
      <c r="A57" s="43" t="s">
        <v>1645</v>
      </c>
      <c r="B57" s="43" t="s">
        <v>213</v>
      </c>
      <c r="C57" s="43" t="s">
        <v>214</v>
      </c>
      <c r="D57" s="43" t="s">
        <v>1401</v>
      </c>
      <c r="E57" s="43" t="s">
        <v>1402</v>
      </c>
      <c r="F57" s="43" t="s">
        <v>768</v>
      </c>
      <c r="G57" s="43" t="s">
        <v>1589</v>
      </c>
      <c r="H57" s="43" t="n">
        <v>96</v>
      </c>
      <c r="I57" s="45" t="n">
        <v>97</v>
      </c>
      <c r="J57" s="45" t="s">
        <v>62</v>
      </c>
    </row>
    <row r="58" customFormat="false" ht="15" hidden="false" customHeight="true" outlineLevel="0" collapsed="false">
      <c r="A58" s="42" t="s">
        <v>1646</v>
      </c>
      <c r="B58" s="42" t="s">
        <v>218</v>
      </c>
      <c r="C58" s="42" t="s">
        <v>219</v>
      </c>
      <c r="D58" s="42" t="s">
        <v>1361</v>
      </c>
      <c r="E58" s="42" t="s">
        <v>1362</v>
      </c>
      <c r="F58" s="42" t="s">
        <v>519</v>
      </c>
      <c r="G58" s="42" t="s">
        <v>1589</v>
      </c>
      <c r="H58" s="42" t="n">
        <v>78</v>
      </c>
      <c r="I58" s="44" t="n">
        <v>80</v>
      </c>
      <c r="J58" s="44" t="s">
        <v>62</v>
      </c>
    </row>
    <row r="59" customFormat="false" ht="15" hidden="false" customHeight="true" outlineLevel="0" collapsed="false">
      <c r="A59" s="43" t="s">
        <v>1647</v>
      </c>
      <c r="B59" s="43" t="s">
        <v>218</v>
      </c>
      <c r="C59" s="43" t="s">
        <v>219</v>
      </c>
      <c r="D59" s="43" t="s">
        <v>1365</v>
      </c>
      <c r="E59" s="43" t="s">
        <v>1366</v>
      </c>
      <c r="F59" s="43" t="s">
        <v>519</v>
      </c>
      <c r="G59" s="43" t="s">
        <v>1589</v>
      </c>
      <c r="H59" s="43" t="n">
        <v>75</v>
      </c>
      <c r="I59" s="45" t="n">
        <v>77</v>
      </c>
      <c r="J59" s="45" t="s">
        <v>62</v>
      </c>
    </row>
    <row r="60" customFormat="false" ht="15" hidden="false" customHeight="true" outlineLevel="0" collapsed="false">
      <c r="A60" s="42" t="s">
        <v>1648</v>
      </c>
      <c r="B60" s="42" t="s">
        <v>218</v>
      </c>
      <c r="C60" s="42" t="s">
        <v>219</v>
      </c>
      <c r="D60" s="42" t="s">
        <v>1401</v>
      </c>
      <c r="E60" s="42" t="s">
        <v>1402</v>
      </c>
      <c r="F60" s="42" t="s">
        <v>519</v>
      </c>
      <c r="G60" s="42" t="s">
        <v>1589</v>
      </c>
      <c r="H60" s="42" t="n">
        <v>82</v>
      </c>
      <c r="I60" s="44" t="n">
        <v>83</v>
      </c>
      <c r="J60" s="44" t="s">
        <v>62</v>
      </c>
    </row>
    <row r="61" customFormat="false" ht="15" hidden="false" customHeight="true" outlineLevel="0" collapsed="false">
      <c r="A61" s="43" t="s">
        <v>1649</v>
      </c>
      <c r="B61" s="43" t="s">
        <v>225</v>
      </c>
      <c r="C61" s="43" t="s">
        <v>226</v>
      </c>
      <c r="D61" s="43" t="s">
        <v>1357</v>
      </c>
      <c r="E61" s="43" t="s">
        <v>1358</v>
      </c>
      <c r="F61" s="43" t="s">
        <v>120</v>
      </c>
      <c r="G61" s="43" t="s">
        <v>1589</v>
      </c>
      <c r="H61" s="43" t="n">
        <v>77</v>
      </c>
      <c r="I61" s="45" t="n">
        <v>79</v>
      </c>
      <c r="J61" s="45" t="s">
        <v>62</v>
      </c>
    </row>
    <row r="62" customFormat="false" ht="15" hidden="false" customHeight="true" outlineLevel="0" collapsed="false">
      <c r="A62" s="42" t="s">
        <v>1650</v>
      </c>
      <c r="B62" s="42" t="s">
        <v>225</v>
      </c>
      <c r="C62" s="42" t="s">
        <v>226</v>
      </c>
      <c r="D62" s="42" t="s">
        <v>1352</v>
      </c>
      <c r="E62" s="42" t="s">
        <v>1353</v>
      </c>
      <c r="F62" s="42" t="s">
        <v>120</v>
      </c>
      <c r="G62" s="42" t="s">
        <v>1589</v>
      </c>
      <c r="H62" s="42" t="n">
        <v>74</v>
      </c>
      <c r="I62" s="44" t="n">
        <v>76</v>
      </c>
      <c r="J62" s="44" t="s">
        <v>62</v>
      </c>
    </row>
    <row r="63" customFormat="false" ht="15" hidden="false" customHeight="true" outlineLevel="0" collapsed="false">
      <c r="A63" s="43" t="s">
        <v>1651</v>
      </c>
      <c r="B63" s="43" t="s">
        <v>225</v>
      </c>
      <c r="C63" s="43" t="s">
        <v>226</v>
      </c>
      <c r="D63" s="43" t="s">
        <v>1401</v>
      </c>
      <c r="E63" s="43" t="s">
        <v>1402</v>
      </c>
      <c r="F63" s="43" t="s">
        <v>120</v>
      </c>
      <c r="G63" s="43" t="s">
        <v>1589</v>
      </c>
      <c r="H63" s="43" t="n">
        <v>80</v>
      </c>
      <c r="I63" s="45" t="n">
        <v>81</v>
      </c>
      <c r="J63" s="45" t="s">
        <v>62</v>
      </c>
    </row>
    <row r="64" customFormat="false" ht="15" hidden="false" customHeight="true" outlineLevel="0" collapsed="false">
      <c r="A64" s="42" t="s">
        <v>1652</v>
      </c>
      <c r="B64" s="42" t="s">
        <v>231</v>
      </c>
      <c r="C64" s="42" t="s">
        <v>232</v>
      </c>
      <c r="D64" s="42" t="s">
        <v>1347</v>
      </c>
      <c r="E64" s="42" t="s">
        <v>1348</v>
      </c>
      <c r="F64" s="42" t="s">
        <v>666</v>
      </c>
      <c r="G64" s="42" t="s">
        <v>1589</v>
      </c>
      <c r="H64" s="42" t="n">
        <v>84</v>
      </c>
      <c r="I64" s="44" t="n">
        <v>86</v>
      </c>
      <c r="J64" s="44" t="s">
        <v>62</v>
      </c>
    </row>
    <row r="65" customFormat="false" ht="15" hidden="false" customHeight="true" outlineLevel="0" collapsed="false">
      <c r="A65" s="43" t="s">
        <v>1653</v>
      </c>
      <c r="B65" s="43" t="s">
        <v>231</v>
      </c>
      <c r="C65" s="43" t="s">
        <v>232</v>
      </c>
      <c r="D65" s="43" t="s">
        <v>1365</v>
      </c>
      <c r="E65" s="43" t="s">
        <v>1366</v>
      </c>
      <c r="F65" s="43" t="s">
        <v>666</v>
      </c>
      <c r="G65" s="43" t="s">
        <v>1589</v>
      </c>
      <c r="H65" s="43" t="n">
        <v>81</v>
      </c>
      <c r="I65" s="45" t="n">
        <v>83</v>
      </c>
      <c r="J65" s="45" t="s">
        <v>62</v>
      </c>
    </row>
    <row r="66" customFormat="false" ht="15" hidden="false" customHeight="true" outlineLevel="0" collapsed="false">
      <c r="A66" s="42" t="s">
        <v>1654</v>
      </c>
      <c r="B66" s="42" t="s">
        <v>231</v>
      </c>
      <c r="C66" s="42" t="s">
        <v>232</v>
      </c>
      <c r="D66" s="42" t="s">
        <v>1401</v>
      </c>
      <c r="E66" s="42" t="s">
        <v>1402</v>
      </c>
      <c r="F66" s="42" t="s">
        <v>666</v>
      </c>
      <c r="G66" s="42" t="s">
        <v>1589</v>
      </c>
      <c r="H66" s="42" t="n">
        <v>87</v>
      </c>
      <c r="I66" s="44" t="n">
        <v>88</v>
      </c>
      <c r="J66" s="44" t="s">
        <v>62</v>
      </c>
    </row>
    <row r="67" customFormat="false" ht="15" hidden="false" customHeight="true" outlineLevel="0" collapsed="false">
      <c r="A67" s="43" t="s">
        <v>1655</v>
      </c>
      <c r="B67" s="43" t="s">
        <v>236</v>
      </c>
      <c r="C67" s="43" t="s">
        <v>237</v>
      </c>
      <c r="D67" s="43" t="s">
        <v>1365</v>
      </c>
      <c r="E67" s="43" t="s">
        <v>1366</v>
      </c>
      <c r="F67" s="43" t="s">
        <v>768</v>
      </c>
      <c r="G67" s="43" t="s">
        <v>1589</v>
      </c>
      <c r="H67" s="43" t="n">
        <v>64</v>
      </c>
      <c r="I67" s="45" t="n">
        <v>66</v>
      </c>
      <c r="J67" s="45" t="s">
        <v>62</v>
      </c>
    </row>
    <row r="68" customFormat="false" ht="15" hidden="false" customHeight="true" outlineLevel="0" collapsed="false">
      <c r="A68" s="42" t="s">
        <v>1656</v>
      </c>
      <c r="B68" s="42" t="s">
        <v>236</v>
      </c>
      <c r="C68" s="42" t="s">
        <v>237</v>
      </c>
      <c r="D68" s="42" t="s">
        <v>1369</v>
      </c>
      <c r="E68" s="42" t="s">
        <v>1370</v>
      </c>
      <c r="F68" s="42" t="s">
        <v>768</v>
      </c>
      <c r="G68" s="42" t="s">
        <v>1589</v>
      </c>
      <c r="H68" s="42" t="n">
        <v>61</v>
      </c>
      <c r="I68" s="44" t="n">
        <v>63</v>
      </c>
      <c r="J68" s="44" t="s">
        <v>62</v>
      </c>
    </row>
    <row r="69" customFormat="false" ht="15" hidden="false" customHeight="true" outlineLevel="0" collapsed="false">
      <c r="A69" s="43" t="s">
        <v>1657</v>
      </c>
      <c r="B69" s="43" t="s">
        <v>236</v>
      </c>
      <c r="C69" s="43" t="s">
        <v>237</v>
      </c>
      <c r="D69" s="43" t="s">
        <v>1401</v>
      </c>
      <c r="E69" s="43" t="s">
        <v>1402</v>
      </c>
      <c r="F69" s="43" t="s">
        <v>768</v>
      </c>
      <c r="G69" s="43" t="s">
        <v>1589</v>
      </c>
      <c r="H69" s="43" t="n">
        <v>67</v>
      </c>
      <c r="I69" s="45" t="n">
        <v>69</v>
      </c>
      <c r="J69" s="45" t="s">
        <v>62</v>
      </c>
    </row>
    <row r="70" customFormat="false" ht="15" hidden="false" customHeight="true" outlineLevel="0" collapsed="false">
      <c r="A70" s="42" t="s">
        <v>1658</v>
      </c>
      <c r="B70" s="42" t="s">
        <v>242</v>
      </c>
      <c r="C70" s="42" t="s">
        <v>243</v>
      </c>
      <c r="D70" s="42" t="s">
        <v>1352</v>
      </c>
      <c r="E70" s="42" t="s">
        <v>1353</v>
      </c>
      <c r="F70" s="42" t="s">
        <v>683</v>
      </c>
      <c r="G70" s="42" t="s">
        <v>107</v>
      </c>
      <c r="H70" s="42" t="n">
        <v>90</v>
      </c>
      <c r="I70" s="44" t="n">
        <v>92</v>
      </c>
      <c r="J70" s="44" t="s">
        <v>62</v>
      </c>
    </row>
    <row r="71" customFormat="false" ht="15" hidden="false" customHeight="true" outlineLevel="0" collapsed="false">
      <c r="A71" s="43" t="s">
        <v>1659</v>
      </c>
      <c r="B71" s="43" t="s">
        <v>242</v>
      </c>
      <c r="C71" s="43" t="s">
        <v>243</v>
      </c>
      <c r="D71" s="43" t="s">
        <v>1386</v>
      </c>
      <c r="E71" s="43" t="s">
        <v>1387</v>
      </c>
      <c r="F71" s="43" t="s">
        <v>683</v>
      </c>
      <c r="G71" s="43" t="s">
        <v>107</v>
      </c>
      <c r="H71" s="43" t="n">
        <v>87</v>
      </c>
      <c r="I71" s="45" t="n">
        <v>89</v>
      </c>
      <c r="J71" s="45" t="s">
        <v>62</v>
      </c>
    </row>
    <row r="72" customFormat="false" ht="15" hidden="false" customHeight="true" outlineLevel="0" collapsed="false">
      <c r="A72" s="42" t="s">
        <v>1660</v>
      </c>
      <c r="B72" s="42" t="s">
        <v>242</v>
      </c>
      <c r="C72" s="42" t="s">
        <v>243</v>
      </c>
      <c r="D72" s="42" t="s">
        <v>1401</v>
      </c>
      <c r="E72" s="42" t="s">
        <v>1402</v>
      </c>
      <c r="F72" s="42" t="s">
        <v>683</v>
      </c>
      <c r="G72" s="42" t="s">
        <v>107</v>
      </c>
      <c r="H72" s="42" t="n">
        <v>93</v>
      </c>
      <c r="I72" s="44" t="n">
        <v>94</v>
      </c>
      <c r="J72" s="44" t="s">
        <v>62</v>
      </c>
    </row>
    <row r="73" customFormat="false" ht="15" hidden="false" customHeight="true" outlineLevel="0" collapsed="false">
      <c r="A73" s="43" t="s">
        <v>1661</v>
      </c>
      <c r="B73" s="43" t="s">
        <v>247</v>
      </c>
      <c r="C73" s="43" t="s">
        <v>248</v>
      </c>
      <c r="D73" s="43" t="s">
        <v>1391</v>
      </c>
      <c r="E73" s="43" t="s">
        <v>1392</v>
      </c>
      <c r="F73" s="43" t="s">
        <v>120</v>
      </c>
      <c r="G73" s="43" t="s">
        <v>1589</v>
      </c>
      <c r="H73" s="43" t="n">
        <v>53</v>
      </c>
      <c r="I73" s="45" t="n">
        <v>55</v>
      </c>
      <c r="J73" s="45" t="s">
        <v>62</v>
      </c>
    </row>
    <row r="74" customFormat="false" ht="15" hidden="false" customHeight="true" outlineLevel="0" collapsed="false">
      <c r="A74" s="42" t="s">
        <v>1662</v>
      </c>
      <c r="B74" s="42" t="s">
        <v>247</v>
      </c>
      <c r="C74" s="42" t="s">
        <v>248</v>
      </c>
      <c r="D74" s="42" t="s">
        <v>1330</v>
      </c>
      <c r="E74" s="42" t="s">
        <v>1331</v>
      </c>
      <c r="F74" s="42" t="s">
        <v>120</v>
      </c>
      <c r="G74" s="42" t="s">
        <v>1589</v>
      </c>
      <c r="H74" s="42" t="n">
        <v>50</v>
      </c>
      <c r="I74" s="44" t="n">
        <v>52</v>
      </c>
      <c r="J74" s="44" t="s">
        <v>62</v>
      </c>
    </row>
    <row r="75" customFormat="false" ht="15" hidden="false" customHeight="true" outlineLevel="0" collapsed="false">
      <c r="A75" s="43" t="s">
        <v>1663</v>
      </c>
      <c r="B75" s="43" t="s">
        <v>247</v>
      </c>
      <c r="C75" s="43" t="s">
        <v>248</v>
      </c>
      <c r="D75" s="43" t="s">
        <v>1401</v>
      </c>
      <c r="E75" s="43" t="s">
        <v>1402</v>
      </c>
      <c r="F75" s="43" t="s">
        <v>120</v>
      </c>
      <c r="G75" s="43" t="s">
        <v>1589</v>
      </c>
      <c r="H75" s="43" t="n">
        <v>58</v>
      </c>
      <c r="I75" s="45" t="n">
        <v>60</v>
      </c>
      <c r="J75" s="45" t="s">
        <v>62</v>
      </c>
    </row>
    <row r="76" customFormat="false" ht="15" hidden="false" customHeight="true" outlineLevel="0" collapsed="false">
      <c r="A76" s="42" t="s">
        <v>1664</v>
      </c>
      <c r="B76" s="42" t="s">
        <v>253</v>
      </c>
      <c r="C76" s="42" t="s">
        <v>254</v>
      </c>
      <c r="D76" s="42" t="s">
        <v>1382</v>
      </c>
      <c r="E76" s="42" t="s">
        <v>1383</v>
      </c>
      <c r="F76" s="42" t="s">
        <v>666</v>
      </c>
      <c r="G76" s="42" t="s">
        <v>1589</v>
      </c>
      <c r="H76" s="42" t="n">
        <v>80</v>
      </c>
      <c r="I76" s="44" t="n">
        <v>82</v>
      </c>
      <c r="J76" s="44" t="s">
        <v>62</v>
      </c>
    </row>
    <row r="77" customFormat="false" ht="15" hidden="false" customHeight="true" outlineLevel="0" collapsed="false">
      <c r="A77" s="43" t="s">
        <v>1665</v>
      </c>
      <c r="B77" s="43" t="s">
        <v>253</v>
      </c>
      <c r="C77" s="43" t="s">
        <v>254</v>
      </c>
      <c r="D77" s="43" t="s">
        <v>1326</v>
      </c>
      <c r="E77" s="43" t="s">
        <v>1327</v>
      </c>
      <c r="F77" s="43" t="s">
        <v>666</v>
      </c>
      <c r="G77" s="43" t="s">
        <v>1589</v>
      </c>
      <c r="H77" s="43" t="n">
        <v>77</v>
      </c>
      <c r="I77" s="45" t="n">
        <v>79</v>
      </c>
      <c r="J77" s="45" t="s">
        <v>62</v>
      </c>
    </row>
    <row r="78" customFormat="false" ht="15" hidden="false" customHeight="true" outlineLevel="0" collapsed="false">
      <c r="A78" s="42" t="s">
        <v>1666</v>
      </c>
      <c r="B78" s="42" t="s">
        <v>253</v>
      </c>
      <c r="C78" s="42" t="s">
        <v>254</v>
      </c>
      <c r="D78" s="42" t="s">
        <v>1401</v>
      </c>
      <c r="E78" s="42" t="s">
        <v>1402</v>
      </c>
      <c r="F78" s="42" t="s">
        <v>666</v>
      </c>
      <c r="G78" s="42" t="s">
        <v>1589</v>
      </c>
      <c r="H78" s="42" t="n">
        <v>83</v>
      </c>
      <c r="I78" s="44" t="n">
        <v>85</v>
      </c>
      <c r="J78" s="44" t="s">
        <v>62</v>
      </c>
    </row>
    <row r="79" customFormat="false" ht="15" hidden="false" customHeight="true" outlineLevel="0" collapsed="false">
      <c r="A79" s="43" t="s">
        <v>1667</v>
      </c>
      <c r="B79" s="43" t="s">
        <v>258</v>
      </c>
      <c r="C79" s="43" t="s">
        <v>259</v>
      </c>
      <c r="D79" s="43" t="s">
        <v>1398</v>
      </c>
      <c r="E79" s="43" t="s">
        <v>1399</v>
      </c>
      <c r="F79" s="43" t="s">
        <v>120</v>
      </c>
      <c r="G79" s="43" t="s">
        <v>1589</v>
      </c>
      <c r="H79" s="43" t="n">
        <v>84</v>
      </c>
      <c r="I79" s="45" t="n">
        <v>86</v>
      </c>
      <c r="J79" s="45" t="s">
        <v>62</v>
      </c>
    </row>
    <row r="80" customFormat="false" ht="15" hidden="false" customHeight="true" outlineLevel="0" collapsed="false">
      <c r="A80" s="42" t="s">
        <v>1668</v>
      </c>
      <c r="B80" s="42" t="s">
        <v>258</v>
      </c>
      <c r="C80" s="42" t="s">
        <v>259</v>
      </c>
      <c r="D80" s="42" t="s">
        <v>1382</v>
      </c>
      <c r="E80" s="42" t="s">
        <v>1383</v>
      </c>
      <c r="F80" s="42" t="s">
        <v>120</v>
      </c>
      <c r="G80" s="42" t="s">
        <v>1589</v>
      </c>
      <c r="H80" s="42" t="n">
        <v>78</v>
      </c>
      <c r="I80" s="44" t="n">
        <v>80</v>
      </c>
      <c r="J80" s="44" t="s">
        <v>62</v>
      </c>
    </row>
    <row r="81" customFormat="false" ht="15" hidden="false" customHeight="true" outlineLevel="0" collapsed="false">
      <c r="A81" s="43" t="s">
        <v>1669</v>
      </c>
      <c r="B81" s="43" t="s">
        <v>258</v>
      </c>
      <c r="C81" s="43" t="s">
        <v>259</v>
      </c>
      <c r="D81" s="43" t="s">
        <v>1373</v>
      </c>
      <c r="E81" s="43" t="s">
        <v>1374</v>
      </c>
      <c r="F81" s="43" t="s">
        <v>120</v>
      </c>
      <c r="G81" s="43" t="s">
        <v>1589</v>
      </c>
      <c r="H81" s="43" t="n">
        <v>81</v>
      </c>
      <c r="I81" s="45" t="n">
        <v>83</v>
      </c>
      <c r="J81" s="45" t="s">
        <v>62</v>
      </c>
    </row>
    <row r="82" customFormat="false" ht="15" hidden="false" customHeight="true" outlineLevel="0" collapsed="false">
      <c r="A82" s="42" t="s">
        <v>1670</v>
      </c>
      <c r="B82" s="42" t="s">
        <v>258</v>
      </c>
      <c r="C82" s="42" t="s">
        <v>259</v>
      </c>
      <c r="D82" s="42" t="s">
        <v>1401</v>
      </c>
      <c r="E82" s="42" t="s">
        <v>1402</v>
      </c>
      <c r="F82" s="42" t="s">
        <v>120</v>
      </c>
      <c r="G82" s="42" t="s">
        <v>1589</v>
      </c>
      <c r="H82" s="42" t="n">
        <v>87</v>
      </c>
      <c r="I82" s="44" t="n">
        <v>88</v>
      </c>
      <c r="J82" s="44" t="s">
        <v>62</v>
      </c>
    </row>
    <row r="83" customFormat="false" ht="15" hidden="false" customHeight="true" outlineLevel="0" collapsed="false">
      <c r="A83" s="1" t="s">
        <v>1671</v>
      </c>
      <c r="B83" s="1" t="s">
        <v>264</v>
      </c>
      <c r="C83" s="1" t="s">
        <v>265</v>
      </c>
      <c r="D83" s="1" t="s">
        <v>1433</v>
      </c>
      <c r="E83" s="1" t="s">
        <v>1434</v>
      </c>
      <c r="F83" s="28" t="n">
        <v>45327</v>
      </c>
      <c r="G83" s="1" t="s">
        <v>1589</v>
      </c>
      <c r="H83" s="1" t="n">
        <v>81</v>
      </c>
      <c r="I83" s="1" t="n">
        <v>83</v>
      </c>
      <c r="J83" s="1" t="s">
        <v>62</v>
      </c>
    </row>
    <row r="84" customFormat="false" ht="15" hidden="false" customHeight="true" outlineLevel="0" collapsed="false">
      <c r="A84" s="1" t="s">
        <v>1672</v>
      </c>
      <c r="B84" s="1" t="s">
        <v>264</v>
      </c>
      <c r="C84" s="1" t="s">
        <v>265</v>
      </c>
      <c r="D84" s="1" t="s">
        <v>1411</v>
      </c>
      <c r="E84" s="1" t="s">
        <v>1412</v>
      </c>
      <c r="F84" s="28" t="n">
        <v>45327</v>
      </c>
      <c r="G84" s="1" t="s">
        <v>1589</v>
      </c>
      <c r="H84" s="1" t="n">
        <v>78</v>
      </c>
      <c r="I84" s="1" t="n">
        <v>80</v>
      </c>
      <c r="J84" s="1" t="s">
        <v>62</v>
      </c>
    </row>
    <row r="85" customFormat="false" ht="15" hidden="false" customHeight="true" outlineLevel="0" collapsed="false">
      <c r="A85" s="1" t="s">
        <v>1673</v>
      </c>
      <c r="B85" s="1" t="s">
        <v>264</v>
      </c>
      <c r="C85" s="1" t="s">
        <v>265</v>
      </c>
      <c r="D85" s="1" t="s">
        <v>1414</v>
      </c>
      <c r="E85" s="1" t="s">
        <v>1415</v>
      </c>
      <c r="F85" s="28" t="n">
        <v>45327</v>
      </c>
      <c r="G85" s="1" t="s">
        <v>1589</v>
      </c>
      <c r="H85" s="1" t="n">
        <v>85</v>
      </c>
      <c r="I85" s="1" t="n">
        <v>86</v>
      </c>
      <c r="J85" s="1" t="s">
        <v>62</v>
      </c>
    </row>
    <row r="86" customFormat="false" ht="15" hidden="false" customHeight="true" outlineLevel="0" collapsed="false">
      <c r="A86" s="1" t="s">
        <v>1674</v>
      </c>
      <c r="B86" s="1" t="s">
        <v>281</v>
      </c>
      <c r="C86" s="1" t="s">
        <v>282</v>
      </c>
      <c r="D86" s="1" t="s">
        <v>1422</v>
      </c>
      <c r="E86" s="1" t="s">
        <v>1423</v>
      </c>
      <c r="F86" s="28" t="n">
        <v>45306</v>
      </c>
      <c r="G86" s="1" t="s">
        <v>1589</v>
      </c>
      <c r="H86" s="1" t="n">
        <v>74</v>
      </c>
      <c r="I86" s="1" t="n">
        <v>76</v>
      </c>
      <c r="J86" s="1" t="s">
        <v>62</v>
      </c>
    </row>
    <row r="87" customFormat="false" ht="15" hidden="false" customHeight="true" outlineLevel="0" collapsed="false">
      <c r="A87" s="1" t="s">
        <v>1675</v>
      </c>
      <c r="B87" s="1" t="s">
        <v>281</v>
      </c>
      <c r="C87" s="1" t="s">
        <v>282</v>
      </c>
      <c r="D87" s="1" t="s">
        <v>1426</v>
      </c>
      <c r="E87" s="1" t="s">
        <v>1427</v>
      </c>
      <c r="F87" s="28" t="n">
        <v>45306</v>
      </c>
      <c r="G87" s="1" t="s">
        <v>1589</v>
      </c>
      <c r="H87" s="1" t="n">
        <v>70</v>
      </c>
      <c r="I87" s="1" t="n">
        <v>72</v>
      </c>
      <c r="J87" s="1" t="s">
        <v>62</v>
      </c>
    </row>
    <row r="88" customFormat="false" ht="15" hidden="false" customHeight="true" outlineLevel="0" collapsed="false">
      <c r="A88" s="1" t="s">
        <v>1676</v>
      </c>
      <c r="B88" s="1" t="s">
        <v>281</v>
      </c>
      <c r="C88" s="1" t="s">
        <v>282</v>
      </c>
      <c r="D88" s="1" t="s">
        <v>1429</v>
      </c>
      <c r="E88" s="1" t="s">
        <v>1430</v>
      </c>
      <c r="F88" s="28" t="n">
        <v>45306</v>
      </c>
      <c r="G88" s="1" t="s">
        <v>1589</v>
      </c>
      <c r="H88" s="1" t="n">
        <v>77</v>
      </c>
      <c r="I88" s="1" t="n">
        <v>79</v>
      </c>
      <c r="J88" s="1" t="s">
        <v>62</v>
      </c>
    </row>
    <row r="89" customFormat="false" ht="15" hidden="false" customHeight="true" outlineLevel="0" collapsed="false">
      <c r="A89" s="1" t="s">
        <v>1677</v>
      </c>
      <c r="B89" s="1" t="s">
        <v>281</v>
      </c>
      <c r="C89" s="1" t="s">
        <v>282</v>
      </c>
      <c r="D89" s="1" t="s">
        <v>1414</v>
      </c>
      <c r="E89" s="1" t="s">
        <v>1415</v>
      </c>
      <c r="F89" s="28" t="n">
        <v>45306</v>
      </c>
      <c r="G89" s="1" t="s">
        <v>1589</v>
      </c>
      <c r="H89" s="1" t="n">
        <v>72</v>
      </c>
      <c r="I89" s="1" t="n">
        <v>74</v>
      </c>
      <c r="J89" s="1" t="s">
        <v>62</v>
      </c>
    </row>
    <row r="90" customFormat="false" ht="15" hidden="false" customHeight="true" outlineLevel="0" collapsed="false">
      <c r="A90" s="1" t="s">
        <v>1678</v>
      </c>
      <c r="B90" s="1" t="s">
        <v>309</v>
      </c>
      <c r="C90" s="1" t="s">
        <v>310</v>
      </c>
      <c r="D90" s="1" t="s">
        <v>1437</v>
      </c>
      <c r="E90" s="1" t="s">
        <v>1438</v>
      </c>
      <c r="F90" s="28" t="n">
        <v>45306</v>
      </c>
      <c r="G90" s="1" t="s">
        <v>1589</v>
      </c>
      <c r="H90" s="1" t="n">
        <v>55</v>
      </c>
      <c r="I90" s="1" t="n">
        <v>58</v>
      </c>
      <c r="J90" s="1" t="s">
        <v>62</v>
      </c>
    </row>
    <row r="91" customFormat="false" ht="15" hidden="false" customHeight="true" outlineLevel="0" collapsed="false">
      <c r="A91" s="1" t="s">
        <v>1679</v>
      </c>
      <c r="B91" s="1" t="s">
        <v>309</v>
      </c>
      <c r="C91" s="1" t="s">
        <v>310</v>
      </c>
      <c r="D91" s="1" t="s">
        <v>1405</v>
      </c>
      <c r="E91" s="1" t="s">
        <v>1406</v>
      </c>
      <c r="F91" s="28" t="n">
        <v>45306</v>
      </c>
      <c r="G91" s="1" t="s">
        <v>1589</v>
      </c>
      <c r="H91" s="1" t="n">
        <v>60</v>
      </c>
      <c r="I91" s="1" t="n">
        <v>62</v>
      </c>
      <c r="J91" s="1" t="s">
        <v>62</v>
      </c>
    </row>
    <row r="92" customFormat="false" ht="15" hidden="false" customHeight="true" outlineLevel="0" collapsed="false">
      <c r="A92" s="1" t="s">
        <v>1680</v>
      </c>
      <c r="B92" s="1" t="s">
        <v>319</v>
      </c>
      <c r="C92" s="1" t="s">
        <v>320</v>
      </c>
      <c r="D92" s="1" t="s">
        <v>1411</v>
      </c>
      <c r="E92" s="1" t="s">
        <v>1412</v>
      </c>
      <c r="F92" s="28" t="n">
        <v>45327</v>
      </c>
      <c r="G92" s="1" t="s">
        <v>1589</v>
      </c>
      <c r="H92" s="1" t="n">
        <v>80</v>
      </c>
      <c r="I92" s="1" t="n">
        <v>82</v>
      </c>
      <c r="J92" s="1" t="s">
        <v>62</v>
      </c>
    </row>
    <row r="93" customFormat="false" ht="15" hidden="false" customHeight="true" outlineLevel="0" collapsed="false">
      <c r="A93" s="1" t="s">
        <v>1681</v>
      </c>
      <c r="B93" s="1" t="s">
        <v>319</v>
      </c>
      <c r="C93" s="1" t="s">
        <v>320</v>
      </c>
      <c r="D93" s="1" t="s">
        <v>1414</v>
      </c>
      <c r="E93" s="1" t="s">
        <v>1415</v>
      </c>
      <c r="F93" s="28" t="n">
        <v>45327</v>
      </c>
      <c r="G93" s="1" t="s">
        <v>1589</v>
      </c>
      <c r="H93" s="1" t="n">
        <v>84</v>
      </c>
      <c r="I93" s="1" t="n">
        <v>85</v>
      </c>
      <c r="J93" s="1" t="s">
        <v>62</v>
      </c>
    </row>
    <row r="94" customFormat="false" ht="15" hidden="false" customHeight="true" outlineLevel="0" collapsed="false">
      <c r="A94" s="1" t="s">
        <v>1682</v>
      </c>
      <c r="B94" s="1" t="s">
        <v>328</v>
      </c>
      <c r="C94" s="1" t="s">
        <v>329</v>
      </c>
      <c r="D94" s="1" t="s">
        <v>1422</v>
      </c>
      <c r="E94" s="1" t="s">
        <v>1423</v>
      </c>
      <c r="F94" s="28" t="n">
        <v>45306</v>
      </c>
      <c r="G94" s="1" t="s">
        <v>1589</v>
      </c>
      <c r="H94" s="1" t="n">
        <v>71</v>
      </c>
      <c r="I94" s="1" t="n">
        <v>73</v>
      </c>
      <c r="J94" s="1" t="s">
        <v>62</v>
      </c>
    </row>
    <row r="95" customFormat="false" ht="15" hidden="false" customHeight="true" outlineLevel="0" collapsed="false">
      <c r="A95" s="1" t="s">
        <v>1683</v>
      </c>
      <c r="B95" s="1" t="s">
        <v>328</v>
      </c>
      <c r="C95" s="1" t="s">
        <v>329</v>
      </c>
      <c r="D95" s="1" t="s">
        <v>1426</v>
      </c>
      <c r="E95" s="1" t="s">
        <v>1427</v>
      </c>
      <c r="F95" s="28" t="n">
        <v>45306</v>
      </c>
      <c r="G95" s="1" t="s">
        <v>1589</v>
      </c>
      <c r="H95" s="1" t="n">
        <v>68</v>
      </c>
      <c r="I95" s="1" t="n">
        <v>70</v>
      </c>
      <c r="J95" s="1" t="s">
        <v>62</v>
      </c>
    </row>
    <row r="96" customFormat="false" ht="15" hidden="false" customHeight="true" outlineLevel="0" collapsed="false">
      <c r="A96" s="1" t="s">
        <v>1684</v>
      </c>
      <c r="B96" s="1" t="s">
        <v>328</v>
      </c>
      <c r="C96" s="1" t="s">
        <v>329</v>
      </c>
      <c r="D96" s="1" t="s">
        <v>1429</v>
      </c>
      <c r="E96" s="1" t="s">
        <v>1430</v>
      </c>
      <c r="F96" s="28" t="n">
        <v>45306</v>
      </c>
      <c r="G96" s="1" t="s">
        <v>1589</v>
      </c>
      <c r="H96" s="1" t="n">
        <v>75</v>
      </c>
      <c r="I96" s="1" t="n">
        <v>77</v>
      </c>
      <c r="J96" s="1" t="s">
        <v>62</v>
      </c>
    </row>
    <row r="97" customFormat="false" ht="15" hidden="false" customHeight="true" outlineLevel="0" collapsed="false">
      <c r="A97" s="1" t="s">
        <v>1685</v>
      </c>
      <c r="B97" s="1" t="s">
        <v>328</v>
      </c>
      <c r="C97" s="1" t="s">
        <v>329</v>
      </c>
      <c r="D97" s="1" t="s">
        <v>1414</v>
      </c>
      <c r="E97" s="1" t="s">
        <v>1415</v>
      </c>
      <c r="F97" s="28" t="n">
        <v>45306</v>
      </c>
      <c r="G97" s="1" t="s">
        <v>1589</v>
      </c>
      <c r="H97" s="1" t="n">
        <v>73</v>
      </c>
      <c r="I97" s="1" t="n">
        <v>75</v>
      </c>
      <c r="J97" s="1" t="s">
        <v>62</v>
      </c>
    </row>
    <row r="98" customFormat="false" ht="15" hidden="false" customHeight="true" outlineLevel="0" collapsed="false">
      <c r="A98" s="1" t="s">
        <v>1686</v>
      </c>
      <c r="B98" s="1" t="s">
        <v>337</v>
      </c>
      <c r="C98" s="1" t="s">
        <v>338</v>
      </c>
      <c r="D98" s="1" t="s">
        <v>1411</v>
      </c>
      <c r="E98" s="1" t="s">
        <v>1412</v>
      </c>
      <c r="F98" s="28" t="n">
        <v>45301</v>
      </c>
      <c r="G98" s="1" t="s">
        <v>1589</v>
      </c>
      <c r="H98" s="1" t="n">
        <v>88</v>
      </c>
      <c r="I98" s="1" t="n">
        <v>90</v>
      </c>
      <c r="J98" s="1" t="s">
        <v>62</v>
      </c>
    </row>
    <row r="99" customFormat="false" ht="15" hidden="false" customHeight="true" outlineLevel="0" collapsed="false">
      <c r="A99" s="1" t="s">
        <v>1687</v>
      </c>
      <c r="B99" s="1" t="s">
        <v>337</v>
      </c>
      <c r="C99" s="1" t="s">
        <v>338</v>
      </c>
      <c r="D99" s="1" t="s">
        <v>1414</v>
      </c>
      <c r="E99" s="1" t="s">
        <v>1415</v>
      </c>
      <c r="F99" s="28" t="n">
        <v>45301</v>
      </c>
      <c r="G99" s="1" t="s">
        <v>1589</v>
      </c>
      <c r="H99" s="1" t="n">
        <v>91</v>
      </c>
      <c r="I99" s="1" t="n">
        <v>92</v>
      </c>
      <c r="J99" s="1" t="s">
        <v>62</v>
      </c>
    </row>
    <row r="100" customFormat="false" ht="15" hidden="false" customHeight="true" outlineLevel="0" collapsed="false">
      <c r="A100" s="1" t="s">
        <v>1688</v>
      </c>
      <c r="B100" s="1" t="s">
        <v>354</v>
      </c>
      <c r="C100" s="1" t="s">
        <v>355</v>
      </c>
      <c r="D100" s="1" t="s">
        <v>1414</v>
      </c>
      <c r="E100" s="1" t="s">
        <v>1415</v>
      </c>
      <c r="F100" s="28" t="n">
        <v>45301</v>
      </c>
      <c r="G100" s="1" t="s">
        <v>1589</v>
      </c>
      <c r="H100" s="1" t="n">
        <v>78</v>
      </c>
      <c r="I100" s="1" t="n">
        <v>80</v>
      </c>
      <c r="J100" s="1" t="s">
        <v>62</v>
      </c>
    </row>
    <row r="101" customFormat="false" ht="15" hidden="false" customHeight="true" outlineLevel="0" collapsed="false">
      <c r="A101" s="1" t="s">
        <v>1689</v>
      </c>
      <c r="B101" s="1" t="s">
        <v>370</v>
      </c>
      <c r="C101" s="1" t="s">
        <v>371</v>
      </c>
      <c r="D101" s="1" t="s">
        <v>1411</v>
      </c>
      <c r="E101" s="1" t="s">
        <v>1412</v>
      </c>
      <c r="F101" s="28" t="n">
        <v>45301</v>
      </c>
      <c r="G101" s="1" t="s">
        <v>1589</v>
      </c>
      <c r="H101" s="1" t="n">
        <v>82</v>
      </c>
      <c r="I101" s="1" t="n">
        <v>84</v>
      </c>
      <c r="J101" s="1" t="s">
        <v>62</v>
      </c>
    </row>
    <row r="102" customFormat="false" ht="15" hidden="false" customHeight="true" outlineLevel="0" collapsed="false">
      <c r="A102" s="1" t="s">
        <v>1690</v>
      </c>
      <c r="B102" s="1" t="s">
        <v>370</v>
      </c>
      <c r="C102" s="1" t="s">
        <v>371</v>
      </c>
      <c r="D102" s="1" t="s">
        <v>1414</v>
      </c>
      <c r="E102" s="1" t="s">
        <v>1415</v>
      </c>
      <c r="F102" s="28" t="n">
        <v>45301</v>
      </c>
      <c r="G102" s="1" t="s">
        <v>1589</v>
      </c>
      <c r="H102" s="1" t="n">
        <v>79</v>
      </c>
      <c r="I102" s="1" t="n">
        <v>81</v>
      </c>
      <c r="J102" s="1" t="s">
        <v>62</v>
      </c>
    </row>
    <row r="103" customFormat="false" ht="15" hidden="false" customHeight="true" outlineLevel="0" collapsed="false">
      <c r="A103" s="1" t="s">
        <v>1691</v>
      </c>
      <c r="B103" s="1" t="s">
        <v>412</v>
      </c>
      <c r="C103" s="1" t="s">
        <v>413</v>
      </c>
      <c r="D103" s="1" t="s">
        <v>1405</v>
      </c>
      <c r="E103" s="1" t="s">
        <v>1406</v>
      </c>
      <c r="F103" s="28" t="n">
        <v>45306</v>
      </c>
      <c r="G103" s="1" t="s">
        <v>1589</v>
      </c>
      <c r="H103" s="1" t="n">
        <v>76</v>
      </c>
      <c r="I103" s="1" t="n">
        <v>78</v>
      </c>
      <c r="J103" s="1" t="s">
        <v>62</v>
      </c>
    </row>
    <row r="104" customFormat="false" ht="15" hidden="false" customHeight="true" outlineLevel="0" collapsed="false">
      <c r="A104" s="1" t="s">
        <v>1692</v>
      </c>
      <c r="B104" s="1" t="s">
        <v>412</v>
      </c>
      <c r="C104" s="1" t="s">
        <v>413</v>
      </c>
      <c r="D104" s="1" t="s">
        <v>1414</v>
      </c>
      <c r="E104" s="1" t="s">
        <v>1415</v>
      </c>
      <c r="F104" s="28" t="n">
        <v>45306</v>
      </c>
      <c r="G104" s="1" t="s">
        <v>1589</v>
      </c>
      <c r="H104" s="1" t="n">
        <v>72</v>
      </c>
      <c r="I104" s="1" t="n">
        <v>74</v>
      </c>
      <c r="J104" s="1" t="s">
        <v>62</v>
      </c>
    </row>
    <row r="105" customFormat="false" ht="15" hidden="false" customHeight="true" outlineLevel="0" collapsed="false">
      <c r="A105" s="1" t="s">
        <v>1693</v>
      </c>
      <c r="B105" s="1" t="s">
        <v>412</v>
      </c>
      <c r="C105" s="1" t="s">
        <v>413</v>
      </c>
      <c r="D105" s="1" t="s">
        <v>1418</v>
      </c>
      <c r="E105" s="1" t="s">
        <v>1419</v>
      </c>
      <c r="F105" s="28" t="n">
        <v>45306</v>
      </c>
      <c r="G105" s="1" t="s">
        <v>1589</v>
      </c>
      <c r="H105" s="1" t="n">
        <v>80</v>
      </c>
      <c r="I105" s="1" t="n">
        <v>82</v>
      </c>
      <c r="J105" s="1" t="s">
        <v>62</v>
      </c>
    </row>
    <row r="106" customFormat="false" ht="15" hidden="false" customHeight="true" outlineLevel="0" collapsed="false">
      <c r="A106" s="1" t="s">
        <v>1694</v>
      </c>
      <c r="B106" s="1" t="s">
        <v>451</v>
      </c>
      <c r="C106" s="1" t="s">
        <v>452</v>
      </c>
      <c r="D106" s="1" t="s">
        <v>1440</v>
      </c>
      <c r="E106" s="1" t="s">
        <v>1441</v>
      </c>
      <c r="F106" s="28" t="n">
        <v>45306</v>
      </c>
      <c r="G106" s="1" t="s">
        <v>1589</v>
      </c>
      <c r="H106" s="1" t="n">
        <v>82</v>
      </c>
      <c r="I106" s="1" t="n">
        <v>84</v>
      </c>
      <c r="J106" s="1" t="s">
        <v>62</v>
      </c>
    </row>
    <row r="107" customFormat="false" ht="15" hidden="false" customHeight="true" outlineLevel="0" collapsed="false">
      <c r="A107" s="1" t="s">
        <v>1695</v>
      </c>
      <c r="B107" s="1" t="s">
        <v>451</v>
      </c>
      <c r="C107" s="1" t="s">
        <v>452</v>
      </c>
      <c r="D107" s="1" t="s">
        <v>1443</v>
      </c>
      <c r="E107" s="1" t="s">
        <v>1444</v>
      </c>
      <c r="F107" s="28" t="n">
        <v>45306</v>
      </c>
      <c r="G107" s="1" t="s">
        <v>1589</v>
      </c>
      <c r="H107" s="1" t="n">
        <v>88</v>
      </c>
      <c r="I107" s="1" t="n">
        <v>89</v>
      </c>
      <c r="J107" s="1" t="s">
        <v>62</v>
      </c>
    </row>
    <row r="108" customFormat="false" ht="15" hidden="false" customHeight="true" outlineLevel="0" collapsed="false">
      <c r="A108" s="1" t="s">
        <v>1696</v>
      </c>
      <c r="B108" s="1" t="s">
        <v>451</v>
      </c>
      <c r="C108" s="1" t="s">
        <v>452</v>
      </c>
      <c r="D108" s="1" t="s">
        <v>1446</v>
      </c>
      <c r="E108" s="1" t="s">
        <v>1447</v>
      </c>
      <c r="F108" s="28" t="n">
        <v>45306</v>
      </c>
      <c r="G108" s="1" t="s">
        <v>1589</v>
      </c>
      <c r="H108" s="1" t="n">
        <v>79</v>
      </c>
      <c r="I108" s="1" t="n">
        <v>81</v>
      </c>
      <c r="J108" s="1" t="s">
        <v>62</v>
      </c>
    </row>
    <row r="109" customFormat="false" ht="15" hidden="false" customHeight="true" outlineLevel="0" collapsed="false">
      <c r="A109" s="1" t="s">
        <v>1697</v>
      </c>
      <c r="B109" s="1" t="s">
        <v>451</v>
      </c>
      <c r="C109" s="1" t="s">
        <v>452</v>
      </c>
      <c r="D109" s="1" t="s">
        <v>1405</v>
      </c>
      <c r="E109" s="1" t="s">
        <v>1406</v>
      </c>
      <c r="F109" s="28" t="n">
        <v>45306</v>
      </c>
      <c r="G109" s="1" t="s">
        <v>1589</v>
      </c>
      <c r="H109" s="1" t="n">
        <v>85</v>
      </c>
      <c r="I109" s="1" t="n">
        <v>87</v>
      </c>
      <c r="J109" s="1" t="s">
        <v>62</v>
      </c>
    </row>
    <row r="110" customFormat="false" ht="15" hidden="false" customHeight="true" outlineLevel="0" collapsed="false">
      <c r="A110" s="1" t="s">
        <v>1698</v>
      </c>
      <c r="B110" s="1" t="s">
        <v>464</v>
      </c>
      <c r="C110" s="1" t="s">
        <v>465</v>
      </c>
      <c r="D110" s="1" t="s">
        <v>1443</v>
      </c>
      <c r="E110" s="1" t="s">
        <v>1444</v>
      </c>
      <c r="F110" s="28" t="n">
        <v>45301</v>
      </c>
      <c r="G110" s="1" t="s">
        <v>1589</v>
      </c>
      <c r="H110" s="1" t="n">
        <v>76</v>
      </c>
      <c r="I110" s="1" t="n">
        <v>78</v>
      </c>
      <c r="J110" s="1" t="s">
        <v>62</v>
      </c>
    </row>
    <row r="111" customFormat="false" ht="15" hidden="false" customHeight="true" outlineLevel="0" collapsed="false">
      <c r="A111" s="1" t="s">
        <v>1699</v>
      </c>
      <c r="B111" s="1" t="s">
        <v>464</v>
      </c>
      <c r="C111" s="1" t="s">
        <v>465</v>
      </c>
      <c r="D111" s="1" t="s">
        <v>1446</v>
      </c>
      <c r="E111" s="1" t="s">
        <v>1447</v>
      </c>
      <c r="F111" s="28" t="n">
        <v>45301</v>
      </c>
      <c r="G111" s="1" t="s">
        <v>1589</v>
      </c>
      <c r="H111" s="1" t="n">
        <v>73</v>
      </c>
      <c r="I111" s="1" t="n">
        <v>75</v>
      </c>
      <c r="J111" s="1" t="s">
        <v>62</v>
      </c>
    </row>
    <row r="112" customFormat="false" ht="15" hidden="false" customHeight="true" outlineLevel="0" collapsed="false">
      <c r="A112" s="1" t="s">
        <v>1700</v>
      </c>
      <c r="B112" s="1" t="s">
        <v>425</v>
      </c>
      <c r="C112" s="1" t="s">
        <v>426</v>
      </c>
      <c r="D112" s="1" t="s">
        <v>1443</v>
      </c>
      <c r="E112" s="1" t="s">
        <v>1444</v>
      </c>
      <c r="F112" s="28" t="n">
        <v>45301</v>
      </c>
      <c r="G112" s="1" t="s">
        <v>1589</v>
      </c>
      <c r="H112" s="1" t="n">
        <v>90</v>
      </c>
      <c r="I112" s="1" t="n">
        <v>91</v>
      </c>
      <c r="J112" s="1" t="s">
        <v>62</v>
      </c>
    </row>
    <row r="113" customFormat="false" ht="15" hidden="false" customHeight="true" outlineLevel="0" collapsed="false">
      <c r="A113" s="1" t="s">
        <v>1701</v>
      </c>
      <c r="B113" s="1" t="s">
        <v>425</v>
      </c>
      <c r="C113" s="1" t="s">
        <v>426</v>
      </c>
      <c r="D113" s="1" t="s">
        <v>1411</v>
      </c>
      <c r="E113" s="1" t="s">
        <v>1412</v>
      </c>
      <c r="F113" s="28" t="n">
        <v>45301</v>
      </c>
      <c r="G113" s="1" t="s">
        <v>1589</v>
      </c>
      <c r="H113" s="1" t="n">
        <v>86</v>
      </c>
      <c r="I113" s="1" t="n">
        <v>88</v>
      </c>
      <c r="J113" s="1" t="s">
        <v>62</v>
      </c>
    </row>
    <row r="114" customFormat="false" ht="15" hidden="false" customHeight="true" outlineLevel="0" collapsed="false">
      <c r="A114" s="1" t="s">
        <v>1702</v>
      </c>
      <c r="B114" s="1" t="s">
        <v>438</v>
      </c>
      <c r="C114" s="1" t="s">
        <v>439</v>
      </c>
      <c r="D114" s="1" t="s">
        <v>1443</v>
      </c>
      <c r="E114" s="1" t="s">
        <v>1444</v>
      </c>
      <c r="F114" s="28" t="n">
        <v>45301</v>
      </c>
      <c r="G114" s="1" t="s">
        <v>1589</v>
      </c>
      <c r="H114" s="1" t="n">
        <v>88</v>
      </c>
      <c r="I114" s="1" t="n">
        <v>89</v>
      </c>
      <c r="J114" s="1" t="s">
        <v>62</v>
      </c>
    </row>
    <row r="115" customFormat="false" ht="15" hidden="false" customHeight="true" outlineLevel="0" collapsed="false">
      <c r="A115" s="1" t="s">
        <v>1703</v>
      </c>
      <c r="B115" s="1" t="s">
        <v>438</v>
      </c>
      <c r="C115" s="1" t="s">
        <v>439</v>
      </c>
      <c r="D115" s="1" t="s">
        <v>1411</v>
      </c>
      <c r="E115" s="1" t="s">
        <v>1412</v>
      </c>
      <c r="F115" s="28" t="n">
        <v>45301</v>
      </c>
      <c r="G115" s="1" t="s">
        <v>1589</v>
      </c>
      <c r="H115" s="1" t="n">
        <v>91</v>
      </c>
      <c r="I115" s="1" t="n">
        <v>93</v>
      </c>
      <c r="J115" s="1" t="s">
        <v>62</v>
      </c>
    </row>
    <row r="116" customFormat="false" ht="15" hidden="false" customHeight="true" outlineLevel="0" collapsed="false">
      <c r="A116" s="42" t="s">
        <v>1704</v>
      </c>
      <c r="B116" s="42" t="s">
        <v>476</v>
      </c>
      <c r="C116" s="42" t="s">
        <v>477</v>
      </c>
      <c r="D116" s="42" t="s">
        <v>1449</v>
      </c>
      <c r="E116" s="42" t="s">
        <v>1399</v>
      </c>
      <c r="F116" s="42" t="s">
        <v>768</v>
      </c>
      <c r="G116" s="42" t="s">
        <v>1589</v>
      </c>
      <c r="H116" s="42" t="n">
        <v>92</v>
      </c>
      <c r="I116" s="44" t="n">
        <v>95</v>
      </c>
      <c r="J116" s="44" t="s">
        <v>484</v>
      </c>
    </row>
    <row r="117" customFormat="false" ht="15" hidden="false" customHeight="true" outlineLevel="0" collapsed="false">
      <c r="A117" s="42" t="s">
        <v>1705</v>
      </c>
      <c r="B117" s="42" t="s">
        <v>476</v>
      </c>
      <c r="C117" s="42" t="s">
        <v>477</v>
      </c>
      <c r="D117" s="42" t="s">
        <v>1452</v>
      </c>
      <c r="E117" s="42" t="s">
        <v>1322</v>
      </c>
      <c r="F117" s="42" t="s">
        <v>768</v>
      </c>
      <c r="G117" s="42" t="s">
        <v>1589</v>
      </c>
      <c r="H117" s="42" t="n">
        <v>90</v>
      </c>
      <c r="I117" s="44" t="n">
        <v>93</v>
      </c>
      <c r="J117" s="44" t="s">
        <v>484</v>
      </c>
    </row>
    <row r="118" customFormat="false" ht="15" hidden="false" customHeight="true" outlineLevel="0" collapsed="false">
      <c r="A118" s="42" t="s">
        <v>1706</v>
      </c>
      <c r="B118" s="42" t="s">
        <v>476</v>
      </c>
      <c r="C118" s="42" t="s">
        <v>477</v>
      </c>
      <c r="D118" s="42" t="s">
        <v>1497</v>
      </c>
      <c r="E118" s="42" t="s">
        <v>1498</v>
      </c>
      <c r="F118" s="42" t="s">
        <v>768</v>
      </c>
      <c r="G118" s="42" t="s">
        <v>1589</v>
      </c>
      <c r="H118" s="42" t="n">
        <v>88</v>
      </c>
      <c r="I118" s="44" t="n">
        <v>91</v>
      </c>
      <c r="J118" s="44" t="s">
        <v>484</v>
      </c>
    </row>
    <row r="119" customFormat="false" ht="15" hidden="false" customHeight="true" outlineLevel="0" collapsed="false">
      <c r="A119" s="42" t="s">
        <v>1707</v>
      </c>
      <c r="B119" s="42" t="s">
        <v>485</v>
      </c>
      <c r="C119" s="42" t="s">
        <v>486</v>
      </c>
      <c r="D119" s="42" t="s">
        <v>1458</v>
      </c>
      <c r="E119" s="42" t="s">
        <v>1459</v>
      </c>
      <c r="F119" s="42" t="s">
        <v>768</v>
      </c>
      <c r="G119" s="42" t="s">
        <v>1589</v>
      </c>
      <c r="H119" s="42" t="n">
        <v>87</v>
      </c>
      <c r="I119" s="44" t="n">
        <v>85</v>
      </c>
      <c r="J119" s="44" t="s">
        <v>484</v>
      </c>
    </row>
    <row r="120" customFormat="false" ht="15" hidden="false" customHeight="true" outlineLevel="0" collapsed="false">
      <c r="A120" s="42" t="s">
        <v>1708</v>
      </c>
      <c r="B120" s="42" t="s">
        <v>485</v>
      </c>
      <c r="C120" s="42" t="s">
        <v>486</v>
      </c>
      <c r="D120" s="42" t="s">
        <v>1461</v>
      </c>
      <c r="E120" s="42" t="s">
        <v>1462</v>
      </c>
      <c r="F120" s="42" t="s">
        <v>768</v>
      </c>
      <c r="G120" s="42" t="s">
        <v>1589</v>
      </c>
      <c r="H120" s="42" t="n">
        <v>85</v>
      </c>
      <c r="I120" s="44" t="n">
        <v>83</v>
      </c>
      <c r="J120" s="44" t="s">
        <v>484</v>
      </c>
    </row>
    <row r="121" customFormat="false" ht="15" hidden="false" customHeight="true" outlineLevel="0" collapsed="false">
      <c r="A121" s="42" t="s">
        <v>1709</v>
      </c>
      <c r="B121" s="42" t="s">
        <v>485</v>
      </c>
      <c r="C121" s="42" t="s">
        <v>486</v>
      </c>
      <c r="D121" s="42" t="s">
        <v>1497</v>
      </c>
      <c r="E121" s="42" t="s">
        <v>1498</v>
      </c>
      <c r="F121" s="42" t="s">
        <v>768</v>
      </c>
      <c r="G121" s="42" t="s">
        <v>1589</v>
      </c>
      <c r="H121" s="42" t="n">
        <v>83</v>
      </c>
      <c r="I121" s="44" t="n">
        <v>81</v>
      </c>
      <c r="J121" s="44" t="s">
        <v>484</v>
      </c>
    </row>
    <row r="122" customFormat="false" ht="15" hidden="false" customHeight="true" outlineLevel="0" collapsed="false">
      <c r="A122" s="42" t="s">
        <v>1710</v>
      </c>
      <c r="B122" s="42" t="s">
        <v>494</v>
      </c>
      <c r="C122" s="42" t="s">
        <v>495</v>
      </c>
      <c r="D122" s="42" t="s">
        <v>1474</v>
      </c>
      <c r="E122" s="42" t="s">
        <v>1475</v>
      </c>
      <c r="F122" s="42" t="s">
        <v>768</v>
      </c>
      <c r="G122" s="42" t="s">
        <v>1589</v>
      </c>
      <c r="H122" s="42" t="n">
        <v>90</v>
      </c>
      <c r="I122" s="44" t="n">
        <v>93</v>
      </c>
      <c r="J122" s="44" t="s">
        <v>484</v>
      </c>
    </row>
    <row r="123" customFormat="false" ht="15" hidden="false" customHeight="true" outlineLevel="0" collapsed="false">
      <c r="A123" s="42" t="s">
        <v>1711</v>
      </c>
      <c r="B123" s="42" t="s">
        <v>494</v>
      </c>
      <c r="C123" s="42" t="s">
        <v>495</v>
      </c>
      <c r="D123" s="42" t="s">
        <v>1478</v>
      </c>
      <c r="E123" s="42" t="s">
        <v>1479</v>
      </c>
      <c r="F123" s="42" t="s">
        <v>768</v>
      </c>
      <c r="G123" s="42" t="s">
        <v>1589</v>
      </c>
      <c r="H123" s="42" t="n">
        <v>88</v>
      </c>
      <c r="I123" s="44" t="n">
        <v>91</v>
      </c>
      <c r="J123" s="44" t="s">
        <v>484</v>
      </c>
    </row>
    <row r="124" customFormat="false" ht="15" hidden="false" customHeight="true" outlineLevel="0" collapsed="false">
      <c r="A124" s="42" t="s">
        <v>1712</v>
      </c>
      <c r="B124" s="42" t="s">
        <v>494</v>
      </c>
      <c r="C124" s="42" t="s">
        <v>495</v>
      </c>
      <c r="D124" s="42" t="s">
        <v>1481</v>
      </c>
      <c r="E124" s="42" t="s">
        <v>1482</v>
      </c>
      <c r="F124" s="42" t="s">
        <v>768</v>
      </c>
      <c r="G124" s="42" t="s">
        <v>1589</v>
      </c>
      <c r="H124" s="42" t="n">
        <v>86</v>
      </c>
      <c r="I124" s="44" t="n">
        <v>89</v>
      </c>
      <c r="J124" s="44" t="s">
        <v>484</v>
      </c>
    </row>
    <row r="125" customFormat="false" ht="15" hidden="false" customHeight="true" outlineLevel="0" collapsed="false">
      <c r="A125" s="42" t="s">
        <v>1713</v>
      </c>
      <c r="B125" s="42" t="s">
        <v>504</v>
      </c>
      <c r="C125" s="42" t="s">
        <v>505</v>
      </c>
      <c r="D125" s="42" t="s">
        <v>1464</v>
      </c>
      <c r="E125" s="42" t="s">
        <v>1465</v>
      </c>
      <c r="F125" s="42" t="s">
        <v>768</v>
      </c>
      <c r="G125" s="42" t="s">
        <v>107</v>
      </c>
      <c r="H125" s="42" t="n">
        <v>94</v>
      </c>
      <c r="I125" s="44" t="n">
        <v>97</v>
      </c>
      <c r="J125" s="44" t="s">
        <v>484</v>
      </c>
    </row>
    <row r="126" customFormat="false" ht="15" hidden="false" customHeight="true" outlineLevel="0" collapsed="false">
      <c r="A126" s="42" t="s">
        <v>1714</v>
      </c>
      <c r="B126" s="42" t="s">
        <v>504</v>
      </c>
      <c r="C126" s="42" t="s">
        <v>505</v>
      </c>
      <c r="D126" s="42" t="s">
        <v>1468</v>
      </c>
      <c r="E126" s="42" t="s">
        <v>1469</v>
      </c>
      <c r="F126" s="42" t="s">
        <v>768</v>
      </c>
      <c r="G126" s="42" t="s">
        <v>107</v>
      </c>
      <c r="H126" s="42" t="n">
        <v>92</v>
      </c>
      <c r="I126" s="44" t="n">
        <v>95</v>
      </c>
      <c r="J126" s="44" t="s">
        <v>484</v>
      </c>
    </row>
    <row r="127" customFormat="false" ht="15" hidden="false" customHeight="true" outlineLevel="0" collapsed="false">
      <c r="A127" s="42" t="s">
        <v>1715</v>
      </c>
      <c r="B127" s="42" t="s">
        <v>504</v>
      </c>
      <c r="C127" s="42" t="s">
        <v>505</v>
      </c>
      <c r="D127" s="42" t="s">
        <v>1471</v>
      </c>
      <c r="E127" s="42" t="s">
        <v>1472</v>
      </c>
      <c r="F127" s="42" t="s">
        <v>768</v>
      </c>
      <c r="G127" s="42" t="s">
        <v>107</v>
      </c>
      <c r="H127" s="42" t="n">
        <v>90</v>
      </c>
      <c r="I127" s="44" t="n">
        <v>93</v>
      </c>
      <c r="J127" s="44" t="s">
        <v>484</v>
      </c>
    </row>
    <row r="128" customFormat="false" ht="15" hidden="false" customHeight="true" outlineLevel="0" collapsed="false">
      <c r="A128" s="42" t="s">
        <v>1716</v>
      </c>
      <c r="B128" s="42" t="s">
        <v>512</v>
      </c>
      <c r="C128" s="42" t="s">
        <v>513</v>
      </c>
      <c r="D128" s="42" t="s">
        <v>1474</v>
      </c>
      <c r="E128" s="42" t="s">
        <v>1475</v>
      </c>
      <c r="F128" s="42" t="s">
        <v>768</v>
      </c>
      <c r="G128" s="42" t="s">
        <v>1589</v>
      </c>
      <c r="H128" s="42" t="n">
        <v>79</v>
      </c>
      <c r="I128" s="44" t="n">
        <v>77</v>
      </c>
      <c r="J128" s="44" t="s">
        <v>484</v>
      </c>
    </row>
    <row r="129" customFormat="false" ht="15" hidden="false" customHeight="true" outlineLevel="0" collapsed="false">
      <c r="A129" s="42" t="s">
        <v>1717</v>
      </c>
      <c r="B129" s="42" t="s">
        <v>512</v>
      </c>
      <c r="C129" s="42" t="s">
        <v>513</v>
      </c>
      <c r="D129" s="42" t="s">
        <v>1478</v>
      </c>
      <c r="E129" s="42" t="s">
        <v>1479</v>
      </c>
      <c r="F129" s="42" t="s">
        <v>768</v>
      </c>
      <c r="G129" s="42" t="s">
        <v>1589</v>
      </c>
      <c r="H129" s="42" t="n">
        <v>77</v>
      </c>
      <c r="I129" s="44" t="n">
        <v>75</v>
      </c>
      <c r="J129" s="44" t="s">
        <v>484</v>
      </c>
    </row>
    <row r="130" customFormat="false" ht="15" hidden="false" customHeight="true" outlineLevel="0" collapsed="false">
      <c r="A130" s="42" t="s">
        <v>1718</v>
      </c>
      <c r="B130" s="42" t="s">
        <v>512</v>
      </c>
      <c r="C130" s="42" t="s">
        <v>513</v>
      </c>
      <c r="D130" s="42" t="s">
        <v>1493</v>
      </c>
      <c r="E130" s="42" t="s">
        <v>1494</v>
      </c>
      <c r="F130" s="42" t="s">
        <v>768</v>
      </c>
      <c r="G130" s="42" t="s">
        <v>1589</v>
      </c>
      <c r="H130" s="42" t="n">
        <v>75</v>
      </c>
      <c r="I130" s="44" t="n">
        <v>73</v>
      </c>
      <c r="J130" s="44" t="s">
        <v>484</v>
      </c>
    </row>
    <row r="131" customFormat="false" ht="15" hidden="false" customHeight="true" outlineLevel="0" collapsed="false">
      <c r="A131" s="42" t="s">
        <v>1719</v>
      </c>
      <c r="B131" s="42" t="s">
        <v>520</v>
      </c>
      <c r="C131" s="42" t="s">
        <v>521</v>
      </c>
      <c r="D131" s="42" t="s">
        <v>1449</v>
      </c>
      <c r="E131" s="42" t="s">
        <v>1399</v>
      </c>
      <c r="F131" s="42" t="s">
        <v>768</v>
      </c>
      <c r="G131" s="42" t="s">
        <v>1589</v>
      </c>
      <c r="H131" s="42" t="n">
        <v>88</v>
      </c>
      <c r="I131" s="44" t="n">
        <v>86</v>
      </c>
      <c r="J131" s="44" t="s">
        <v>484</v>
      </c>
    </row>
    <row r="132" customFormat="false" ht="15" hidden="false" customHeight="true" outlineLevel="0" collapsed="false">
      <c r="A132" s="42" t="s">
        <v>1720</v>
      </c>
      <c r="B132" s="42" t="s">
        <v>520</v>
      </c>
      <c r="C132" s="42" t="s">
        <v>521</v>
      </c>
      <c r="D132" s="42" t="s">
        <v>1452</v>
      </c>
      <c r="E132" s="42" t="s">
        <v>1322</v>
      </c>
      <c r="F132" s="42" t="s">
        <v>768</v>
      </c>
      <c r="G132" s="42" t="s">
        <v>1589</v>
      </c>
      <c r="H132" s="42" t="n">
        <v>86</v>
      </c>
      <c r="I132" s="44" t="n">
        <v>84</v>
      </c>
      <c r="J132" s="44" t="s">
        <v>484</v>
      </c>
    </row>
    <row r="133" customFormat="false" ht="15" hidden="false" customHeight="true" outlineLevel="0" collapsed="false">
      <c r="A133" s="42" t="s">
        <v>1721</v>
      </c>
      <c r="B133" s="42" t="s">
        <v>520</v>
      </c>
      <c r="C133" s="42" t="s">
        <v>521</v>
      </c>
      <c r="D133" s="42" t="s">
        <v>1497</v>
      </c>
      <c r="E133" s="42" t="s">
        <v>1498</v>
      </c>
      <c r="F133" s="42" t="s">
        <v>768</v>
      </c>
      <c r="G133" s="42" t="s">
        <v>1589</v>
      </c>
      <c r="H133" s="42" t="n">
        <v>84</v>
      </c>
      <c r="I133" s="44" t="n">
        <v>82</v>
      </c>
      <c r="J133" s="44" t="s">
        <v>484</v>
      </c>
    </row>
    <row r="134" customFormat="false" ht="15" hidden="false" customHeight="true" outlineLevel="0" collapsed="false">
      <c r="A134" s="42" t="s">
        <v>1722</v>
      </c>
      <c r="B134" s="42" t="s">
        <v>526</v>
      </c>
      <c r="C134" s="42" t="s">
        <v>527</v>
      </c>
      <c r="D134" s="42" t="s">
        <v>1485</v>
      </c>
      <c r="E134" s="42" t="s">
        <v>1486</v>
      </c>
      <c r="F134" s="42" t="s">
        <v>768</v>
      </c>
      <c r="G134" s="42" t="s">
        <v>1589</v>
      </c>
      <c r="H134" s="42" t="n">
        <v>91</v>
      </c>
      <c r="I134" s="44" t="n">
        <v>94</v>
      </c>
      <c r="J134" s="44" t="s">
        <v>484</v>
      </c>
    </row>
    <row r="135" customFormat="false" ht="15" hidden="false" customHeight="true" outlineLevel="0" collapsed="false">
      <c r="A135" s="42" t="s">
        <v>1723</v>
      </c>
      <c r="B135" s="42" t="s">
        <v>526</v>
      </c>
      <c r="C135" s="42" t="s">
        <v>527</v>
      </c>
      <c r="D135" s="42" t="s">
        <v>1489</v>
      </c>
      <c r="E135" s="42" t="s">
        <v>1490</v>
      </c>
      <c r="F135" s="42" t="s">
        <v>768</v>
      </c>
      <c r="G135" s="42" t="s">
        <v>1589</v>
      </c>
      <c r="H135" s="42" t="n">
        <v>89</v>
      </c>
      <c r="I135" s="44" t="n">
        <v>92</v>
      </c>
      <c r="J135" s="44" t="s">
        <v>484</v>
      </c>
    </row>
    <row r="136" customFormat="false" ht="15" hidden="false" customHeight="true" outlineLevel="0" collapsed="false">
      <c r="A136" s="42" t="s">
        <v>1724</v>
      </c>
      <c r="B136" s="42" t="s">
        <v>534</v>
      </c>
      <c r="C136" s="42" t="s">
        <v>535</v>
      </c>
      <c r="D136" s="42" t="s">
        <v>1458</v>
      </c>
      <c r="E136" s="42" t="s">
        <v>1459</v>
      </c>
      <c r="F136" s="42" t="s">
        <v>768</v>
      </c>
      <c r="G136" s="42" t="s">
        <v>1589</v>
      </c>
      <c r="H136" s="42" t="n">
        <v>86</v>
      </c>
      <c r="I136" s="44" t="n">
        <v>84</v>
      </c>
      <c r="J136" s="44" t="s">
        <v>484</v>
      </c>
    </row>
    <row r="137" customFormat="false" ht="15" hidden="false" customHeight="true" outlineLevel="0" collapsed="false">
      <c r="A137" s="42" t="s">
        <v>1725</v>
      </c>
      <c r="B137" s="42" t="s">
        <v>534</v>
      </c>
      <c r="C137" s="42" t="s">
        <v>535</v>
      </c>
      <c r="D137" s="42" t="s">
        <v>1461</v>
      </c>
      <c r="E137" s="42" t="s">
        <v>1462</v>
      </c>
      <c r="F137" s="42" t="s">
        <v>768</v>
      </c>
      <c r="G137" s="42" t="s">
        <v>1589</v>
      </c>
      <c r="H137" s="42" t="n">
        <v>84</v>
      </c>
      <c r="I137" s="44" t="n">
        <v>82</v>
      </c>
      <c r="J137" s="44" t="s">
        <v>484</v>
      </c>
    </row>
    <row r="138" customFormat="false" ht="15" hidden="false" customHeight="true" outlineLevel="0" collapsed="false">
      <c r="A138" s="42" t="s">
        <v>1726</v>
      </c>
      <c r="B138" s="42" t="s">
        <v>534</v>
      </c>
      <c r="C138" s="42" t="s">
        <v>535</v>
      </c>
      <c r="D138" s="42" t="s">
        <v>1497</v>
      </c>
      <c r="E138" s="42" t="s">
        <v>1498</v>
      </c>
      <c r="F138" s="42" t="s">
        <v>768</v>
      </c>
      <c r="G138" s="42" t="s">
        <v>1589</v>
      </c>
      <c r="H138" s="42" t="n">
        <v>82</v>
      </c>
      <c r="I138" s="44" t="n">
        <v>80</v>
      </c>
      <c r="J138" s="44" t="s">
        <v>484</v>
      </c>
    </row>
    <row r="139" customFormat="false" ht="15" hidden="false" customHeight="true" outlineLevel="0" collapsed="false">
      <c r="A139" s="42" t="s">
        <v>1727</v>
      </c>
      <c r="B139" s="42" t="s">
        <v>540</v>
      </c>
      <c r="C139" s="42" t="s">
        <v>541</v>
      </c>
      <c r="D139" s="42" t="s">
        <v>1464</v>
      </c>
      <c r="E139" s="42" t="s">
        <v>1465</v>
      </c>
      <c r="F139" s="42" t="s">
        <v>768</v>
      </c>
      <c r="G139" s="42" t="s">
        <v>1633</v>
      </c>
      <c r="H139" s="42" t="n">
        <v>82</v>
      </c>
      <c r="I139" s="44" t="n">
        <v>80</v>
      </c>
      <c r="J139" s="44" t="s">
        <v>484</v>
      </c>
    </row>
    <row r="140" customFormat="false" ht="15" hidden="false" customHeight="true" outlineLevel="0" collapsed="false">
      <c r="A140" s="42" t="s">
        <v>1728</v>
      </c>
      <c r="B140" s="42" t="s">
        <v>540</v>
      </c>
      <c r="C140" s="42" t="s">
        <v>541</v>
      </c>
      <c r="D140" s="42" t="s">
        <v>1468</v>
      </c>
      <c r="E140" s="42" t="s">
        <v>1469</v>
      </c>
      <c r="F140" s="42" t="s">
        <v>768</v>
      </c>
      <c r="G140" s="42" t="s">
        <v>1633</v>
      </c>
      <c r="H140" s="42" t="n">
        <v>80</v>
      </c>
      <c r="I140" s="44" t="n">
        <v>78</v>
      </c>
      <c r="J140" s="44" t="s">
        <v>484</v>
      </c>
    </row>
    <row r="141" customFormat="false" ht="15" hidden="false" customHeight="true" outlineLevel="0" collapsed="false">
      <c r="A141" s="42" t="s">
        <v>1729</v>
      </c>
      <c r="B141" s="42" t="s">
        <v>540</v>
      </c>
      <c r="C141" s="42" t="s">
        <v>541</v>
      </c>
      <c r="D141" s="42" t="s">
        <v>1471</v>
      </c>
      <c r="E141" s="42" t="s">
        <v>1472</v>
      </c>
      <c r="F141" s="42" t="s">
        <v>768</v>
      </c>
      <c r="G141" s="42" t="s">
        <v>1633</v>
      </c>
      <c r="H141" s="42" t="n">
        <v>78</v>
      </c>
      <c r="I141" s="44" t="n">
        <v>76</v>
      </c>
      <c r="J141" s="44" t="s">
        <v>484</v>
      </c>
    </row>
    <row r="142" customFormat="false" ht="15" hidden="false" customHeight="true" outlineLevel="0" collapsed="false">
      <c r="A142" s="42" t="s">
        <v>1730</v>
      </c>
      <c r="B142" s="42" t="s">
        <v>546</v>
      </c>
      <c r="C142" s="42" t="s">
        <v>547</v>
      </c>
      <c r="D142" s="42" t="s">
        <v>1474</v>
      </c>
      <c r="E142" s="42" t="s">
        <v>1475</v>
      </c>
      <c r="F142" s="42" t="s">
        <v>768</v>
      </c>
      <c r="G142" s="42" t="s">
        <v>1589</v>
      </c>
      <c r="H142" s="42" t="n">
        <v>89</v>
      </c>
      <c r="I142" s="44" t="n">
        <v>92</v>
      </c>
      <c r="J142" s="44" t="s">
        <v>484</v>
      </c>
    </row>
    <row r="143" customFormat="false" ht="15" hidden="false" customHeight="true" outlineLevel="0" collapsed="false">
      <c r="A143" s="42" t="s">
        <v>1731</v>
      </c>
      <c r="B143" s="42" t="s">
        <v>546</v>
      </c>
      <c r="C143" s="42" t="s">
        <v>547</v>
      </c>
      <c r="D143" s="42" t="s">
        <v>1478</v>
      </c>
      <c r="E143" s="42" t="s">
        <v>1479</v>
      </c>
      <c r="F143" s="42" t="s">
        <v>768</v>
      </c>
      <c r="G143" s="42" t="s">
        <v>1589</v>
      </c>
      <c r="H143" s="42" t="n">
        <v>87</v>
      </c>
      <c r="I143" s="44" t="n">
        <v>90</v>
      </c>
      <c r="J143" s="44" t="s">
        <v>484</v>
      </c>
    </row>
    <row r="144" customFormat="false" ht="15" hidden="false" customHeight="true" outlineLevel="0" collapsed="false">
      <c r="A144" s="42" t="s">
        <v>1732</v>
      </c>
      <c r="B144" s="42" t="s">
        <v>546</v>
      </c>
      <c r="C144" s="42" t="s">
        <v>547</v>
      </c>
      <c r="D144" s="42" t="s">
        <v>1493</v>
      </c>
      <c r="E144" s="42" t="s">
        <v>1494</v>
      </c>
      <c r="F144" s="42" t="s">
        <v>768</v>
      </c>
      <c r="G144" s="42" t="s">
        <v>1589</v>
      </c>
      <c r="H144" s="42" t="n">
        <v>85</v>
      </c>
      <c r="I144" s="44" t="n">
        <v>88</v>
      </c>
      <c r="J144" s="44" t="s">
        <v>484</v>
      </c>
    </row>
    <row r="145" customFormat="false" ht="15" hidden="false" customHeight="true" outlineLevel="0" collapsed="false">
      <c r="A145" s="42" t="s">
        <v>1733</v>
      </c>
      <c r="B145" s="42" t="s">
        <v>552</v>
      </c>
      <c r="C145" s="42" t="s">
        <v>553</v>
      </c>
      <c r="D145" s="42" t="s">
        <v>1449</v>
      </c>
      <c r="E145" s="42" t="s">
        <v>1399</v>
      </c>
      <c r="F145" s="42" t="s">
        <v>768</v>
      </c>
      <c r="G145" s="42" t="s">
        <v>1589</v>
      </c>
      <c r="H145" s="42" t="n">
        <v>85</v>
      </c>
      <c r="I145" s="44" t="n">
        <v>83</v>
      </c>
      <c r="J145" s="44" t="s">
        <v>484</v>
      </c>
    </row>
    <row r="146" customFormat="false" ht="15" hidden="false" customHeight="true" outlineLevel="0" collapsed="false">
      <c r="A146" s="42" t="s">
        <v>1734</v>
      </c>
      <c r="B146" s="42" t="s">
        <v>552</v>
      </c>
      <c r="C146" s="42" t="s">
        <v>553</v>
      </c>
      <c r="D146" s="42" t="s">
        <v>1452</v>
      </c>
      <c r="E146" s="42" t="s">
        <v>1322</v>
      </c>
      <c r="F146" s="42" t="s">
        <v>768</v>
      </c>
      <c r="G146" s="42" t="s">
        <v>1589</v>
      </c>
      <c r="H146" s="42" t="n">
        <v>83</v>
      </c>
      <c r="I146" s="44" t="n">
        <v>81</v>
      </c>
      <c r="J146" s="44" t="s">
        <v>484</v>
      </c>
    </row>
    <row r="147" customFormat="false" ht="15" hidden="false" customHeight="true" outlineLevel="0" collapsed="false">
      <c r="A147" s="42" t="s">
        <v>1735</v>
      </c>
      <c r="B147" s="42" t="s">
        <v>552</v>
      </c>
      <c r="C147" s="42" t="s">
        <v>553</v>
      </c>
      <c r="D147" s="42" t="s">
        <v>1497</v>
      </c>
      <c r="E147" s="42" t="s">
        <v>1498</v>
      </c>
      <c r="F147" s="42" t="s">
        <v>768</v>
      </c>
      <c r="G147" s="42" t="s">
        <v>1589</v>
      </c>
      <c r="H147" s="42" t="n">
        <v>81</v>
      </c>
      <c r="I147" s="44" t="n">
        <v>79</v>
      </c>
      <c r="J147" s="44" t="s">
        <v>484</v>
      </c>
    </row>
    <row r="148" customFormat="false" ht="15" hidden="false" customHeight="true" outlineLevel="0" collapsed="false">
      <c r="A148" s="42" t="s">
        <v>1736</v>
      </c>
      <c r="B148" s="42" t="s">
        <v>559</v>
      </c>
      <c r="C148" s="42" t="s">
        <v>560</v>
      </c>
      <c r="D148" s="42" t="s">
        <v>1458</v>
      </c>
      <c r="E148" s="42" t="s">
        <v>1459</v>
      </c>
      <c r="F148" s="42" t="s">
        <v>768</v>
      </c>
      <c r="G148" s="42" t="s">
        <v>107</v>
      </c>
      <c r="H148" s="42" t="n">
        <v>81</v>
      </c>
      <c r="I148" s="44" t="n">
        <v>79</v>
      </c>
      <c r="J148" s="44" t="s">
        <v>484</v>
      </c>
    </row>
    <row r="149" customFormat="false" ht="15" hidden="false" customHeight="true" outlineLevel="0" collapsed="false">
      <c r="A149" s="42" t="s">
        <v>1737</v>
      </c>
      <c r="B149" s="42" t="s">
        <v>559</v>
      </c>
      <c r="C149" s="42" t="s">
        <v>560</v>
      </c>
      <c r="D149" s="42" t="s">
        <v>1461</v>
      </c>
      <c r="E149" s="42" t="s">
        <v>1462</v>
      </c>
      <c r="F149" s="42" t="s">
        <v>768</v>
      </c>
      <c r="G149" s="42" t="s">
        <v>107</v>
      </c>
      <c r="H149" s="42" t="n">
        <v>79</v>
      </c>
      <c r="I149" s="44" t="n">
        <v>77</v>
      </c>
      <c r="J149" s="44" t="s">
        <v>484</v>
      </c>
    </row>
    <row r="150" customFormat="false" ht="15" hidden="false" customHeight="true" outlineLevel="0" collapsed="false">
      <c r="A150" s="42" t="s">
        <v>1738</v>
      </c>
      <c r="B150" s="42" t="s">
        <v>559</v>
      </c>
      <c r="C150" s="42" t="s">
        <v>560</v>
      </c>
      <c r="D150" s="42" t="s">
        <v>1497</v>
      </c>
      <c r="E150" s="42" t="s">
        <v>1498</v>
      </c>
      <c r="F150" s="42" t="s">
        <v>768</v>
      </c>
      <c r="G150" s="42" t="s">
        <v>107</v>
      </c>
      <c r="H150" s="42" t="n">
        <v>77</v>
      </c>
      <c r="I150" s="44" t="n">
        <v>75</v>
      </c>
      <c r="J150" s="44" t="s">
        <v>484</v>
      </c>
    </row>
    <row r="151" customFormat="false" ht="15" hidden="false" customHeight="true" outlineLevel="0" collapsed="false">
      <c r="A151" s="42" t="s">
        <v>1739</v>
      </c>
      <c r="B151" s="42" t="s">
        <v>565</v>
      </c>
      <c r="C151" s="42" t="s">
        <v>566</v>
      </c>
      <c r="D151" s="42" t="s">
        <v>1474</v>
      </c>
      <c r="E151" s="42" t="s">
        <v>1475</v>
      </c>
      <c r="F151" s="42" t="s">
        <v>768</v>
      </c>
      <c r="G151" s="42" t="s">
        <v>1589</v>
      </c>
      <c r="H151" s="42" t="n">
        <v>90</v>
      </c>
      <c r="I151" s="44" t="n">
        <v>93</v>
      </c>
      <c r="J151" s="44" t="s">
        <v>484</v>
      </c>
    </row>
    <row r="152" customFormat="false" ht="15" hidden="false" customHeight="true" outlineLevel="0" collapsed="false">
      <c r="A152" s="42" t="s">
        <v>1740</v>
      </c>
      <c r="B152" s="42" t="s">
        <v>565</v>
      </c>
      <c r="C152" s="42" t="s">
        <v>566</v>
      </c>
      <c r="D152" s="42" t="s">
        <v>1478</v>
      </c>
      <c r="E152" s="42" t="s">
        <v>1479</v>
      </c>
      <c r="F152" s="42" t="s">
        <v>768</v>
      </c>
      <c r="G152" s="42" t="s">
        <v>1589</v>
      </c>
      <c r="H152" s="42" t="n">
        <v>88</v>
      </c>
      <c r="I152" s="44" t="n">
        <v>91</v>
      </c>
      <c r="J152" s="44" t="s">
        <v>484</v>
      </c>
    </row>
    <row r="153" customFormat="false" ht="15" hidden="false" customHeight="true" outlineLevel="0" collapsed="false">
      <c r="A153" s="42" t="s">
        <v>1741</v>
      </c>
      <c r="B153" s="42" t="s">
        <v>565</v>
      </c>
      <c r="C153" s="42" t="s">
        <v>566</v>
      </c>
      <c r="D153" s="42" t="s">
        <v>1481</v>
      </c>
      <c r="E153" s="42" t="s">
        <v>1482</v>
      </c>
      <c r="F153" s="42" t="s">
        <v>768</v>
      </c>
      <c r="G153" s="42" t="s">
        <v>1589</v>
      </c>
      <c r="H153" s="42" t="n">
        <v>86</v>
      </c>
      <c r="I153" s="44" t="n">
        <v>89</v>
      </c>
      <c r="J153" s="44" t="s">
        <v>484</v>
      </c>
    </row>
    <row r="154" customFormat="false" ht="15" hidden="false" customHeight="true" outlineLevel="0" collapsed="false">
      <c r="A154" s="42" t="s">
        <v>1742</v>
      </c>
      <c r="B154" s="42" t="s">
        <v>571</v>
      </c>
      <c r="C154" s="42" t="s">
        <v>572</v>
      </c>
      <c r="D154" s="42" t="s">
        <v>1485</v>
      </c>
      <c r="E154" s="42" t="s">
        <v>1486</v>
      </c>
      <c r="F154" s="42" t="s">
        <v>768</v>
      </c>
      <c r="G154" s="42" t="s">
        <v>1589</v>
      </c>
      <c r="H154" s="42" t="n">
        <v>74</v>
      </c>
      <c r="I154" s="44" t="n">
        <v>72</v>
      </c>
      <c r="J154" s="44" t="s">
        <v>484</v>
      </c>
    </row>
    <row r="155" customFormat="false" ht="15" hidden="false" customHeight="true" outlineLevel="0" collapsed="false">
      <c r="A155" s="42" t="s">
        <v>1743</v>
      </c>
      <c r="B155" s="42" t="s">
        <v>571</v>
      </c>
      <c r="C155" s="42" t="s">
        <v>572</v>
      </c>
      <c r="D155" s="42" t="s">
        <v>1489</v>
      </c>
      <c r="E155" s="42" t="s">
        <v>1490</v>
      </c>
      <c r="F155" s="42" t="s">
        <v>768</v>
      </c>
      <c r="G155" s="42" t="s">
        <v>1589</v>
      </c>
      <c r="H155" s="42" t="n">
        <v>72</v>
      </c>
      <c r="I155" s="44" t="n">
        <v>70</v>
      </c>
      <c r="J155" s="44" t="s">
        <v>484</v>
      </c>
    </row>
    <row r="156" customFormat="false" ht="15" hidden="false" customHeight="true" outlineLevel="0" collapsed="false">
      <c r="A156" s="42" t="s">
        <v>1744</v>
      </c>
      <c r="B156" s="42" t="s">
        <v>576</v>
      </c>
      <c r="C156" s="42" t="s">
        <v>577</v>
      </c>
      <c r="D156" s="42" t="s">
        <v>1464</v>
      </c>
      <c r="E156" s="42" t="s">
        <v>1465</v>
      </c>
      <c r="F156" s="42" t="s">
        <v>768</v>
      </c>
      <c r="G156" s="42" t="s">
        <v>1589</v>
      </c>
      <c r="H156" s="42" t="n">
        <v>93</v>
      </c>
      <c r="I156" s="44" t="n">
        <v>96</v>
      </c>
      <c r="J156" s="44" t="s">
        <v>484</v>
      </c>
    </row>
    <row r="157" customFormat="false" ht="15" hidden="false" customHeight="true" outlineLevel="0" collapsed="false">
      <c r="A157" s="42" t="s">
        <v>1745</v>
      </c>
      <c r="B157" s="42" t="s">
        <v>576</v>
      </c>
      <c r="C157" s="42" t="s">
        <v>577</v>
      </c>
      <c r="D157" s="42" t="s">
        <v>1468</v>
      </c>
      <c r="E157" s="42" t="s">
        <v>1469</v>
      </c>
      <c r="F157" s="42" t="s">
        <v>768</v>
      </c>
      <c r="G157" s="42" t="s">
        <v>1589</v>
      </c>
      <c r="H157" s="42" t="n">
        <v>91</v>
      </c>
      <c r="I157" s="44" t="n">
        <v>94</v>
      </c>
      <c r="J157" s="44" t="s">
        <v>484</v>
      </c>
    </row>
    <row r="158" customFormat="false" ht="15" hidden="false" customHeight="true" outlineLevel="0" collapsed="false">
      <c r="A158" s="42" t="s">
        <v>1746</v>
      </c>
      <c r="B158" s="42" t="s">
        <v>576</v>
      </c>
      <c r="C158" s="42" t="s">
        <v>577</v>
      </c>
      <c r="D158" s="42" t="s">
        <v>1493</v>
      </c>
      <c r="E158" s="42" t="s">
        <v>1494</v>
      </c>
      <c r="F158" s="42" t="s">
        <v>768</v>
      </c>
      <c r="G158" s="42" t="s">
        <v>1589</v>
      </c>
      <c r="H158" s="42" t="n">
        <v>89</v>
      </c>
      <c r="I158" s="44" t="n">
        <v>92</v>
      </c>
      <c r="J158" s="44" t="s">
        <v>484</v>
      </c>
    </row>
    <row r="159" customFormat="false" ht="15" hidden="false" customHeight="true" outlineLevel="0" collapsed="false">
      <c r="A159" s="42" t="s">
        <v>1747</v>
      </c>
      <c r="B159" s="42" t="s">
        <v>581</v>
      </c>
      <c r="C159" s="42" t="s">
        <v>582</v>
      </c>
      <c r="D159" s="42" t="s">
        <v>1449</v>
      </c>
      <c r="E159" s="42" t="s">
        <v>1399</v>
      </c>
      <c r="F159" s="42" t="s">
        <v>768</v>
      </c>
      <c r="G159" s="42" t="s">
        <v>1589</v>
      </c>
      <c r="H159" s="42" t="n">
        <v>86</v>
      </c>
      <c r="I159" s="44" t="n">
        <v>84</v>
      </c>
      <c r="J159" s="44" t="s">
        <v>484</v>
      </c>
    </row>
    <row r="160" customFormat="false" ht="15" hidden="false" customHeight="true" outlineLevel="0" collapsed="false">
      <c r="A160" s="42" t="s">
        <v>1748</v>
      </c>
      <c r="B160" s="42" t="s">
        <v>581</v>
      </c>
      <c r="C160" s="42" t="s">
        <v>582</v>
      </c>
      <c r="D160" s="42" t="s">
        <v>1452</v>
      </c>
      <c r="E160" s="42" t="s">
        <v>1322</v>
      </c>
      <c r="F160" s="42" t="s">
        <v>768</v>
      </c>
      <c r="G160" s="42" t="s">
        <v>1589</v>
      </c>
      <c r="H160" s="42" t="n">
        <v>84</v>
      </c>
      <c r="I160" s="44" t="n">
        <v>82</v>
      </c>
      <c r="J160" s="44" t="s">
        <v>484</v>
      </c>
    </row>
    <row r="161" customFormat="false" ht="15" hidden="false" customHeight="true" outlineLevel="0" collapsed="false">
      <c r="A161" s="42" t="s">
        <v>1749</v>
      </c>
      <c r="B161" s="42" t="s">
        <v>581</v>
      </c>
      <c r="C161" s="42" t="s">
        <v>582</v>
      </c>
      <c r="D161" s="42" t="s">
        <v>1497</v>
      </c>
      <c r="E161" s="42" t="s">
        <v>1498</v>
      </c>
      <c r="F161" s="42" t="s">
        <v>768</v>
      </c>
      <c r="G161" s="42" t="s">
        <v>1589</v>
      </c>
      <c r="H161" s="42" t="n">
        <v>82</v>
      </c>
      <c r="I161" s="44" t="n">
        <v>80</v>
      </c>
      <c r="J161" s="44" t="s">
        <v>484</v>
      </c>
    </row>
    <row r="162" customFormat="false" ht="15" hidden="false" customHeight="true" outlineLevel="0" collapsed="false">
      <c r="A162" s="42" t="s">
        <v>1750</v>
      </c>
      <c r="B162" s="42" t="s">
        <v>586</v>
      </c>
      <c r="C162" s="42" t="s">
        <v>587</v>
      </c>
      <c r="D162" s="42" t="s">
        <v>1474</v>
      </c>
      <c r="E162" s="42" t="s">
        <v>1475</v>
      </c>
      <c r="F162" s="42" t="s">
        <v>768</v>
      </c>
      <c r="G162" s="42" t="s">
        <v>1589</v>
      </c>
      <c r="H162" s="42" t="n">
        <v>91</v>
      </c>
      <c r="I162" s="44" t="n">
        <v>94</v>
      </c>
      <c r="J162" s="44" t="s">
        <v>484</v>
      </c>
    </row>
    <row r="163" customFormat="false" ht="15" hidden="false" customHeight="true" outlineLevel="0" collapsed="false">
      <c r="A163" s="42" t="s">
        <v>1751</v>
      </c>
      <c r="B163" s="42" t="s">
        <v>586</v>
      </c>
      <c r="C163" s="42" t="s">
        <v>587</v>
      </c>
      <c r="D163" s="42" t="s">
        <v>1478</v>
      </c>
      <c r="E163" s="42" t="s">
        <v>1479</v>
      </c>
      <c r="F163" s="42" t="s">
        <v>768</v>
      </c>
      <c r="G163" s="42" t="s">
        <v>1589</v>
      </c>
      <c r="H163" s="42" t="n">
        <v>89</v>
      </c>
      <c r="I163" s="44" t="n">
        <v>92</v>
      </c>
      <c r="J163" s="44" t="s">
        <v>484</v>
      </c>
    </row>
    <row r="164" customFormat="false" ht="15" hidden="false" customHeight="true" outlineLevel="0" collapsed="false">
      <c r="A164" s="42" t="s">
        <v>1752</v>
      </c>
      <c r="B164" s="42" t="s">
        <v>586</v>
      </c>
      <c r="C164" s="42" t="s">
        <v>587</v>
      </c>
      <c r="D164" s="42" t="s">
        <v>1481</v>
      </c>
      <c r="E164" s="42" t="s">
        <v>1482</v>
      </c>
      <c r="F164" s="42" t="s">
        <v>768</v>
      </c>
      <c r="G164" s="42" t="s">
        <v>1589</v>
      </c>
      <c r="H164" s="42" t="n">
        <v>87</v>
      </c>
      <c r="I164" s="44" t="n">
        <v>90</v>
      </c>
      <c r="J164" s="44" t="s">
        <v>484</v>
      </c>
    </row>
    <row r="165" customFormat="false" ht="15" hidden="false" customHeight="true" outlineLevel="0" collapsed="false">
      <c r="A165" s="42" t="s">
        <v>1753</v>
      </c>
      <c r="B165" s="42" t="s">
        <v>591</v>
      </c>
      <c r="C165" s="42" t="s">
        <v>592</v>
      </c>
      <c r="D165" s="42" t="s">
        <v>1458</v>
      </c>
      <c r="E165" s="42" t="s">
        <v>1459</v>
      </c>
      <c r="F165" s="42" t="s">
        <v>768</v>
      </c>
      <c r="G165" s="42" t="s">
        <v>1589</v>
      </c>
      <c r="H165" s="42" t="n">
        <v>86</v>
      </c>
      <c r="I165" s="44" t="n">
        <v>84</v>
      </c>
      <c r="J165" s="44" t="s">
        <v>484</v>
      </c>
    </row>
    <row r="166" customFormat="false" ht="15" hidden="false" customHeight="true" outlineLevel="0" collapsed="false">
      <c r="A166" s="42" t="s">
        <v>1754</v>
      </c>
      <c r="B166" s="42" t="s">
        <v>591</v>
      </c>
      <c r="C166" s="42" t="s">
        <v>592</v>
      </c>
      <c r="D166" s="42" t="s">
        <v>1461</v>
      </c>
      <c r="E166" s="42" t="s">
        <v>1462</v>
      </c>
      <c r="F166" s="42" t="s">
        <v>768</v>
      </c>
      <c r="G166" s="42" t="s">
        <v>1589</v>
      </c>
      <c r="H166" s="42" t="n">
        <v>84</v>
      </c>
      <c r="I166" s="44" t="n">
        <v>82</v>
      </c>
      <c r="J166" s="44" t="s">
        <v>484</v>
      </c>
    </row>
    <row r="167" customFormat="false" ht="15" hidden="false" customHeight="true" outlineLevel="0" collapsed="false">
      <c r="A167" s="42" t="s">
        <v>1755</v>
      </c>
      <c r="B167" s="42" t="s">
        <v>591</v>
      </c>
      <c r="C167" s="42" t="s">
        <v>592</v>
      </c>
      <c r="D167" s="42" t="s">
        <v>1497</v>
      </c>
      <c r="E167" s="42" t="s">
        <v>1498</v>
      </c>
      <c r="F167" s="42" t="s">
        <v>768</v>
      </c>
      <c r="G167" s="42" t="s">
        <v>1589</v>
      </c>
      <c r="H167" s="42" t="n">
        <v>82</v>
      </c>
      <c r="I167" s="44" t="n">
        <v>80</v>
      </c>
      <c r="J167" s="44" t="s">
        <v>484</v>
      </c>
    </row>
    <row r="168" customFormat="false" ht="15" hidden="false" customHeight="true" outlineLevel="0" collapsed="false">
      <c r="A168" s="42" t="s">
        <v>1756</v>
      </c>
      <c r="B168" s="42" t="s">
        <v>598</v>
      </c>
      <c r="C168" s="42" t="s">
        <v>599</v>
      </c>
      <c r="D168" s="42" t="s">
        <v>1485</v>
      </c>
      <c r="E168" s="42" t="s">
        <v>1486</v>
      </c>
      <c r="F168" s="42" t="s">
        <v>768</v>
      </c>
      <c r="G168" s="42" t="s">
        <v>1589</v>
      </c>
      <c r="H168" s="42" t="n">
        <v>89</v>
      </c>
      <c r="I168" s="44" t="n">
        <v>92</v>
      </c>
      <c r="J168" s="44" t="s">
        <v>484</v>
      </c>
    </row>
    <row r="169" customFormat="false" ht="15" hidden="false" customHeight="true" outlineLevel="0" collapsed="false">
      <c r="A169" s="42" t="s">
        <v>1757</v>
      </c>
      <c r="B169" s="42" t="s">
        <v>598</v>
      </c>
      <c r="C169" s="42" t="s">
        <v>599</v>
      </c>
      <c r="D169" s="42" t="s">
        <v>1489</v>
      </c>
      <c r="E169" s="42" t="s">
        <v>1490</v>
      </c>
      <c r="F169" s="42" t="s">
        <v>768</v>
      </c>
      <c r="G169" s="42" t="s">
        <v>1589</v>
      </c>
      <c r="H169" s="42" t="n">
        <v>87</v>
      </c>
      <c r="I169" s="44" t="n">
        <v>90</v>
      </c>
      <c r="J169" s="44" t="s">
        <v>484</v>
      </c>
    </row>
    <row r="170" customFormat="false" ht="15" hidden="false" customHeight="true" outlineLevel="0" collapsed="false">
      <c r="A170" s="42" t="s">
        <v>1758</v>
      </c>
      <c r="B170" s="42" t="s">
        <v>604</v>
      </c>
      <c r="C170" s="42" t="s">
        <v>605</v>
      </c>
      <c r="D170" s="42" t="s">
        <v>1449</v>
      </c>
      <c r="E170" s="42" t="s">
        <v>1399</v>
      </c>
      <c r="F170" s="42" t="s">
        <v>768</v>
      </c>
      <c r="G170" s="42" t="s">
        <v>1589</v>
      </c>
      <c r="H170" s="42" t="n">
        <v>77</v>
      </c>
      <c r="I170" s="44" t="n">
        <v>75</v>
      </c>
      <c r="J170" s="44" t="s">
        <v>484</v>
      </c>
    </row>
    <row r="171" customFormat="false" ht="15" hidden="false" customHeight="true" outlineLevel="0" collapsed="false">
      <c r="A171" s="42" t="s">
        <v>1759</v>
      </c>
      <c r="B171" s="42" t="s">
        <v>604</v>
      </c>
      <c r="C171" s="42" t="s">
        <v>605</v>
      </c>
      <c r="D171" s="42" t="s">
        <v>1452</v>
      </c>
      <c r="E171" s="42" t="s">
        <v>1322</v>
      </c>
      <c r="F171" s="42" t="s">
        <v>768</v>
      </c>
      <c r="G171" s="42" t="s">
        <v>1589</v>
      </c>
      <c r="H171" s="42" t="n">
        <v>75</v>
      </c>
      <c r="I171" s="44" t="n">
        <v>73</v>
      </c>
      <c r="J171" s="44" t="s">
        <v>484</v>
      </c>
    </row>
    <row r="172" customFormat="false" ht="15" hidden="false" customHeight="true" outlineLevel="0" collapsed="false">
      <c r="A172" s="42" t="s">
        <v>1760</v>
      </c>
      <c r="B172" s="42" t="s">
        <v>604</v>
      </c>
      <c r="C172" s="42" t="s">
        <v>605</v>
      </c>
      <c r="D172" s="42" t="s">
        <v>1493</v>
      </c>
      <c r="E172" s="42" t="s">
        <v>1494</v>
      </c>
      <c r="F172" s="42" t="s">
        <v>768</v>
      </c>
      <c r="G172" s="42" t="s">
        <v>1589</v>
      </c>
      <c r="H172" s="42" t="n">
        <v>73</v>
      </c>
      <c r="I172" s="44" t="n">
        <v>71</v>
      </c>
      <c r="J172" s="44" t="s">
        <v>484</v>
      </c>
    </row>
    <row r="173" customFormat="false" ht="15" hidden="false" customHeight="true" outlineLevel="0" collapsed="false">
      <c r="A173" s="42" t="s">
        <v>1761</v>
      </c>
      <c r="B173" s="42" t="s">
        <v>610</v>
      </c>
      <c r="C173" s="42" t="s">
        <v>611</v>
      </c>
      <c r="D173" s="42" t="s">
        <v>1474</v>
      </c>
      <c r="E173" s="42" t="s">
        <v>1475</v>
      </c>
      <c r="F173" s="42" t="s">
        <v>768</v>
      </c>
      <c r="G173" s="42" t="s">
        <v>1589</v>
      </c>
      <c r="H173" s="42" t="n">
        <v>91</v>
      </c>
      <c r="I173" s="44" t="n">
        <v>94</v>
      </c>
      <c r="J173" s="44" t="s">
        <v>484</v>
      </c>
    </row>
    <row r="174" customFormat="false" ht="15" hidden="false" customHeight="true" outlineLevel="0" collapsed="false">
      <c r="A174" s="42" t="s">
        <v>1762</v>
      </c>
      <c r="B174" s="42" t="s">
        <v>610</v>
      </c>
      <c r="C174" s="42" t="s">
        <v>611</v>
      </c>
      <c r="D174" s="42" t="s">
        <v>1478</v>
      </c>
      <c r="E174" s="42" t="s">
        <v>1479</v>
      </c>
      <c r="F174" s="42" t="s">
        <v>768</v>
      </c>
      <c r="G174" s="42" t="s">
        <v>1589</v>
      </c>
      <c r="H174" s="42" t="n">
        <v>89</v>
      </c>
      <c r="I174" s="44" t="n">
        <v>92</v>
      </c>
      <c r="J174" s="44" t="s">
        <v>484</v>
      </c>
    </row>
    <row r="175" customFormat="false" ht="15" hidden="false" customHeight="true" outlineLevel="0" collapsed="false">
      <c r="A175" s="42" t="s">
        <v>1763</v>
      </c>
      <c r="B175" s="42" t="s">
        <v>610</v>
      </c>
      <c r="C175" s="42" t="s">
        <v>611</v>
      </c>
      <c r="D175" s="42" t="s">
        <v>1481</v>
      </c>
      <c r="E175" s="42" t="s">
        <v>1482</v>
      </c>
      <c r="F175" s="42" t="s">
        <v>768</v>
      </c>
      <c r="G175" s="42" t="s">
        <v>1589</v>
      </c>
      <c r="H175" s="42" t="n">
        <v>87</v>
      </c>
      <c r="I175" s="44" t="n">
        <v>90</v>
      </c>
      <c r="J175" s="44" t="s">
        <v>484</v>
      </c>
    </row>
    <row r="176" customFormat="false" ht="15" hidden="false" customHeight="true" outlineLevel="0" collapsed="false">
      <c r="A176" s="42" t="s">
        <v>1764</v>
      </c>
      <c r="B176" s="42" t="s">
        <v>616</v>
      </c>
      <c r="C176" s="42" t="s">
        <v>617</v>
      </c>
      <c r="D176" s="42" t="s">
        <v>1464</v>
      </c>
      <c r="E176" s="42" t="s">
        <v>1465</v>
      </c>
      <c r="F176" s="42" t="s">
        <v>768</v>
      </c>
      <c r="G176" s="42" t="s">
        <v>1589</v>
      </c>
      <c r="H176" s="42" t="n">
        <v>92</v>
      </c>
      <c r="I176" s="44" t="n">
        <v>95</v>
      </c>
      <c r="J176" s="44" t="s">
        <v>484</v>
      </c>
    </row>
    <row r="177" customFormat="false" ht="15" hidden="false" customHeight="true" outlineLevel="0" collapsed="false">
      <c r="A177" s="42" t="s">
        <v>1765</v>
      </c>
      <c r="B177" s="42" t="s">
        <v>616</v>
      </c>
      <c r="C177" s="42" t="s">
        <v>617</v>
      </c>
      <c r="D177" s="42" t="s">
        <v>1468</v>
      </c>
      <c r="E177" s="42" t="s">
        <v>1469</v>
      </c>
      <c r="F177" s="42" t="s">
        <v>768</v>
      </c>
      <c r="G177" s="42" t="s">
        <v>1589</v>
      </c>
      <c r="H177" s="42" t="n">
        <v>90</v>
      </c>
      <c r="I177" s="44" t="n">
        <v>93</v>
      </c>
      <c r="J177" s="44" t="s">
        <v>484</v>
      </c>
    </row>
    <row r="178" customFormat="false" ht="15" hidden="false" customHeight="true" outlineLevel="0" collapsed="false">
      <c r="A178" s="42" t="s">
        <v>1766</v>
      </c>
      <c r="B178" s="42" t="s">
        <v>616</v>
      </c>
      <c r="C178" s="42" t="s">
        <v>617</v>
      </c>
      <c r="D178" s="42" t="s">
        <v>1471</v>
      </c>
      <c r="E178" s="42" t="s">
        <v>1472</v>
      </c>
      <c r="F178" s="42" t="s">
        <v>768</v>
      </c>
      <c r="G178" s="42" t="s">
        <v>1589</v>
      </c>
      <c r="H178" s="42" t="n">
        <v>88</v>
      </c>
      <c r="I178" s="44" t="n">
        <v>91</v>
      </c>
      <c r="J178" s="44" t="s">
        <v>484</v>
      </c>
    </row>
    <row r="179" customFormat="false" ht="15" hidden="false" customHeight="true" outlineLevel="0" collapsed="false">
      <c r="A179" s="42" t="s">
        <v>1767</v>
      </c>
      <c r="B179" s="42" t="s">
        <v>622</v>
      </c>
      <c r="C179" s="42" t="s">
        <v>623</v>
      </c>
      <c r="D179" s="42" t="s">
        <v>1458</v>
      </c>
      <c r="E179" s="42" t="s">
        <v>1459</v>
      </c>
      <c r="F179" s="42" t="s">
        <v>768</v>
      </c>
      <c r="G179" s="42" t="s">
        <v>1633</v>
      </c>
      <c r="H179" s="42" t="n">
        <v>83</v>
      </c>
      <c r="I179" s="44" t="n">
        <v>81</v>
      </c>
      <c r="J179" s="44" t="s">
        <v>484</v>
      </c>
    </row>
    <row r="180" customFormat="false" ht="15" hidden="false" customHeight="true" outlineLevel="0" collapsed="false">
      <c r="A180" s="42" t="s">
        <v>1768</v>
      </c>
      <c r="B180" s="42" t="s">
        <v>622</v>
      </c>
      <c r="C180" s="42" t="s">
        <v>623</v>
      </c>
      <c r="D180" s="42" t="s">
        <v>1461</v>
      </c>
      <c r="E180" s="42" t="s">
        <v>1462</v>
      </c>
      <c r="F180" s="42" t="s">
        <v>768</v>
      </c>
      <c r="G180" s="42" t="s">
        <v>1633</v>
      </c>
      <c r="H180" s="42" t="n">
        <v>81</v>
      </c>
      <c r="I180" s="44" t="n">
        <v>79</v>
      </c>
      <c r="J180" s="44" t="s">
        <v>484</v>
      </c>
    </row>
    <row r="181" customFormat="false" ht="15" hidden="false" customHeight="true" outlineLevel="0" collapsed="false">
      <c r="A181" s="42" t="s">
        <v>1769</v>
      </c>
      <c r="B181" s="42" t="s">
        <v>622</v>
      </c>
      <c r="C181" s="42" t="s">
        <v>623</v>
      </c>
      <c r="D181" s="42" t="s">
        <v>1497</v>
      </c>
      <c r="E181" s="42" t="s">
        <v>1498</v>
      </c>
      <c r="F181" s="42" t="s">
        <v>768</v>
      </c>
      <c r="G181" s="42" t="s">
        <v>1633</v>
      </c>
      <c r="H181" s="42" t="n">
        <v>79</v>
      </c>
      <c r="I181" s="44" t="n">
        <v>77</v>
      </c>
      <c r="J181" s="44" t="s">
        <v>484</v>
      </c>
    </row>
    <row r="182" customFormat="false" ht="15" hidden="false" customHeight="true" outlineLevel="0" collapsed="false">
      <c r="A182" s="42" t="s">
        <v>1770</v>
      </c>
      <c r="B182" s="42" t="s">
        <v>627</v>
      </c>
      <c r="C182" s="42" t="s">
        <v>628</v>
      </c>
      <c r="D182" s="42" t="s">
        <v>1474</v>
      </c>
      <c r="E182" s="42" t="s">
        <v>1475</v>
      </c>
      <c r="F182" s="42" t="s">
        <v>768</v>
      </c>
      <c r="G182" s="42" t="s">
        <v>1589</v>
      </c>
      <c r="H182" s="42" t="n">
        <v>89</v>
      </c>
      <c r="I182" s="44" t="n">
        <v>92</v>
      </c>
      <c r="J182" s="44" t="s">
        <v>484</v>
      </c>
    </row>
    <row r="183" customFormat="false" ht="15" hidden="false" customHeight="true" outlineLevel="0" collapsed="false">
      <c r="A183" s="42" t="s">
        <v>1771</v>
      </c>
      <c r="B183" s="42" t="s">
        <v>627</v>
      </c>
      <c r="C183" s="42" t="s">
        <v>628</v>
      </c>
      <c r="D183" s="42" t="s">
        <v>1478</v>
      </c>
      <c r="E183" s="42" t="s">
        <v>1479</v>
      </c>
      <c r="F183" s="42" t="s">
        <v>768</v>
      </c>
      <c r="G183" s="42" t="s">
        <v>1589</v>
      </c>
      <c r="H183" s="42" t="n">
        <v>87</v>
      </c>
      <c r="I183" s="44" t="n">
        <v>90</v>
      </c>
      <c r="J183" s="44" t="s">
        <v>484</v>
      </c>
    </row>
    <row r="184" customFormat="false" ht="15" hidden="false" customHeight="true" outlineLevel="0" collapsed="false">
      <c r="A184" s="42" t="s">
        <v>1772</v>
      </c>
      <c r="B184" s="42" t="s">
        <v>627</v>
      </c>
      <c r="C184" s="42" t="s">
        <v>628</v>
      </c>
      <c r="D184" s="42" t="s">
        <v>1481</v>
      </c>
      <c r="E184" s="42" t="s">
        <v>1482</v>
      </c>
      <c r="F184" s="42" t="s">
        <v>768</v>
      </c>
      <c r="G184" s="42" t="s">
        <v>1589</v>
      </c>
      <c r="H184" s="42" t="n">
        <v>85</v>
      </c>
      <c r="I184" s="44" t="n">
        <v>88</v>
      </c>
      <c r="J184" s="44" t="s">
        <v>484</v>
      </c>
    </row>
    <row r="185" customFormat="false" ht="15" hidden="false" customHeight="true" outlineLevel="0" collapsed="false">
      <c r="A185" s="42" t="s">
        <v>1773</v>
      </c>
      <c r="B185" s="42" t="s">
        <v>632</v>
      </c>
      <c r="C185" s="42" t="s">
        <v>633</v>
      </c>
      <c r="D185" s="42" t="s">
        <v>1449</v>
      </c>
      <c r="E185" s="42" t="s">
        <v>1399</v>
      </c>
      <c r="F185" s="42" t="s">
        <v>768</v>
      </c>
      <c r="G185" s="42" t="s">
        <v>1589</v>
      </c>
      <c r="H185" s="42" t="n">
        <v>91</v>
      </c>
      <c r="I185" s="44" t="n">
        <v>94</v>
      </c>
      <c r="J185" s="44" t="s">
        <v>484</v>
      </c>
    </row>
    <row r="186" customFormat="false" ht="15" hidden="false" customHeight="true" outlineLevel="0" collapsed="false">
      <c r="A186" s="42" t="s">
        <v>1774</v>
      </c>
      <c r="B186" s="42" t="s">
        <v>632</v>
      </c>
      <c r="C186" s="42" t="s">
        <v>633</v>
      </c>
      <c r="D186" s="42" t="s">
        <v>1452</v>
      </c>
      <c r="E186" s="42" t="s">
        <v>1322</v>
      </c>
      <c r="F186" s="42" t="s">
        <v>768</v>
      </c>
      <c r="G186" s="42" t="s">
        <v>1589</v>
      </c>
      <c r="H186" s="42" t="n">
        <v>89</v>
      </c>
      <c r="I186" s="44" t="n">
        <v>92</v>
      </c>
      <c r="J186" s="44" t="s">
        <v>484</v>
      </c>
    </row>
    <row r="187" customFormat="false" ht="15" hidden="false" customHeight="true" outlineLevel="0" collapsed="false">
      <c r="A187" s="42" t="s">
        <v>1775</v>
      </c>
      <c r="B187" s="42" t="s">
        <v>632</v>
      </c>
      <c r="C187" s="42" t="s">
        <v>633</v>
      </c>
      <c r="D187" s="42" t="s">
        <v>1493</v>
      </c>
      <c r="E187" s="42" t="s">
        <v>1494</v>
      </c>
      <c r="F187" s="42" t="s">
        <v>768</v>
      </c>
      <c r="G187" s="42" t="s">
        <v>1589</v>
      </c>
      <c r="H187" s="42" t="n">
        <v>87</v>
      </c>
      <c r="I187" s="44" t="n">
        <v>90</v>
      </c>
      <c r="J187" s="44" t="s">
        <v>484</v>
      </c>
    </row>
    <row r="188" customFormat="false" ht="15" hidden="false" customHeight="true" outlineLevel="0" collapsed="false">
      <c r="A188" s="42" t="s">
        <v>1776</v>
      </c>
      <c r="B188" s="42" t="s">
        <v>637</v>
      </c>
      <c r="C188" s="42" t="s">
        <v>638</v>
      </c>
      <c r="D188" s="42" t="s">
        <v>1500</v>
      </c>
      <c r="E188" s="42" t="s">
        <v>1406</v>
      </c>
      <c r="F188" s="42" t="s">
        <v>768</v>
      </c>
      <c r="G188" s="42" t="s">
        <v>1589</v>
      </c>
      <c r="H188" s="42" t="n">
        <v>92</v>
      </c>
      <c r="I188" s="44" t="n">
        <v>95</v>
      </c>
      <c r="J188" s="44" t="s">
        <v>484</v>
      </c>
    </row>
    <row r="189" customFormat="false" ht="15" hidden="false" customHeight="true" outlineLevel="0" collapsed="false">
      <c r="A189" s="42" t="s">
        <v>1777</v>
      </c>
      <c r="B189" s="42" t="s">
        <v>637</v>
      </c>
      <c r="C189" s="42" t="s">
        <v>638</v>
      </c>
      <c r="D189" s="42" t="s">
        <v>1509</v>
      </c>
      <c r="E189" s="42" t="s">
        <v>1510</v>
      </c>
      <c r="F189" s="42" t="s">
        <v>768</v>
      </c>
      <c r="G189" s="42" t="s">
        <v>1589</v>
      </c>
      <c r="H189" s="42" t="n">
        <v>90</v>
      </c>
      <c r="I189" s="44" t="n">
        <v>93</v>
      </c>
      <c r="J189" s="44" t="s">
        <v>484</v>
      </c>
    </row>
    <row r="190" customFormat="false" ht="15" hidden="false" customHeight="true" outlineLevel="0" collapsed="false">
      <c r="A190" s="42" t="s">
        <v>1778</v>
      </c>
      <c r="B190" s="42" t="s">
        <v>645</v>
      </c>
      <c r="C190" s="42" t="s">
        <v>646</v>
      </c>
      <c r="D190" s="42" t="s">
        <v>1500</v>
      </c>
      <c r="E190" s="42" t="s">
        <v>1406</v>
      </c>
      <c r="F190" s="42" t="s">
        <v>768</v>
      </c>
      <c r="G190" s="42" t="s">
        <v>1589</v>
      </c>
      <c r="H190" s="42" t="n">
        <v>88</v>
      </c>
      <c r="I190" s="44" t="n">
        <v>91</v>
      </c>
      <c r="J190" s="44" t="s">
        <v>484</v>
      </c>
    </row>
    <row r="191" customFormat="false" ht="15" hidden="false" customHeight="true" outlineLevel="0" collapsed="false">
      <c r="A191" s="42" t="s">
        <v>1779</v>
      </c>
      <c r="B191" s="42" t="s">
        <v>645</v>
      </c>
      <c r="C191" s="42" t="s">
        <v>646</v>
      </c>
      <c r="D191" s="42" t="s">
        <v>1506</v>
      </c>
      <c r="E191" s="42" t="s">
        <v>1507</v>
      </c>
      <c r="F191" s="42" t="s">
        <v>768</v>
      </c>
      <c r="G191" s="42" t="s">
        <v>1589</v>
      </c>
      <c r="H191" s="42" t="n">
        <v>86</v>
      </c>
      <c r="I191" s="44" t="n">
        <v>89</v>
      </c>
      <c r="J191" s="44" t="s">
        <v>484</v>
      </c>
    </row>
    <row r="192" customFormat="false" ht="15" hidden="false" customHeight="true" outlineLevel="0" collapsed="false">
      <c r="A192" s="42" t="s">
        <v>1780</v>
      </c>
      <c r="B192" s="42" t="s">
        <v>653</v>
      </c>
      <c r="C192" s="42" t="s">
        <v>654</v>
      </c>
      <c r="D192" s="42" t="s">
        <v>1500</v>
      </c>
      <c r="E192" s="42" t="s">
        <v>1406</v>
      </c>
      <c r="F192" s="42" t="s">
        <v>768</v>
      </c>
      <c r="G192" s="42" t="s">
        <v>107</v>
      </c>
      <c r="H192" s="42" t="n">
        <v>91</v>
      </c>
      <c r="I192" s="44" t="n">
        <v>94</v>
      </c>
      <c r="J192" s="44" t="s">
        <v>484</v>
      </c>
    </row>
    <row r="193" customFormat="false" ht="15" hidden="false" customHeight="true" outlineLevel="0" collapsed="false">
      <c r="A193" s="42" t="s">
        <v>1781</v>
      </c>
      <c r="B193" s="42" t="s">
        <v>653</v>
      </c>
      <c r="C193" s="42" t="s">
        <v>654</v>
      </c>
      <c r="D193" s="42" t="s">
        <v>1502</v>
      </c>
      <c r="E193" s="42" t="s">
        <v>1412</v>
      </c>
      <c r="F193" s="42" t="s">
        <v>768</v>
      </c>
      <c r="G193" s="42" t="s">
        <v>107</v>
      </c>
      <c r="H193" s="42" t="n">
        <v>89</v>
      </c>
      <c r="I193" s="44" t="n">
        <v>92</v>
      </c>
      <c r="J193" s="44" t="s">
        <v>484</v>
      </c>
    </row>
    <row r="194" customFormat="false" ht="15" hidden="false" customHeight="true" outlineLevel="0" collapsed="false">
      <c r="A194" s="42" t="s">
        <v>1782</v>
      </c>
      <c r="B194" s="42" t="s">
        <v>661</v>
      </c>
      <c r="C194" s="42" t="s">
        <v>662</v>
      </c>
      <c r="D194" s="42" t="s">
        <v>1500</v>
      </c>
      <c r="E194" s="42" t="s">
        <v>1406</v>
      </c>
      <c r="F194" s="42" t="s">
        <v>768</v>
      </c>
      <c r="G194" s="42" t="s">
        <v>1589</v>
      </c>
      <c r="H194" s="42" t="n">
        <v>83</v>
      </c>
      <c r="I194" s="44" t="n">
        <v>81</v>
      </c>
      <c r="J194" s="44" t="s">
        <v>484</v>
      </c>
    </row>
    <row r="195" customFormat="false" ht="15" hidden="false" customHeight="true" outlineLevel="0" collapsed="false">
      <c r="A195" s="42" t="s">
        <v>1783</v>
      </c>
      <c r="B195" s="42" t="s">
        <v>661</v>
      </c>
      <c r="C195" s="42" t="s">
        <v>662</v>
      </c>
      <c r="D195" s="42" t="s">
        <v>1502</v>
      </c>
      <c r="E195" s="42" t="s">
        <v>1412</v>
      </c>
      <c r="F195" s="42" t="s">
        <v>768</v>
      </c>
      <c r="G195" s="42" t="s">
        <v>1589</v>
      </c>
      <c r="H195" s="42" t="n">
        <v>81</v>
      </c>
      <c r="I195" s="44" t="n">
        <v>79</v>
      </c>
      <c r="J195" s="44" t="s">
        <v>484</v>
      </c>
    </row>
    <row r="196" customFormat="false" ht="15" hidden="false" customHeight="true" outlineLevel="0" collapsed="false">
      <c r="A196" s="42" t="s">
        <v>1784</v>
      </c>
      <c r="B196" s="42" t="s">
        <v>670</v>
      </c>
      <c r="C196" s="42" t="s">
        <v>671</v>
      </c>
      <c r="D196" s="42" t="s">
        <v>1500</v>
      </c>
      <c r="E196" s="42" t="s">
        <v>1406</v>
      </c>
      <c r="F196" s="42" t="s">
        <v>768</v>
      </c>
      <c r="G196" s="42" t="s">
        <v>1589</v>
      </c>
      <c r="H196" s="42" t="n">
        <v>91</v>
      </c>
      <c r="I196" s="44" t="n">
        <v>94</v>
      </c>
      <c r="J196" s="44" t="s">
        <v>484</v>
      </c>
    </row>
    <row r="197" customFormat="false" ht="15" hidden="false" customHeight="true" outlineLevel="0" collapsed="false">
      <c r="A197" s="42" t="s">
        <v>1785</v>
      </c>
      <c r="B197" s="42" t="s">
        <v>670</v>
      </c>
      <c r="C197" s="42" t="s">
        <v>671</v>
      </c>
      <c r="D197" s="42" t="s">
        <v>1509</v>
      </c>
      <c r="E197" s="42" t="s">
        <v>1510</v>
      </c>
      <c r="F197" s="42" t="s">
        <v>768</v>
      </c>
      <c r="G197" s="42" t="s">
        <v>1589</v>
      </c>
      <c r="H197" s="42" t="n">
        <v>89</v>
      </c>
      <c r="I197" s="44" t="n">
        <v>92</v>
      </c>
      <c r="J197" s="44" t="s">
        <v>484</v>
      </c>
    </row>
    <row r="198" customFormat="false" ht="15" hidden="false" customHeight="true" outlineLevel="0" collapsed="false">
      <c r="A198" s="42" t="s">
        <v>1786</v>
      </c>
      <c r="B198" s="42" t="s">
        <v>678</v>
      </c>
      <c r="C198" s="42" t="s">
        <v>679</v>
      </c>
      <c r="D198" s="42" t="s">
        <v>1500</v>
      </c>
      <c r="E198" s="42" t="s">
        <v>1406</v>
      </c>
      <c r="F198" s="42" t="s">
        <v>768</v>
      </c>
      <c r="G198" s="42" t="s">
        <v>1589</v>
      </c>
      <c r="H198" s="42" t="n">
        <v>87</v>
      </c>
      <c r="I198" s="44" t="n">
        <v>85</v>
      </c>
      <c r="J198" s="44" t="s">
        <v>484</v>
      </c>
    </row>
    <row r="199" customFormat="false" ht="15" hidden="false" customHeight="true" outlineLevel="0" collapsed="false">
      <c r="A199" s="42" t="s">
        <v>1787</v>
      </c>
      <c r="B199" s="42" t="s">
        <v>678</v>
      </c>
      <c r="C199" s="42" t="s">
        <v>679</v>
      </c>
      <c r="D199" s="42" t="s">
        <v>1506</v>
      </c>
      <c r="E199" s="42" t="s">
        <v>1507</v>
      </c>
      <c r="F199" s="42" t="s">
        <v>768</v>
      </c>
      <c r="G199" s="42" t="s">
        <v>1589</v>
      </c>
      <c r="H199" s="42" t="n">
        <v>85</v>
      </c>
      <c r="I199" s="44" t="n">
        <v>83</v>
      </c>
      <c r="J199" s="44" t="s">
        <v>484</v>
      </c>
    </row>
    <row r="200" customFormat="false" ht="15" hidden="false" customHeight="true" outlineLevel="0" collapsed="false">
      <c r="A200" s="42" t="s">
        <v>1788</v>
      </c>
      <c r="B200" s="42" t="s">
        <v>685</v>
      </c>
      <c r="C200" s="42" t="s">
        <v>686</v>
      </c>
      <c r="D200" s="42" t="s">
        <v>1504</v>
      </c>
      <c r="E200" s="42" t="s">
        <v>1415</v>
      </c>
      <c r="F200" s="42" t="s">
        <v>768</v>
      </c>
      <c r="G200" s="42" t="s">
        <v>1589</v>
      </c>
      <c r="H200" s="42" t="n">
        <v>93</v>
      </c>
      <c r="I200" s="44" t="n">
        <v>96</v>
      </c>
      <c r="J200" s="44" t="s">
        <v>484</v>
      </c>
    </row>
    <row r="201" customFormat="false" ht="15" hidden="false" customHeight="true" outlineLevel="0" collapsed="false">
      <c r="A201" s="42" t="s">
        <v>1789</v>
      </c>
      <c r="B201" s="42" t="s">
        <v>697</v>
      </c>
      <c r="C201" s="42" t="s">
        <v>698</v>
      </c>
      <c r="D201" s="42" t="s">
        <v>1504</v>
      </c>
      <c r="E201" s="42" t="s">
        <v>1415</v>
      </c>
      <c r="F201" s="42" t="s">
        <v>768</v>
      </c>
      <c r="G201" s="42" t="s">
        <v>1589</v>
      </c>
      <c r="H201" s="42" t="n">
        <v>90</v>
      </c>
      <c r="I201" s="44" t="n">
        <v>93</v>
      </c>
      <c r="J201" s="44" t="s">
        <v>484</v>
      </c>
    </row>
    <row r="202" customFormat="false" ht="15" hidden="false" customHeight="true" outlineLevel="0" collapsed="false">
      <c r="A202" s="42" t="s">
        <v>1790</v>
      </c>
      <c r="B202" s="42" t="s">
        <v>708</v>
      </c>
      <c r="C202" s="42" t="s">
        <v>709</v>
      </c>
      <c r="D202" s="42" t="s">
        <v>1504</v>
      </c>
      <c r="E202" s="42" t="s">
        <v>1415</v>
      </c>
      <c r="F202" s="42" t="s">
        <v>768</v>
      </c>
      <c r="G202" s="42" t="s">
        <v>1589</v>
      </c>
      <c r="H202" s="42" t="n">
        <v>90</v>
      </c>
      <c r="I202" s="44" t="n">
        <v>93</v>
      </c>
      <c r="J202" s="44" t="s">
        <v>484</v>
      </c>
    </row>
    <row r="203" customFormat="false" ht="15" hidden="false" customHeight="true" outlineLevel="0" collapsed="false">
      <c r="A203" s="42" t="s">
        <v>1791</v>
      </c>
      <c r="B203" s="42" t="s">
        <v>718</v>
      </c>
      <c r="C203" s="42" t="s">
        <v>719</v>
      </c>
      <c r="D203" s="42" t="s">
        <v>1504</v>
      </c>
      <c r="E203" s="42" t="s">
        <v>1415</v>
      </c>
      <c r="F203" s="42" t="s">
        <v>768</v>
      </c>
      <c r="G203" s="42" t="s">
        <v>1633</v>
      </c>
      <c r="H203" s="42" t="n">
        <v>88</v>
      </c>
      <c r="I203" s="44" t="n">
        <v>86</v>
      </c>
      <c r="J203" s="44" t="s">
        <v>484</v>
      </c>
    </row>
    <row r="204" customFormat="false" ht="15" hidden="false" customHeight="true" outlineLevel="0" collapsed="false">
      <c r="A204" s="42" t="s">
        <v>1792</v>
      </c>
      <c r="B204" s="42" t="s">
        <v>725</v>
      </c>
      <c r="C204" s="42" t="s">
        <v>726</v>
      </c>
      <c r="D204" s="42" t="s">
        <v>1504</v>
      </c>
      <c r="E204" s="42" t="s">
        <v>1415</v>
      </c>
      <c r="F204" s="42" t="s">
        <v>768</v>
      </c>
      <c r="G204" s="42" t="s">
        <v>107</v>
      </c>
      <c r="H204" s="42" t="n">
        <v>94</v>
      </c>
      <c r="I204" s="44" t="n">
        <v>97</v>
      </c>
      <c r="J204" s="44" t="s">
        <v>484</v>
      </c>
    </row>
    <row r="205" customFormat="false" ht="15" hidden="false" customHeight="true" outlineLevel="0" collapsed="false">
      <c r="A205" s="42" t="s">
        <v>1793</v>
      </c>
      <c r="B205" s="42" t="s">
        <v>734</v>
      </c>
      <c r="C205" s="42" t="s">
        <v>735</v>
      </c>
      <c r="D205" s="42" t="s">
        <v>1504</v>
      </c>
      <c r="E205" s="42" t="s">
        <v>1415</v>
      </c>
      <c r="F205" s="42" t="s">
        <v>768</v>
      </c>
      <c r="G205" s="42" t="s">
        <v>1589</v>
      </c>
      <c r="H205" s="42" t="n">
        <v>90</v>
      </c>
      <c r="I205" s="44" t="n">
        <v>93</v>
      </c>
      <c r="J205" s="44" t="s">
        <v>484</v>
      </c>
    </row>
    <row r="206" customFormat="false" ht="15" hidden="false" customHeight="true" outlineLevel="0" collapsed="false">
      <c r="A206" s="42" t="s">
        <v>1794</v>
      </c>
      <c r="B206" s="42" t="s">
        <v>734</v>
      </c>
      <c r="C206" s="42" t="s">
        <v>735</v>
      </c>
      <c r="D206" s="42" t="s">
        <v>1500</v>
      </c>
      <c r="E206" s="42" t="s">
        <v>1406</v>
      </c>
      <c r="F206" s="42" t="s">
        <v>768</v>
      </c>
      <c r="G206" s="42" t="s">
        <v>1589</v>
      </c>
      <c r="H206" s="42" t="n">
        <v>88</v>
      </c>
      <c r="I206" s="44" t="n">
        <v>91</v>
      </c>
      <c r="J206" s="44" t="s">
        <v>484</v>
      </c>
    </row>
    <row r="207" customFormat="false" ht="15" hidden="false" customHeight="true" outlineLevel="0" collapsed="false">
      <c r="A207" s="42" t="s">
        <v>1795</v>
      </c>
      <c r="B207" s="42" t="s">
        <v>742</v>
      </c>
      <c r="C207" s="42" t="s">
        <v>743</v>
      </c>
      <c r="D207" s="42" t="s">
        <v>1512</v>
      </c>
      <c r="E207" s="42" t="s">
        <v>1441</v>
      </c>
      <c r="F207" s="42" t="s">
        <v>768</v>
      </c>
      <c r="G207" s="42" t="s">
        <v>1589</v>
      </c>
      <c r="H207" s="42" t="n">
        <v>93</v>
      </c>
      <c r="I207" s="44" t="n">
        <v>96</v>
      </c>
      <c r="J207" s="44" t="s">
        <v>484</v>
      </c>
    </row>
    <row r="208" customFormat="false" ht="15" hidden="false" customHeight="true" outlineLevel="0" collapsed="false">
      <c r="A208" s="42" t="s">
        <v>1796</v>
      </c>
      <c r="B208" s="42" t="s">
        <v>742</v>
      </c>
      <c r="C208" s="42" t="s">
        <v>743</v>
      </c>
      <c r="D208" s="42" t="s">
        <v>1514</v>
      </c>
      <c r="E208" s="42" t="s">
        <v>1444</v>
      </c>
      <c r="F208" s="42" t="s">
        <v>768</v>
      </c>
      <c r="G208" s="42" t="s">
        <v>1589</v>
      </c>
      <c r="H208" s="42" t="n">
        <v>91</v>
      </c>
      <c r="I208" s="44" t="n">
        <v>94</v>
      </c>
      <c r="J208" s="44" t="s">
        <v>484</v>
      </c>
    </row>
    <row r="209" customFormat="false" ht="15" hidden="false" customHeight="true" outlineLevel="0" collapsed="false">
      <c r="A209" s="42" t="s">
        <v>1797</v>
      </c>
      <c r="B209" s="42" t="s">
        <v>753</v>
      </c>
      <c r="C209" s="42" t="s">
        <v>754</v>
      </c>
      <c r="D209" s="42" t="s">
        <v>1512</v>
      </c>
      <c r="E209" s="42" t="s">
        <v>1441</v>
      </c>
      <c r="F209" s="42" t="s">
        <v>768</v>
      </c>
      <c r="G209" s="42" t="s">
        <v>1589</v>
      </c>
      <c r="H209" s="42" t="n">
        <v>92</v>
      </c>
      <c r="I209" s="44" t="n">
        <v>95</v>
      </c>
      <c r="J209" s="44" t="s">
        <v>484</v>
      </c>
    </row>
    <row r="210" customFormat="false" ht="15" hidden="false" customHeight="true" outlineLevel="0" collapsed="false">
      <c r="A210" s="42" t="s">
        <v>1798</v>
      </c>
      <c r="B210" s="42" t="s">
        <v>753</v>
      </c>
      <c r="C210" s="42" t="s">
        <v>754</v>
      </c>
      <c r="D210" s="42" t="s">
        <v>1514</v>
      </c>
      <c r="E210" s="42" t="s">
        <v>1444</v>
      </c>
      <c r="F210" s="42" t="s">
        <v>768</v>
      </c>
      <c r="G210" s="42" t="s">
        <v>1589</v>
      </c>
      <c r="H210" s="42" t="n">
        <v>90</v>
      </c>
      <c r="I210" s="44" t="n">
        <v>93</v>
      </c>
      <c r="J210" s="44" t="s">
        <v>484</v>
      </c>
    </row>
    <row r="211" customFormat="false" ht="15" hidden="false" customHeight="true" outlineLevel="0" collapsed="false">
      <c r="A211" s="42" t="s">
        <v>1799</v>
      </c>
      <c r="B211" s="42" t="s">
        <v>763</v>
      </c>
      <c r="C211" s="42" t="s">
        <v>764</v>
      </c>
      <c r="D211" s="42" t="s">
        <v>1512</v>
      </c>
      <c r="E211" s="42" t="s">
        <v>1441</v>
      </c>
      <c r="F211" s="42" t="s">
        <v>768</v>
      </c>
      <c r="G211" s="42" t="s">
        <v>1589</v>
      </c>
      <c r="H211" s="42" t="n">
        <v>90</v>
      </c>
      <c r="I211" s="44" t="n">
        <v>93</v>
      </c>
      <c r="J211" s="44" t="s">
        <v>484</v>
      </c>
    </row>
    <row r="212" customFormat="false" ht="15" hidden="false" customHeight="true" outlineLevel="0" collapsed="false">
      <c r="A212" s="42" t="s">
        <v>1800</v>
      </c>
      <c r="B212" s="42" t="s">
        <v>773</v>
      </c>
      <c r="C212" s="42" t="s">
        <v>774</v>
      </c>
      <c r="D212" s="42" t="s">
        <v>1512</v>
      </c>
      <c r="E212" s="42" t="s">
        <v>1441</v>
      </c>
      <c r="F212" s="42" t="s">
        <v>768</v>
      </c>
      <c r="G212" s="42" t="s">
        <v>1589</v>
      </c>
      <c r="H212" s="42" t="n">
        <v>89</v>
      </c>
      <c r="I212" s="44" t="n">
        <v>92</v>
      </c>
      <c r="J212" s="44" t="s">
        <v>484</v>
      </c>
    </row>
    <row r="213" customFormat="false" ht="15" hidden="false" customHeight="true" outlineLevel="0" collapsed="false">
      <c r="A213" s="42" t="s">
        <v>1801</v>
      </c>
      <c r="B213" s="42" t="s">
        <v>773</v>
      </c>
      <c r="C213" s="42" t="s">
        <v>774</v>
      </c>
      <c r="D213" s="42" t="s">
        <v>1514</v>
      </c>
      <c r="E213" s="42" t="s">
        <v>1444</v>
      </c>
      <c r="F213" s="42" t="s">
        <v>768</v>
      </c>
      <c r="G213" s="42" t="s">
        <v>1589</v>
      </c>
      <c r="H213" s="42" t="n">
        <v>87</v>
      </c>
      <c r="I213" s="44" t="n">
        <v>90</v>
      </c>
      <c r="J213" s="44" t="s">
        <v>484</v>
      </c>
    </row>
    <row r="214" customFormat="false" ht="15" hidden="false" customHeight="true" outlineLevel="0" collapsed="false">
      <c r="A214" s="42" t="s">
        <v>1802</v>
      </c>
      <c r="B214" s="42" t="s">
        <v>782</v>
      </c>
      <c r="C214" s="42" t="s">
        <v>783</v>
      </c>
      <c r="D214" s="42" t="s">
        <v>1516</v>
      </c>
      <c r="E214" s="42" t="s">
        <v>1517</v>
      </c>
      <c r="F214" s="42" t="s">
        <v>768</v>
      </c>
      <c r="G214" s="42" t="s">
        <v>1589</v>
      </c>
      <c r="H214" s="42" t="n">
        <v>89</v>
      </c>
      <c r="I214" s="44" t="n">
        <v>92</v>
      </c>
      <c r="J214" s="44" t="s">
        <v>786</v>
      </c>
    </row>
    <row r="215" customFormat="false" ht="15" hidden="false" customHeight="true" outlineLevel="0" collapsed="false">
      <c r="A215" s="42" t="s">
        <v>1803</v>
      </c>
      <c r="B215" s="42" t="s">
        <v>782</v>
      </c>
      <c r="C215" s="42" t="s">
        <v>783</v>
      </c>
      <c r="D215" s="42" t="s">
        <v>1519</v>
      </c>
      <c r="E215" s="42" t="s">
        <v>1362</v>
      </c>
      <c r="F215" s="42" t="s">
        <v>768</v>
      </c>
      <c r="G215" s="42" t="s">
        <v>1589</v>
      </c>
      <c r="H215" s="42" t="n">
        <v>87</v>
      </c>
      <c r="I215" s="44" t="n">
        <v>90</v>
      </c>
      <c r="J215" s="44" t="s">
        <v>786</v>
      </c>
    </row>
    <row r="216" customFormat="false" ht="15" hidden="false" customHeight="true" outlineLevel="0" collapsed="false">
      <c r="A216" s="42" t="s">
        <v>1804</v>
      </c>
      <c r="B216" s="42" t="s">
        <v>787</v>
      </c>
      <c r="C216" s="42" t="s">
        <v>788</v>
      </c>
      <c r="D216" s="42" t="s">
        <v>1522</v>
      </c>
      <c r="E216" s="42" t="s">
        <v>1523</v>
      </c>
      <c r="F216" s="42" t="s">
        <v>768</v>
      </c>
      <c r="G216" s="42" t="s">
        <v>1589</v>
      </c>
      <c r="H216" s="42" t="n">
        <v>86</v>
      </c>
      <c r="I216" s="44" t="n">
        <v>84</v>
      </c>
      <c r="J216" s="44" t="s">
        <v>786</v>
      </c>
    </row>
    <row r="217" customFormat="false" ht="15" hidden="false" customHeight="true" outlineLevel="0" collapsed="false">
      <c r="A217" s="42" t="s">
        <v>1805</v>
      </c>
      <c r="B217" s="42" t="s">
        <v>787</v>
      </c>
      <c r="C217" s="42" t="s">
        <v>788</v>
      </c>
      <c r="D217" s="42" t="s">
        <v>1525</v>
      </c>
      <c r="E217" s="42" t="s">
        <v>1526</v>
      </c>
      <c r="F217" s="42" t="s">
        <v>768</v>
      </c>
      <c r="G217" s="42" t="s">
        <v>1589</v>
      </c>
      <c r="H217" s="42" t="n">
        <v>84</v>
      </c>
      <c r="I217" s="44" t="n">
        <v>82</v>
      </c>
      <c r="J217" s="44" t="s">
        <v>786</v>
      </c>
    </row>
    <row r="218" customFormat="false" ht="15" hidden="false" customHeight="true" outlineLevel="0" collapsed="false">
      <c r="A218" s="42" t="s">
        <v>1806</v>
      </c>
      <c r="B218" s="42" t="s">
        <v>794</v>
      </c>
      <c r="C218" s="42" t="s">
        <v>795</v>
      </c>
      <c r="D218" s="42" t="s">
        <v>1529</v>
      </c>
      <c r="E218" s="42" t="s">
        <v>1530</v>
      </c>
      <c r="F218" s="42" t="s">
        <v>768</v>
      </c>
      <c r="G218" s="42" t="s">
        <v>1589</v>
      </c>
      <c r="H218" s="42" t="n">
        <v>90</v>
      </c>
      <c r="I218" s="44" t="n">
        <v>93</v>
      </c>
      <c r="J218" s="44" t="s">
        <v>786</v>
      </c>
    </row>
    <row r="219" customFormat="false" ht="15" hidden="false" customHeight="true" outlineLevel="0" collapsed="false">
      <c r="A219" s="42" t="s">
        <v>1807</v>
      </c>
      <c r="B219" s="42" t="s">
        <v>794</v>
      </c>
      <c r="C219" s="42" t="s">
        <v>795</v>
      </c>
      <c r="D219" s="42" t="s">
        <v>1532</v>
      </c>
      <c r="E219" s="42" t="s">
        <v>1533</v>
      </c>
      <c r="F219" s="42" t="s">
        <v>768</v>
      </c>
      <c r="G219" s="42" t="s">
        <v>1589</v>
      </c>
      <c r="H219" s="42" t="n">
        <v>88</v>
      </c>
      <c r="I219" s="44" t="n">
        <v>91</v>
      </c>
      <c r="J219" s="44" t="s">
        <v>786</v>
      </c>
    </row>
    <row r="220" customFormat="false" ht="15" hidden="false" customHeight="true" outlineLevel="0" collapsed="false">
      <c r="A220" s="42" t="s">
        <v>1808</v>
      </c>
      <c r="B220" s="42" t="s">
        <v>803</v>
      </c>
      <c r="C220" s="42" t="s">
        <v>804</v>
      </c>
      <c r="D220" s="42" t="s">
        <v>1543</v>
      </c>
      <c r="E220" s="42" t="s">
        <v>1322</v>
      </c>
      <c r="F220" s="42" t="s">
        <v>768</v>
      </c>
      <c r="G220" s="42" t="s">
        <v>107</v>
      </c>
      <c r="H220" s="42" t="n">
        <v>94</v>
      </c>
      <c r="I220" s="44" t="n">
        <v>97</v>
      </c>
      <c r="J220" s="44" t="s">
        <v>786</v>
      </c>
    </row>
    <row r="221" customFormat="false" ht="15" hidden="false" customHeight="true" outlineLevel="0" collapsed="false">
      <c r="A221" s="42" t="s">
        <v>1809</v>
      </c>
      <c r="B221" s="42" t="s">
        <v>803</v>
      </c>
      <c r="C221" s="42" t="s">
        <v>804</v>
      </c>
      <c r="D221" s="42" t="s">
        <v>1545</v>
      </c>
      <c r="E221" s="42" t="s">
        <v>1546</v>
      </c>
      <c r="F221" s="42" t="s">
        <v>768</v>
      </c>
      <c r="G221" s="42" t="s">
        <v>107</v>
      </c>
      <c r="H221" s="42" t="n">
        <v>92</v>
      </c>
      <c r="I221" s="44" t="n">
        <v>95</v>
      </c>
      <c r="J221" s="44" t="s">
        <v>786</v>
      </c>
    </row>
    <row r="222" customFormat="false" ht="15" hidden="false" customHeight="true" outlineLevel="0" collapsed="false">
      <c r="A222" s="42" t="s">
        <v>1810</v>
      </c>
      <c r="B222" s="42" t="s">
        <v>809</v>
      </c>
      <c r="C222" s="42" t="s">
        <v>810</v>
      </c>
      <c r="D222" s="42" t="s">
        <v>1535</v>
      </c>
      <c r="E222" s="42" t="s">
        <v>1536</v>
      </c>
      <c r="F222" s="42" t="s">
        <v>768</v>
      </c>
      <c r="G222" s="42" t="s">
        <v>1589</v>
      </c>
      <c r="H222" s="42" t="n">
        <v>78</v>
      </c>
      <c r="I222" s="44" t="n">
        <v>76</v>
      </c>
      <c r="J222" s="44" t="s">
        <v>786</v>
      </c>
    </row>
    <row r="223" customFormat="false" ht="15" hidden="false" customHeight="true" outlineLevel="0" collapsed="false">
      <c r="A223" s="42" t="s">
        <v>1811</v>
      </c>
      <c r="B223" s="42" t="s">
        <v>809</v>
      </c>
      <c r="C223" s="42" t="s">
        <v>810</v>
      </c>
      <c r="D223" s="42" t="s">
        <v>1539</v>
      </c>
      <c r="E223" s="42" t="s">
        <v>1540</v>
      </c>
      <c r="F223" s="42" t="s">
        <v>768</v>
      </c>
      <c r="G223" s="42" t="s">
        <v>1589</v>
      </c>
      <c r="H223" s="42" t="n">
        <v>76</v>
      </c>
      <c r="I223" s="44" t="n">
        <v>74</v>
      </c>
      <c r="J223" s="44" t="s">
        <v>786</v>
      </c>
    </row>
    <row r="224" customFormat="false" ht="15" hidden="false" customHeight="true" outlineLevel="0" collapsed="false">
      <c r="A224" s="42" t="s">
        <v>1812</v>
      </c>
      <c r="B224" s="42" t="s">
        <v>809</v>
      </c>
      <c r="C224" s="42" t="s">
        <v>810</v>
      </c>
      <c r="D224" s="42" t="s">
        <v>1567</v>
      </c>
      <c r="E224" s="42" t="s">
        <v>1402</v>
      </c>
      <c r="F224" s="42" t="s">
        <v>768</v>
      </c>
      <c r="G224" s="42" t="s">
        <v>1589</v>
      </c>
      <c r="H224" s="42" t="n">
        <v>74</v>
      </c>
      <c r="I224" s="44" t="n">
        <v>72</v>
      </c>
      <c r="J224" s="44" t="s">
        <v>786</v>
      </c>
    </row>
    <row r="225" customFormat="false" ht="15" hidden="false" customHeight="true" outlineLevel="0" collapsed="false">
      <c r="A225" s="42" t="s">
        <v>1813</v>
      </c>
      <c r="B225" s="42" t="s">
        <v>814</v>
      </c>
      <c r="C225" s="42" t="s">
        <v>815</v>
      </c>
      <c r="D225" s="42" t="s">
        <v>1556</v>
      </c>
      <c r="E225" s="42" t="s">
        <v>1557</v>
      </c>
      <c r="F225" s="42" t="s">
        <v>768</v>
      </c>
      <c r="G225" s="42" t="s">
        <v>1589</v>
      </c>
      <c r="H225" s="42" t="n">
        <v>87</v>
      </c>
      <c r="I225" s="44" t="n">
        <v>85</v>
      </c>
      <c r="J225" s="44" t="s">
        <v>786</v>
      </c>
    </row>
    <row r="226" customFormat="false" ht="15" hidden="false" customHeight="true" outlineLevel="0" collapsed="false">
      <c r="A226" s="42" t="s">
        <v>1814</v>
      </c>
      <c r="B226" s="42" t="s">
        <v>814</v>
      </c>
      <c r="C226" s="42" t="s">
        <v>815</v>
      </c>
      <c r="D226" s="42" t="s">
        <v>1564</v>
      </c>
      <c r="E226" s="42" t="s">
        <v>1565</v>
      </c>
      <c r="F226" s="42" t="s">
        <v>768</v>
      </c>
      <c r="G226" s="42" t="s">
        <v>1589</v>
      </c>
      <c r="H226" s="42" t="n">
        <v>85</v>
      </c>
      <c r="I226" s="44" t="n">
        <v>83</v>
      </c>
      <c r="J226" s="44" t="s">
        <v>786</v>
      </c>
    </row>
    <row r="227" customFormat="false" ht="15" hidden="false" customHeight="true" outlineLevel="0" collapsed="false">
      <c r="A227" s="42" t="s">
        <v>1815</v>
      </c>
      <c r="B227" s="42" t="s">
        <v>814</v>
      </c>
      <c r="C227" s="42" t="s">
        <v>815</v>
      </c>
      <c r="D227" s="42" t="s">
        <v>1559</v>
      </c>
      <c r="E227" s="42" t="s">
        <v>1560</v>
      </c>
      <c r="F227" s="42" t="s">
        <v>768</v>
      </c>
      <c r="G227" s="42" t="s">
        <v>1589</v>
      </c>
      <c r="H227" s="42" t="n">
        <v>83</v>
      </c>
      <c r="I227" s="44" t="n">
        <v>81</v>
      </c>
      <c r="J227" s="44" t="s">
        <v>786</v>
      </c>
    </row>
    <row r="228" customFormat="false" ht="15" hidden="false" customHeight="true" outlineLevel="0" collapsed="false">
      <c r="A228" s="42" t="s">
        <v>1816</v>
      </c>
      <c r="B228" s="42" t="s">
        <v>820</v>
      </c>
      <c r="C228" s="42" t="s">
        <v>821</v>
      </c>
      <c r="D228" s="42" t="s">
        <v>1522</v>
      </c>
      <c r="E228" s="42" t="s">
        <v>1523</v>
      </c>
      <c r="F228" s="42" t="s">
        <v>768</v>
      </c>
      <c r="G228" s="42" t="s">
        <v>1589</v>
      </c>
      <c r="H228" s="42" t="n">
        <v>91</v>
      </c>
      <c r="I228" s="44" t="n">
        <v>94</v>
      </c>
      <c r="J228" s="44" t="s">
        <v>786</v>
      </c>
    </row>
    <row r="229" customFormat="false" ht="15" hidden="false" customHeight="true" outlineLevel="0" collapsed="false">
      <c r="A229" s="42" t="s">
        <v>1817</v>
      </c>
      <c r="B229" s="42" t="s">
        <v>820</v>
      </c>
      <c r="C229" s="42" t="s">
        <v>821</v>
      </c>
      <c r="D229" s="42" t="s">
        <v>1525</v>
      </c>
      <c r="E229" s="42" t="s">
        <v>1526</v>
      </c>
      <c r="F229" s="42" t="s">
        <v>768</v>
      </c>
      <c r="G229" s="42" t="s">
        <v>1589</v>
      </c>
      <c r="H229" s="42" t="n">
        <v>89</v>
      </c>
      <c r="I229" s="44" t="n">
        <v>92</v>
      </c>
      <c r="J229" s="44" t="s">
        <v>786</v>
      </c>
    </row>
    <row r="230" customFormat="false" ht="15" hidden="false" customHeight="true" outlineLevel="0" collapsed="false">
      <c r="A230" s="42" t="s">
        <v>1818</v>
      </c>
      <c r="B230" s="42" t="s">
        <v>824</v>
      </c>
      <c r="C230" s="42" t="s">
        <v>825</v>
      </c>
      <c r="D230" s="42" t="s">
        <v>1516</v>
      </c>
      <c r="E230" s="42" t="s">
        <v>1517</v>
      </c>
      <c r="F230" s="42" t="s">
        <v>768</v>
      </c>
      <c r="G230" s="42" t="s">
        <v>1589</v>
      </c>
      <c r="H230" s="42" t="n">
        <v>87</v>
      </c>
      <c r="I230" s="44" t="n">
        <v>85</v>
      </c>
      <c r="J230" s="44" t="s">
        <v>786</v>
      </c>
    </row>
    <row r="231" customFormat="false" ht="15" hidden="false" customHeight="true" outlineLevel="0" collapsed="false">
      <c r="A231" s="42" t="s">
        <v>1819</v>
      </c>
      <c r="B231" s="42" t="s">
        <v>824</v>
      </c>
      <c r="C231" s="42" t="s">
        <v>825</v>
      </c>
      <c r="D231" s="42" t="s">
        <v>1519</v>
      </c>
      <c r="E231" s="42" t="s">
        <v>1362</v>
      </c>
      <c r="F231" s="42" t="s">
        <v>768</v>
      </c>
      <c r="G231" s="42" t="s">
        <v>1589</v>
      </c>
      <c r="H231" s="42" t="n">
        <v>85</v>
      </c>
      <c r="I231" s="44" t="n">
        <v>83</v>
      </c>
      <c r="J231" s="44" t="s">
        <v>786</v>
      </c>
    </row>
    <row r="232" customFormat="false" ht="15" hidden="false" customHeight="true" outlineLevel="0" collapsed="false">
      <c r="A232" s="42" t="s">
        <v>1820</v>
      </c>
      <c r="B232" s="42" t="s">
        <v>830</v>
      </c>
      <c r="C232" s="42" t="s">
        <v>831</v>
      </c>
      <c r="D232" s="42" t="s">
        <v>1556</v>
      </c>
      <c r="E232" s="42" t="s">
        <v>1557</v>
      </c>
      <c r="F232" s="42" t="s">
        <v>768</v>
      </c>
      <c r="G232" s="42" t="s">
        <v>1633</v>
      </c>
      <c r="H232" s="42" t="n">
        <v>83</v>
      </c>
      <c r="I232" s="44" t="n">
        <v>81</v>
      </c>
      <c r="J232" s="44" t="s">
        <v>786</v>
      </c>
    </row>
    <row r="233" customFormat="false" ht="15" hidden="false" customHeight="true" outlineLevel="0" collapsed="false">
      <c r="A233" s="42" t="s">
        <v>1821</v>
      </c>
      <c r="B233" s="42" t="s">
        <v>830</v>
      </c>
      <c r="C233" s="42" t="s">
        <v>831</v>
      </c>
      <c r="D233" s="42" t="s">
        <v>1564</v>
      </c>
      <c r="E233" s="42" t="s">
        <v>1565</v>
      </c>
      <c r="F233" s="42" t="s">
        <v>768</v>
      </c>
      <c r="G233" s="42" t="s">
        <v>1633</v>
      </c>
      <c r="H233" s="42" t="n">
        <v>81</v>
      </c>
      <c r="I233" s="44" t="n">
        <v>79</v>
      </c>
      <c r="J233" s="44" t="s">
        <v>786</v>
      </c>
    </row>
    <row r="234" customFormat="false" ht="15" hidden="false" customHeight="true" outlineLevel="0" collapsed="false">
      <c r="A234" s="42" t="s">
        <v>1822</v>
      </c>
      <c r="B234" s="42" t="s">
        <v>830</v>
      </c>
      <c r="C234" s="42" t="s">
        <v>831</v>
      </c>
      <c r="D234" s="42" t="s">
        <v>1559</v>
      </c>
      <c r="E234" s="42" t="s">
        <v>1560</v>
      </c>
      <c r="F234" s="42" t="s">
        <v>768</v>
      </c>
      <c r="G234" s="42" t="s">
        <v>1633</v>
      </c>
      <c r="H234" s="42" t="n">
        <v>79</v>
      </c>
      <c r="I234" s="44" t="n">
        <v>77</v>
      </c>
      <c r="J234" s="44" t="s">
        <v>786</v>
      </c>
    </row>
    <row r="235" customFormat="false" ht="15" hidden="false" customHeight="true" outlineLevel="0" collapsed="false">
      <c r="A235" s="42" t="s">
        <v>1823</v>
      </c>
      <c r="B235" s="42" t="s">
        <v>834</v>
      </c>
      <c r="C235" s="42" t="s">
        <v>835</v>
      </c>
      <c r="D235" s="42" t="s">
        <v>1529</v>
      </c>
      <c r="E235" s="42" t="s">
        <v>1530</v>
      </c>
      <c r="F235" s="42" t="s">
        <v>768</v>
      </c>
      <c r="G235" s="42" t="s">
        <v>1589</v>
      </c>
      <c r="H235" s="42" t="n">
        <v>90</v>
      </c>
      <c r="I235" s="44" t="n">
        <v>93</v>
      </c>
      <c r="J235" s="44" t="s">
        <v>786</v>
      </c>
    </row>
    <row r="236" customFormat="false" ht="15" hidden="false" customHeight="true" outlineLevel="0" collapsed="false">
      <c r="A236" s="42" t="s">
        <v>1824</v>
      </c>
      <c r="B236" s="42" t="s">
        <v>834</v>
      </c>
      <c r="C236" s="42" t="s">
        <v>835</v>
      </c>
      <c r="D236" s="42" t="s">
        <v>1567</v>
      </c>
      <c r="E236" s="42" t="s">
        <v>1402</v>
      </c>
      <c r="F236" s="42" t="s">
        <v>768</v>
      </c>
      <c r="G236" s="42" t="s">
        <v>1589</v>
      </c>
      <c r="H236" s="42" t="n">
        <v>88</v>
      </c>
      <c r="I236" s="44" t="n">
        <v>91</v>
      </c>
      <c r="J236" s="44" t="s">
        <v>786</v>
      </c>
    </row>
    <row r="237" customFormat="false" ht="15" hidden="false" customHeight="true" outlineLevel="0" collapsed="false">
      <c r="A237" s="42" t="s">
        <v>1825</v>
      </c>
      <c r="B237" s="42" t="s">
        <v>838</v>
      </c>
      <c r="C237" s="42" t="s">
        <v>839</v>
      </c>
      <c r="D237" s="42" t="s">
        <v>1543</v>
      </c>
      <c r="E237" s="42" t="s">
        <v>1322</v>
      </c>
      <c r="F237" s="42" t="s">
        <v>768</v>
      </c>
      <c r="G237" s="42" t="s">
        <v>1589</v>
      </c>
      <c r="H237" s="42" t="n">
        <v>86</v>
      </c>
      <c r="I237" s="44" t="n">
        <v>84</v>
      </c>
      <c r="J237" s="44" t="s">
        <v>786</v>
      </c>
    </row>
    <row r="238" customFormat="false" ht="15" hidden="false" customHeight="true" outlineLevel="0" collapsed="false">
      <c r="A238" s="42" t="s">
        <v>1826</v>
      </c>
      <c r="B238" s="42" t="s">
        <v>838</v>
      </c>
      <c r="C238" s="42" t="s">
        <v>839</v>
      </c>
      <c r="D238" s="42" t="s">
        <v>1545</v>
      </c>
      <c r="E238" s="42" t="s">
        <v>1546</v>
      </c>
      <c r="F238" s="42" t="s">
        <v>768</v>
      </c>
      <c r="G238" s="42" t="s">
        <v>1589</v>
      </c>
      <c r="H238" s="42" t="n">
        <v>84</v>
      </c>
      <c r="I238" s="44" t="n">
        <v>82</v>
      </c>
      <c r="J238" s="44" t="s">
        <v>786</v>
      </c>
    </row>
    <row r="239" customFormat="false" ht="15" hidden="false" customHeight="true" outlineLevel="0" collapsed="false">
      <c r="A239" s="42" t="s">
        <v>1827</v>
      </c>
      <c r="B239" s="42" t="s">
        <v>842</v>
      </c>
      <c r="C239" s="42" t="s">
        <v>843</v>
      </c>
      <c r="D239" s="42" t="s">
        <v>1516</v>
      </c>
      <c r="E239" s="42" t="s">
        <v>1517</v>
      </c>
      <c r="F239" s="42" t="s">
        <v>768</v>
      </c>
      <c r="G239" s="42" t="s">
        <v>107</v>
      </c>
      <c r="H239" s="42" t="n">
        <v>81</v>
      </c>
      <c r="I239" s="44" t="n">
        <v>79</v>
      </c>
      <c r="J239" s="44" t="s">
        <v>786</v>
      </c>
    </row>
    <row r="240" customFormat="false" ht="15" hidden="false" customHeight="true" outlineLevel="0" collapsed="false">
      <c r="A240" s="42" t="s">
        <v>1828</v>
      </c>
      <c r="B240" s="42" t="s">
        <v>842</v>
      </c>
      <c r="C240" s="42" t="s">
        <v>843</v>
      </c>
      <c r="D240" s="42" t="s">
        <v>1519</v>
      </c>
      <c r="E240" s="42" t="s">
        <v>1362</v>
      </c>
      <c r="F240" s="42" t="s">
        <v>768</v>
      </c>
      <c r="G240" s="42" t="s">
        <v>107</v>
      </c>
      <c r="H240" s="42" t="n">
        <v>79</v>
      </c>
      <c r="I240" s="44" t="n">
        <v>77</v>
      </c>
      <c r="J240" s="44" t="s">
        <v>786</v>
      </c>
    </row>
    <row r="241" customFormat="false" ht="15" hidden="false" customHeight="true" outlineLevel="0" collapsed="false">
      <c r="A241" s="42" t="s">
        <v>1829</v>
      </c>
      <c r="B241" s="42" t="s">
        <v>848</v>
      </c>
      <c r="C241" s="42" t="s">
        <v>849</v>
      </c>
      <c r="D241" s="42" t="s">
        <v>1535</v>
      </c>
      <c r="E241" s="42" t="s">
        <v>1536</v>
      </c>
      <c r="F241" s="42" t="s">
        <v>768</v>
      </c>
      <c r="G241" s="42" t="s">
        <v>1589</v>
      </c>
      <c r="H241" s="42" t="n">
        <v>90</v>
      </c>
      <c r="I241" s="44" t="n">
        <v>93</v>
      </c>
      <c r="J241" s="44" t="s">
        <v>786</v>
      </c>
    </row>
    <row r="242" customFormat="false" ht="15" hidden="false" customHeight="true" outlineLevel="0" collapsed="false">
      <c r="A242" s="42" t="s">
        <v>1830</v>
      </c>
      <c r="B242" s="42" t="s">
        <v>848</v>
      </c>
      <c r="C242" s="42" t="s">
        <v>849</v>
      </c>
      <c r="D242" s="42" t="s">
        <v>1539</v>
      </c>
      <c r="E242" s="42" t="s">
        <v>1540</v>
      </c>
      <c r="F242" s="42" t="s">
        <v>768</v>
      </c>
      <c r="G242" s="42" t="s">
        <v>1589</v>
      </c>
      <c r="H242" s="42" t="n">
        <v>88</v>
      </c>
      <c r="I242" s="44" t="n">
        <v>91</v>
      </c>
      <c r="J242" s="44" t="s">
        <v>786</v>
      </c>
    </row>
    <row r="243" customFormat="false" ht="15" hidden="false" customHeight="true" outlineLevel="0" collapsed="false">
      <c r="A243" s="42" t="s">
        <v>1831</v>
      </c>
      <c r="B243" s="42" t="s">
        <v>852</v>
      </c>
      <c r="C243" s="42" t="s">
        <v>853</v>
      </c>
      <c r="D243" s="42" t="s">
        <v>1556</v>
      </c>
      <c r="E243" s="42" t="s">
        <v>1557</v>
      </c>
      <c r="F243" s="42" t="s">
        <v>768</v>
      </c>
      <c r="G243" s="42" t="s">
        <v>1589</v>
      </c>
      <c r="H243" s="42" t="n">
        <v>75</v>
      </c>
      <c r="I243" s="44" t="n">
        <v>73</v>
      </c>
      <c r="J243" s="44" t="s">
        <v>786</v>
      </c>
    </row>
    <row r="244" customFormat="false" ht="15" hidden="false" customHeight="true" outlineLevel="0" collapsed="false">
      <c r="A244" s="42" t="s">
        <v>1832</v>
      </c>
      <c r="B244" s="42" t="s">
        <v>852</v>
      </c>
      <c r="C244" s="42" t="s">
        <v>853</v>
      </c>
      <c r="D244" s="42" t="s">
        <v>1564</v>
      </c>
      <c r="E244" s="42" t="s">
        <v>1565</v>
      </c>
      <c r="F244" s="42" t="s">
        <v>768</v>
      </c>
      <c r="G244" s="42" t="s">
        <v>1589</v>
      </c>
      <c r="H244" s="42" t="n">
        <v>73</v>
      </c>
      <c r="I244" s="44" t="n">
        <v>71</v>
      </c>
      <c r="J244" s="44" t="s">
        <v>786</v>
      </c>
    </row>
    <row r="245" customFormat="false" ht="15" hidden="false" customHeight="true" outlineLevel="0" collapsed="false">
      <c r="A245" s="42" t="s">
        <v>1833</v>
      </c>
      <c r="B245" s="42" t="s">
        <v>852</v>
      </c>
      <c r="C245" s="42" t="s">
        <v>853</v>
      </c>
      <c r="D245" s="42" t="s">
        <v>1559</v>
      </c>
      <c r="E245" s="42" t="s">
        <v>1560</v>
      </c>
      <c r="F245" s="42" t="s">
        <v>768</v>
      </c>
      <c r="G245" s="42" t="s">
        <v>1589</v>
      </c>
      <c r="H245" s="42" t="n">
        <v>71</v>
      </c>
      <c r="I245" s="44" t="n">
        <v>69</v>
      </c>
      <c r="J245" s="44" t="s">
        <v>786</v>
      </c>
    </row>
    <row r="246" customFormat="false" ht="15" hidden="false" customHeight="true" outlineLevel="0" collapsed="false">
      <c r="A246" s="42" t="s">
        <v>1834</v>
      </c>
      <c r="B246" s="42" t="s">
        <v>857</v>
      </c>
      <c r="C246" s="42" t="s">
        <v>858</v>
      </c>
      <c r="D246" s="42" t="s">
        <v>1543</v>
      </c>
      <c r="E246" s="42" t="s">
        <v>1322</v>
      </c>
      <c r="F246" s="42" t="s">
        <v>768</v>
      </c>
      <c r="G246" s="42" t="s">
        <v>1589</v>
      </c>
      <c r="H246" s="42" t="n">
        <v>92</v>
      </c>
      <c r="I246" s="44" t="n">
        <v>95</v>
      </c>
      <c r="J246" s="44" t="s">
        <v>786</v>
      </c>
    </row>
    <row r="247" customFormat="false" ht="15" hidden="false" customHeight="true" outlineLevel="0" collapsed="false">
      <c r="A247" s="42" t="s">
        <v>1835</v>
      </c>
      <c r="B247" s="42" t="s">
        <v>857</v>
      </c>
      <c r="C247" s="42" t="s">
        <v>858</v>
      </c>
      <c r="D247" s="42" t="s">
        <v>1545</v>
      </c>
      <c r="E247" s="42" t="s">
        <v>1546</v>
      </c>
      <c r="F247" s="42" t="s">
        <v>768</v>
      </c>
      <c r="G247" s="42" t="s">
        <v>1589</v>
      </c>
      <c r="H247" s="42" t="n">
        <v>90</v>
      </c>
      <c r="I247" s="44" t="n">
        <v>93</v>
      </c>
      <c r="J247" s="44" t="s">
        <v>786</v>
      </c>
    </row>
    <row r="248" customFormat="false" ht="15" hidden="false" customHeight="true" outlineLevel="0" collapsed="false">
      <c r="A248" s="42" t="s">
        <v>1836</v>
      </c>
      <c r="B248" s="42" t="s">
        <v>857</v>
      </c>
      <c r="C248" s="42" t="s">
        <v>858</v>
      </c>
      <c r="D248" s="42" t="s">
        <v>1567</v>
      </c>
      <c r="E248" s="42" t="s">
        <v>1402</v>
      </c>
      <c r="F248" s="42" t="s">
        <v>768</v>
      </c>
      <c r="G248" s="42" t="s">
        <v>1589</v>
      </c>
      <c r="H248" s="42" t="n">
        <v>88</v>
      </c>
      <c r="I248" s="44" t="n">
        <v>91</v>
      </c>
      <c r="J248" s="44" t="s">
        <v>786</v>
      </c>
    </row>
    <row r="249" customFormat="false" ht="15" hidden="false" customHeight="true" outlineLevel="0" collapsed="false">
      <c r="A249" s="42" t="s">
        <v>1837</v>
      </c>
      <c r="B249" s="42" t="s">
        <v>862</v>
      </c>
      <c r="C249" s="42" t="s">
        <v>863</v>
      </c>
      <c r="D249" s="42" t="s">
        <v>1522</v>
      </c>
      <c r="E249" s="42" t="s">
        <v>1523</v>
      </c>
      <c r="F249" s="42" t="s">
        <v>768</v>
      </c>
      <c r="G249" s="42" t="s">
        <v>1589</v>
      </c>
      <c r="H249" s="42" t="n">
        <v>86</v>
      </c>
      <c r="I249" s="44" t="n">
        <v>84</v>
      </c>
      <c r="J249" s="44" t="s">
        <v>786</v>
      </c>
    </row>
    <row r="250" customFormat="false" ht="15" hidden="false" customHeight="true" outlineLevel="0" collapsed="false">
      <c r="A250" s="42" t="s">
        <v>1838</v>
      </c>
      <c r="B250" s="42" t="s">
        <v>862</v>
      </c>
      <c r="C250" s="42" t="s">
        <v>863</v>
      </c>
      <c r="D250" s="42" t="s">
        <v>1525</v>
      </c>
      <c r="E250" s="42" t="s">
        <v>1526</v>
      </c>
      <c r="F250" s="42" t="s">
        <v>768</v>
      </c>
      <c r="G250" s="42" t="s">
        <v>1589</v>
      </c>
      <c r="H250" s="42" t="n">
        <v>84</v>
      </c>
      <c r="I250" s="44" t="n">
        <v>82</v>
      </c>
      <c r="J250" s="44" t="s">
        <v>786</v>
      </c>
    </row>
    <row r="251" customFormat="false" ht="15" hidden="false" customHeight="true" outlineLevel="0" collapsed="false">
      <c r="A251" s="42" t="s">
        <v>1839</v>
      </c>
      <c r="B251" s="42" t="s">
        <v>867</v>
      </c>
      <c r="C251" s="42" t="s">
        <v>868</v>
      </c>
      <c r="D251" s="42" t="s">
        <v>1543</v>
      </c>
      <c r="E251" s="42" t="s">
        <v>1322</v>
      </c>
      <c r="F251" s="42" t="s">
        <v>768</v>
      </c>
      <c r="G251" s="42" t="s">
        <v>1589</v>
      </c>
      <c r="H251" s="42" t="n">
        <v>91</v>
      </c>
      <c r="I251" s="44" t="n">
        <v>94</v>
      </c>
      <c r="J251" s="44" t="s">
        <v>786</v>
      </c>
    </row>
    <row r="252" customFormat="false" ht="15" hidden="false" customHeight="true" outlineLevel="0" collapsed="false">
      <c r="A252" s="42" t="s">
        <v>1840</v>
      </c>
      <c r="B252" s="42" t="s">
        <v>867</v>
      </c>
      <c r="C252" s="42" t="s">
        <v>868</v>
      </c>
      <c r="D252" s="42" t="s">
        <v>1545</v>
      </c>
      <c r="E252" s="42" t="s">
        <v>1546</v>
      </c>
      <c r="F252" s="42" t="s">
        <v>768</v>
      </c>
      <c r="G252" s="42" t="s">
        <v>1589</v>
      </c>
      <c r="H252" s="42" t="n">
        <v>89</v>
      </c>
      <c r="I252" s="44" t="n">
        <v>92</v>
      </c>
      <c r="J252" s="44" t="s">
        <v>786</v>
      </c>
    </row>
    <row r="253" customFormat="false" ht="15" hidden="false" customHeight="true" outlineLevel="0" collapsed="false">
      <c r="A253" s="42" t="s">
        <v>1841</v>
      </c>
      <c r="B253" s="42" t="s">
        <v>874</v>
      </c>
      <c r="C253" s="42" t="s">
        <v>875</v>
      </c>
      <c r="D253" s="42" t="s">
        <v>1535</v>
      </c>
      <c r="E253" s="42" t="s">
        <v>1536</v>
      </c>
      <c r="F253" s="42" t="s">
        <v>768</v>
      </c>
      <c r="G253" s="42" t="s">
        <v>1589</v>
      </c>
      <c r="H253" s="42" t="n">
        <v>85</v>
      </c>
      <c r="I253" s="44" t="n">
        <v>83</v>
      </c>
      <c r="J253" s="44" t="s">
        <v>786</v>
      </c>
    </row>
    <row r="254" customFormat="false" ht="15" hidden="false" customHeight="true" outlineLevel="0" collapsed="false">
      <c r="A254" s="42" t="s">
        <v>1842</v>
      </c>
      <c r="B254" s="42" t="s">
        <v>874</v>
      </c>
      <c r="C254" s="42" t="s">
        <v>875</v>
      </c>
      <c r="D254" s="42" t="s">
        <v>1539</v>
      </c>
      <c r="E254" s="42" t="s">
        <v>1540</v>
      </c>
      <c r="F254" s="42" t="s">
        <v>768</v>
      </c>
      <c r="G254" s="42" t="s">
        <v>1589</v>
      </c>
      <c r="H254" s="42" t="n">
        <v>83</v>
      </c>
      <c r="I254" s="44" t="n">
        <v>81</v>
      </c>
      <c r="J254" s="44" t="s">
        <v>786</v>
      </c>
    </row>
    <row r="255" customFormat="false" ht="15" hidden="false" customHeight="true" outlineLevel="0" collapsed="false">
      <c r="A255" s="42" t="s">
        <v>1843</v>
      </c>
      <c r="B255" s="42" t="s">
        <v>879</v>
      </c>
      <c r="C255" s="42" t="s">
        <v>880</v>
      </c>
      <c r="D255" s="42" t="s">
        <v>1516</v>
      </c>
      <c r="E255" s="42" t="s">
        <v>1517</v>
      </c>
      <c r="F255" s="42" t="s">
        <v>768</v>
      </c>
      <c r="G255" s="42" t="s">
        <v>1589</v>
      </c>
      <c r="H255" s="42" t="n">
        <v>88</v>
      </c>
      <c r="I255" s="44" t="n">
        <v>91</v>
      </c>
      <c r="J255" s="44" t="s">
        <v>786</v>
      </c>
    </row>
    <row r="256" customFormat="false" ht="15" hidden="false" customHeight="true" outlineLevel="0" collapsed="false">
      <c r="A256" s="42" t="s">
        <v>1844</v>
      </c>
      <c r="B256" s="42" t="s">
        <v>879</v>
      </c>
      <c r="C256" s="42" t="s">
        <v>880</v>
      </c>
      <c r="D256" s="42" t="s">
        <v>1519</v>
      </c>
      <c r="E256" s="42" t="s">
        <v>1362</v>
      </c>
      <c r="F256" s="42" t="s">
        <v>768</v>
      </c>
      <c r="G256" s="42" t="s">
        <v>1589</v>
      </c>
      <c r="H256" s="42" t="n">
        <v>86</v>
      </c>
      <c r="I256" s="44" t="n">
        <v>89</v>
      </c>
      <c r="J256" s="44" t="s">
        <v>786</v>
      </c>
    </row>
    <row r="257" customFormat="false" ht="15" hidden="false" customHeight="true" outlineLevel="0" collapsed="false">
      <c r="A257" s="42" t="s">
        <v>1845</v>
      </c>
      <c r="B257" s="42" t="s">
        <v>884</v>
      </c>
      <c r="C257" s="42" t="s">
        <v>885</v>
      </c>
      <c r="D257" s="42" t="s">
        <v>1556</v>
      </c>
      <c r="E257" s="42" t="s">
        <v>1557</v>
      </c>
      <c r="F257" s="42" t="s">
        <v>768</v>
      </c>
      <c r="G257" s="42" t="s">
        <v>1589</v>
      </c>
      <c r="H257" s="42" t="n">
        <v>77</v>
      </c>
      <c r="I257" s="44" t="n">
        <v>75</v>
      </c>
      <c r="J257" s="44" t="s">
        <v>786</v>
      </c>
    </row>
    <row r="258" customFormat="false" ht="15" hidden="false" customHeight="true" outlineLevel="0" collapsed="false">
      <c r="A258" s="42" t="s">
        <v>1846</v>
      </c>
      <c r="B258" s="42" t="s">
        <v>884</v>
      </c>
      <c r="C258" s="42" t="s">
        <v>885</v>
      </c>
      <c r="D258" s="42" t="s">
        <v>1564</v>
      </c>
      <c r="E258" s="42" t="s">
        <v>1565</v>
      </c>
      <c r="F258" s="42" t="s">
        <v>768</v>
      </c>
      <c r="G258" s="42" t="s">
        <v>1589</v>
      </c>
      <c r="H258" s="42" t="n">
        <v>75</v>
      </c>
      <c r="I258" s="44" t="n">
        <v>73</v>
      </c>
      <c r="J258" s="44" t="s">
        <v>786</v>
      </c>
    </row>
    <row r="259" customFormat="false" ht="15" hidden="false" customHeight="true" outlineLevel="0" collapsed="false">
      <c r="A259" s="42" t="s">
        <v>1847</v>
      </c>
      <c r="B259" s="42" t="s">
        <v>884</v>
      </c>
      <c r="C259" s="42" t="s">
        <v>885</v>
      </c>
      <c r="D259" s="42" t="s">
        <v>1567</v>
      </c>
      <c r="E259" s="42" t="s">
        <v>1402</v>
      </c>
      <c r="F259" s="42" t="s">
        <v>768</v>
      </c>
      <c r="G259" s="42" t="s">
        <v>1589</v>
      </c>
      <c r="H259" s="42" t="n">
        <v>73</v>
      </c>
      <c r="I259" s="44" t="n">
        <v>71</v>
      </c>
      <c r="J259" s="44" t="s">
        <v>786</v>
      </c>
    </row>
    <row r="260" customFormat="false" ht="15" hidden="false" customHeight="true" outlineLevel="0" collapsed="false">
      <c r="A260" s="42" t="s">
        <v>1848</v>
      </c>
      <c r="B260" s="42" t="s">
        <v>890</v>
      </c>
      <c r="C260" s="42" t="s">
        <v>891</v>
      </c>
      <c r="D260" s="42" t="s">
        <v>1529</v>
      </c>
      <c r="E260" s="42" t="s">
        <v>1530</v>
      </c>
      <c r="F260" s="42" t="s">
        <v>768</v>
      </c>
      <c r="G260" s="42" t="s">
        <v>1589</v>
      </c>
      <c r="H260" s="42" t="n">
        <v>89</v>
      </c>
      <c r="I260" s="44" t="n">
        <v>92</v>
      </c>
      <c r="J260" s="44" t="s">
        <v>786</v>
      </c>
    </row>
    <row r="261" customFormat="false" ht="15" hidden="false" customHeight="true" outlineLevel="0" collapsed="false">
      <c r="A261" s="42" t="s">
        <v>1849</v>
      </c>
      <c r="B261" s="42" t="s">
        <v>890</v>
      </c>
      <c r="C261" s="42" t="s">
        <v>891</v>
      </c>
      <c r="D261" s="42" t="s">
        <v>1532</v>
      </c>
      <c r="E261" s="42" t="s">
        <v>1533</v>
      </c>
      <c r="F261" s="42" t="s">
        <v>768</v>
      </c>
      <c r="G261" s="42" t="s">
        <v>1589</v>
      </c>
      <c r="H261" s="42" t="n">
        <v>87</v>
      </c>
      <c r="I261" s="44" t="n">
        <v>90</v>
      </c>
      <c r="J261" s="44" t="s">
        <v>786</v>
      </c>
    </row>
    <row r="262" customFormat="false" ht="15" hidden="false" customHeight="true" outlineLevel="0" collapsed="false">
      <c r="A262" s="42" t="s">
        <v>1850</v>
      </c>
      <c r="B262" s="42" t="s">
        <v>896</v>
      </c>
      <c r="C262" s="42" t="s">
        <v>897</v>
      </c>
      <c r="D262" s="42" t="s">
        <v>1543</v>
      </c>
      <c r="E262" s="42" t="s">
        <v>1322</v>
      </c>
      <c r="F262" s="42" t="s">
        <v>768</v>
      </c>
      <c r="G262" s="42" t="s">
        <v>1589</v>
      </c>
      <c r="H262" s="42" t="n">
        <v>91</v>
      </c>
      <c r="I262" s="44" t="n">
        <v>94</v>
      </c>
      <c r="J262" s="44" t="s">
        <v>786</v>
      </c>
    </row>
    <row r="263" customFormat="false" ht="15" hidden="false" customHeight="true" outlineLevel="0" collapsed="false">
      <c r="A263" s="42" t="s">
        <v>1851</v>
      </c>
      <c r="B263" s="42" t="s">
        <v>896</v>
      </c>
      <c r="C263" s="42" t="s">
        <v>897</v>
      </c>
      <c r="D263" s="42" t="s">
        <v>1545</v>
      </c>
      <c r="E263" s="42" t="s">
        <v>1546</v>
      </c>
      <c r="F263" s="42" t="s">
        <v>768</v>
      </c>
      <c r="G263" s="42" t="s">
        <v>1589</v>
      </c>
      <c r="H263" s="42" t="n">
        <v>89</v>
      </c>
      <c r="I263" s="44" t="n">
        <v>92</v>
      </c>
      <c r="J263" s="44" t="s">
        <v>786</v>
      </c>
    </row>
    <row r="264" customFormat="false" ht="15" hidden="false" customHeight="true" outlineLevel="0" collapsed="false">
      <c r="A264" s="42" t="s">
        <v>1852</v>
      </c>
      <c r="B264" s="42" t="s">
        <v>900</v>
      </c>
      <c r="C264" s="42" t="s">
        <v>901</v>
      </c>
      <c r="D264" s="42" t="s">
        <v>1522</v>
      </c>
      <c r="E264" s="42" t="s">
        <v>1523</v>
      </c>
      <c r="F264" s="42" t="s">
        <v>768</v>
      </c>
      <c r="G264" s="42" t="s">
        <v>1633</v>
      </c>
      <c r="H264" s="42" t="n">
        <v>84</v>
      </c>
      <c r="I264" s="44" t="n">
        <v>82</v>
      </c>
      <c r="J264" s="44" t="s">
        <v>786</v>
      </c>
    </row>
    <row r="265" customFormat="false" ht="15" hidden="false" customHeight="true" outlineLevel="0" collapsed="false">
      <c r="A265" s="42" t="s">
        <v>1853</v>
      </c>
      <c r="B265" s="42" t="s">
        <v>900</v>
      </c>
      <c r="C265" s="42" t="s">
        <v>901</v>
      </c>
      <c r="D265" s="42" t="s">
        <v>1525</v>
      </c>
      <c r="E265" s="42" t="s">
        <v>1526</v>
      </c>
      <c r="F265" s="42" t="s">
        <v>768</v>
      </c>
      <c r="G265" s="42" t="s">
        <v>1633</v>
      </c>
      <c r="H265" s="42" t="n">
        <v>82</v>
      </c>
      <c r="I265" s="44" t="n">
        <v>80</v>
      </c>
      <c r="J265" s="44" t="s">
        <v>786</v>
      </c>
    </row>
    <row r="266" customFormat="false" ht="15" hidden="false" customHeight="true" outlineLevel="0" collapsed="false">
      <c r="A266" s="42" t="s">
        <v>1854</v>
      </c>
      <c r="B266" s="42" t="s">
        <v>904</v>
      </c>
      <c r="C266" s="42" t="s">
        <v>905</v>
      </c>
      <c r="D266" s="42" t="s">
        <v>1556</v>
      </c>
      <c r="E266" s="42" t="s">
        <v>1557</v>
      </c>
      <c r="F266" s="42" t="s">
        <v>768</v>
      </c>
      <c r="G266" s="42" t="s">
        <v>1589</v>
      </c>
      <c r="H266" s="42" t="n">
        <v>89</v>
      </c>
      <c r="I266" s="44" t="n">
        <v>92</v>
      </c>
      <c r="J266" s="44" t="s">
        <v>786</v>
      </c>
    </row>
    <row r="267" customFormat="false" ht="15" hidden="false" customHeight="true" outlineLevel="0" collapsed="false">
      <c r="A267" s="42" t="s">
        <v>1855</v>
      </c>
      <c r="B267" s="42" t="s">
        <v>904</v>
      </c>
      <c r="C267" s="42" t="s">
        <v>905</v>
      </c>
      <c r="D267" s="42" t="s">
        <v>1564</v>
      </c>
      <c r="E267" s="42" t="s">
        <v>1565</v>
      </c>
      <c r="F267" s="42" t="s">
        <v>768</v>
      </c>
      <c r="G267" s="42" t="s">
        <v>1589</v>
      </c>
      <c r="H267" s="42" t="n">
        <v>87</v>
      </c>
      <c r="I267" s="44" t="n">
        <v>90</v>
      </c>
      <c r="J267" s="44" t="s">
        <v>786</v>
      </c>
    </row>
    <row r="268" customFormat="false" ht="15" hidden="false" customHeight="true" outlineLevel="0" collapsed="false">
      <c r="A268" s="42" t="s">
        <v>1856</v>
      </c>
      <c r="B268" s="42" t="s">
        <v>904</v>
      </c>
      <c r="C268" s="42" t="s">
        <v>905</v>
      </c>
      <c r="D268" s="42" t="s">
        <v>1559</v>
      </c>
      <c r="E268" s="42" t="s">
        <v>1560</v>
      </c>
      <c r="F268" s="42" t="s">
        <v>768</v>
      </c>
      <c r="G268" s="42" t="s">
        <v>1589</v>
      </c>
      <c r="H268" s="42" t="n">
        <v>85</v>
      </c>
      <c r="I268" s="44" t="n">
        <v>88</v>
      </c>
      <c r="J268" s="44" t="s">
        <v>786</v>
      </c>
    </row>
    <row r="269" customFormat="false" ht="15" hidden="false" customHeight="true" outlineLevel="0" collapsed="false">
      <c r="A269" s="42" t="s">
        <v>1857</v>
      </c>
      <c r="B269" s="42" t="s">
        <v>909</v>
      </c>
      <c r="C269" s="42" t="s">
        <v>910</v>
      </c>
      <c r="D269" s="42" t="s">
        <v>1529</v>
      </c>
      <c r="E269" s="42" t="s">
        <v>1530</v>
      </c>
      <c r="F269" s="42" t="s">
        <v>768</v>
      </c>
      <c r="G269" s="42" t="s">
        <v>1589</v>
      </c>
      <c r="H269" s="42" t="n">
        <v>91</v>
      </c>
      <c r="I269" s="44" t="n">
        <v>94</v>
      </c>
      <c r="J269" s="44" t="s">
        <v>786</v>
      </c>
    </row>
    <row r="270" customFormat="false" ht="15" hidden="false" customHeight="true" outlineLevel="0" collapsed="false">
      <c r="A270" s="42" t="s">
        <v>1858</v>
      </c>
      <c r="B270" s="42" t="s">
        <v>909</v>
      </c>
      <c r="C270" s="42" t="s">
        <v>910</v>
      </c>
      <c r="D270" s="42" t="s">
        <v>1567</v>
      </c>
      <c r="E270" s="42" t="s">
        <v>1402</v>
      </c>
      <c r="F270" s="42" t="s">
        <v>768</v>
      </c>
      <c r="G270" s="42" t="s">
        <v>1589</v>
      </c>
      <c r="H270" s="42" t="n">
        <v>89</v>
      </c>
      <c r="I270" s="44" t="n">
        <v>92</v>
      </c>
      <c r="J270" s="44" t="s">
        <v>786</v>
      </c>
    </row>
    <row r="271" customFormat="false" ht="15" hidden="false" customHeight="true" outlineLevel="0" collapsed="false">
      <c r="A271" s="42" t="s">
        <v>1859</v>
      </c>
      <c r="B271" s="42" t="s">
        <v>913</v>
      </c>
      <c r="C271" s="42" t="s">
        <v>914</v>
      </c>
      <c r="D271" s="42" t="s">
        <v>1570</v>
      </c>
      <c r="E271" s="42" t="s">
        <v>1406</v>
      </c>
      <c r="F271" s="42" t="s">
        <v>768</v>
      </c>
      <c r="G271" s="42" t="s">
        <v>1589</v>
      </c>
      <c r="H271" s="42" t="n">
        <v>92</v>
      </c>
      <c r="I271" s="44" t="n">
        <v>95</v>
      </c>
      <c r="J271" s="44" t="s">
        <v>786</v>
      </c>
    </row>
    <row r="272" customFormat="false" ht="15" hidden="false" customHeight="true" outlineLevel="0" collapsed="false">
      <c r="A272" s="42" t="s">
        <v>1860</v>
      </c>
      <c r="B272" s="42" t="s">
        <v>913</v>
      </c>
      <c r="C272" s="42" t="s">
        <v>914</v>
      </c>
      <c r="D272" s="42" t="s">
        <v>1576</v>
      </c>
      <c r="E272" s="42" t="s">
        <v>1577</v>
      </c>
      <c r="F272" s="42" t="s">
        <v>768</v>
      </c>
      <c r="G272" s="42" t="s">
        <v>1589</v>
      </c>
      <c r="H272" s="42" t="n">
        <v>90</v>
      </c>
      <c r="I272" s="44" t="n">
        <v>93</v>
      </c>
      <c r="J272" s="44" t="s">
        <v>786</v>
      </c>
    </row>
    <row r="273" customFormat="false" ht="15" hidden="false" customHeight="true" outlineLevel="0" collapsed="false">
      <c r="A273" s="42" t="s">
        <v>1861</v>
      </c>
      <c r="B273" s="42" t="s">
        <v>923</v>
      </c>
      <c r="C273" s="42" t="s">
        <v>924</v>
      </c>
      <c r="D273" s="42" t="s">
        <v>1570</v>
      </c>
      <c r="E273" s="42" t="s">
        <v>1406</v>
      </c>
      <c r="F273" s="42" t="s">
        <v>768</v>
      </c>
      <c r="G273" s="42" t="s">
        <v>1589</v>
      </c>
      <c r="H273" s="42" t="n">
        <v>88</v>
      </c>
      <c r="I273" s="44" t="n">
        <v>86</v>
      </c>
      <c r="J273" s="44" t="s">
        <v>786</v>
      </c>
    </row>
    <row r="274" customFormat="false" ht="15" hidden="false" customHeight="true" outlineLevel="0" collapsed="false">
      <c r="A274" s="42" t="s">
        <v>1862</v>
      </c>
      <c r="B274" s="42" t="s">
        <v>923</v>
      </c>
      <c r="C274" s="42" t="s">
        <v>924</v>
      </c>
      <c r="D274" s="42" t="s">
        <v>1573</v>
      </c>
      <c r="E274" s="42" t="s">
        <v>1574</v>
      </c>
      <c r="F274" s="42" t="s">
        <v>768</v>
      </c>
      <c r="G274" s="42" t="s">
        <v>1589</v>
      </c>
      <c r="H274" s="42" t="n">
        <v>86</v>
      </c>
      <c r="I274" s="44" t="n">
        <v>84</v>
      </c>
      <c r="J274" s="44" t="s">
        <v>786</v>
      </c>
    </row>
    <row r="275" customFormat="false" ht="15" hidden="false" customHeight="true" outlineLevel="0" collapsed="false">
      <c r="A275" s="42" t="s">
        <v>1863</v>
      </c>
      <c r="B275" s="42" t="s">
        <v>930</v>
      </c>
      <c r="C275" s="42" t="s">
        <v>931</v>
      </c>
      <c r="D275" s="42" t="s">
        <v>1570</v>
      </c>
      <c r="E275" s="42" t="s">
        <v>1406</v>
      </c>
      <c r="F275" s="42" t="s">
        <v>768</v>
      </c>
      <c r="G275" s="42" t="s">
        <v>107</v>
      </c>
      <c r="H275" s="42" t="n">
        <v>91</v>
      </c>
      <c r="I275" s="44" t="n">
        <v>94</v>
      </c>
      <c r="J275" s="44" t="s">
        <v>786</v>
      </c>
    </row>
    <row r="276" customFormat="false" ht="15" hidden="false" customHeight="true" outlineLevel="0" collapsed="false">
      <c r="A276" s="42" t="s">
        <v>1864</v>
      </c>
      <c r="B276" s="42" t="s">
        <v>930</v>
      </c>
      <c r="C276" s="42" t="s">
        <v>931</v>
      </c>
      <c r="D276" s="42" t="s">
        <v>1571</v>
      </c>
      <c r="E276" s="42" t="s">
        <v>1412</v>
      </c>
      <c r="F276" s="42" t="s">
        <v>768</v>
      </c>
      <c r="G276" s="42" t="s">
        <v>107</v>
      </c>
      <c r="H276" s="42" t="n">
        <v>89</v>
      </c>
      <c r="I276" s="44" t="n">
        <v>92</v>
      </c>
      <c r="J276" s="44" t="s">
        <v>786</v>
      </c>
    </row>
    <row r="277" customFormat="false" ht="15" hidden="false" customHeight="true" outlineLevel="0" collapsed="false">
      <c r="A277" s="42" t="s">
        <v>1865</v>
      </c>
      <c r="B277" s="42" t="s">
        <v>937</v>
      </c>
      <c r="C277" s="42" t="s">
        <v>938</v>
      </c>
      <c r="D277" s="42" t="s">
        <v>1570</v>
      </c>
      <c r="E277" s="42" t="s">
        <v>1406</v>
      </c>
      <c r="F277" s="42" t="s">
        <v>768</v>
      </c>
      <c r="G277" s="42" t="s">
        <v>1589</v>
      </c>
      <c r="H277" s="42" t="n">
        <v>82</v>
      </c>
      <c r="I277" s="44" t="n">
        <v>80</v>
      </c>
      <c r="J277" s="44" t="s">
        <v>786</v>
      </c>
    </row>
    <row r="278" customFormat="false" ht="15" hidden="false" customHeight="true" outlineLevel="0" collapsed="false">
      <c r="A278" s="42" t="s">
        <v>1866</v>
      </c>
      <c r="B278" s="42" t="s">
        <v>937</v>
      </c>
      <c r="C278" s="42" t="s">
        <v>938</v>
      </c>
      <c r="D278" s="42" t="s">
        <v>1571</v>
      </c>
      <c r="E278" s="42" t="s">
        <v>1412</v>
      </c>
      <c r="F278" s="42" t="s">
        <v>768</v>
      </c>
      <c r="G278" s="42" t="s">
        <v>1589</v>
      </c>
      <c r="H278" s="42" t="n">
        <v>80</v>
      </c>
      <c r="I278" s="44" t="n">
        <v>78</v>
      </c>
      <c r="J278" s="44" t="s">
        <v>786</v>
      </c>
    </row>
    <row r="279" customFormat="false" ht="15" hidden="false" customHeight="true" outlineLevel="0" collapsed="false">
      <c r="A279" s="42" t="s">
        <v>1867</v>
      </c>
      <c r="B279" s="42" t="s">
        <v>945</v>
      </c>
      <c r="C279" s="42" t="s">
        <v>946</v>
      </c>
      <c r="D279" s="42" t="s">
        <v>1570</v>
      </c>
      <c r="E279" s="42" t="s">
        <v>1406</v>
      </c>
      <c r="F279" s="42" t="s">
        <v>768</v>
      </c>
      <c r="G279" s="42" t="s">
        <v>1589</v>
      </c>
      <c r="H279" s="42" t="n">
        <v>90</v>
      </c>
      <c r="I279" s="44" t="n">
        <v>93</v>
      </c>
      <c r="J279" s="44" t="s">
        <v>786</v>
      </c>
    </row>
    <row r="280" customFormat="false" ht="15" hidden="false" customHeight="true" outlineLevel="0" collapsed="false">
      <c r="A280" s="42" t="s">
        <v>1868</v>
      </c>
      <c r="B280" s="42" t="s">
        <v>945</v>
      </c>
      <c r="C280" s="42" t="s">
        <v>946</v>
      </c>
      <c r="D280" s="42" t="s">
        <v>1571</v>
      </c>
      <c r="E280" s="42" t="s">
        <v>1412</v>
      </c>
      <c r="F280" s="42" t="s">
        <v>768</v>
      </c>
      <c r="G280" s="42" t="s">
        <v>1589</v>
      </c>
      <c r="H280" s="42" t="n">
        <v>88</v>
      </c>
      <c r="I280" s="44" t="n">
        <v>91</v>
      </c>
      <c r="J280" s="44" t="s">
        <v>786</v>
      </c>
    </row>
    <row r="281" customFormat="false" ht="15" hidden="false" customHeight="true" outlineLevel="0" collapsed="false">
      <c r="A281" s="42" t="s">
        <v>1869</v>
      </c>
      <c r="B281" s="42" t="s">
        <v>952</v>
      </c>
      <c r="C281" s="42" t="s">
        <v>953</v>
      </c>
      <c r="D281" s="42" t="s">
        <v>1570</v>
      </c>
      <c r="E281" s="42" t="s">
        <v>1406</v>
      </c>
      <c r="F281" s="42" t="s">
        <v>768</v>
      </c>
      <c r="G281" s="42" t="s">
        <v>1589</v>
      </c>
      <c r="H281" s="42" t="n">
        <v>87</v>
      </c>
      <c r="I281" s="44" t="n">
        <v>85</v>
      </c>
      <c r="J281" s="44" t="s">
        <v>786</v>
      </c>
    </row>
    <row r="282" customFormat="false" ht="15" hidden="false" customHeight="true" outlineLevel="0" collapsed="false">
      <c r="A282" s="42" t="s">
        <v>1870</v>
      </c>
      <c r="B282" s="42" t="s">
        <v>952</v>
      </c>
      <c r="C282" s="42" t="s">
        <v>953</v>
      </c>
      <c r="D282" s="42" t="s">
        <v>1573</v>
      </c>
      <c r="E282" s="42" t="s">
        <v>1574</v>
      </c>
      <c r="F282" s="42" t="s">
        <v>768</v>
      </c>
      <c r="G282" s="42" t="s">
        <v>1589</v>
      </c>
      <c r="H282" s="42" t="n">
        <v>85</v>
      </c>
      <c r="I282" s="44" t="n">
        <v>83</v>
      </c>
      <c r="J282" s="44" t="s">
        <v>786</v>
      </c>
    </row>
    <row r="283" customFormat="false" ht="15" hidden="false" customHeight="true" outlineLevel="0" collapsed="false">
      <c r="A283" s="42" t="s">
        <v>1871</v>
      </c>
      <c r="B283" s="42" t="s">
        <v>958</v>
      </c>
      <c r="C283" s="42" t="s">
        <v>959</v>
      </c>
      <c r="D283" s="42" t="s">
        <v>1572</v>
      </c>
      <c r="E283" s="42" t="s">
        <v>1415</v>
      </c>
      <c r="F283" s="42" t="s">
        <v>768</v>
      </c>
      <c r="G283" s="42" t="s">
        <v>1589</v>
      </c>
      <c r="H283" s="42" t="n">
        <v>93</v>
      </c>
      <c r="I283" s="44" t="n">
        <v>96</v>
      </c>
      <c r="J283" s="44" t="s">
        <v>786</v>
      </c>
    </row>
    <row r="284" customFormat="false" ht="15" hidden="false" customHeight="true" outlineLevel="0" collapsed="false">
      <c r="A284" s="42" t="s">
        <v>1872</v>
      </c>
      <c r="B284" s="42" t="s">
        <v>966</v>
      </c>
      <c r="C284" s="42" t="s">
        <v>967</v>
      </c>
      <c r="D284" s="42" t="s">
        <v>1572</v>
      </c>
      <c r="E284" s="42" t="s">
        <v>1415</v>
      </c>
      <c r="F284" s="42" t="s">
        <v>768</v>
      </c>
      <c r="G284" s="42" t="s">
        <v>1589</v>
      </c>
      <c r="H284" s="42" t="n">
        <v>89</v>
      </c>
      <c r="I284" s="44" t="n">
        <v>92</v>
      </c>
      <c r="J284" s="44" t="s">
        <v>786</v>
      </c>
    </row>
    <row r="285" customFormat="false" ht="15" hidden="false" customHeight="true" outlineLevel="0" collapsed="false">
      <c r="A285" s="42" t="s">
        <v>1873</v>
      </c>
      <c r="B285" s="42" t="s">
        <v>975</v>
      </c>
      <c r="C285" s="42" t="s">
        <v>976</v>
      </c>
      <c r="D285" s="42" t="s">
        <v>1572</v>
      </c>
      <c r="E285" s="42" t="s">
        <v>1415</v>
      </c>
      <c r="F285" s="42" t="s">
        <v>768</v>
      </c>
      <c r="G285" s="42" t="s">
        <v>1589</v>
      </c>
      <c r="H285" s="42" t="n">
        <v>90</v>
      </c>
      <c r="I285" s="44" t="n">
        <v>93</v>
      </c>
      <c r="J285" s="44" t="s">
        <v>786</v>
      </c>
    </row>
    <row r="286" customFormat="false" ht="15" hidden="false" customHeight="true" outlineLevel="0" collapsed="false">
      <c r="A286" s="42" t="s">
        <v>1874</v>
      </c>
      <c r="B286" s="42" t="s">
        <v>983</v>
      </c>
      <c r="C286" s="42" t="s">
        <v>984</v>
      </c>
      <c r="D286" s="42" t="s">
        <v>1572</v>
      </c>
      <c r="E286" s="42" t="s">
        <v>1415</v>
      </c>
      <c r="F286" s="42" t="s">
        <v>768</v>
      </c>
      <c r="G286" s="42" t="s">
        <v>1633</v>
      </c>
      <c r="H286" s="42" t="n">
        <v>87</v>
      </c>
      <c r="I286" s="44" t="n">
        <v>85</v>
      </c>
      <c r="J286" s="44" t="s">
        <v>786</v>
      </c>
    </row>
    <row r="287" customFormat="false" ht="15" hidden="false" customHeight="true" outlineLevel="0" collapsed="false">
      <c r="A287" s="42" t="s">
        <v>1875</v>
      </c>
      <c r="B287" s="42" t="s">
        <v>990</v>
      </c>
      <c r="C287" s="42" t="s">
        <v>991</v>
      </c>
      <c r="D287" s="42" t="s">
        <v>1572</v>
      </c>
      <c r="E287" s="42" t="s">
        <v>1415</v>
      </c>
      <c r="F287" s="42" t="s">
        <v>768</v>
      </c>
      <c r="G287" s="42" t="s">
        <v>107</v>
      </c>
      <c r="H287" s="42" t="n">
        <v>94</v>
      </c>
      <c r="I287" s="44" t="n">
        <v>97</v>
      </c>
      <c r="J287" s="44" t="s">
        <v>786</v>
      </c>
    </row>
    <row r="288" customFormat="false" ht="15" hidden="false" customHeight="true" outlineLevel="0" collapsed="false">
      <c r="A288" s="42" t="s">
        <v>1876</v>
      </c>
      <c r="B288" s="42" t="s">
        <v>997</v>
      </c>
      <c r="C288" s="42" t="s">
        <v>998</v>
      </c>
      <c r="D288" s="42" t="s">
        <v>1572</v>
      </c>
      <c r="E288" s="42" t="s">
        <v>1415</v>
      </c>
      <c r="F288" s="42" t="s">
        <v>768</v>
      </c>
      <c r="G288" s="42" t="s">
        <v>1589</v>
      </c>
      <c r="H288" s="42" t="n">
        <v>89</v>
      </c>
      <c r="I288" s="44" t="n">
        <v>92</v>
      </c>
      <c r="J288" s="44" t="s">
        <v>786</v>
      </c>
    </row>
    <row r="289" customFormat="false" ht="15" hidden="false" customHeight="true" outlineLevel="0" collapsed="false">
      <c r="A289" s="42" t="s">
        <v>1877</v>
      </c>
      <c r="B289" s="42" t="s">
        <v>997</v>
      </c>
      <c r="C289" s="42" t="s">
        <v>998</v>
      </c>
      <c r="D289" s="42" t="s">
        <v>1570</v>
      </c>
      <c r="E289" s="42" t="s">
        <v>1406</v>
      </c>
      <c r="F289" s="42" t="s">
        <v>768</v>
      </c>
      <c r="G289" s="42" t="s">
        <v>1589</v>
      </c>
      <c r="H289" s="42" t="n">
        <v>87</v>
      </c>
      <c r="I289" s="44" t="n">
        <v>90</v>
      </c>
      <c r="J289" s="44" t="s">
        <v>786</v>
      </c>
    </row>
    <row r="290" customFormat="false" ht="15" hidden="false" customHeight="true" outlineLevel="0" collapsed="false">
      <c r="A290" s="42" t="s">
        <v>1878</v>
      </c>
      <c r="B290" s="42" t="s">
        <v>1003</v>
      </c>
      <c r="C290" s="42" t="s">
        <v>1004</v>
      </c>
      <c r="D290" s="42" t="s">
        <v>1580</v>
      </c>
      <c r="E290" s="42" t="s">
        <v>1441</v>
      </c>
      <c r="F290" s="42" t="s">
        <v>768</v>
      </c>
      <c r="G290" s="42" t="s">
        <v>1589</v>
      </c>
      <c r="H290" s="42" t="n">
        <v>92</v>
      </c>
      <c r="I290" s="44" t="n">
        <v>95</v>
      </c>
      <c r="J290" s="44" t="s">
        <v>786</v>
      </c>
    </row>
    <row r="291" customFormat="false" ht="15" hidden="false" customHeight="true" outlineLevel="0" collapsed="false">
      <c r="A291" s="42" t="s">
        <v>1879</v>
      </c>
      <c r="B291" s="42" t="s">
        <v>1003</v>
      </c>
      <c r="C291" s="42" t="s">
        <v>1004</v>
      </c>
      <c r="D291" s="42" t="s">
        <v>1581</v>
      </c>
      <c r="E291" s="42" t="s">
        <v>1444</v>
      </c>
      <c r="F291" s="42" t="s">
        <v>768</v>
      </c>
      <c r="G291" s="42" t="s">
        <v>1589</v>
      </c>
      <c r="H291" s="42" t="n">
        <v>90</v>
      </c>
      <c r="I291" s="44" t="n">
        <v>93</v>
      </c>
      <c r="J291" s="44" t="s">
        <v>786</v>
      </c>
    </row>
    <row r="292" customFormat="false" ht="15" hidden="false" customHeight="true" outlineLevel="0" collapsed="false">
      <c r="A292" s="42" t="s">
        <v>1880</v>
      </c>
      <c r="B292" s="42" t="s">
        <v>1012</v>
      </c>
      <c r="C292" s="42" t="s">
        <v>1013</v>
      </c>
      <c r="D292" s="42" t="s">
        <v>1580</v>
      </c>
      <c r="E292" s="42" t="s">
        <v>1441</v>
      </c>
      <c r="F292" s="42" t="s">
        <v>768</v>
      </c>
      <c r="G292" s="42" t="s">
        <v>1589</v>
      </c>
      <c r="H292" s="42" t="n">
        <v>93</v>
      </c>
      <c r="I292" s="44" t="n">
        <v>96</v>
      </c>
      <c r="J292" s="44" t="s">
        <v>786</v>
      </c>
    </row>
    <row r="293" customFormat="false" ht="15" hidden="false" customHeight="true" outlineLevel="0" collapsed="false">
      <c r="A293" s="42" t="s">
        <v>1881</v>
      </c>
      <c r="B293" s="42" t="s">
        <v>1012</v>
      </c>
      <c r="C293" s="42" t="s">
        <v>1013</v>
      </c>
      <c r="D293" s="42" t="s">
        <v>1581</v>
      </c>
      <c r="E293" s="42" t="s">
        <v>1444</v>
      </c>
      <c r="F293" s="42" t="s">
        <v>768</v>
      </c>
      <c r="G293" s="42" t="s">
        <v>1589</v>
      </c>
      <c r="H293" s="42" t="n">
        <v>91</v>
      </c>
      <c r="I293" s="44" t="n">
        <v>94</v>
      </c>
      <c r="J293" s="44" t="s">
        <v>786</v>
      </c>
    </row>
    <row r="294" customFormat="false" ht="15" hidden="false" customHeight="true" outlineLevel="0" collapsed="false">
      <c r="A294" s="42" t="s">
        <v>1882</v>
      </c>
      <c r="B294" s="42" t="s">
        <v>1020</v>
      </c>
      <c r="C294" s="42" t="s">
        <v>1021</v>
      </c>
      <c r="D294" s="42" t="s">
        <v>1580</v>
      </c>
      <c r="E294" s="42" t="s">
        <v>1441</v>
      </c>
      <c r="F294" s="42" t="s">
        <v>768</v>
      </c>
      <c r="G294" s="42" t="s">
        <v>1589</v>
      </c>
      <c r="H294" s="42" t="n">
        <v>91</v>
      </c>
      <c r="I294" s="44" t="n">
        <v>94</v>
      </c>
      <c r="J294" s="44" t="s">
        <v>786</v>
      </c>
    </row>
    <row r="295" customFormat="false" ht="15" hidden="false" customHeight="true" outlineLevel="0" collapsed="false">
      <c r="A295" s="42" t="s">
        <v>1883</v>
      </c>
      <c r="B295" s="42" t="s">
        <v>1028</v>
      </c>
      <c r="C295" s="42" t="s">
        <v>1029</v>
      </c>
      <c r="D295" s="42" t="s">
        <v>1580</v>
      </c>
      <c r="E295" s="42" t="s">
        <v>1441</v>
      </c>
      <c r="F295" s="42" t="s">
        <v>768</v>
      </c>
      <c r="G295" s="42" t="s">
        <v>1589</v>
      </c>
      <c r="H295" s="42" t="n">
        <v>89</v>
      </c>
      <c r="I295" s="44" t="n">
        <v>92</v>
      </c>
      <c r="J295" s="44" t="s">
        <v>786</v>
      </c>
    </row>
    <row r="296" customFormat="false" ht="15" hidden="false" customHeight="true" outlineLevel="0" collapsed="false">
      <c r="A296" s="42" t="s">
        <v>1884</v>
      </c>
      <c r="B296" s="42" t="s">
        <v>1028</v>
      </c>
      <c r="C296" s="42" t="s">
        <v>1029</v>
      </c>
      <c r="D296" s="42" t="s">
        <v>1581</v>
      </c>
      <c r="E296" s="42" t="s">
        <v>1444</v>
      </c>
      <c r="F296" s="42" t="s">
        <v>768</v>
      </c>
      <c r="G296" s="42" t="s">
        <v>1589</v>
      </c>
      <c r="H296" s="42" t="n">
        <v>87</v>
      </c>
      <c r="I296" s="44" t="n">
        <v>90</v>
      </c>
      <c r="J296" s="44" t="s">
        <v>786</v>
      </c>
    </row>
    <row r="297" customFormat="false" ht="15" hidden="false" customHeight="true" outlineLevel="0" collapsed="false">
      <c r="A297" s="42" t="s">
        <v>1885</v>
      </c>
      <c r="B297" s="42" t="s">
        <v>1035</v>
      </c>
      <c r="C297" s="42" t="s">
        <v>1036</v>
      </c>
      <c r="D297" s="42" t="s">
        <v>1398</v>
      </c>
      <c r="E297" s="42" t="s">
        <v>1399</v>
      </c>
      <c r="F297" s="42" t="s">
        <v>768</v>
      </c>
      <c r="G297" s="42" t="s">
        <v>1589</v>
      </c>
      <c r="H297" s="42" t="n">
        <v>90</v>
      </c>
      <c r="I297" s="44" t="n">
        <v>93</v>
      </c>
      <c r="J297" s="44" t="s">
        <v>62</v>
      </c>
    </row>
    <row r="298" customFormat="false" ht="15" hidden="false" customHeight="true" outlineLevel="0" collapsed="false">
      <c r="A298" s="42" t="s">
        <v>1886</v>
      </c>
      <c r="B298" s="42" t="s">
        <v>1035</v>
      </c>
      <c r="C298" s="42" t="s">
        <v>1036</v>
      </c>
      <c r="D298" s="42" t="s">
        <v>1326</v>
      </c>
      <c r="E298" s="42" t="s">
        <v>1327</v>
      </c>
      <c r="F298" s="42" t="s">
        <v>768</v>
      </c>
      <c r="G298" s="42" t="s">
        <v>1589</v>
      </c>
      <c r="H298" s="42" t="n">
        <v>88</v>
      </c>
      <c r="I298" s="44" t="n">
        <v>91</v>
      </c>
      <c r="J298" s="44" t="s">
        <v>62</v>
      </c>
    </row>
    <row r="299" customFormat="false" ht="15" hidden="false" customHeight="true" outlineLevel="0" collapsed="false">
      <c r="A299" s="42" t="s">
        <v>1887</v>
      </c>
      <c r="B299" s="42" t="s">
        <v>1040</v>
      </c>
      <c r="C299" s="42" t="s">
        <v>1041</v>
      </c>
      <c r="D299" s="42" t="s">
        <v>1405</v>
      </c>
      <c r="E299" s="42" t="s">
        <v>1406</v>
      </c>
      <c r="F299" s="42" t="s">
        <v>768</v>
      </c>
      <c r="G299" s="42" t="s">
        <v>1589</v>
      </c>
      <c r="H299" s="42" t="n">
        <v>90</v>
      </c>
      <c r="I299" s="44" t="n">
        <v>93</v>
      </c>
      <c r="J299" s="44" t="s">
        <v>62</v>
      </c>
    </row>
    <row r="300" customFormat="false" ht="15" hidden="false" customHeight="true" outlineLevel="0" collapsed="false">
      <c r="A300" s="42" t="s">
        <v>1888</v>
      </c>
      <c r="B300" s="42" t="s">
        <v>1040</v>
      </c>
      <c r="C300" s="42" t="s">
        <v>1041</v>
      </c>
      <c r="D300" s="42" t="s">
        <v>1411</v>
      </c>
      <c r="E300" s="42" t="s">
        <v>1412</v>
      </c>
      <c r="F300" s="42" t="s">
        <v>768</v>
      </c>
      <c r="G300" s="42" t="s">
        <v>1589</v>
      </c>
      <c r="H300" s="42" t="n">
        <v>88</v>
      </c>
      <c r="I300" s="44" t="n">
        <v>91</v>
      </c>
      <c r="J300" s="44" t="s">
        <v>62</v>
      </c>
    </row>
    <row r="301" customFormat="false" ht="15" hidden="false" customHeight="true" outlineLevel="0" collapsed="false">
      <c r="A301" s="42" t="s">
        <v>1889</v>
      </c>
      <c r="B301" s="42" t="s">
        <v>1048</v>
      </c>
      <c r="C301" s="42" t="s">
        <v>1049</v>
      </c>
      <c r="D301" s="42" t="s">
        <v>1440</v>
      </c>
      <c r="E301" s="42" t="s">
        <v>1441</v>
      </c>
      <c r="F301" s="42" t="s">
        <v>768</v>
      </c>
      <c r="G301" s="42" t="s">
        <v>1589</v>
      </c>
      <c r="H301" s="42" t="n">
        <v>90</v>
      </c>
      <c r="I301" s="44" t="n">
        <v>93</v>
      </c>
      <c r="J301" s="44" t="s">
        <v>62</v>
      </c>
    </row>
    <row r="302" customFormat="false" ht="15" hidden="false" customHeight="true" outlineLevel="0" collapsed="false">
      <c r="A302" s="42" t="s">
        <v>1890</v>
      </c>
      <c r="B302" s="42" t="s">
        <v>1057</v>
      </c>
      <c r="C302" s="42" t="s">
        <v>1036</v>
      </c>
      <c r="D302" s="42" t="s">
        <v>1449</v>
      </c>
      <c r="E302" s="42" t="s">
        <v>1399</v>
      </c>
      <c r="F302" s="42" t="s">
        <v>768</v>
      </c>
      <c r="G302" s="42" t="s">
        <v>1589</v>
      </c>
      <c r="H302" s="42" t="n">
        <v>90</v>
      </c>
      <c r="I302" s="44" t="n">
        <v>93</v>
      </c>
      <c r="J302" s="44" t="s">
        <v>484</v>
      </c>
    </row>
    <row r="303" customFormat="false" ht="15" hidden="false" customHeight="true" outlineLevel="0" collapsed="false">
      <c r="A303" s="42" t="s">
        <v>1891</v>
      </c>
      <c r="B303" s="42" t="s">
        <v>1057</v>
      </c>
      <c r="C303" s="42" t="s">
        <v>1036</v>
      </c>
      <c r="D303" s="42" t="s">
        <v>1452</v>
      </c>
      <c r="E303" s="42" t="s">
        <v>1322</v>
      </c>
      <c r="F303" s="42" t="s">
        <v>768</v>
      </c>
      <c r="G303" s="42" t="s">
        <v>1589</v>
      </c>
      <c r="H303" s="42" t="n">
        <v>88</v>
      </c>
      <c r="I303" s="44" t="n">
        <v>91</v>
      </c>
      <c r="J303" s="44" t="s">
        <v>484</v>
      </c>
    </row>
    <row r="304" customFormat="false" ht="15" hidden="false" customHeight="true" outlineLevel="0" collapsed="false">
      <c r="A304" s="42" t="s">
        <v>1892</v>
      </c>
      <c r="B304" s="42" t="s">
        <v>1060</v>
      </c>
      <c r="C304" s="42" t="s">
        <v>1041</v>
      </c>
      <c r="D304" s="42" t="s">
        <v>1500</v>
      </c>
      <c r="E304" s="42" t="s">
        <v>1406</v>
      </c>
      <c r="F304" s="42" t="s">
        <v>768</v>
      </c>
      <c r="G304" s="42" t="s">
        <v>1589</v>
      </c>
      <c r="H304" s="42" t="n">
        <v>90</v>
      </c>
      <c r="I304" s="44" t="n">
        <v>93</v>
      </c>
      <c r="J304" s="44" t="s">
        <v>484</v>
      </c>
    </row>
    <row r="305" customFormat="false" ht="15" hidden="false" customHeight="true" outlineLevel="0" collapsed="false">
      <c r="A305" s="42" t="s">
        <v>1893</v>
      </c>
      <c r="B305" s="42" t="s">
        <v>1060</v>
      </c>
      <c r="C305" s="42" t="s">
        <v>1041</v>
      </c>
      <c r="D305" s="42" t="s">
        <v>1502</v>
      </c>
      <c r="E305" s="42" t="s">
        <v>1412</v>
      </c>
      <c r="F305" s="42" t="s">
        <v>768</v>
      </c>
      <c r="G305" s="42" t="s">
        <v>1589</v>
      </c>
      <c r="H305" s="42" t="n">
        <v>88</v>
      </c>
      <c r="I305" s="44" t="n">
        <v>91</v>
      </c>
      <c r="J305" s="44" t="s">
        <v>484</v>
      </c>
    </row>
    <row r="306" customFormat="false" ht="15" hidden="false" customHeight="true" outlineLevel="0" collapsed="false">
      <c r="A306" s="42" t="s">
        <v>1894</v>
      </c>
      <c r="B306" s="42" t="s">
        <v>1063</v>
      </c>
      <c r="C306" s="42" t="s">
        <v>1049</v>
      </c>
      <c r="D306" s="42" t="s">
        <v>1512</v>
      </c>
      <c r="E306" s="42" t="s">
        <v>1441</v>
      </c>
      <c r="F306" s="42" t="s">
        <v>768</v>
      </c>
      <c r="G306" s="42" t="s">
        <v>1589</v>
      </c>
      <c r="H306" s="42" t="n">
        <v>90</v>
      </c>
      <c r="I306" s="44" t="n">
        <v>93</v>
      </c>
      <c r="J306" s="44" t="s">
        <v>484</v>
      </c>
    </row>
    <row r="307" customFormat="false" ht="15" hidden="false" customHeight="true" outlineLevel="0" collapsed="false">
      <c r="A307" s="42" t="s">
        <v>1895</v>
      </c>
      <c r="B307" s="42" t="s">
        <v>1066</v>
      </c>
      <c r="C307" s="42" t="s">
        <v>1036</v>
      </c>
      <c r="D307" s="42" t="s">
        <v>1543</v>
      </c>
      <c r="E307" s="42" t="s">
        <v>1322</v>
      </c>
      <c r="F307" s="42" t="s">
        <v>768</v>
      </c>
      <c r="G307" s="42" t="s">
        <v>1589</v>
      </c>
      <c r="H307" s="42" t="n">
        <v>90</v>
      </c>
      <c r="I307" s="44" t="n">
        <v>93</v>
      </c>
      <c r="J307" s="44" t="s">
        <v>786</v>
      </c>
    </row>
    <row r="308" customFormat="false" ht="15" hidden="false" customHeight="true" outlineLevel="0" collapsed="false">
      <c r="A308" s="42" t="s">
        <v>1896</v>
      </c>
      <c r="B308" s="42" t="s">
        <v>1066</v>
      </c>
      <c r="C308" s="42" t="s">
        <v>1036</v>
      </c>
      <c r="D308" s="42" t="s">
        <v>1545</v>
      </c>
      <c r="E308" s="42" t="s">
        <v>1546</v>
      </c>
      <c r="F308" s="42" t="s">
        <v>768</v>
      </c>
      <c r="G308" s="42" t="s">
        <v>1589</v>
      </c>
      <c r="H308" s="42" t="n">
        <v>88</v>
      </c>
      <c r="I308" s="44" t="n">
        <v>91</v>
      </c>
      <c r="J308" s="44" t="s">
        <v>786</v>
      </c>
    </row>
    <row r="309" customFormat="false" ht="15" hidden="false" customHeight="true" outlineLevel="0" collapsed="false">
      <c r="A309" s="42" t="s">
        <v>1897</v>
      </c>
      <c r="B309" s="42" t="s">
        <v>1068</v>
      </c>
      <c r="C309" s="42" t="s">
        <v>1041</v>
      </c>
      <c r="D309" s="42" t="s">
        <v>1570</v>
      </c>
      <c r="E309" s="42" t="s">
        <v>1406</v>
      </c>
      <c r="F309" s="42" t="s">
        <v>768</v>
      </c>
      <c r="G309" s="42" t="s">
        <v>1589</v>
      </c>
      <c r="H309" s="42" t="n">
        <v>90</v>
      </c>
      <c r="I309" s="44" t="n">
        <v>93</v>
      </c>
      <c r="J309" s="44" t="s">
        <v>786</v>
      </c>
    </row>
    <row r="310" customFormat="false" ht="15" hidden="false" customHeight="true" outlineLevel="0" collapsed="false">
      <c r="A310" s="42" t="s">
        <v>1898</v>
      </c>
      <c r="B310" s="42" t="s">
        <v>1068</v>
      </c>
      <c r="C310" s="42" t="s">
        <v>1041</v>
      </c>
      <c r="D310" s="42" t="s">
        <v>1571</v>
      </c>
      <c r="E310" s="42" t="s">
        <v>1412</v>
      </c>
      <c r="F310" s="42" t="s">
        <v>768</v>
      </c>
      <c r="G310" s="42" t="s">
        <v>1589</v>
      </c>
      <c r="H310" s="42" t="n">
        <v>88</v>
      </c>
      <c r="I310" s="44" t="n">
        <v>91</v>
      </c>
      <c r="J310" s="44" t="s">
        <v>786</v>
      </c>
    </row>
    <row r="311" customFormat="false" ht="15" hidden="false" customHeight="true" outlineLevel="0" collapsed="false">
      <c r="A311" s="42" t="s">
        <v>1899</v>
      </c>
      <c r="B311" s="42" t="s">
        <v>1070</v>
      </c>
      <c r="C311" s="42" t="s">
        <v>1049</v>
      </c>
      <c r="D311" s="42" t="s">
        <v>1580</v>
      </c>
      <c r="E311" s="42" t="s">
        <v>1441</v>
      </c>
      <c r="F311" s="42" t="s">
        <v>768</v>
      </c>
      <c r="G311" s="42" t="s">
        <v>1589</v>
      </c>
      <c r="H311" s="42" t="n">
        <v>90</v>
      </c>
      <c r="I311" s="44" t="n">
        <v>93</v>
      </c>
      <c r="J311" s="44" t="s">
        <v>786</v>
      </c>
    </row>
    <row r="312" customFormat="false" ht="15" hidden="false" customHeight="true" outlineLevel="0" collapsed="false">
      <c r="A312" s="46" t="s">
        <v>1900</v>
      </c>
      <c r="B312" s="46" t="s">
        <v>1072</v>
      </c>
      <c r="C312" s="46" t="s">
        <v>1073</v>
      </c>
      <c r="D312" s="46" t="s">
        <v>1321</v>
      </c>
      <c r="E312" s="46" t="s">
        <v>1322</v>
      </c>
      <c r="F312" s="47" t="s">
        <v>1045</v>
      </c>
      <c r="G312" s="47" t="s">
        <v>1589</v>
      </c>
      <c r="H312" s="47" t="n">
        <v>87</v>
      </c>
      <c r="I312" s="47" t="n">
        <v>83</v>
      </c>
      <c r="J312" s="46" t="s">
        <v>62</v>
      </c>
    </row>
    <row r="313" customFormat="false" ht="15" hidden="false" customHeight="true" outlineLevel="0" collapsed="false">
      <c r="A313" s="46" t="s">
        <v>1901</v>
      </c>
      <c r="B313" s="46" t="s">
        <v>1072</v>
      </c>
      <c r="C313" s="46" t="s">
        <v>1073</v>
      </c>
      <c r="D313" s="46" t="s">
        <v>1382</v>
      </c>
      <c r="E313" s="46" t="s">
        <v>1383</v>
      </c>
      <c r="F313" s="47" t="s">
        <v>1045</v>
      </c>
      <c r="G313" s="47" t="s">
        <v>1589</v>
      </c>
      <c r="H313" s="47" t="n">
        <v>85</v>
      </c>
      <c r="I313" s="47" t="n">
        <v>85</v>
      </c>
      <c r="J313" s="46" t="s">
        <v>62</v>
      </c>
    </row>
    <row r="314" customFormat="false" ht="15" hidden="false" customHeight="true" outlineLevel="0" collapsed="false">
      <c r="A314" s="46" t="s">
        <v>1902</v>
      </c>
      <c r="B314" s="46" t="s">
        <v>1078</v>
      </c>
      <c r="C314" s="46" t="s">
        <v>1079</v>
      </c>
      <c r="D314" s="46" t="s">
        <v>1330</v>
      </c>
      <c r="E314" s="46" t="s">
        <v>1331</v>
      </c>
      <c r="F314" s="47" t="s">
        <v>768</v>
      </c>
      <c r="G314" s="47" t="s">
        <v>1589</v>
      </c>
      <c r="H314" s="47" t="n">
        <v>57</v>
      </c>
      <c r="I314" s="47" t="n">
        <v>56</v>
      </c>
      <c r="J314" s="46" t="s">
        <v>62</v>
      </c>
    </row>
    <row r="315" customFormat="false" ht="15" hidden="false" customHeight="true" outlineLevel="0" collapsed="false">
      <c r="A315" s="46" t="s">
        <v>1903</v>
      </c>
      <c r="B315" s="46" t="s">
        <v>1078</v>
      </c>
      <c r="C315" s="46" t="s">
        <v>1079</v>
      </c>
      <c r="D315" s="46" t="s">
        <v>1391</v>
      </c>
      <c r="E315" s="46" t="s">
        <v>1392</v>
      </c>
      <c r="F315" s="47" t="s">
        <v>768</v>
      </c>
      <c r="G315" s="47" t="s">
        <v>1589</v>
      </c>
      <c r="H315" s="47" t="n">
        <v>54</v>
      </c>
      <c r="I315" s="47" t="n">
        <v>58</v>
      </c>
      <c r="J315" s="46" t="s">
        <v>62</v>
      </c>
    </row>
    <row r="316" customFormat="false" ht="15" hidden="false" customHeight="true" outlineLevel="0" collapsed="false">
      <c r="A316" s="46" t="s">
        <v>1904</v>
      </c>
      <c r="B316" s="46" t="s">
        <v>1082</v>
      </c>
      <c r="C316" s="46" t="s">
        <v>1083</v>
      </c>
      <c r="D316" s="46" t="s">
        <v>1357</v>
      </c>
      <c r="E316" s="46" t="s">
        <v>1358</v>
      </c>
      <c r="F316" s="47" t="s">
        <v>1086</v>
      </c>
      <c r="G316" s="47" t="s">
        <v>1589</v>
      </c>
      <c r="H316" s="47" t="n">
        <v>66</v>
      </c>
      <c r="I316" s="47" t="n">
        <v>69</v>
      </c>
      <c r="J316" s="46" t="s">
        <v>62</v>
      </c>
    </row>
    <row r="317" customFormat="false" ht="15" hidden="false" customHeight="true" outlineLevel="0" collapsed="false">
      <c r="A317" s="46" t="s">
        <v>1905</v>
      </c>
      <c r="B317" s="46" t="s">
        <v>1082</v>
      </c>
      <c r="C317" s="46" t="s">
        <v>1083</v>
      </c>
      <c r="D317" s="46" t="s">
        <v>1401</v>
      </c>
      <c r="E317" s="46" t="s">
        <v>1402</v>
      </c>
      <c r="F317" s="47" t="s">
        <v>1086</v>
      </c>
      <c r="G317" s="47" t="s">
        <v>1589</v>
      </c>
      <c r="H317" s="47" t="n">
        <v>76</v>
      </c>
      <c r="I317" s="47" t="n">
        <v>71</v>
      </c>
      <c r="J317" s="46" t="s">
        <v>62</v>
      </c>
    </row>
    <row r="318" customFormat="false" ht="15" hidden="false" customHeight="true" outlineLevel="0" collapsed="false">
      <c r="A318" s="46" t="s">
        <v>1906</v>
      </c>
      <c r="B318" s="46" t="s">
        <v>1089</v>
      </c>
      <c r="C318" s="46" t="s">
        <v>1090</v>
      </c>
      <c r="D318" s="46" t="s">
        <v>1347</v>
      </c>
      <c r="E318" s="46" t="s">
        <v>1348</v>
      </c>
      <c r="F318" s="47" t="s">
        <v>75</v>
      </c>
      <c r="G318" s="47" t="s">
        <v>1589</v>
      </c>
      <c r="H318" s="47" t="n">
        <v>93</v>
      </c>
      <c r="I318" s="47" t="n">
        <v>93</v>
      </c>
      <c r="J318" s="46" t="s">
        <v>62</v>
      </c>
    </row>
    <row r="319" customFormat="false" ht="15" hidden="false" customHeight="true" outlineLevel="0" collapsed="false">
      <c r="A319" s="46" t="s">
        <v>1907</v>
      </c>
      <c r="B319" s="46" t="s">
        <v>1089</v>
      </c>
      <c r="C319" s="46" t="s">
        <v>1090</v>
      </c>
      <c r="D319" s="46" t="s">
        <v>1401</v>
      </c>
      <c r="E319" s="46" t="s">
        <v>1402</v>
      </c>
      <c r="F319" s="47" t="s">
        <v>75</v>
      </c>
      <c r="G319" s="47" t="s">
        <v>1589</v>
      </c>
      <c r="H319" s="47" t="n">
        <v>92</v>
      </c>
      <c r="I319" s="47" t="n">
        <v>92</v>
      </c>
      <c r="J319" s="46" t="s">
        <v>62</v>
      </c>
    </row>
    <row r="320" customFormat="false" ht="15" hidden="false" customHeight="true" outlineLevel="0" collapsed="false">
      <c r="A320" s="46" t="s">
        <v>1908</v>
      </c>
      <c r="B320" s="46" t="s">
        <v>1094</v>
      </c>
      <c r="C320" s="46" t="s">
        <v>1095</v>
      </c>
      <c r="D320" s="46" t="s">
        <v>1361</v>
      </c>
      <c r="E320" s="46" t="s">
        <v>1362</v>
      </c>
      <c r="F320" s="47" t="s">
        <v>1045</v>
      </c>
      <c r="G320" s="47" t="s">
        <v>1589</v>
      </c>
      <c r="H320" s="47" t="n">
        <v>68</v>
      </c>
      <c r="I320" s="47" t="n">
        <v>72</v>
      </c>
      <c r="J320" s="46" t="s">
        <v>62</v>
      </c>
    </row>
    <row r="321" customFormat="false" ht="15" hidden="false" customHeight="true" outlineLevel="0" collapsed="false">
      <c r="A321" s="46" t="s">
        <v>1909</v>
      </c>
      <c r="B321" s="46" t="s">
        <v>1094</v>
      </c>
      <c r="C321" s="46" t="s">
        <v>1095</v>
      </c>
      <c r="D321" s="46" t="s">
        <v>1401</v>
      </c>
      <c r="E321" s="46" t="s">
        <v>1402</v>
      </c>
      <c r="F321" s="47" t="s">
        <v>1045</v>
      </c>
      <c r="G321" s="47" t="s">
        <v>1589</v>
      </c>
      <c r="H321" s="47" t="n">
        <v>66</v>
      </c>
      <c r="I321" s="47" t="n">
        <v>69</v>
      </c>
      <c r="J321" s="46" t="s">
        <v>62</v>
      </c>
    </row>
    <row r="322" customFormat="false" ht="15" hidden="false" customHeight="true" outlineLevel="0" collapsed="false">
      <c r="A322" s="46" t="s">
        <v>1910</v>
      </c>
      <c r="B322" s="46" t="s">
        <v>1099</v>
      </c>
      <c r="C322" s="46" t="s">
        <v>1100</v>
      </c>
      <c r="D322" s="46" t="s">
        <v>1334</v>
      </c>
      <c r="E322" s="46" t="s">
        <v>1335</v>
      </c>
      <c r="F322" s="47" t="s">
        <v>75</v>
      </c>
      <c r="G322" s="47" t="s">
        <v>1633</v>
      </c>
      <c r="H322" s="47" t="n">
        <v>47</v>
      </c>
      <c r="I322" s="47" t="n">
        <v>42</v>
      </c>
      <c r="J322" s="46" t="s">
        <v>62</v>
      </c>
    </row>
    <row r="323" customFormat="false" ht="15" hidden="false" customHeight="true" outlineLevel="0" collapsed="false">
      <c r="A323" s="46" t="s">
        <v>1911</v>
      </c>
      <c r="B323" s="46" t="s">
        <v>1099</v>
      </c>
      <c r="C323" s="46" t="s">
        <v>1100</v>
      </c>
      <c r="D323" s="46" t="s">
        <v>1330</v>
      </c>
      <c r="E323" s="46" t="s">
        <v>1331</v>
      </c>
      <c r="F323" s="47" t="s">
        <v>75</v>
      </c>
      <c r="G323" s="47" t="s">
        <v>1589</v>
      </c>
      <c r="H323" s="47" t="n">
        <v>44</v>
      </c>
      <c r="I323" s="47" t="n">
        <v>44</v>
      </c>
      <c r="J323" s="46" t="s">
        <v>62</v>
      </c>
    </row>
    <row r="324" customFormat="false" ht="15" hidden="false" customHeight="true" outlineLevel="0" collapsed="false">
      <c r="A324" s="46" t="s">
        <v>1912</v>
      </c>
      <c r="B324" s="46" t="s">
        <v>1104</v>
      </c>
      <c r="C324" s="46" t="s">
        <v>1105</v>
      </c>
      <c r="D324" s="46" t="s">
        <v>1338</v>
      </c>
      <c r="E324" s="46" t="s">
        <v>1339</v>
      </c>
      <c r="F324" s="47" t="s">
        <v>768</v>
      </c>
      <c r="G324" s="47" t="s">
        <v>1589</v>
      </c>
      <c r="H324" s="47" t="n">
        <v>82</v>
      </c>
      <c r="I324" s="47" t="n">
        <v>82</v>
      </c>
      <c r="J324" s="46" t="s">
        <v>62</v>
      </c>
    </row>
    <row r="325" customFormat="false" ht="15" hidden="false" customHeight="true" outlineLevel="0" collapsed="false">
      <c r="A325" s="46" t="s">
        <v>1913</v>
      </c>
      <c r="B325" s="46" t="s">
        <v>1104</v>
      </c>
      <c r="C325" s="46" t="s">
        <v>1105</v>
      </c>
      <c r="D325" s="46" t="s">
        <v>1342</v>
      </c>
      <c r="E325" s="46" t="s">
        <v>1343</v>
      </c>
      <c r="F325" s="47" t="s">
        <v>768</v>
      </c>
      <c r="G325" s="47" t="s">
        <v>1589</v>
      </c>
      <c r="H325" s="47" t="n">
        <v>80</v>
      </c>
      <c r="I325" s="47" t="n">
        <v>83</v>
      </c>
      <c r="J325" s="46" t="s">
        <v>62</v>
      </c>
    </row>
    <row r="326" customFormat="false" ht="15" hidden="false" customHeight="true" outlineLevel="0" collapsed="false">
      <c r="A326" s="46" t="s">
        <v>1914</v>
      </c>
      <c r="B326" s="46" t="s">
        <v>1110</v>
      </c>
      <c r="C326" s="46" t="s">
        <v>1111</v>
      </c>
      <c r="D326" s="46" t="s">
        <v>1382</v>
      </c>
      <c r="E326" s="46" t="s">
        <v>1383</v>
      </c>
      <c r="F326" s="47" t="s">
        <v>1086</v>
      </c>
      <c r="G326" s="47" t="s">
        <v>1589</v>
      </c>
      <c r="H326" s="47" t="n">
        <v>65</v>
      </c>
      <c r="I326" s="47" t="n">
        <v>69</v>
      </c>
      <c r="J326" s="46" t="s">
        <v>62</v>
      </c>
    </row>
    <row r="327" customFormat="false" ht="15" hidden="false" customHeight="true" outlineLevel="0" collapsed="false">
      <c r="A327" s="46" t="s">
        <v>1915</v>
      </c>
      <c r="B327" s="46" t="s">
        <v>1110</v>
      </c>
      <c r="C327" s="46" t="s">
        <v>1111</v>
      </c>
      <c r="D327" s="46" t="s">
        <v>1326</v>
      </c>
      <c r="E327" s="46" t="s">
        <v>1327</v>
      </c>
      <c r="F327" s="47" t="s">
        <v>1086</v>
      </c>
      <c r="G327" s="47" t="s">
        <v>1589</v>
      </c>
      <c r="H327" s="47" t="n">
        <v>75</v>
      </c>
      <c r="I327" s="47" t="n">
        <v>71</v>
      </c>
      <c r="J327" s="46" t="s">
        <v>62</v>
      </c>
    </row>
    <row r="328" customFormat="false" ht="15" hidden="false" customHeight="true" outlineLevel="0" collapsed="false">
      <c r="A328" s="46" t="s">
        <v>1916</v>
      </c>
      <c r="B328" s="46" t="s">
        <v>1115</v>
      </c>
      <c r="C328" s="46" t="s">
        <v>1116</v>
      </c>
      <c r="D328" s="46" t="s">
        <v>1357</v>
      </c>
      <c r="E328" s="46" t="s">
        <v>1358</v>
      </c>
      <c r="F328" s="47" t="s">
        <v>75</v>
      </c>
      <c r="G328" s="47" t="s">
        <v>107</v>
      </c>
      <c r="H328" s="47" t="n">
        <v>93</v>
      </c>
      <c r="I328" s="47" t="n">
        <v>93</v>
      </c>
      <c r="J328" s="46" t="s">
        <v>62</v>
      </c>
    </row>
    <row r="329" customFormat="false" ht="15" hidden="false" customHeight="true" outlineLevel="0" collapsed="false">
      <c r="A329" s="46" t="s">
        <v>1917</v>
      </c>
      <c r="B329" s="46" t="s">
        <v>1115</v>
      </c>
      <c r="C329" s="46" t="s">
        <v>1116</v>
      </c>
      <c r="D329" s="46" t="s">
        <v>1401</v>
      </c>
      <c r="E329" s="46" t="s">
        <v>1402</v>
      </c>
      <c r="F329" s="47" t="s">
        <v>75</v>
      </c>
      <c r="G329" s="47" t="s">
        <v>107</v>
      </c>
      <c r="H329" s="47" t="n">
        <v>91</v>
      </c>
      <c r="I329" s="47" t="n">
        <v>91</v>
      </c>
      <c r="J329" s="46" t="s">
        <v>62</v>
      </c>
    </row>
    <row r="330" customFormat="false" ht="15" hidden="false" customHeight="true" outlineLevel="0" collapsed="false">
      <c r="A330" s="46" t="s">
        <v>1918</v>
      </c>
      <c r="B330" s="46" t="s">
        <v>1120</v>
      </c>
      <c r="C330" s="46" t="s">
        <v>1121</v>
      </c>
      <c r="D330" s="46" t="s">
        <v>1373</v>
      </c>
      <c r="E330" s="46" t="s">
        <v>1374</v>
      </c>
      <c r="F330" s="47" t="s">
        <v>1045</v>
      </c>
      <c r="G330" s="47" t="s">
        <v>1589</v>
      </c>
      <c r="H330" s="47" t="n">
        <v>53</v>
      </c>
      <c r="I330" s="47" t="n">
        <v>57</v>
      </c>
      <c r="J330" s="46" t="s">
        <v>62</v>
      </c>
    </row>
    <row r="331" customFormat="false" ht="15" hidden="false" customHeight="true" outlineLevel="0" collapsed="false">
      <c r="A331" s="46" t="s">
        <v>1919</v>
      </c>
      <c r="B331" s="46" t="s">
        <v>1120</v>
      </c>
      <c r="C331" s="46" t="s">
        <v>1121</v>
      </c>
      <c r="D331" s="46" t="s">
        <v>1378</v>
      </c>
      <c r="E331" s="46" t="s">
        <v>1379</v>
      </c>
      <c r="F331" s="47" t="s">
        <v>1045</v>
      </c>
      <c r="G331" s="47" t="s">
        <v>1589</v>
      </c>
      <c r="H331" s="47" t="n">
        <v>50</v>
      </c>
      <c r="I331" s="47" t="n">
        <v>54</v>
      </c>
      <c r="J331" s="46" t="s">
        <v>62</v>
      </c>
    </row>
    <row r="332" customFormat="false" ht="15" hidden="false" customHeight="true" outlineLevel="0" collapsed="false">
      <c r="A332" s="46" t="s">
        <v>1920</v>
      </c>
      <c r="B332" s="46" t="s">
        <v>1125</v>
      </c>
      <c r="C332" s="46" t="s">
        <v>1126</v>
      </c>
      <c r="D332" s="46" t="s">
        <v>1365</v>
      </c>
      <c r="E332" s="46" t="s">
        <v>1366</v>
      </c>
      <c r="F332" s="47" t="s">
        <v>768</v>
      </c>
      <c r="G332" s="47" t="s">
        <v>1589</v>
      </c>
      <c r="H332" s="47" t="n">
        <v>86</v>
      </c>
      <c r="I332" s="47" t="n">
        <v>82</v>
      </c>
      <c r="J332" s="46" t="s">
        <v>62</v>
      </c>
    </row>
    <row r="333" customFormat="false" ht="15" hidden="false" customHeight="true" outlineLevel="0" collapsed="false">
      <c r="A333" s="46" t="s">
        <v>1921</v>
      </c>
      <c r="B333" s="46" t="s">
        <v>1125</v>
      </c>
      <c r="C333" s="46" t="s">
        <v>1126</v>
      </c>
      <c r="D333" s="46" t="s">
        <v>1401</v>
      </c>
      <c r="E333" s="46" t="s">
        <v>1402</v>
      </c>
      <c r="F333" s="47" t="s">
        <v>768</v>
      </c>
      <c r="G333" s="47" t="s">
        <v>1589</v>
      </c>
      <c r="H333" s="47" t="n">
        <v>84</v>
      </c>
      <c r="I333" s="47" t="n">
        <v>84</v>
      </c>
      <c r="J333" s="46" t="s">
        <v>62</v>
      </c>
    </row>
    <row r="334" customFormat="false" ht="15" hidden="false" customHeight="true" outlineLevel="0" collapsed="false">
      <c r="A334" s="46" t="s">
        <v>1922</v>
      </c>
      <c r="B334" s="46" t="s">
        <v>1130</v>
      </c>
      <c r="C334" s="46" t="s">
        <v>1131</v>
      </c>
      <c r="D334" s="46" t="s">
        <v>1373</v>
      </c>
      <c r="E334" s="46" t="s">
        <v>1374</v>
      </c>
      <c r="F334" s="47" t="s">
        <v>1086</v>
      </c>
      <c r="G334" s="47" t="s">
        <v>1589</v>
      </c>
      <c r="H334" s="47" t="n">
        <v>55</v>
      </c>
      <c r="I334" s="47" t="n">
        <v>55</v>
      </c>
      <c r="J334" s="46" t="s">
        <v>62</v>
      </c>
    </row>
    <row r="335" customFormat="false" ht="15" hidden="false" customHeight="true" outlineLevel="0" collapsed="false">
      <c r="A335" s="46" t="s">
        <v>1923</v>
      </c>
      <c r="B335" s="46" t="s">
        <v>1130</v>
      </c>
      <c r="C335" s="46" t="s">
        <v>1131</v>
      </c>
      <c r="D335" s="46" t="s">
        <v>1378</v>
      </c>
      <c r="E335" s="46" t="s">
        <v>1379</v>
      </c>
      <c r="F335" s="47" t="s">
        <v>1086</v>
      </c>
      <c r="G335" s="47" t="s">
        <v>1589</v>
      </c>
      <c r="H335" s="47" t="n">
        <v>53</v>
      </c>
      <c r="I335" s="47" t="n">
        <v>57</v>
      </c>
      <c r="J335" s="46" t="s">
        <v>62</v>
      </c>
    </row>
    <row r="336" customFormat="false" ht="15" hidden="false" customHeight="true" outlineLevel="0" collapsed="false">
      <c r="A336" s="46" t="s">
        <v>1924</v>
      </c>
      <c r="B336" s="46" t="s">
        <v>1135</v>
      </c>
      <c r="C336" s="46" t="s">
        <v>1136</v>
      </c>
      <c r="D336" s="46" t="s">
        <v>1352</v>
      </c>
      <c r="E336" s="46" t="s">
        <v>1353</v>
      </c>
      <c r="F336" s="47" t="s">
        <v>1045</v>
      </c>
      <c r="G336" s="47" t="s">
        <v>1589</v>
      </c>
      <c r="H336" s="47" t="n">
        <v>96</v>
      </c>
      <c r="I336" s="47" t="n">
        <v>93</v>
      </c>
      <c r="J336" s="46" t="s">
        <v>62</v>
      </c>
    </row>
    <row r="337" customFormat="false" ht="15" hidden="false" customHeight="true" outlineLevel="0" collapsed="false">
      <c r="A337" s="46" t="s">
        <v>1925</v>
      </c>
      <c r="B337" s="46" t="s">
        <v>1135</v>
      </c>
      <c r="C337" s="46" t="s">
        <v>1136</v>
      </c>
      <c r="D337" s="46" t="s">
        <v>1373</v>
      </c>
      <c r="E337" s="46" t="s">
        <v>1374</v>
      </c>
      <c r="F337" s="47" t="s">
        <v>1045</v>
      </c>
      <c r="G337" s="47" t="s">
        <v>1589</v>
      </c>
      <c r="H337" s="47" t="n">
        <v>94</v>
      </c>
      <c r="I337" s="47" t="n">
        <v>91</v>
      </c>
      <c r="J337" s="46" t="s">
        <v>62</v>
      </c>
    </row>
    <row r="338" customFormat="false" ht="15" hidden="false" customHeight="true" outlineLevel="0" collapsed="false">
      <c r="A338" s="46" t="s">
        <v>1926</v>
      </c>
      <c r="B338" s="46" t="s">
        <v>1140</v>
      </c>
      <c r="C338" s="46" t="s">
        <v>1141</v>
      </c>
      <c r="D338" s="46" t="s">
        <v>1365</v>
      </c>
      <c r="E338" s="46" t="s">
        <v>1366</v>
      </c>
      <c r="F338" s="47" t="s">
        <v>75</v>
      </c>
      <c r="G338" s="47" t="s">
        <v>1589</v>
      </c>
      <c r="H338" s="47" t="n">
        <v>72</v>
      </c>
      <c r="I338" s="47" t="n">
        <v>71</v>
      </c>
      <c r="J338" s="46" t="s">
        <v>62</v>
      </c>
    </row>
    <row r="339" customFormat="false" ht="15" hidden="false" customHeight="true" outlineLevel="0" collapsed="false">
      <c r="A339" s="46" t="s">
        <v>1927</v>
      </c>
      <c r="B339" s="46" t="s">
        <v>1140</v>
      </c>
      <c r="C339" s="46" t="s">
        <v>1141</v>
      </c>
      <c r="D339" s="46" t="s">
        <v>1401</v>
      </c>
      <c r="E339" s="46" t="s">
        <v>1402</v>
      </c>
      <c r="F339" s="47" t="s">
        <v>75</v>
      </c>
      <c r="G339" s="47" t="s">
        <v>1589</v>
      </c>
      <c r="H339" s="47" t="n">
        <v>69</v>
      </c>
      <c r="I339" s="47" t="n">
        <v>69</v>
      </c>
      <c r="J339" s="46" t="s">
        <v>62</v>
      </c>
    </row>
    <row r="340" customFormat="false" ht="15" hidden="false" customHeight="true" outlineLevel="0" collapsed="false">
      <c r="A340" s="46" t="s">
        <v>1928</v>
      </c>
      <c r="B340" s="46" t="s">
        <v>1145</v>
      </c>
      <c r="C340" s="46" t="s">
        <v>1146</v>
      </c>
      <c r="D340" s="46" t="s">
        <v>1386</v>
      </c>
      <c r="E340" s="46" t="s">
        <v>1387</v>
      </c>
      <c r="F340" s="47" t="s">
        <v>1045</v>
      </c>
      <c r="G340" s="47" t="s">
        <v>1589</v>
      </c>
      <c r="H340" s="47" t="n">
        <v>52</v>
      </c>
      <c r="I340" s="47" t="n">
        <v>56</v>
      </c>
      <c r="J340" s="46" t="s">
        <v>62</v>
      </c>
    </row>
    <row r="341" customFormat="false" ht="15" hidden="false" customHeight="true" outlineLevel="0" collapsed="false">
      <c r="A341" s="46" t="s">
        <v>1929</v>
      </c>
      <c r="B341" s="46" t="s">
        <v>1145</v>
      </c>
      <c r="C341" s="46" t="s">
        <v>1146</v>
      </c>
      <c r="D341" s="46" t="s">
        <v>1378</v>
      </c>
      <c r="E341" s="46" t="s">
        <v>1379</v>
      </c>
      <c r="F341" s="47" t="s">
        <v>1045</v>
      </c>
      <c r="G341" s="47" t="s">
        <v>1589</v>
      </c>
      <c r="H341" s="47" t="n">
        <v>63</v>
      </c>
      <c r="I341" s="47" t="n">
        <v>58</v>
      </c>
      <c r="J341" s="46" t="s">
        <v>62</v>
      </c>
    </row>
    <row r="342" customFormat="false" ht="15" hidden="false" customHeight="true" outlineLevel="0" collapsed="false">
      <c r="A342" s="46" t="s">
        <v>1930</v>
      </c>
      <c r="B342" s="46" t="s">
        <v>1150</v>
      </c>
      <c r="C342" s="46" t="s">
        <v>1151</v>
      </c>
      <c r="D342" s="46" t="s">
        <v>1391</v>
      </c>
      <c r="E342" s="46" t="s">
        <v>1392</v>
      </c>
      <c r="F342" s="47" t="s">
        <v>768</v>
      </c>
      <c r="G342" s="47" t="s">
        <v>1589</v>
      </c>
      <c r="H342" s="47" t="n">
        <v>85</v>
      </c>
      <c r="I342" s="47" t="n">
        <v>82</v>
      </c>
      <c r="J342" s="46" t="s">
        <v>62</v>
      </c>
    </row>
    <row r="343" customFormat="false" ht="15" hidden="false" customHeight="true" outlineLevel="0" collapsed="false">
      <c r="A343" s="46" t="s">
        <v>1931</v>
      </c>
      <c r="B343" s="46" t="s">
        <v>1150</v>
      </c>
      <c r="C343" s="46" t="s">
        <v>1151</v>
      </c>
      <c r="D343" s="46" t="s">
        <v>1334</v>
      </c>
      <c r="E343" s="46" t="s">
        <v>1335</v>
      </c>
      <c r="F343" s="47" t="s">
        <v>768</v>
      </c>
      <c r="G343" s="47" t="s">
        <v>1589</v>
      </c>
      <c r="H343" s="47" t="n">
        <v>84</v>
      </c>
      <c r="I343" s="47" t="n">
        <v>83</v>
      </c>
      <c r="J343" s="46" t="s">
        <v>62</v>
      </c>
    </row>
    <row r="344" customFormat="false" ht="15" hidden="false" customHeight="true" outlineLevel="0" collapsed="false">
      <c r="A344" s="46" t="s">
        <v>1932</v>
      </c>
      <c r="B344" s="46" t="s">
        <v>1155</v>
      </c>
      <c r="C344" s="46" t="s">
        <v>1156</v>
      </c>
      <c r="D344" s="46" t="s">
        <v>1338</v>
      </c>
      <c r="E344" s="46" t="s">
        <v>1339</v>
      </c>
      <c r="F344" s="47" t="s">
        <v>1086</v>
      </c>
      <c r="G344" s="47" t="s">
        <v>1589</v>
      </c>
      <c r="H344" s="47" t="n">
        <v>69</v>
      </c>
      <c r="I344" s="47" t="n">
        <v>73</v>
      </c>
      <c r="J344" s="46" t="s">
        <v>62</v>
      </c>
    </row>
    <row r="345" customFormat="false" ht="15" hidden="false" customHeight="true" outlineLevel="0" collapsed="false">
      <c r="A345" s="46" t="s">
        <v>1933</v>
      </c>
      <c r="B345" s="46" t="s">
        <v>1155</v>
      </c>
      <c r="C345" s="46" t="s">
        <v>1156</v>
      </c>
      <c r="D345" s="46" t="s">
        <v>1342</v>
      </c>
      <c r="E345" s="46" t="s">
        <v>1343</v>
      </c>
      <c r="F345" s="47" t="s">
        <v>1086</v>
      </c>
      <c r="G345" s="47" t="s">
        <v>1589</v>
      </c>
      <c r="H345" s="47" t="n">
        <v>67</v>
      </c>
      <c r="I345" s="47" t="n">
        <v>70</v>
      </c>
      <c r="J345" s="46" t="s">
        <v>62</v>
      </c>
    </row>
    <row r="346" customFormat="false" ht="15" hidden="false" customHeight="true" outlineLevel="0" collapsed="false">
      <c r="A346" s="46" t="s">
        <v>1934</v>
      </c>
      <c r="B346" s="46" t="s">
        <v>1160</v>
      </c>
      <c r="C346" s="46" t="s">
        <v>1161</v>
      </c>
      <c r="D346" s="46" t="s">
        <v>1369</v>
      </c>
      <c r="E346" s="46" t="s">
        <v>1370</v>
      </c>
      <c r="F346" s="47" t="s">
        <v>75</v>
      </c>
      <c r="G346" s="47" t="s">
        <v>1589</v>
      </c>
      <c r="H346" s="47" t="n">
        <v>63</v>
      </c>
      <c r="I346" s="47" t="n">
        <v>58</v>
      </c>
      <c r="J346" s="46" t="s">
        <v>62</v>
      </c>
    </row>
    <row r="347" customFormat="false" ht="15" hidden="false" customHeight="true" outlineLevel="0" collapsed="false">
      <c r="A347" s="46" t="s">
        <v>1935</v>
      </c>
      <c r="B347" s="46" t="s">
        <v>1160</v>
      </c>
      <c r="C347" s="46" t="s">
        <v>1161</v>
      </c>
      <c r="D347" s="46" t="s">
        <v>1401</v>
      </c>
      <c r="E347" s="46" t="s">
        <v>1402</v>
      </c>
      <c r="F347" s="47" t="s">
        <v>75</v>
      </c>
      <c r="G347" s="47" t="s">
        <v>1589</v>
      </c>
      <c r="H347" s="47" t="n">
        <v>60</v>
      </c>
      <c r="I347" s="47" t="n">
        <v>60</v>
      </c>
      <c r="J347" s="46" t="s">
        <v>62</v>
      </c>
    </row>
    <row r="348" customFormat="false" ht="15" hidden="false" customHeight="true" outlineLevel="0" collapsed="false">
      <c r="A348" s="46" t="s">
        <v>1936</v>
      </c>
      <c r="B348" s="46" t="s">
        <v>1165</v>
      </c>
      <c r="C348" s="46" t="s">
        <v>1166</v>
      </c>
      <c r="D348" s="46" t="s">
        <v>1357</v>
      </c>
      <c r="E348" s="46" t="s">
        <v>1358</v>
      </c>
      <c r="F348" s="47" t="s">
        <v>1045</v>
      </c>
      <c r="G348" s="47" t="s">
        <v>1589</v>
      </c>
      <c r="H348" s="47" t="n">
        <v>83</v>
      </c>
      <c r="I348" s="47" t="n">
        <v>83</v>
      </c>
      <c r="J348" s="46" t="s">
        <v>62</v>
      </c>
    </row>
    <row r="349" customFormat="false" ht="15" hidden="false" customHeight="true" outlineLevel="0" collapsed="false">
      <c r="A349" s="46" t="s">
        <v>1937</v>
      </c>
      <c r="B349" s="46" t="s">
        <v>1165</v>
      </c>
      <c r="C349" s="46" t="s">
        <v>1166</v>
      </c>
      <c r="D349" s="46" t="s">
        <v>1401</v>
      </c>
      <c r="E349" s="46" t="s">
        <v>1402</v>
      </c>
      <c r="F349" s="47" t="s">
        <v>1045</v>
      </c>
      <c r="G349" s="47" t="s">
        <v>1589</v>
      </c>
      <c r="H349" s="47" t="n">
        <v>81</v>
      </c>
      <c r="I349" s="47" t="n">
        <v>84</v>
      </c>
      <c r="J349" s="46" t="s">
        <v>62</v>
      </c>
    </row>
    <row r="350" customFormat="false" ht="15" hidden="false" customHeight="true" outlineLevel="0" collapsed="false">
      <c r="A350" s="46" t="s">
        <v>1938</v>
      </c>
      <c r="B350" s="46" t="s">
        <v>1170</v>
      </c>
      <c r="C350" s="46" t="s">
        <v>1171</v>
      </c>
      <c r="D350" s="46" t="s">
        <v>1382</v>
      </c>
      <c r="E350" s="46" t="s">
        <v>1383</v>
      </c>
      <c r="F350" s="47" t="s">
        <v>1045</v>
      </c>
      <c r="G350" s="47" t="s">
        <v>1589</v>
      </c>
      <c r="H350" s="47" t="n">
        <v>36</v>
      </c>
      <c r="I350" s="47" t="n">
        <v>40</v>
      </c>
      <c r="J350" s="46" t="s">
        <v>62</v>
      </c>
    </row>
    <row r="351" customFormat="false" ht="15" hidden="false" customHeight="true" outlineLevel="0" collapsed="false">
      <c r="A351" s="46" t="s">
        <v>1939</v>
      </c>
      <c r="B351" s="46" t="s">
        <v>1170</v>
      </c>
      <c r="C351" s="46" t="s">
        <v>1171</v>
      </c>
      <c r="D351" s="46" t="s">
        <v>1326</v>
      </c>
      <c r="E351" s="46" t="s">
        <v>1327</v>
      </c>
      <c r="F351" s="47" t="s">
        <v>1045</v>
      </c>
      <c r="G351" s="47" t="s">
        <v>1589</v>
      </c>
      <c r="H351" s="47" t="n">
        <v>48</v>
      </c>
      <c r="I351" s="47" t="n">
        <v>43</v>
      </c>
      <c r="J351" s="46" t="s">
        <v>62</v>
      </c>
    </row>
    <row r="352" customFormat="false" ht="15" hidden="false" customHeight="true" outlineLevel="0" collapsed="false">
      <c r="A352" s="46" t="s">
        <v>1940</v>
      </c>
      <c r="B352" s="46" t="s">
        <v>1175</v>
      </c>
      <c r="C352" s="46" t="s">
        <v>1176</v>
      </c>
      <c r="D352" s="46" t="s">
        <v>1321</v>
      </c>
      <c r="E352" s="46" t="s">
        <v>1322</v>
      </c>
      <c r="F352" s="47" t="s">
        <v>768</v>
      </c>
      <c r="G352" s="47" t="s">
        <v>1589</v>
      </c>
      <c r="H352" s="47" t="n">
        <v>85</v>
      </c>
      <c r="I352" s="47" t="n">
        <v>85</v>
      </c>
      <c r="J352" s="46" t="s">
        <v>62</v>
      </c>
    </row>
    <row r="353" customFormat="false" ht="15" hidden="false" customHeight="true" outlineLevel="0" collapsed="false">
      <c r="A353" s="46" t="s">
        <v>1941</v>
      </c>
      <c r="B353" s="46" t="s">
        <v>1175</v>
      </c>
      <c r="C353" s="46" t="s">
        <v>1176</v>
      </c>
      <c r="D353" s="46" t="s">
        <v>1382</v>
      </c>
      <c r="E353" s="46" t="s">
        <v>1383</v>
      </c>
      <c r="F353" s="47" t="s">
        <v>768</v>
      </c>
      <c r="G353" s="47" t="s">
        <v>1589</v>
      </c>
      <c r="H353" s="47" t="n">
        <v>83</v>
      </c>
      <c r="I353" s="47" t="n">
        <v>83</v>
      </c>
      <c r="J353" s="46" t="s">
        <v>62</v>
      </c>
    </row>
    <row r="354" customFormat="false" ht="15" hidden="false" customHeight="true" outlineLevel="0" collapsed="false">
      <c r="A354" s="46" t="s">
        <v>1942</v>
      </c>
      <c r="B354" s="46" t="s">
        <v>1180</v>
      </c>
      <c r="C354" s="46" t="s">
        <v>1181</v>
      </c>
      <c r="D354" s="46" t="s">
        <v>1365</v>
      </c>
      <c r="E354" s="46" t="s">
        <v>1366</v>
      </c>
      <c r="F354" s="47" t="s">
        <v>1045</v>
      </c>
      <c r="G354" s="47" t="s">
        <v>1589</v>
      </c>
      <c r="H354" s="47" t="n">
        <v>68</v>
      </c>
      <c r="I354" s="47" t="n">
        <v>72</v>
      </c>
      <c r="J354" s="46" t="s">
        <v>62</v>
      </c>
    </row>
    <row r="355" customFormat="false" ht="15" hidden="false" customHeight="true" outlineLevel="0" collapsed="false">
      <c r="A355" s="46" t="s">
        <v>1943</v>
      </c>
      <c r="B355" s="46" t="s">
        <v>1180</v>
      </c>
      <c r="C355" s="46" t="s">
        <v>1181</v>
      </c>
      <c r="D355" s="46" t="s">
        <v>1401</v>
      </c>
      <c r="E355" s="46" t="s">
        <v>1402</v>
      </c>
      <c r="F355" s="47" t="s">
        <v>1045</v>
      </c>
      <c r="G355" s="47" t="s">
        <v>1589</v>
      </c>
      <c r="H355" s="47" t="n">
        <v>66</v>
      </c>
      <c r="I355" s="47" t="n">
        <v>70</v>
      </c>
      <c r="J355" s="46" t="s">
        <v>62</v>
      </c>
    </row>
    <row r="356" customFormat="false" ht="15" hidden="false" customHeight="true" outlineLevel="0" collapsed="false">
      <c r="A356" s="46" t="s">
        <v>1944</v>
      </c>
      <c r="B356" s="46" t="s">
        <v>1186</v>
      </c>
      <c r="C356" s="46" t="s">
        <v>1187</v>
      </c>
      <c r="D356" s="46" t="s">
        <v>1334</v>
      </c>
      <c r="E356" s="46" t="s">
        <v>1335</v>
      </c>
      <c r="F356" s="47" t="s">
        <v>75</v>
      </c>
      <c r="G356" s="47" t="s">
        <v>1589</v>
      </c>
      <c r="H356" s="47" t="n">
        <v>75</v>
      </c>
      <c r="I356" s="47" t="n">
        <v>71</v>
      </c>
      <c r="J356" s="46" t="s">
        <v>62</v>
      </c>
    </row>
    <row r="357" customFormat="false" ht="15" hidden="false" customHeight="true" outlineLevel="0" collapsed="false">
      <c r="A357" s="46" t="s">
        <v>1945</v>
      </c>
      <c r="B357" s="46" t="s">
        <v>1186</v>
      </c>
      <c r="C357" s="46" t="s">
        <v>1187</v>
      </c>
      <c r="D357" s="46" t="s">
        <v>1391</v>
      </c>
      <c r="E357" s="46" t="s">
        <v>1392</v>
      </c>
      <c r="F357" s="47" t="s">
        <v>75</v>
      </c>
      <c r="G357" s="47" t="s">
        <v>1589</v>
      </c>
      <c r="H357" s="47" t="n">
        <v>73</v>
      </c>
      <c r="I357" s="47" t="n">
        <v>73</v>
      </c>
      <c r="J357" s="46" t="s">
        <v>62</v>
      </c>
    </row>
    <row r="358" customFormat="false" ht="15" hidden="false" customHeight="true" outlineLevel="0" collapsed="false">
      <c r="A358" s="46" t="s">
        <v>1946</v>
      </c>
      <c r="B358" s="46" t="s">
        <v>1191</v>
      </c>
      <c r="C358" s="46" t="s">
        <v>1192</v>
      </c>
      <c r="D358" s="46" t="s">
        <v>1357</v>
      </c>
      <c r="E358" s="46" t="s">
        <v>1358</v>
      </c>
      <c r="F358" s="47" t="s">
        <v>1086</v>
      </c>
      <c r="G358" s="47" t="s">
        <v>1589</v>
      </c>
      <c r="H358" s="47" t="n">
        <v>83</v>
      </c>
      <c r="I358" s="47" t="n">
        <v>82</v>
      </c>
      <c r="J358" s="46" t="s">
        <v>62</v>
      </c>
    </row>
    <row r="359" customFormat="false" ht="15" hidden="false" customHeight="true" outlineLevel="0" collapsed="false">
      <c r="A359" s="46" t="s">
        <v>1947</v>
      </c>
      <c r="B359" s="46" t="s">
        <v>1191</v>
      </c>
      <c r="C359" s="46" t="s">
        <v>1192</v>
      </c>
      <c r="D359" s="46" t="s">
        <v>1401</v>
      </c>
      <c r="E359" s="46" t="s">
        <v>1402</v>
      </c>
      <c r="F359" s="47" t="s">
        <v>1086</v>
      </c>
      <c r="G359" s="47" t="s">
        <v>1589</v>
      </c>
      <c r="H359" s="47" t="n">
        <v>81</v>
      </c>
      <c r="I359" s="47" t="n">
        <v>84</v>
      </c>
      <c r="J359" s="46" t="s">
        <v>62</v>
      </c>
    </row>
    <row r="360" customFormat="false" ht="15" hidden="false" customHeight="true" outlineLevel="0" collapsed="false">
      <c r="A360" s="46" t="s">
        <v>1948</v>
      </c>
      <c r="B360" s="46" t="s">
        <v>1196</v>
      </c>
      <c r="C360" s="46" t="s">
        <v>1197</v>
      </c>
      <c r="D360" s="46" t="s">
        <v>1347</v>
      </c>
      <c r="E360" s="46" t="s">
        <v>1348</v>
      </c>
      <c r="F360" s="47" t="s">
        <v>768</v>
      </c>
      <c r="G360" s="47" t="s">
        <v>1589</v>
      </c>
      <c r="H360" s="47" t="n">
        <v>51</v>
      </c>
      <c r="I360" s="47" t="n">
        <v>55</v>
      </c>
      <c r="J360" s="46" t="s">
        <v>62</v>
      </c>
    </row>
    <row r="361" customFormat="false" ht="15" hidden="false" customHeight="true" outlineLevel="0" collapsed="false">
      <c r="A361" s="46" t="s">
        <v>1949</v>
      </c>
      <c r="B361" s="46" t="s">
        <v>1196</v>
      </c>
      <c r="C361" s="46" t="s">
        <v>1197</v>
      </c>
      <c r="D361" s="46" t="s">
        <v>1401</v>
      </c>
      <c r="E361" s="46" t="s">
        <v>1402</v>
      </c>
      <c r="F361" s="47" t="s">
        <v>768</v>
      </c>
      <c r="G361" s="47" t="s">
        <v>1589</v>
      </c>
      <c r="H361" s="47" t="n">
        <v>62</v>
      </c>
      <c r="I361" s="47" t="n">
        <v>57</v>
      </c>
      <c r="J361" s="46" t="s">
        <v>62</v>
      </c>
    </row>
    <row r="362" customFormat="false" ht="15" hidden="false" customHeight="true" outlineLevel="0" collapsed="false">
      <c r="A362" s="46" t="s">
        <v>1950</v>
      </c>
      <c r="B362" s="46" t="s">
        <v>1201</v>
      </c>
      <c r="C362" s="46" t="s">
        <v>1202</v>
      </c>
      <c r="D362" s="46" t="s">
        <v>1361</v>
      </c>
      <c r="E362" s="46" t="s">
        <v>1362</v>
      </c>
      <c r="F362" s="47" t="s">
        <v>1045</v>
      </c>
      <c r="G362" s="47" t="s">
        <v>1589</v>
      </c>
      <c r="H362" s="47" t="n">
        <v>73</v>
      </c>
      <c r="I362" s="47" t="n">
        <v>72</v>
      </c>
      <c r="J362" s="46" t="s">
        <v>62</v>
      </c>
    </row>
    <row r="363" customFormat="false" ht="15" hidden="false" customHeight="true" outlineLevel="0" collapsed="false">
      <c r="A363" s="46" t="s">
        <v>1951</v>
      </c>
      <c r="B363" s="46" t="s">
        <v>1201</v>
      </c>
      <c r="C363" s="46" t="s">
        <v>1202</v>
      </c>
      <c r="D363" s="46" t="s">
        <v>1401</v>
      </c>
      <c r="E363" s="46" t="s">
        <v>1402</v>
      </c>
      <c r="F363" s="47" t="s">
        <v>1045</v>
      </c>
      <c r="G363" s="47" t="s">
        <v>1589</v>
      </c>
      <c r="H363" s="47" t="n">
        <v>70</v>
      </c>
      <c r="I363" s="47" t="n">
        <v>70</v>
      </c>
      <c r="J363" s="46" t="s">
        <v>62</v>
      </c>
    </row>
    <row r="364" customFormat="false" ht="15" hidden="false" customHeight="true" outlineLevel="0" collapsed="false">
      <c r="A364" s="46" t="s">
        <v>1952</v>
      </c>
      <c r="B364" s="46" t="s">
        <v>1206</v>
      </c>
      <c r="C364" s="46" t="s">
        <v>1207</v>
      </c>
      <c r="D364" s="46" t="s">
        <v>1338</v>
      </c>
      <c r="E364" s="46" t="s">
        <v>1339</v>
      </c>
      <c r="F364" s="47" t="s">
        <v>75</v>
      </c>
      <c r="G364" s="47" t="s">
        <v>1589</v>
      </c>
      <c r="H364" s="47" t="n">
        <v>90</v>
      </c>
      <c r="I364" s="47" t="n">
        <v>92</v>
      </c>
      <c r="J364" s="46" t="s">
        <v>62</v>
      </c>
    </row>
    <row r="365" customFormat="false" ht="15" hidden="false" customHeight="true" outlineLevel="0" collapsed="false">
      <c r="A365" s="46" t="s">
        <v>1953</v>
      </c>
      <c r="B365" s="46" t="s">
        <v>1206</v>
      </c>
      <c r="C365" s="46" t="s">
        <v>1207</v>
      </c>
      <c r="D365" s="46" t="s">
        <v>1342</v>
      </c>
      <c r="E365" s="46" t="s">
        <v>1343</v>
      </c>
      <c r="F365" s="47" t="s">
        <v>75</v>
      </c>
      <c r="G365" s="47" t="s">
        <v>1589</v>
      </c>
      <c r="H365" s="47" t="n">
        <v>88</v>
      </c>
      <c r="I365" s="47" t="n">
        <v>90</v>
      </c>
      <c r="J365" s="46" t="s">
        <v>62</v>
      </c>
    </row>
    <row r="366" customFormat="false" ht="15" hidden="false" customHeight="true" outlineLevel="0" collapsed="false">
      <c r="A366" s="46" t="s">
        <v>1954</v>
      </c>
      <c r="B366" s="46" t="s">
        <v>1211</v>
      </c>
      <c r="C366" s="46" t="s">
        <v>1212</v>
      </c>
      <c r="D366" s="46" t="s">
        <v>1386</v>
      </c>
      <c r="E366" s="46" t="s">
        <v>1387</v>
      </c>
      <c r="F366" s="47" t="s">
        <v>1086</v>
      </c>
      <c r="G366" s="47" t="s">
        <v>1589</v>
      </c>
      <c r="H366" s="47" t="n">
        <v>61</v>
      </c>
      <c r="I366" s="47" t="n">
        <v>56</v>
      </c>
      <c r="J366" s="46" t="s">
        <v>62</v>
      </c>
    </row>
    <row r="367" customFormat="false" ht="15" hidden="false" customHeight="true" outlineLevel="0" collapsed="false">
      <c r="A367" s="46" t="s">
        <v>1955</v>
      </c>
      <c r="B367" s="46" t="s">
        <v>1211</v>
      </c>
      <c r="C367" s="46" t="s">
        <v>1212</v>
      </c>
      <c r="D367" s="46" t="s">
        <v>1373</v>
      </c>
      <c r="E367" s="46" t="s">
        <v>1374</v>
      </c>
      <c r="F367" s="47" t="s">
        <v>1086</v>
      </c>
      <c r="G367" s="47" t="s">
        <v>1589</v>
      </c>
      <c r="H367" s="47" t="n">
        <v>59</v>
      </c>
      <c r="I367" s="47" t="n">
        <v>58</v>
      </c>
      <c r="J367" s="46" t="s">
        <v>62</v>
      </c>
    </row>
    <row r="368" customFormat="false" ht="15" hidden="false" customHeight="true" outlineLevel="0" collapsed="false">
      <c r="A368" s="46" t="s">
        <v>1956</v>
      </c>
      <c r="B368" s="46" t="s">
        <v>1216</v>
      </c>
      <c r="C368" s="46" t="s">
        <v>1217</v>
      </c>
      <c r="D368" s="46" t="s">
        <v>1391</v>
      </c>
      <c r="E368" s="46" t="s">
        <v>1392</v>
      </c>
      <c r="F368" s="47" t="s">
        <v>768</v>
      </c>
      <c r="G368" s="47" t="s">
        <v>1633</v>
      </c>
      <c r="H368" s="47" t="n">
        <v>41</v>
      </c>
      <c r="I368" s="47" t="n">
        <v>40</v>
      </c>
      <c r="J368" s="46" t="s">
        <v>62</v>
      </c>
    </row>
    <row r="369" customFormat="false" ht="15" hidden="false" customHeight="true" outlineLevel="0" collapsed="false">
      <c r="A369" s="46" t="s">
        <v>1957</v>
      </c>
      <c r="B369" s="46" t="s">
        <v>1216</v>
      </c>
      <c r="C369" s="46" t="s">
        <v>1217</v>
      </c>
      <c r="D369" s="46" t="s">
        <v>1330</v>
      </c>
      <c r="E369" s="46" t="s">
        <v>1331</v>
      </c>
      <c r="F369" s="47" t="s">
        <v>768</v>
      </c>
      <c r="G369" s="47" t="s">
        <v>1589</v>
      </c>
      <c r="H369" s="47" t="n">
        <v>38</v>
      </c>
      <c r="I369" s="47" t="n">
        <v>42</v>
      </c>
      <c r="J369" s="46" t="s">
        <v>62</v>
      </c>
    </row>
    <row r="370" customFormat="false" ht="15" hidden="false" customHeight="true" outlineLevel="0" collapsed="false">
      <c r="A370" s="46" t="s">
        <v>1958</v>
      </c>
      <c r="B370" s="46" t="s">
        <v>1221</v>
      </c>
      <c r="C370" s="46" t="s">
        <v>1222</v>
      </c>
      <c r="D370" s="46" t="s">
        <v>1357</v>
      </c>
      <c r="E370" s="46" t="s">
        <v>1358</v>
      </c>
      <c r="F370" s="47" t="s">
        <v>75</v>
      </c>
      <c r="G370" s="47" t="s">
        <v>1589</v>
      </c>
      <c r="H370" s="47" t="n">
        <v>78</v>
      </c>
      <c r="I370" s="47" t="n">
        <v>81</v>
      </c>
      <c r="J370" s="46" t="s">
        <v>62</v>
      </c>
    </row>
    <row r="371" customFormat="false" ht="15" hidden="false" customHeight="true" outlineLevel="0" collapsed="false">
      <c r="A371" s="46" t="s">
        <v>1959</v>
      </c>
      <c r="B371" s="46" t="s">
        <v>1221</v>
      </c>
      <c r="C371" s="46" t="s">
        <v>1222</v>
      </c>
      <c r="D371" s="46" t="s">
        <v>1401</v>
      </c>
      <c r="E371" s="46" t="s">
        <v>1402</v>
      </c>
      <c r="F371" s="47" t="s">
        <v>75</v>
      </c>
      <c r="G371" s="47" t="s">
        <v>1589</v>
      </c>
      <c r="H371" s="47" t="n">
        <v>86</v>
      </c>
      <c r="I371" s="47" t="n">
        <v>82</v>
      </c>
      <c r="J371" s="46" t="s">
        <v>62</v>
      </c>
    </row>
    <row r="372" customFormat="false" ht="15" hidden="false" customHeight="true" outlineLevel="0" collapsed="false">
      <c r="A372" s="46" t="s">
        <v>1960</v>
      </c>
      <c r="B372" s="46" t="s">
        <v>1228</v>
      </c>
      <c r="C372" s="46" t="s">
        <v>1229</v>
      </c>
      <c r="D372" s="46" t="s">
        <v>1373</v>
      </c>
      <c r="E372" s="46" t="s">
        <v>1374</v>
      </c>
      <c r="F372" s="47" t="s">
        <v>1045</v>
      </c>
      <c r="G372" s="47" t="s">
        <v>1589</v>
      </c>
      <c r="H372" s="47" t="n">
        <v>84</v>
      </c>
      <c r="I372" s="47" t="n">
        <v>83</v>
      </c>
      <c r="J372" s="46" t="s">
        <v>62</v>
      </c>
    </row>
    <row r="373" customFormat="false" ht="15" hidden="false" customHeight="true" outlineLevel="0" collapsed="false">
      <c r="A373" s="46" t="s">
        <v>1961</v>
      </c>
      <c r="B373" s="46" t="s">
        <v>1228</v>
      </c>
      <c r="C373" s="46" t="s">
        <v>1229</v>
      </c>
      <c r="D373" s="46" t="s">
        <v>1378</v>
      </c>
      <c r="E373" s="46" t="s">
        <v>1379</v>
      </c>
      <c r="F373" s="47" t="s">
        <v>1045</v>
      </c>
      <c r="G373" s="47" t="s">
        <v>1589</v>
      </c>
      <c r="H373" s="47" t="n">
        <v>82</v>
      </c>
      <c r="I373" s="47" t="n">
        <v>82</v>
      </c>
      <c r="J373" s="46" t="s">
        <v>62</v>
      </c>
    </row>
    <row r="374" customFormat="false" ht="15" hidden="false" customHeight="true" outlineLevel="0" collapsed="false">
      <c r="A374" s="46" t="s">
        <v>1962</v>
      </c>
      <c r="B374" s="46" t="s">
        <v>1233</v>
      </c>
      <c r="C374" s="46" t="s">
        <v>1234</v>
      </c>
      <c r="D374" s="46" t="s">
        <v>1369</v>
      </c>
      <c r="E374" s="46" t="s">
        <v>1370</v>
      </c>
      <c r="F374" s="47" t="s">
        <v>1086</v>
      </c>
      <c r="G374" s="47" t="s">
        <v>1589</v>
      </c>
      <c r="H374" s="47" t="n">
        <v>67</v>
      </c>
      <c r="I374" s="47" t="n">
        <v>71</v>
      </c>
      <c r="J374" s="46" t="s">
        <v>62</v>
      </c>
    </row>
    <row r="375" customFormat="false" ht="15" hidden="false" customHeight="true" outlineLevel="0" collapsed="false">
      <c r="A375" s="46" t="s">
        <v>1963</v>
      </c>
      <c r="B375" s="46" t="s">
        <v>1233</v>
      </c>
      <c r="C375" s="46" t="s">
        <v>1234</v>
      </c>
      <c r="D375" s="46" t="s">
        <v>1401</v>
      </c>
      <c r="E375" s="46" t="s">
        <v>1402</v>
      </c>
      <c r="F375" s="47" t="s">
        <v>1086</v>
      </c>
      <c r="G375" s="47" t="s">
        <v>1589</v>
      </c>
      <c r="H375" s="47" t="n">
        <v>77</v>
      </c>
      <c r="I375" s="47" t="n">
        <v>72</v>
      </c>
      <c r="J375" s="46" t="s">
        <v>62</v>
      </c>
    </row>
    <row r="376" customFormat="false" ht="15" hidden="false" customHeight="true" outlineLevel="0" collapsed="false">
      <c r="A376" s="46" t="s">
        <v>1964</v>
      </c>
      <c r="B376" s="46" t="s">
        <v>1238</v>
      </c>
      <c r="C376" s="46" t="s">
        <v>1239</v>
      </c>
      <c r="D376" s="46" t="s">
        <v>1433</v>
      </c>
      <c r="E376" s="46" t="s">
        <v>1434</v>
      </c>
      <c r="F376" s="47" t="s">
        <v>1086</v>
      </c>
      <c r="G376" s="47" t="s">
        <v>1589</v>
      </c>
      <c r="H376" s="47" t="n">
        <v>86</v>
      </c>
      <c r="I376" s="47" t="n">
        <v>82</v>
      </c>
      <c r="J376" s="46" t="s">
        <v>62</v>
      </c>
    </row>
    <row r="377" customFormat="false" ht="15" hidden="false" customHeight="true" outlineLevel="0" collapsed="false">
      <c r="A377" s="46" t="s">
        <v>1965</v>
      </c>
      <c r="B377" s="46" t="s">
        <v>1238</v>
      </c>
      <c r="C377" s="46" t="s">
        <v>1239</v>
      </c>
      <c r="D377" s="46" t="s">
        <v>1405</v>
      </c>
      <c r="E377" s="46" t="s">
        <v>1406</v>
      </c>
      <c r="F377" s="47" t="s">
        <v>1086</v>
      </c>
      <c r="G377" s="47" t="s">
        <v>1589</v>
      </c>
      <c r="H377" s="47" t="n">
        <v>84</v>
      </c>
      <c r="I377" s="47" t="n">
        <v>83</v>
      </c>
      <c r="J377" s="46" t="s">
        <v>62</v>
      </c>
    </row>
    <row r="378" customFormat="false" ht="15" hidden="false" customHeight="true" outlineLevel="0" collapsed="false">
      <c r="A378" s="46" t="s">
        <v>1966</v>
      </c>
      <c r="B378" s="46" t="s">
        <v>1244</v>
      </c>
      <c r="C378" s="46" t="s">
        <v>1245</v>
      </c>
      <c r="D378" s="46" t="s">
        <v>1422</v>
      </c>
      <c r="E378" s="46" t="s">
        <v>1423</v>
      </c>
      <c r="F378" s="47" t="s">
        <v>1086</v>
      </c>
      <c r="G378" s="47" t="s">
        <v>1589</v>
      </c>
      <c r="H378" s="47" t="n">
        <v>69</v>
      </c>
      <c r="I378" s="47" t="n">
        <v>73</v>
      </c>
      <c r="J378" s="46" t="s">
        <v>62</v>
      </c>
    </row>
    <row r="379" customFormat="false" ht="15" hidden="false" customHeight="true" outlineLevel="0" collapsed="false">
      <c r="A379" s="46" t="s">
        <v>1967</v>
      </c>
      <c r="B379" s="46" t="s">
        <v>1244</v>
      </c>
      <c r="C379" s="46" t="s">
        <v>1245</v>
      </c>
      <c r="D379" s="46" t="s">
        <v>1426</v>
      </c>
      <c r="E379" s="46" t="s">
        <v>1427</v>
      </c>
      <c r="F379" s="47" t="s">
        <v>1086</v>
      </c>
      <c r="G379" s="47" t="s">
        <v>1589</v>
      </c>
      <c r="H379" s="47" t="n">
        <v>67</v>
      </c>
      <c r="I379" s="47" t="n">
        <v>71</v>
      </c>
      <c r="J379" s="46" t="s">
        <v>62</v>
      </c>
    </row>
    <row r="380" customFormat="false" ht="15" hidden="false" customHeight="true" outlineLevel="0" collapsed="false">
      <c r="A380" s="46" t="s">
        <v>1968</v>
      </c>
      <c r="B380" s="46" t="s">
        <v>1253</v>
      </c>
      <c r="C380" s="46" t="s">
        <v>1254</v>
      </c>
      <c r="D380" s="46" t="s">
        <v>1405</v>
      </c>
      <c r="E380" s="46" t="s">
        <v>1406</v>
      </c>
      <c r="F380" s="47" t="s">
        <v>1045</v>
      </c>
      <c r="G380" s="47" t="s">
        <v>1589</v>
      </c>
      <c r="H380" s="47" t="n">
        <v>88</v>
      </c>
      <c r="I380" s="47" t="n">
        <v>84</v>
      </c>
      <c r="J380" s="46" t="s">
        <v>62</v>
      </c>
    </row>
    <row r="381" customFormat="false" ht="15" hidden="false" customHeight="true" outlineLevel="0" collapsed="false">
      <c r="A381" s="46" t="s">
        <v>1969</v>
      </c>
      <c r="B381" s="46" t="s">
        <v>1253</v>
      </c>
      <c r="C381" s="46" t="s">
        <v>1254</v>
      </c>
      <c r="D381" s="46" t="s">
        <v>1411</v>
      </c>
      <c r="E381" s="46" t="s">
        <v>1412</v>
      </c>
      <c r="F381" s="47" t="s">
        <v>1045</v>
      </c>
      <c r="G381" s="47" t="s">
        <v>1589</v>
      </c>
      <c r="H381" s="47" t="n">
        <v>86</v>
      </c>
      <c r="I381" s="47" t="n">
        <v>82</v>
      </c>
      <c r="J381" s="46" t="s">
        <v>62</v>
      </c>
    </row>
    <row r="382" customFormat="false" ht="15" hidden="false" customHeight="true" outlineLevel="0" collapsed="false">
      <c r="A382" s="46" t="s">
        <v>1970</v>
      </c>
      <c r="B382" s="46" t="s">
        <v>1260</v>
      </c>
      <c r="C382" s="46" t="s">
        <v>1261</v>
      </c>
      <c r="D382" s="46" t="s">
        <v>1411</v>
      </c>
      <c r="E382" s="46" t="s">
        <v>1412</v>
      </c>
      <c r="F382" s="47" t="s">
        <v>1045</v>
      </c>
      <c r="G382" s="47" t="s">
        <v>1589</v>
      </c>
      <c r="H382" s="47" t="n">
        <v>71</v>
      </c>
      <c r="I382" s="47" t="n">
        <v>71</v>
      </c>
      <c r="J382" s="46" t="s">
        <v>62</v>
      </c>
    </row>
    <row r="383" customFormat="false" ht="15" hidden="false" customHeight="true" outlineLevel="0" collapsed="false">
      <c r="A383" s="46" t="s">
        <v>1971</v>
      </c>
      <c r="B383" s="46" t="s">
        <v>1260</v>
      </c>
      <c r="C383" s="46" t="s">
        <v>1261</v>
      </c>
      <c r="D383" s="46" t="s">
        <v>1414</v>
      </c>
      <c r="E383" s="46" t="s">
        <v>1415</v>
      </c>
      <c r="F383" s="47" t="s">
        <v>1045</v>
      </c>
      <c r="G383" s="47" t="s">
        <v>1589</v>
      </c>
      <c r="H383" s="47" t="n">
        <v>69</v>
      </c>
      <c r="I383" s="47" t="n">
        <v>73</v>
      </c>
      <c r="J383" s="46" t="s">
        <v>62</v>
      </c>
    </row>
    <row r="384" customFormat="false" ht="15" hidden="false" customHeight="true" outlineLevel="0" collapsed="false">
      <c r="A384" s="46" t="s">
        <v>1972</v>
      </c>
      <c r="B384" s="46" t="s">
        <v>1271</v>
      </c>
      <c r="C384" s="46" t="s">
        <v>1272</v>
      </c>
      <c r="D384" s="46" t="s">
        <v>1437</v>
      </c>
      <c r="E384" s="46" t="s">
        <v>1438</v>
      </c>
      <c r="F384" s="47" t="s">
        <v>1045</v>
      </c>
      <c r="G384" s="47" t="s">
        <v>1589</v>
      </c>
      <c r="H384" s="47" t="n">
        <v>79</v>
      </c>
      <c r="I384" s="47" t="n">
        <v>82</v>
      </c>
      <c r="J384" s="46" t="s">
        <v>62</v>
      </c>
    </row>
    <row r="385" customFormat="false" ht="15" hidden="false" customHeight="true" outlineLevel="0" collapsed="false">
      <c r="A385" s="46" t="s">
        <v>1973</v>
      </c>
      <c r="B385" s="46" t="s">
        <v>1271</v>
      </c>
      <c r="C385" s="46" t="s">
        <v>1272</v>
      </c>
      <c r="D385" s="46" t="s">
        <v>1418</v>
      </c>
      <c r="E385" s="46" t="s">
        <v>1419</v>
      </c>
      <c r="F385" s="47" t="s">
        <v>1045</v>
      </c>
      <c r="G385" s="47" t="s">
        <v>1589</v>
      </c>
      <c r="H385" s="47" t="n">
        <v>87</v>
      </c>
      <c r="I385" s="47" t="n">
        <v>84</v>
      </c>
      <c r="J385" s="46" t="s">
        <v>62</v>
      </c>
    </row>
    <row r="386" customFormat="false" ht="15" hidden="false" customHeight="true" outlineLevel="0" collapsed="false">
      <c r="A386" s="46" t="s">
        <v>1974</v>
      </c>
      <c r="B386" s="46" t="s">
        <v>1282</v>
      </c>
      <c r="C386" s="46" t="s">
        <v>1283</v>
      </c>
      <c r="D386" s="46" t="s">
        <v>1440</v>
      </c>
      <c r="E386" s="46" t="s">
        <v>1441</v>
      </c>
      <c r="F386" s="47" t="s">
        <v>1045</v>
      </c>
      <c r="G386" s="47" t="s">
        <v>1589</v>
      </c>
      <c r="H386" s="47" t="n">
        <v>94</v>
      </c>
      <c r="I386" s="47" t="n">
        <v>94</v>
      </c>
      <c r="J386" s="46" t="s">
        <v>62</v>
      </c>
    </row>
    <row r="387" customFormat="false" ht="15" hidden="false" customHeight="true" outlineLevel="0" collapsed="false">
      <c r="A387" s="46" t="s">
        <v>1975</v>
      </c>
      <c r="B387" s="46" t="s">
        <v>1282</v>
      </c>
      <c r="C387" s="46" t="s">
        <v>1283</v>
      </c>
      <c r="D387" s="46" t="s">
        <v>1443</v>
      </c>
      <c r="E387" s="46" t="s">
        <v>1444</v>
      </c>
      <c r="F387" s="47" t="s">
        <v>1045</v>
      </c>
      <c r="G387" s="47" t="s">
        <v>1589</v>
      </c>
      <c r="H387" s="47" t="n">
        <v>92</v>
      </c>
      <c r="I387" s="47" t="n">
        <v>92</v>
      </c>
      <c r="J387" s="46" t="s">
        <v>62</v>
      </c>
    </row>
    <row r="388" customFormat="false" ht="15" hidden="false" customHeight="true" outlineLevel="0" collapsed="false">
      <c r="A388" s="46" t="s">
        <v>1976</v>
      </c>
      <c r="B388" s="46" t="s">
        <v>1294</v>
      </c>
      <c r="C388" s="46" t="s">
        <v>1295</v>
      </c>
      <c r="D388" s="46" t="s">
        <v>1440</v>
      </c>
      <c r="E388" s="46" t="s">
        <v>1441</v>
      </c>
      <c r="F388" s="47" t="s">
        <v>768</v>
      </c>
      <c r="G388" s="47" t="s">
        <v>1589</v>
      </c>
      <c r="H388" s="47" t="n">
        <v>81</v>
      </c>
      <c r="I388" s="47" t="n">
        <v>84</v>
      </c>
      <c r="J388" s="46" t="s">
        <v>62</v>
      </c>
    </row>
    <row r="389" customFormat="false" ht="15" hidden="false" customHeight="true" outlineLevel="0" collapsed="false">
      <c r="A389" s="46" t="s">
        <v>1977</v>
      </c>
      <c r="B389" s="46" t="s">
        <v>1294</v>
      </c>
      <c r="C389" s="46" t="s">
        <v>1295</v>
      </c>
      <c r="D389" s="46" t="s">
        <v>1446</v>
      </c>
      <c r="E389" s="46" t="s">
        <v>1447</v>
      </c>
      <c r="F389" s="47" t="s">
        <v>768</v>
      </c>
      <c r="G389" s="47" t="s">
        <v>1589</v>
      </c>
      <c r="H389" s="47" t="n">
        <v>79</v>
      </c>
      <c r="I389" s="47" t="n">
        <v>82</v>
      </c>
      <c r="J389" s="46" t="s">
        <v>62</v>
      </c>
    </row>
    <row r="390" customFormat="false" ht="15" hidden="false" customHeight="true" outlineLevel="0" collapsed="false">
      <c r="A390" s="46" t="s">
        <v>1978</v>
      </c>
      <c r="B390" s="46" t="s">
        <v>1305</v>
      </c>
      <c r="C390" s="46" t="s">
        <v>1306</v>
      </c>
      <c r="D390" s="46" t="s">
        <v>1405</v>
      </c>
      <c r="E390" s="46" t="s">
        <v>1406</v>
      </c>
      <c r="F390" s="47" t="s">
        <v>1086</v>
      </c>
      <c r="G390" s="47" t="s">
        <v>1589</v>
      </c>
      <c r="H390" s="47" t="n">
        <v>63</v>
      </c>
      <c r="I390" s="47" t="n">
        <v>57</v>
      </c>
      <c r="J390" s="46" t="s">
        <v>62</v>
      </c>
    </row>
    <row r="391" customFormat="false" ht="15" hidden="false" customHeight="true" outlineLevel="0" collapsed="false">
      <c r="A391" s="46" t="s">
        <v>1979</v>
      </c>
      <c r="B391" s="46" t="s">
        <v>1305</v>
      </c>
      <c r="C391" s="46" t="s">
        <v>1306</v>
      </c>
      <c r="D391" s="46" t="s">
        <v>1426</v>
      </c>
      <c r="E391" s="46" t="s">
        <v>1427</v>
      </c>
      <c r="F391" s="47" t="s">
        <v>1086</v>
      </c>
      <c r="G391" s="47" t="s">
        <v>1589</v>
      </c>
      <c r="H391" s="47" t="n">
        <v>60</v>
      </c>
      <c r="I391" s="47" t="n">
        <v>60</v>
      </c>
      <c r="J391" s="46"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22"/>
    <col collapsed="false" customWidth="true" hidden="false" outlineLevel="0" max="9" min="4" style="1" width="10"/>
    <col collapsed="false" customWidth="true" hidden="false" outlineLevel="0" max="10" min="10" style="1" width="12"/>
  </cols>
  <sheetData>
    <row r="1" customFormat="false" ht="30" hidden="false" customHeight="true" outlineLevel="0" collapsed="false">
      <c r="A1" s="41" t="s">
        <v>1980</v>
      </c>
      <c r="B1" s="41" t="s">
        <v>0</v>
      </c>
      <c r="C1" s="41" t="s">
        <v>1583</v>
      </c>
      <c r="D1" s="41" t="s">
        <v>1313</v>
      </c>
      <c r="E1" s="41" t="s">
        <v>1981</v>
      </c>
      <c r="F1" s="41" t="s">
        <v>1982</v>
      </c>
      <c r="G1" s="41" t="s">
        <v>1983</v>
      </c>
      <c r="H1" s="41" t="s">
        <v>1984</v>
      </c>
      <c r="I1" s="41" t="s">
        <v>1985</v>
      </c>
      <c r="J1" s="41" t="s">
        <v>1986</v>
      </c>
      <c r="K1" s="41" t="s">
        <v>35</v>
      </c>
    </row>
    <row r="2" customFormat="false" ht="15" hidden="false" customHeight="true" outlineLevel="0" collapsed="false">
      <c r="A2" s="42" t="s">
        <v>1987</v>
      </c>
      <c r="B2" s="42" t="s">
        <v>40</v>
      </c>
      <c r="C2" s="42" t="s">
        <v>41</v>
      </c>
      <c r="D2" s="42" t="s">
        <v>1321</v>
      </c>
      <c r="E2" s="42" t="n">
        <v>85</v>
      </c>
      <c r="F2" s="42" t="n">
        <v>88</v>
      </c>
      <c r="G2" s="42" t="n">
        <v>82</v>
      </c>
      <c r="H2" s="42"/>
      <c r="I2" s="42"/>
      <c r="J2" s="42" t="s">
        <v>1988</v>
      </c>
      <c r="K2" s="42" t="s">
        <v>62</v>
      </c>
    </row>
    <row r="3" customFormat="false" ht="15" hidden="false" customHeight="true" outlineLevel="0" collapsed="false">
      <c r="A3" s="43" t="s">
        <v>1989</v>
      </c>
      <c r="B3" s="43" t="s">
        <v>40</v>
      </c>
      <c r="C3" s="43" t="s">
        <v>41</v>
      </c>
      <c r="D3" s="43" t="s">
        <v>1326</v>
      </c>
      <c r="E3" s="43" t="n">
        <v>90</v>
      </c>
      <c r="F3" s="43" t="n">
        <v>87</v>
      </c>
      <c r="G3" s="43" t="n">
        <v>88</v>
      </c>
      <c r="H3" s="43"/>
      <c r="I3" s="43"/>
      <c r="J3" s="43" t="s">
        <v>1988</v>
      </c>
      <c r="K3" s="43" t="s">
        <v>62</v>
      </c>
    </row>
    <row r="4" customFormat="false" ht="15" hidden="false" customHeight="true" outlineLevel="0" collapsed="false">
      <c r="A4" s="42" t="s">
        <v>1990</v>
      </c>
      <c r="B4" s="42" t="s">
        <v>40</v>
      </c>
      <c r="C4" s="42" t="s">
        <v>41</v>
      </c>
      <c r="D4" s="42" t="s">
        <v>1373</v>
      </c>
      <c r="E4" s="42" t="n">
        <v>78</v>
      </c>
      <c r="F4" s="42" t="n">
        <v>80</v>
      </c>
      <c r="G4" s="42" t="n">
        <v>75</v>
      </c>
      <c r="H4" s="42"/>
      <c r="I4" s="42"/>
      <c r="J4" s="42" t="s">
        <v>1988</v>
      </c>
      <c r="K4" s="42" t="s">
        <v>62</v>
      </c>
    </row>
    <row r="5" customFormat="false" ht="15" hidden="false" customHeight="true" outlineLevel="0" collapsed="false">
      <c r="A5" s="43" t="s">
        <v>1991</v>
      </c>
      <c r="B5" s="43" t="s">
        <v>40</v>
      </c>
      <c r="C5" s="43" t="s">
        <v>41</v>
      </c>
      <c r="D5" s="43" t="s">
        <v>1401</v>
      </c>
      <c r="E5" s="43" t="n">
        <v>92</v>
      </c>
      <c r="F5" s="43" t="n">
        <v>91</v>
      </c>
      <c r="G5" s="43" t="n">
        <v>90</v>
      </c>
      <c r="H5" s="43"/>
      <c r="I5" s="43"/>
      <c r="J5" s="43" t="s">
        <v>1992</v>
      </c>
      <c r="K5" s="43" t="s">
        <v>62</v>
      </c>
    </row>
    <row r="6" customFormat="false" ht="15" hidden="false" customHeight="true" outlineLevel="0" collapsed="false">
      <c r="A6" s="42" t="s">
        <v>1993</v>
      </c>
      <c r="B6" s="42" t="s">
        <v>96</v>
      </c>
      <c r="C6" s="42" t="s">
        <v>97</v>
      </c>
      <c r="D6" s="42" t="s">
        <v>1357</v>
      </c>
      <c r="E6" s="42" t="n">
        <v>94</v>
      </c>
      <c r="F6" s="42" t="n">
        <v>93</v>
      </c>
      <c r="G6" s="42" t="n">
        <v>91</v>
      </c>
      <c r="H6" s="42" t="n">
        <v>95</v>
      </c>
      <c r="I6" s="42" t="n">
        <v>93</v>
      </c>
      <c r="J6" s="42" t="s">
        <v>1992</v>
      </c>
      <c r="K6" s="42" t="s">
        <v>62</v>
      </c>
    </row>
    <row r="7" customFormat="false" ht="15" hidden="false" customHeight="true" outlineLevel="0" collapsed="false">
      <c r="A7" s="43" t="s">
        <v>1994</v>
      </c>
      <c r="B7" s="43" t="s">
        <v>96</v>
      </c>
      <c r="C7" s="43" t="s">
        <v>97</v>
      </c>
      <c r="D7" s="43" t="s">
        <v>1352</v>
      </c>
      <c r="E7" s="43" t="n">
        <v>91</v>
      </c>
      <c r="F7" s="43" t="n">
        <v>90</v>
      </c>
      <c r="G7" s="43" t="n">
        <v>88</v>
      </c>
      <c r="H7" s="43" t="n">
        <v>91</v>
      </c>
      <c r="I7" s="43" t="n">
        <v>90</v>
      </c>
      <c r="J7" s="43" t="s">
        <v>1992</v>
      </c>
      <c r="K7" s="43" t="s">
        <v>62</v>
      </c>
    </row>
    <row r="8" customFormat="false" ht="15" hidden="false" customHeight="true" outlineLevel="0" collapsed="false">
      <c r="A8" s="42" t="s">
        <v>1995</v>
      </c>
      <c r="B8" s="42" t="s">
        <v>111</v>
      </c>
      <c r="C8" s="42" t="s">
        <v>112</v>
      </c>
      <c r="D8" s="42" t="s">
        <v>1373</v>
      </c>
      <c r="E8" s="42" t="n">
        <v>52</v>
      </c>
      <c r="F8" s="42" t="n">
        <v>55</v>
      </c>
      <c r="G8" s="42" t="n">
        <v>48</v>
      </c>
      <c r="H8" s="42"/>
      <c r="I8" s="42"/>
      <c r="J8" s="42" t="s">
        <v>1996</v>
      </c>
      <c r="K8" s="42" t="s">
        <v>62</v>
      </c>
    </row>
    <row r="9" customFormat="false" ht="15" hidden="false" customHeight="true" outlineLevel="0" collapsed="false">
      <c r="A9" s="43" t="s">
        <v>1997</v>
      </c>
      <c r="B9" s="43" t="s">
        <v>213</v>
      </c>
      <c r="C9" s="43" t="s">
        <v>214</v>
      </c>
      <c r="D9" s="43" t="s">
        <v>1321</v>
      </c>
      <c r="E9" s="43" t="n">
        <v>97</v>
      </c>
      <c r="F9" s="43" t="n">
        <v>96</v>
      </c>
      <c r="G9" s="43" t="n">
        <v>95</v>
      </c>
      <c r="H9" s="43"/>
      <c r="I9" s="43"/>
      <c r="J9" s="43" t="s">
        <v>1992</v>
      </c>
      <c r="K9" s="43" t="s">
        <v>62</v>
      </c>
    </row>
    <row r="10" customFormat="false" ht="15" hidden="false" customHeight="true" outlineLevel="0" collapsed="false">
      <c r="A10" s="42" t="s">
        <v>1998</v>
      </c>
      <c r="B10" s="42" t="s">
        <v>188</v>
      </c>
      <c r="C10" s="42" t="s">
        <v>189</v>
      </c>
      <c r="D10" s="42" t="s">
        <v>1352</v>
      </c>
      <c r="E10" s="42" t="n">
        <v>48</v>
      </c>
      <c r="F10" s="42" t="n">
        <v>46</v>
      </c>
      <c r="G10" s="42" t="n">
        <v>45</v>
      </c>
      <c r="H10" s="42"/>
      <c r="I10" s="42"/>
      <c r="J10" s="42" t="s">
        <v>1999</v>
      </c>
      <c r="K10" s="42" t="s">
        <v>62</v>
      </c>
    </row>
    <row r="11" customFormat="false" ht="15" hidden="false" customHeight="true" outlineLevel="0" collapsed="false">
      <c r="A11" s="43" t="s">
        <v>2000</v>
      </c>
      <c r="B11" s="43" t="s">
        <v>231</v>
      </c>
      <c r="C11" s="43" t="s">
        <v>232</v>
      </c>
      <c r="D11" s="43" t="s">
        <v>1347</v>
      </c>
      <c r="E11" s="43" t="n">
        <v>86</v>
      </c>
      <c r="F11" s="43" t="n">
        <v>85</v>
      </c>
      <c r="G11" s="43" t="n">
        <v>84</v>
      </c>
      <c r="H11" s="43"/>
      <c r="I11" s="43"/>
      <c r="J11" s="43" t="s">
        <v>1988</v>
      </c>
      <c r="K11" s="43" t="s">
        <v>62</v>
      </c>
    </row>
    <row r="12" customFormat="false" ht="15" hidden="false" customHeight="true" outlineLevel="0" collapsed="false">
      <c r="A12" s="42" t="s">
        <v>2001</v>
      </c>
      <c r="B12" s="42" t="s">
        <v>198</v>
      </c>
      <c r="C12" s="42" t="s">
        <v>199</v>
      </c>
      <c r="D12" s="42" t="s">
        <v>1369</v>
      </c>
      <c r="E12" s="42" t="n">
        <v>91</v>
      </c>
      <c r="F12" s="42" t="n">
        <v>90</v>
      </c>
      <c r="G12" s="42" t="n">
        <v>89</v>
      </c>
      <c r="H12" s="42"/>
      <c r="I12" s="42"/>
      <c r="J12" s="42" t="s">
        <v>1992</v>
      </c>
      <c r="K12" s="42" t="s">
        <v>62</v>
      </c>
    </row>
    <row r="13" customFormat="false" ht="15" hidden="false" customHeight="true" outlineLevel="0" collapsed="false">
      <c r="A13" s="43" t="s">
        <v>2002</v>
      </c>
      <c r="B13" s="43" t="s">
        <v>242</v>
      </c>
      <c r="C13" s="43" t="s">
        <v>243</v>
      </c>
      <c r="D13" s="43" t="s">
        <v>1352</v>
      </c>
      <c r="E13" s="43" t="n">
        <v>93</v>
      </c>
      <c r="F13" s="43" t="n">
        <v>92</v>
      </c>
      <c r="G13" s="43" t="n">
        <v>90</v>
      </c>
      <c r="H13" s="43" t="n">
        <v>94</v>
      </c>
      <c r="I13" s="43" t="n">
        <v>93</v>
      </c>
      <c r="J13" s="43" t="s">
        <v>1992</v>
      </c>
      <c r="K13" s="43" t="s">
        <v>62</v>
      </c>
    </row>
    <row r="14" customFormat="false" ht="15" hidden="false" customHeight="true" outlineLevel="0" collapsed="false">
      <c r="A14" s="42" t="s">
        <v>2003</v>
      </c>
      <c r="B14" s="42" t="s">
        <v>258</v>
      </c>
      <c r="C14" s="42" t="s">
        <v>259</v>
      </c>
      <c r="D14" s="42" t="s">
        <v>1398</v>
      </c>
      <c r="E14" s="42" t="n">
        <v>88</v>
      </c>
      <c r="F14" s="42" t="n">
        <v>85</v>
      </c>
      <c r="G14" s="42" t="n">
        <v>84</v>
      </c>
      <c r="H14" s="42"/>
      <c r="I14" s="42"/>
      <c r="J14" s="42" t="s">
        <v>1988</v>
      </c>
      <c r="K14" s="42" t="s">
        <v>62</v>
      </c>
    </row>
    <row r="15" customFormat="false" ht="15" hidden="false" customHeight="true" outlineLevel="0" collapsed="false">
      <c r="A15" s="43" t="s">
        <v>2004</v>
      </c>
      <c r="B15" s="43" t="s">
        <v>258</v>
      </c>
      <c r="C15" s="43" t="s">
        <v>259</v>
      </c>
      <c r="D15" s="43" t="s">
        <v>1382</v>
      </c>
      <c r="E15" s="43" t="n">
        <v>80</v>
      </c>
      <c r="F15" s="43" t="n">
        <v>79</v>
      </c>
      <c r="G15" s="43" t="n">
        <v>78</v>
      </c>
      <c r="H15" s="43"/>
      <c r="I15" s="43"/>
      <c r="J15" s="43" t="s">
        <v>1988</v>
      </c>
      <c r="K15" s="43" t="s">
        <v>62</v>
      </c>
    </row>
    <row r="16" customFormat="false" ht="15" hidden="false" customHeight="true" outlineLevel="0" collapsed="false">
      <c r="A16" s="42" t="s">
        <v>2005</v>
      </c>
      <c r="B16" s="42" t="s">
        <v>258</v>
      </c>
      <c r="C16" s="42" t="s">
        <v>259</v>
      </c>
      <c r="D16" s="42" t="s">
        <v>1373</v>
      </c>
      <c r="E16" s="42" t="n">
        <v>83</v>
      </c>
      <c r="F16" s="42" t="n">
        <v>82</v>
      </c>
      <c r="G16" s="42" t="n">
        <v>81</v>
      </c>
      <c r="H16" s="42"/>
      <c r="I16" s="42"/>
      <c r="J16" s="42" t="s">
        <v>1988</v>
      </c>
      <c r="K16" s="42" t="s">
        <v>62</v>
      </c>
    </row>
    <row r="17" customFormat="false" ht="15" hidden="false" customHeight="true" outlineLevel="0" collapsed="false">
      <c r="A17" s="43" t="s">
        <v>2006</v>
      </c>
      <c r="B17" s="43" t="s">
        <v>258</v>
      </c>
      <c r="C17" s="43" t="s">
        <v>259</v>
      </c>
      <c r="D17" s="43" t="s">
        <v>1401</v>
      </c>
      <c r="E17" s="43" t="n">
        <v>89</v>
      </c>
      <c r="F17" s="43" t="n">
        <v>88</v>
      </c>
      <c r="G17" s="43" t="n">
        <v>87</v>
      </c>
      <c r="H17" s="43"/>
      <c r="I17" s="43"/>
      <c r="J17" s="43" t="s">
        <v>1988</v>
      </c>
      <c r="K17" s="43" t="s">
        <v>62</v>
      </c>
    </row>
    <row r="18" customFormat="false" ht="15" hidden="false" customHeight="true" outlineLevel="0" collapsed="false">
      <c r="A18" s="1" t="s">
        <v>2007</v>
      </c>
      <c r="B18" s="1" t="s">
        <v>264</v>
      </c>
      <c r="C18" s="1" t="s">
        <v>265</v>
      </c>
      <c r="D18" s="1" t="s">
        <v>1433</v>
      </c>
      <c r="E18" s="1" t="n">
        <v>83</v>
      </c>
      <c r="F18" s="1" t="n">
        <v>85</v>
      </c>
      <c r="G18" s="1" t="n">
        <v>81</v>
      </c>
      <c r="J18" s="1" t="s">
        <v>1988</v>
      </c>
      <c r="K18" s="1" t="s">
        <v>62</v>
      </c>
    </row>
    <row r="19" customFormat="false" ht="15" hidden="false" customHeight="true" outlineLevel="0" collapsed="false">
      <c r="A19" s="1" t="s">
        <v>2008</v>
      </c>
      <c r="B19" s="1" t="s">
        <v>264</v>
      </c>
      <c r="C19" s="1" t="s">
        <v>265</v>
      </c>
      <c r="D19" s="1" t="s">
        <v>1411</v>
      </c>
      <c r="E19" s="1" t="n">
        <v>80</v>
      </c>
      <c r="F19" s="1" t="n">
        <v>82</v>
      </c>
      <c r="G19" s="1" t="n">
        <v>78</v>
      </c>
      <c r="J19" s="1" t="s">
        <v>1988</v>
      </c>
      <c r="K19" s="1" t="s">
        <v>62</v>
      </c>
    </row>
    <row r="20" customFormat="false" ht="15" hidden="false" customHeight="true" outlineLevel="0" collapsed="false">
      <c r="A20" s="1" t="s">
        <v>2009</v>
      </c>
      <c r="B20" s="1" t="s">
        <v>264</v>
      </c>
      <c r="C20" s="1" t="s">
        <v>265</v>
      </c>
      <c r="D20" s="1" t="s">
        <v>1414</v>
      </c>
      <c r="E20" s="1" t="n">
        <v>88</v>
      </c>
      <c r="F20" s="1" t="n">
        <v>87</v>
      </c>
      <c r="G20" s="1" t="n">
        <v>85</v>
      </c>
      <c r="J20" s="1" t="s">
        <v>1988</v>
      </c>
      <c r="K20" s="1" t="s">
        <v>62</v>
      </c>
    </row>
    <row r="21" customFormat="false" ht="15" hidden="false" customHeight="true" outlineLevel="0" collapsed="false">
      <c r="A21" s="1" t="s">
        <v>2010</v>
      </c>
      <c r="B21" s="1" t="s">
        <v>281</v>
      </c>
      <c r="C21" s="1" t="s">
        <v>282</v>
      </c>
      <c r="D21" s="1" t="s">
        <v>1422</v>
      </c>
      <c r="E21" s="1" t="n">
        <v>76</v>
      </c>
      <c r="F21" s="1" t="n">
        <v>78</v>
      </c>
      <c r="G21" s="1" t="n">
        <v>74</v>
      </c>
      <c r="J21" s="1" t="s">
        <v>1988</v>
      </c>
      <c r="K21" s="1" t="s">
        <v>62</v>
      </c>
    </row>
    <row r="22" customFormat="false" ht="15" hidden="false" customHeight="true" outlineLevel="0" collapsed="false">
      <c r="A22" s="1" t="s">
        <v>2011</v>
      </c>
      <c r="B22" s="1" t="s">
        <v>281</v>
      </c>
      <c r="C22" s="1" t="s">
        <v>282</v>
      </c>
      <c r="D22" s="1" t="s">
        <v>1426</v>
      </c>
      <c r="E22" s="1" t="n">
        <v>72</v>
      </c>
      <c r="F22" s="1" t="n">
        <v>75</v>
      </c>
      <c r="G22" s="1" t="n">
        <v>70</v>
      </c>
      <c r="J22" s="1" t="s">
        <v>2012</v>
      </c>
      <c r="K22" s="1" t="s">
        <v>62</v>
      </c>
    </row>
    <row r="23" customFormat="false" ht="15" hidden="false" customHeight="true" outlineLevel="0" collapsed="false">
      <c r="A23" s="1" t="s">
        <v>2013</v>
      </c>
      <c r="B23" s="1" t="s">
        <v>281</v>
      </c>
      <c r="C23" s="1" t="s">
        <v>282</v>
      </c>
      <c r="D23" s="1" t="s">
        <v>1429</v>
      </c>
      <c r="E23" s="1" t="n">
        <v>79</v>
      </c>
      <c r="F23" s="1" t="n">
        <v>80</v>
      </c>
      <c r="G23" s="1" t="n">
        <v>77</v>
      </c>
      <c r="J23" s="1" t="s">
        <v>1988</v>
      </c>
      <c r="K23" s="1" t="s">
        <v>62</v>
      </c>
    </row>
    <row r="24" customFormat="false" ht="15" hidden="false" customHeight="true" outlineLevel="0" collapsed="false">
      <c r="A24" s="1" t="s">
        <v>2014</v>
      </c>
      <c r="B24" s="1" t="s">
        <v>309</v>
      </c>
      <c r="C24" s="1" t="s">
        <v>310</v>
      </c>
      <c r="D24" s="1" t="s">
        <v>1437</v>
      </c>
      <c r="E24" s="1" t="n">
        <v>58</v>
      </c>
      <c r="F24" s="1" t="n">
        <v>60</v>
      </c>
      <c r="G24" s="1" t="n">
        <v>55</v>
      </c>
      <c r="J24" s="1" t="s">
        <v>1996</v>
      </c>
      <c r="K24" s="1" t="s">
        <v>62</v>
      </c>
    </row>
    <row r="25" customFormat="false" ht="15" hidden="false" customHeight="true" outlineLevel="0" collapsed="false">
      <c r="A25" s="1" t="s">
        <v>2015</v>
      </c>
      <c r="B25" s="1" t="s">
        <v>309</v>
      </c>
      <c r="C25" s="1" t="s">
        <v>310</v>
      </c>
      <c r="D25" s="1" t="s">
        <v>1405</v>
      </c>
      <c r="E25" s="1" t="n">
        <v>62</v>
      </c>
      <c r="F25" s="1" t="n">
        <v>63</v>
      </c>
      <c r="G25" s="1" t="n">
        <v>60</v>
      </c>
      <c r="J25" s="1" t="s">
        <v>1996</v>
      </c>
      <c r="K25" s="1" t="s">
        <v>62</v>
      </c>
    </row>
    <row r="26" customFormat="false" ht="15" hidden="false" customHeight="true" outlineLevel="0" collapsed="false">
      <c r="A26" s="1" t="s">
        <v>2016</v>
      </c>
      <c r="B26" s="1" t="s">
        <v>319</v>
      </c>
      <c r="C26" s="1" t="s">
        <v>320</v>
      </c>
      <c r="D26" s="1" t="s">
        <v>1411</v>
      </c>
      <c r="E26" s="1" t="n">
        <v>82</v>
      </c>
      <c r="F26" s="1" t="n">
        <v>84</v>
      </c>
      <c r="G26" s="1" t="n">
        <v>80</v>
      </c>
      <c r="J26" s="1" t="s">
        <v>1988</v>
      </c>
      <c r="K26" s="1" t="s">
        <v>62</v>
      </c>
    </row>
    <row r="27" customFormat="false" ht="15" hidden="false" customHeight="true" outlineLevel="0" collapsed="false">
      <c r="A27" s="1" t="s">
        <v>2017</v>
      </c>
      <c r="B27" s="1" t="s">
        <v>319</v>
      </c>
      <c r="C27" s="1" t="s">
        <v>320</v>
      </c>
      <c r="D27" s="1" t="s">
        <v>1414</v>
      </c>
      <c r="E27" s="1" t="n">
        <v>85</v>
      </c>
      <c r="F27" s="1" t="n">
        <v>86</v>
      </c>
      <c r="G27" s="1" t="n">
        <v>84</v>
      </c>
      <c r="J27" s="1" t="s">
        <v>1988</v>
      </c>
      <c r="K27" s="1" t="s">
        <v>62</v>
      </c>
    </row>
    <row r="28" customFormat="false" ht="15" hidden="false" customHeight="true" outlineLevel="0" collapsed="false">
      <c r="A28" s="1" t="s">
        <v>2018</v>
      </c>
      <c r="B28" s="1" t="s">
        <v>328</v>
      </c>
      <c r="C28" s="1" t="s">
        <v>329</v>
      </c>
      <c r="D28" s="1" t="s">
        <v>1422</v>
      </c>
      <c r="E28" s="1" t="n">
        <v>73</v>
      </c>
      <c r="F28" s="1" t="n">
        <v>75</v>
      </c>
      <c r="G28" s="1" t="n">
        <v>71</v>
      </c>
      <c r="J28" s="1" t="s">
        <v>1988</v>
      </c>
      <c r="K28" s="1" t="s">
        <v>62</v>
      </c>
    </row>
    <row r="29" customFormat="false" ht="15" hidden="false" customHeight="true" outlineLevel="0" collapsed="false">
      <c r="A29" s="1" t="s">
        <v>2019</v>
      </c>
      <c r="B29" s="1" t="s">
        <v>328</v>
      </c>
      <c r="C29" s="1" t="s">
        <v>329</v>
      </c>
      <c r="D29" s="1" t="s">
        <v>1426</v>
      </c>
      <c r="E29" s="1" t="n">
        <v>70</v>
      </c>
      <c r="F29" s="1" t="n">
        <v>72</v>
      </c>
      <c r="G29" s="1" t="n">
        <v>68</v>
      </c>
      <c r="J29" s="1" t="s">
        <v>2012</v>
      </c>
      <c r="K29" s="1" t="s">
        <v>62</v>
      </c>
    </row>
    <row r="30" customFormat="false" ht="15" hidden="false" customHeight="true" outlineLevel="0" collapsed="false">
      <c r="A30" s="1" t="s">
        <v>2020</v>
      </c>
      <c r="B30" s="1" t="s">
        <v>328</v>
      </c>
      <c r="C30" s="1" t="s">
        <v>329</v>
      </c>
      <c r="D30" s="1" t="s">
        <v>1429</v>
      </c>
      <c r="E30" s="1" t="n">
        <v>77</v>
      </c>
      <c r="F30" s="1" t="n">
        <v>78</v>
      </c>
      <c r="G30" s="1" t="n">
        <v>75</v>
      </c>
      <c r="J30" s="1" t="s">
        <v>1988</v>
      </c>
      <c r="K30" s="1" t="s">
        <v>62</v>
      </c>
    </row>
    <row r="31" customFormat="false" ht="15" hidden="false" customHeight="true" outlineLevel="0" collapsed="false">
      <c r="A31" s="1" t="s">
        <v>2021</v>
      </c>
      <c r="B31" s="1" t="s">
        <v>337</v>
      </c>
      <c r="C31" s="1" t="s">
        <v>338</v>
      </c>
      <c r="D31" s="1" t="s">
        <v>1411</v>
      </c>
      <c r="E31" s="1" t="n">
        <v>90</v>
      </c>
      <c r="F31" s="1" t="n">
        <v>92</v>
      </c>
      <c r="G31" s="1" t="n">
        <v>88</v>
      </c>
      <c r="J31" s="1" t="s">
        <v>1992</v>
      </c>
      <c r="K31" s="1" t="s">
        <v>62</v>
      </c>
    </row>
    <row r="32" customFormat="false" ht="15" hidden="false" customHeight="true" outlineLevel="0" collapsed="false">
      <c r="A32" s="1" t="s">
        <v>2022</v>
      </c>
      <c r="B32" s="1" t="s">
        <v>337</v>
      </c>
      <c r="C32" s="1" t="s">
        <v>338</v>
      </c>
      <c r="D32" s="1" t="s">
        <v>1414</v>
      </c>
      <c r="E32" s="1" t="n">
        <v>92</v>
      </c>
      <c r="F32" s="1" t="n">
        <v>93</v>
      </c>
      <c r="G32" s="1" t="n">
        <v>91</v>
      </c>
      <c r="J32" s="1" t="s">
        <v>1992</v>
      </c>
      <c r="K32" s="1" t="s">
        <v>62</v>
      </c>
    </row>
    <row r="33" customFormat="false" ht="15" hidden="false" customHeight="true" outlineLevel="0" collapsed="false">
      <c r="A33" s="1" t="s">
        <v>2023</v>
      </c>
      <c r="B33" s="1" t="s">
        <v>354</v>
      </c>
      <c r="C33" s="1" t="s">
        <v>355</v>
      </c>
      <c r="D33" s="1" t="s">
        <v>1414</v>
      </c>
      <c r="E33" s="1" t="n">
        <v>80</v>
      </c>
      <c r="F33" s="1" t="n">
        <v>82</v>
      </c>
      <c r="G33" s="1" t="n">
        <v>78</v>
      </c>
      <c r="J33" s="1" t="s">
        <v>1988</v>
      </c>
      <c r="K33" s="1" t="s">
        <v>62</v>
      </c>
    </row>
    <row r="34" customFormat="false" ht="15" hidden="false" customHeight="true" outlineLevel="0" collapsed="false">
      <c r="A34" s="1" t="s">
        <v>2024</v>
      </c>
      <c r="B34" s="1" t="s">
        <v>370</v>
      </c>
      <c r="C34" s="1" t="s">
        <v>371</v>
      </c>
      <c r="D34" s="1" t="s">
        <v>1411</v>
      </c>
      <c r="E34" s="1" t="n">
        <v>84</v>
      </c>
      <c r="F34" s="1" t="n">
        <v>86</v>
      </c>
      <c r="G34" s="1" t="n">
        <v>82</v>
      </c>
      <c r="J34" s="1" t="s">
        <v>1988</v>
      </c>
      <c r="K34" s="1" t="s">
        <v>62</v>
      </c>
    </row>
    <row r="35" customFormat="false" ht="15" hidden="false" customHeight="true" outlineLevel="0" collapsed="false">
      <c r="A35" s="1" t="s">
        <v>2025</v>
      </c>
      <c r="B35" s="1" t="s">
        <v>370</v>
      </c>
      <c r="C35" s="1" t="s">
        <v>371</v>
      </c>
      <c r="D35" s="1" t="s">
        <v>1414</v>
      </c>
      <c r="E35" s="1" t="n">
        <v>81</v>
      </c>
      <c r="F35" s="1" t="n">
        <v>83</v>
      </c>
      <c r="G35" s="1" t="n">
        <v>79</v>
      </c>
      <c r="J35" s="1" t="s">
        <v>1988</v>
      </c>
      <c r="K35" s="1" t="s">
        <v>62</v>
      </c>
    </row>
    <row r="36" customFormat="false" ht="15" hidden="false" customHeight="true" outlineLevel="0" collapsed="false">
      <c r="A36" s="1" t="s">
        <v>2026</v>
      </c>
      <c r="B36" s="1" t="s">
        <v>412</v>
      </c>
      <c r="C36" s="1" t="s">
        <v>413</v>
      </c>
      <c r="D36" s="1" t="s">
        <v>1405</v>
      </c>
      <c r="E36" s="1" t="n">
        <v>78</v>
      </c>
      <c r="F36" s="1" t="n">
        <v>80</v>
      </c>
      <c r="G36" s="1" t="n">
        <v>76</v>
      </c>
      <c r="J36" s="1" t="s">
        <v>1988</v>
      </c>
      <c r="K36" s="1" t="s">
        <v>62</v>
      </c>
    </row>
    <row r="37" customFormat="false" ht="15" hidden="false" customHeight="true" outlineLevel="0" collapsed="false">
      <c r="A37" s="1" t="s">
        <v>2027</v>
      </c>
      <c r="B37" s="1" t="s">
        <v>412</v>
      </c>
      <c r="C37" s="1" t="s">
        <v>413</v>
      </c>
      <c r="D37" s="1" t="s">
        <v>1414</v>
      </c>
      <c r="E37" s="1" t="n">
        <v>74</v>
      </c>
      <c r="F37" s="1" t="n">
        <v>76</v>
      </c>
      <c r="G37" s="1" t="n">
        <v>72</v>
      </c>
      <c r="J37" s="1" t="s">
        <v>1988</v>
      </c>
      <c r="K37" s="1" t="s">
        <v>62</v>
      </c>
    </row>
    <row r="38" customFormat="false" ht="15" hidden="false" customHeight="true" outlineLevel="0" collapsed="false">
      <c r="A38" s="1" t="s">
        <v>2028</v>
      </c>
      <c r="B38" s="1" t="s">
        <v>412</v>
      </c>
      <c r="C38" s="1" t="s">
        <v>413</v>
      </c>
      <c r="D38" s="1" t="s">
        <v>1418</v>
      </c>
      <c r="E38" s="1" t="n">
        <v>82</v>
      </c>
      <c r="F38" s="1" t="n">
        <v>84</v>
      </c>
      <c r="G38" s="1" t="n">
        <v>80</v>
      </c>
      <c r="J38" s="1" t="s">
        <v>1988</v>
      </c>
      <c r="K38" s="1" t="s">
        <v>62</v>
      </c>
    </row>
    <row r="39" customFormat="false" ht="15" hidden="false" customHeight="true" outlineLevel="0" collapsed="false">
      <c r="A39" s="1" t="s">
        <v>2029</v>
      </c>
      <c r="B39" s="1" t="s">
        <v>451</v>
      </c>
      <c r="C39" s="1" t="s">
        <v>452</v>
      </c>
      <c r="D39" s="1" t="s">
        <v>1440</v>
      </c>
      <c r="E39" s="1" t="n">
        <v>85</v>
      </c>
      <c r="F39" s="1" t="n">
        <v>88</v>
      </c>
      <c r="G39" s="1" t="n">
        <v>82</v>
      </c>
      <c r="J39" s="1" t="s">
        <v>1992</v>
      </c>
      <c r="K39" s="1" t="s">
        <v>62</v>
      </c>
    </row>
    <row r="40" customFormat="false" ht="15" hidden="false" customHeight="true" outlineLevel="0" collapsed="false">
      <c r="A40" s="1" t="s">
        <v>2030</v>
      </c>
      <c r="B40" s="1" t="s">
        <v>451</v>
      </c>
      <c r="C40" s="1" t="s">
        <v>452</v>
      </c>
      <c r="D40" s="1" t="s">
        <v>1443</v>
      </c>
      <c r="E40" s="1" t="n">
        <v>90</v>
      </c>
      <c r="F40" s="1" t="n">
        <v>91</v>
      </c>
      <c r="G40" s="1" t="n">
        <v>88</v>
      </c>
      <c r="J40" s="1" t="s">
        <v>1992</v>
      </c>
      <c r="K40" s="1" t="s">
        <v>62</v>
      </c>
    </row>
    <row r="41" customFormat="false" ht="15" hidden="false" customHeight="true" outlineLevel="0" collapsed="false">
      <c r="A41" s="1" t="s">
        <v>2031</v>
      </c>
      <c r="B41" s="1" t="s">
        <v>451</v>
      </c>
      <c r="C41" s="1" t="s">
        <v>452</v>
      </c>
      <c r="D41" s="1" t="s">
        <v>1446</v>
      </c>
      <c r="E41" s="1" t="n">
        <v>80</v>
      </c>
      <c r="F41" s="1" t="n">
        <v>82</v>
      </c>
      <c r="G41" s="1" t="n">
        <v>79</v>
      </c>
      <c r="J41" s="1" t="s">
        <v>1988</v>
      </c>
      <c r="K41" s="1" t="s">
        <v>62</v>
      </c>
    </row>
    <row r="42" customFormat="false" ht="15" hidden="false" customHeight="true" outlineLevel="0" collapsed="false">
      <c r="A42" s="1" t="s">
        <v>2032</v>
      </c>
      <c r="B42" s="1" t="s">
        <v>451</v>
      </c>
      <c r="C42" s="1" t="s">
        <v>452</v>
      </c>
      <c r="D42" s="1" t="s">
        <v>1405</v>
      </c>
      <c r="E42" s="1" t="n">
        <v>86</v>
      </c>
      <c r="F42" s="1" t="n">
        <v>88</v>
      </c>
      <c r="G42" s="1" t="n">
        <v>85</v>
      </c>
      <c r="J42" s="1" t="s">
        <v>1988</v>
      </c>
      <c r="K42" s="1" t="s">
        <v>62</v>
      </c>
    </row>
    <row r="43" customFormat="false" ht="15" hidden="false" customHeight="true" outlineLevel="0" collapsed="false">
      <c r="A43" s="1" t="s">
        <v>2033</v>
      </c>
      <c r="B43" s="1" t="s">
        <v>464</v>
      </c>
      <c r="C43" s="1" t="s">
        <v>465</v>
      </c>
      <c r="D43" s="1" t="s">
        <v>1443</v>
      </c>
      <c r="E43" s="1" t="n">
        <v>77</v>
      </c>
      <c r="F43" s="1" t="n">
        <v>79</v>
      </c>
      <c r="G43" s="1" t="n">
        <v>76</v>
      </c>
      <c r="J43" s="1" t="s">
        <v>1988</v>
      </c>
      <c r="K43" s="1" t="s">
        <v>62</v>
      </c>
    </row>
    <row r="44" customFormat="false" ht="15" hidden="false" customHeight="true" outlineLevel="0" collapsed="false">
      <c r="A44" s="1" t="s">
        <v>2034</v>
      </c>
      <c r="B44" s="1" t="s">
        <v>464</v>
      </c>
      <c r="C44" s="1" t="s">
        <v>465</v>
      </c>
      <c r="D44" s="1" t="s">
        <v>1446</v>
      </c>
      <c r="E44" s="1" t="n">
        <v>74</v>
      </c>
      <c r="F44" s="1" t="n">
        <v>76</v>
      </c>
      <c r="G44" s="1" t="n">
        <v>73</v>
      </c>
      <c r="J44" s="1" t="s">
        <v>1988</v>
      </c>
      <c r="K44" s="1" t="s">
        <v>62</v>
      </c>
    </row>
    <row r="45" customFormat="false" ht="15" hidden="false" customHeight="true" outlineLevel="0" collapsed="false">
      <c r="A45" s="1" t="s">
        <v>2035</v>
      </c>
      <c r="B45" s="1" t="s">
        <v>425</v>
      </c>
      <c r="C45" s="1" t="s">
        <v>426</v>
      </c>
      <c r="D45" s="1" t="s">
        <v>1443</v>
      </c>
      <c r="E45" s="1" t="n">
        <v>91</v>
      </c>
      <c r="F45" s="1" t="n">
        <v>92</v>
      </c>
      <c r="G45" s="1" t="n">
        <v>90</v>
      </c>
      <c r="J45" s="1" t="s">
        <v>1992</v>
      </c>
      <c r="K45" s="1" t="s">
        <v>62</v>
      </c>
    </row>
    <row r="46" customFormat="false" ht="15" hidden="false" customHeight="true" outlineLevel="0" collapsed="false">
      <c r="A46" s="1" t="s">
        <v>2036</v>
      </c>
      <c r="B46" s="1" t="s">
        <v>425</v>
      </c>
      <c r="C46" s="1" t="s">
        <v>426</v>
      </c>
      <c r="D46" s="1" t="s">
        <v>1411</v>
      </c>
      <c r="E46" s="1" t="n">
        <v>87</v>
      </c>
      <c r="F46" s="1" t="n">
        <v>89</v>
      </c>
      <c r="G46" s="1" t="n">
        <v>86</v>
      </c>
      <c r="J46" s="1" t="s">
        <v>1992</v>
      </c>
      <c r="K46" s="1" t="s">
        <v>62</v>
      </c>
    </row>
    <row r="47" customFormat="false" ht="15" hidden="false" customHeight="true" outlineLevel="0" collapsed="false">
      <c r="A47" s="1" t="s">
        <v>2037</v>
      </c>
      <c r="B47" s="1" t="s">
        <v>438</v>
      </c>
      <c r="C47" s="1" t="s">
        <v>439</v>
      </c>
      <c r="D47" s="1" t="s">
        <v>1443</v>
      </c>
      <c r="E47" s="1" t="n">
        <v>89</v>
      </c>
      <c r="F47" s="1" t="n">
        <v>90</v>
      </c>
      <c r="G47" s="1" t="n">
        <v>88</v>
      </c>
      <c r="J47" s="1" t="s">
        <v>1992</v>
      </c>
      <c r="K47" s="1" t="s">
        <v>62</v>
      </c>
    </row>
    <row r="48" customFormat="false" ht="15" hidden="false" customHeight="true" outlineLevel="0" collapsed="false">
      <c r="A48" s="1" t="s">
        <v>2038</v>
      </c>
      <c r="B48" s="1" t="s">
        <v>438</v>
      </c>
      <c r="C48" s="1" t="s">
        <v>439</v>
      </c>
      <c r="D48" s="1" t="s">
        <v>1411</v>
      </c>
      <c r="E48" s="1" t="n">
        <v>92</v>
      </c>
      <c r="F48" s="1" t="n">
        <v>94</v>
      </c>
      <c r="G48" s="1" t="n">
        <v>91</v>
      </c>
      <c r="J48" s="1" t="s">
        <v>1992</v>
      </c>
      <c r="K48" s="1" t="s">
        <v>62</v>
      </c>
    </row>
    <row r="49" customFormat="false" ht="15" hidden="false" customHeight="true" outlineLevel="0" collapsed="false">
      <c r="A49" s="42" t="s">
        <v>2039</v>
      </c>
      <c r="B49" s="42" t="s">
        <v>476</v>
      </c>
      <c r="C49" s="42" t="s">
        <v>477</v>
      </c>
      <c r="D49" s="42" t="s">
        <v>1449</v>
      </c>
      <c r="E49" s="42" t="n">
        <v>95</v>
      </c>
      <c r="F49" s="42" t="n">
        <v>90</v>
      </c>
      <c r="G49" s="42" t="n">
        <v>92</v>
      </c>
      <c r="H49" s="42"/>
      <c r="I49" s="42"/>
      <c r="J49" s="42" t="s">
        <v>1992</v>
      </c>
      <c r="K49" s="42" t="s">
        <v>484</v>
      </c>
    </row>
    <row r="50" customFormat="false" ht="15" hidden="false" customHeight="true" outlineLevel="0" collapsed="false">
      <c r="A50" s="42" t="s">
        <v>2040</v>
      </c>
      <c r="B50" s="42" t="s">
        <v>485</v>
      </c>
      <c r="C50" s="42" t="s">
        <v>486</v>
      </c>
      <c r="D50" s="42" t="s">
        <v>1458</v>
      </c>
      <c r="E50" s="42" t="n">
        <v>90</v>
      </c>
      <c r="F50" s="42" t="n">
        <v>85</v>
      </c>
      <c r="G50" s="42" t="n">
        <v>87</v>
      </c>
      <c r="H50" s="42"/>
      <c r="I50" s="42"/>
      <c r="J50" s="42" t="s">
        <v>1988</v>
      </c>
      <c r="K50" s="42" t="s">
        <v>484</v>
      </c>
    </row>
    <row r="51" customFormat="false" ht="15" hidden="false" customHeight="true" outlineLevel="0" collapsed="false">
      <c r="A51" s="42" t="s">
        <v>2041</v>
      </c>
      <c r="B51" s="42" t="s">
        <v>494</v>
      </c>
      <c r="C51" s="42" t="s">
        <v>495</v>
      </c>
      <c r="D51" s="42" t="s">
        <v>1474</v>
      </c>
      <c r="E51" s="42" t="n">
        <v>93</v>
      </c>
      <c r="F51" s="42" t="n">
        <v>88</v>
      </c>
      <c r="G51" s="42" t="n">
        <v>90</v>
      </c>
      <c r="H51" s="42"/>
      <c r="I51" s="42"/>
      <c r="J51" s="42" t="s">
        <v>1992</v>
      </c>
      <c r="K51" s="42" t="s">
        <v>484</v>
      </c>
    </row>
    <row r="52" customFormat="false" ht="15" hidden="false" customHeight="true" outlineLevel="0" collapsed="false">
      <c r="A52" s="42" t="s">
        <v>2042</v>
      </c>
      <c r="B52" s="42" t="s">
        <v>504</v>
      </c>
      <c r="C52" s="42" t="s">
        <v>505</v>
      </c>
      <c r="D52" s="42" t="s">
        <v>1464</v>
      </c>
      <c r="E52" s="42" t="n">
        <v>97</v>
      </c>
      <c r="F52" s="42" t="n">
        <v>92</v>
      </c>
      <c r="G52" s="42" t="n">
        <v>94</v>
      </c>
      <c r="H52" s="42" t="n">
        <v>97</v>
      </c>
      <c r="I52" s="42" t="n">
        <v>95</v>
      </c>
      <c r="J52" s="42" t="s">
        <v>1992</v>
      </c>
      <c r="K52" s="42" t="s">
        <v>484</v>
      </c>
    </row>
    <row r="53" customFormat="false" ht="15" hidden="false" customHeight="true" outlineLevel="0" collapsed="false">
      <c r="A53" s="42" t="s">
        <v>2043</v>
      </c>
      <c r="B53" s="42" t="s">
        <v>512</v>
      </c>
      <c r="C53" s="42" t="s">
        <v>513</v>
      </c>
      <c r="D53" s="42" t="s">
        <v>1474</v>
      </c>
      <c r="E53" s="42" t="n">
        <v>82</v>
      </c>
      <c r="F53" s="42" t="n">
        <v>77</v>
      </c>
      <c r="G53" s="42" t="n">
        <v>79</v>
      </c>
      <c r="H53" s="42"/>
      <c r="I53" s="42"/>
      <c r="J53" s="42" t="s">
        <v>2012</v>
      </c>
      <c r="K53" s="42" t="s">
        <v>484</v>
      </c>
    </row>
    <row r="54" customFormat="false" ht="15" hidden="false" customHeight="true" outlineLevel="0" collapsed="false">
      <c r="A54" s="42" t="s">
        <v>2044</v>
      </c>
      <c r="B54" s="42" t="s">
        <v>520</v>
      </c>
      <c r="C54" s="42" t="s">
        <v>521</v>
      </c>
      <c r="D54" s="42" t="s">
        <v>1449</v>
      </c>
      <c r="E54" s="42" t="n">
        <v>91</v>
      </c>
      <c r="F54" s="42" t="n">
        <v>86</v>
      </c>
      <c r="G54" s="42" t="n">
        <v>88</v>
      </c>
      <c r="H54" s="42"/>
      <c r="I54" s="42"/>
      <c r="J54" s="42" t="s">
        <v>1988</v>
      </c>
      <c r="K54" s="42" t="s">
        <v>484</v>
      </c>
    </row>
    <row r="55" customFormat="false" ht="15" hidden="false" customHeight="true" outlineLevel="0" collapsed="false">
      <c r="A55" s="42" t="s">
        <v>2045</v>
      </c>
      <c r="B55" s="42" t="s">
        <v>526</v>
      </c>
      <c r="C55" s="42" t="s">
        <v>527</v>
      </c>
      <c r="D55" s="42" t="s">
        <v>1485</v>
      </c>
      <c r="E55" s="42" t="n">
        <v>94</v>
      </c>
      <c r="F55" s="42" t="n">
        <v>89</v>
      </c>
      <c r="G55" s="42" t="n">
        <v>91</v>
      </c>
      <c r="H55" s="42"/>
      <c r="I55" s="42"/>
      <c r="J55" s="42" t="s">
        <v>1992</v>
      </c>
      <c r="K55" s="42" t="s">
        <v>484</v>
      </c>
    </row>
    <row r="56" customFormat="false" ht="15" hidden="false" customHeight="true" outlineLevel="0" collapsed="false">
      <c r="A56" s="42" t="s">
        <v>2046</v>
      </c>
      <c r="B56" s="42" t="s">
        <v>534</v>
      </c>
      <c r="C56" s="42" t="s">
        <v>535</v>
      </c>
      <c r="D56" s="42" t="s">
        <v>1458</v>
      </c>
      <c r="E56" s="42" t="n">
        <v>89</v>
      </c>
      <c r="F56" s="42" t="n">
        <v>84</v>
      </c>
      <c r="G56" s="42" t="n">
        <v>86</v>
      </c>
      <c r="H56" s="42"/>
      <c r="I56" s="42"/>
      <c r="J56" s="42" t="s">
        <v>1988</v>
      </c>
      <c r="K56" s="42" t="s">
        <v>484</v>
      </c>
    </row>
    <row r="57" customFormat="false" ht="15" hidden="false" customHeight="true" outlineLevel="0" collapsed="false">
      <c r="A57" s="42" t="s">
        <v>2047</v>
      </c>
      <c r="B57" s="42" t="s">
        <v>540</v>
      </c>
      <c r="C57" s="42" t="s">
        <v>541</v>
      </c>
      <c r="D57" s="42" t="s">
        <v>1464</v>
      </c>
      <c r="E57" s="42" t="n">
        <v>85</v>
      </c>
      <c r="F57" s="42" t="n">
        <v>80</v>
      </c>
      <c r="G57" s="42" t="n">
        <v>82</v>
      </c>
      <c r="H57" s="42" t="n">
        <v>80</v>
      </c>
      <c r="I57" s="42" t="n">
        <v>82</v>
      </c>
      <c r="J57" s="42" t="s">
        <v>1988</v>
      </c>
      <c r="K57" s="42" t="s">
        <v>484</v>
      </c>
    </row>
    <row r="58" customFormat="false" ht="15" hidden="false" customHeight="true" outlineLevel="0" collapsed="false">
      <c r="A58" s="42" t="s">
        <v>2048</v>
      </c>
      <c r="B58" s="42" t="s">
        <v>546</v>
      </c>
      <c r="C58" s="42" t="s">
        <v>547</v>
      </c>
      <c r="D58" s="42" t="s">
        <v>1474</v>
      </c>
      <c r="E58" s="42" t="n">
        <v>92</v>
      </c>
      <c r="F58" s="42" t="n">
        <v>87</v>
      </c>
      <c r="G58" s="42" t="n">
        <v>89</v>
      </c>
      <c r="H58" s="42"/>
      <c r="I58" s="42"/>
      <c r="J58" s="42" t="s">
        <v>1992</v>
      </c>
      <c r="K58" s="42" t="s">
        <v>484</v>
      </c>
    </row>
    <row r="59" customFormat="false" ht="15" hidden="false" customHeight="true" outlineLevel="0" collapsed="false">
      <c r="A59" s="42" t="s">
        <v>2049</v>
      </c>
      <c r="B59" s="42" t="s">
        <v>552</v>
      </c>
      <c r="C59" s="42" t="s">
        <v>553</v>
      </c>
      <c r="D59" s="42" t="s">
        <v>1449</v>
      </c>
      <c r="E59" s="42" t="n">
        <v>88</v>
      </c>
      <c r="F59" s="42" t="n">
        <v>83</v>
      </c>
      <c r="G59" s="42" t="n">
        <v>85</v>
      </c>
      <c r="H59" s="42"/>
      <c r="I59" s="42"/>
      <c r="J59" s="42" t="s">
        <v>1988</v>
      </c>
      <c r="K59" s="42" t="s">
        <v>484</v>
      </c>
    </row>
    <row r="60" customFormat="false" ht="15" hidden="false" customHeight="true" outlineLevel="0" collapsed="false">
      <c r="A60" s="42" t="s">
        <v>2050</v>
      </c>
      <c r="B60" s="42" t="s">
        <v>559</v>
      </c>
      <c r="C60" s="42" t="s">
        <v>560</v>
      </c>
      <c r="D60" s="42" t="s">
        <v>1458</v>
      </c>
      <c r="E60" s="42" t="n">
        <v>84</v>
      </c>
      <c r="F60" s="42" t="n">
        <v>79</v>
      </c>
      <c r="G60" s="42" t="n">
        <v>81</v>
      </c>
      <c r="H60" s="42" t="n">
        <v>79</v>
      </c>
      <c r="I60" s="42" t="n">
        <v>81</v>
      </c>
      <c r="J60" s="42" t="s">
        <v>1988</v>
      </c>
      <c r="K60" s="42" t="s">
        <v>484</v>
      </c>
    </row>
    <row r="61" customFormat="false" ht="15" hidden="false" customHeight="true" outlineLevel="0" collapsed="false">
      <c r="A61" s="42" t="s">
        <v>2051</v>
      </c>
      <c r="B61" s="42" t="s">
        <v>565</v>
      </c>
      <c r="C61" s="42" t="s">
        <v>566</v>
      </c>
      <c r="D61" s="42" t="s">
        <v>1474</v>
      </c>
      <c r="E61" s="42" t="n">
        <v>93</v>
      </c>
      <c r="F61" s="42" t="n">
        <v>88</v>
      </c>
      <c r="G61" s="42" t="n">
        <v>90</v>
      </c>
      <c r="H61" s="42"/>
      <c r="I61" s="42"/>
      <c r="J61" s="42" t="s">
        <v>1992</v>
      </c>
      <c r="K61" s="42" t="s">
        <v>484</v>
      </c>
    </row>
    <row r="62" customFormat="false" ht="15" hidden="false" customHeight="true" outlineLevel="0" collapsed="false">
      <c r="A62" s="42" t="s">
        <v>2052</v>
      </c>
      <c r="B62" s="42" t="s">
        <v>571</v>
      </c>
      <c r="C62" s="42" t="s">
        <v>572</v>
      </c>
      <c r="D62" s="42" t="s">
        <v>1485</v>
      </c>
      <c r="E62" s="42" t="n">
        <v>77</v>
      </c>
      <c r="F62" s="42" t="n">
        <v>72</v>
      </c>
      <c r="G62" s="42" t="n">
        <v>74</v>
      </c>
      <c r="H62" s="42"/>
      <c r="I62" s="42"/>
      <c r="J62" s="42" t="s">
        <v>2012</v>
      </c>
      <c r="K62" s="42" t="s">
        <v>484</v>
      </c>
    </row>
    <row r="63" customFormat="false" ht="15" hidden="false" customHeight="true" outlineLevel="0" collapsed="false">
      <c r="A63" s="42" t="s">
        <v>2053</v>
      </c>
      <c r="B63" s="42" t="s">
        <v>576</v>
      </c>
      <c r="C63" s="42" t="s">
        <v>577</v>
      </c>
      <c r="D63" s="42" t="s">
        <v>1464</v>
      </c>
      <c r="E63" s="42" t="n">
        <v>96</v>
      </c>
      <c r="F63" s="42" t="n">
        <v>91</v>
      </c>
      <c r="G63" s="42" t="n">
        <v>93</v>
      </c>
      <c r="H63" s="42"/>
      <c r="I63" s="42"/>
      <c r="J63" s="42" t="s">
        <v>1992</v>
      </c>
      <c r="K63" s="42" t="s">
        <v>484</v>
      </c>
    </row>
    <row r="64" customFormat="false" ht="15" hidden="false" customHeight="true" outlineLevel="0" collapsed="false">
      <c r="A64" s="42" t="s">
        <v>2054</v>
      </c>
      <c r="B64" s="42" t="s">
        <v>581</v>
      </c>
      <c r="C64" s="42" t="s">
        <v>582</v>
      </c>
      <c r="D64" s="42" t="s">
        <v>1449</v>
      </c>
      <c r="E64" s="42" t="n">
        <v>89</v>
      </c>
      <c r="F64" s="42" t="n">
        <v>84</v>
      </c>
      <c r="G64" s="42" t="n">
        <v>86</v>
      </c>
      <c r="H64" s="42"/>
      <c r="I64" s="42"/>
      <c r="J64" s="42" t="s">
        <v>1988</v>
      </c>
      <c r="K64" s="42" t="s">
        <v>484</v>
      </c>
    </row>
    <row r="65" customFormat="false" ht="15" hidden="false" customHeight="true" outlineLevel="0" collapsed="false">
      <c r="A65" s="42" t="s">
        <v>2055</v>
      </c>
      <c r="B65" s="42" t="s">
        <v>586</v>
      </c>
      <c r="C65" s="42" t="s">
        <v>587</v>
      </c>
      <c r="D65" s="42" t="s">
        <v>1474</v>
      </c>
      <c r="E65" s="42" t="n">
        <v>94</v>
      </c>
      <c r="F65" s="42" t="n">
        <v>89</v>
      </c>
      <c r="G65" s="42" t="n">
        <v>91</v>
      </c>
      <c r="H65" s="42"/>
      <c r="I65" s="42"/>
      <c r="J65" s="42" t="s">
        <v>1992</v>
      </c>
      <c r="K65" s="42" t="s">
        <v>484</v>
      </c>
    </row>
    <row r="66" customFormat="false" ht="15" hidden="false" customHeight="true" outlineLevel="0" collapsed="false">
      <c r="A66" s="42" t="s">
        <v>2056</v>
      </c>
      <c r="B66" s="42" t="s">
        <v>591</v>
      </c>
      <c r="C66" s="42" t="s">
        <v>592</v>
      </c>
      <c r="D66" s="42" t="s">
        <v>1458</v>
      </c>
      <c r="E66" s="42" t="n">
        <v>89</v>
      </c>
      <c r="F66" s="42" t="n">
        <v>84</v>
      </c>
      <c r="G66" s="42" t="n">
        <v>86</v>
      </c>
      <c r="H66" s="42"/>
      <c r="I66" s="42"/>
      <c r="J66" s="42" t="s">
        <v>1988</v>
      </c>
      <c r="K66" s="42" t="s">
        <v>484</v>
      </c>
    </row>
    <row r="67" customFormat="false" ht="15" hidden="false" customHeight="true" outlineLevel="0" collapsed="false">
      <c r="A67" s="42" t="s">
        <v>2057</v>
      </c>
      <c r="B67" s="42" t="s">
        <v>598</v>
      </c>
      <c r="C67" s="42" t="s">
        <v>599</v>
      </c>
      <c r="D67" s="42" t="s">
        <v>1485</v>
      </c>
      <c r="E67" s="42" t="n">
        <v>92</v>
      </c>
      <c r="F67" s="42" t="n">
        <v>87</v>
      </c>
      <c r="G67" s="42" t="n">
        <v>89</v>
      </c>
      <c r="H67" s="42"/>
      <c r="I67" s="42"/>
      <c r="J67" s="42" t="s">
        <v>1992</v>
      </c>
      <c r="K67" s="42" t="s">
        <v>484</v>
      </c>
    </row>
    <row r="68" customFormat="false" ht="15" hidden="false" customHeight="true" outlineLevel="0" collapsed="false">
      <c r="A68" s="42" t="s">
        <v>2058</v>
      </c>
      <c r="B68" s="42" t="s">
        <v>604</v>
      </c>
      <c r="C68" s="42" t="s">
        <v>605</v>
      </c>
      <c r="D68" s="42" t="s">
        <v>1449</v>
      </c>
      <c r="E68" s="42" t="n">
        <v>80</v>
      </c>
      <c r="F68" s="42" t="n">
        <v>75</v>
      </c>
      <c r="G68" s="42" t="n">
        <v>77</v>
      </c>
      <c r="H68" s="42"/>
      <c r="I68" s="42"/>
      <c r="J68" s="42" t="s">
        <v>2012</v>
      </c>
      <c r="K68" s="42" t="s">
        <v>484</v>
      </c>
    </row>
    <row r="69" customFormat="false" ht="15" hidden="false" customHeight="true" outlineLevel="0" collapsed="false">
      <c r="A69" s="42" t="s">
        <v>2059</v>
      </c>
      <c r="B69" s="42" t="s">
        <v>610</v>
      </c>
      <c r="C69" s="42" t="s">
        <v>611</v>
      </c>
      <c r="D69" s="42" t="s">
        <v>1474</v>
      </c>
      <c r="E69" s="42" t="n">
        <v>94</v>
      </c>
      <c r="F69" s="42" t="n">
        <v>89</v>
      </c>
      <c r="G69" s="42" t="n">
        <v>91</v>
      </c>
      <c r="H69" s="42"/>
      <c r="I69" s="42"/>
      <c r="J69" s="42" t="s">
        <v>1992</v>
      </c>
      <c r="K69" s="42" t="s">
        <v>484</v>
      </c>
    </row>
    <row r="70" customFormat="false" ht="15" hidden="false" customHeight="true" outlineLevel="0" collapsed="false">
      <c r="A70" s="42" t="s">
        <v>2060</v>
      </c>
      <c r="B70" s="42" t="s">
        <v>616</v>
      </c>
      <c r="C70" s="42" t="s">
        <v>617</v>
      </c>
      <c r="D70" s="42" t="s">
        <v>1464</v>
      </c>
      <c r="E70" s="42" t="n">
        <v>95</v>
      </c>
      <c r="F70" s="42" t="n">
        <v>90</v>
      </c>
      <c r="G70" s="42" t="n">
        <v>92</v>
      </c>
      <c r="H70" s="42"/>
      <c r="I70" s="42"/>
      <c r="J70" s="42" t="s">
        <v>1992</v>
      </c>
      <c r="K70" s="42" t="s">
        <v>484</v>
      </c>
    </row>
    <row r="71" customFormat="false" ht="15" hidden="false" customHeight="true" outlineLevel="0" collapsed="false">
      <c r="A71" s="42" t="s">
        <v>2061</v>
      </c>
      <c r="B71" s="42" t="s">
        <v>622</v>
      </c>
      <c r="C71" s="42" t="s">
        <v>623</v>
      </c>
      <c r="D71" s="42" t="s">
        <v>1458</v>
      </c>
      <c r="E71" s="42" t="n">
        <v>86</v>
      </c>
      <c r="F71" s="42" t="n">
        <v>81</v>
      </c>
      <c r="G71" s="42" t="n">
        <v>83</v>
      </c>
      <c r="H71" s="42" t="n">
        <v>81</v>
      </c>
      <c r="I71" s="42" t="n">
        <v>83</v>
      </c>
      <c r="J71" s="42" t="s">
        <v>1988</v>
      </c>
      <c r="K71" s="42" t="s">
        <v>484</v>
      </c>
    </row>
    <row r="72" customFormat="false" ht="15" hidden="false" customHeight="true" outlineLevel="0" collapsed="false">
      <c r="A72" s="42" t="s">
        <v>2062</v>
      </c>
      <c r="B72" s="42" t="s">
        <v>627</v>
      </c>
      <c r="C72" s="42" t="s">
        <v>628</v>
      </c>
      <c r="D72" s="42" t="s">
        <v>1474</v>
      </c>
      <c r="E72" s="42" t="n">
        <v>92</v>
      </c>
      <c r="F72" s="42" t="n">
        <v>87</v>
      </c>
      <c r="G72" s="42" t="n">
        <v>89</v>
      </c>
      <c r="H72" s="42"/>
      <c r="I72" s="42"/>
      <c r="J72" s="42" t="s">
        <v>1992</v>
      </c>
      <c r="K72" s="42" t="s">
        <v>484</v>
      </c>
    </row>
    <row r="73" customFormat="false" ht="15" hidden="false" customHeight="true" outlineLevel="0" collapsed="false">
      <c r="A73" s="42" t="s">
        <v>2063</v>
      </c>
      <c r="B73" s="42" t="s">
        <v>632</v>
      </c>
      <c r="C73" s="42" t="s">
        <v>633</v>
      </c>
      <c r="D73" s="42" t="s">
        <v>1449</v>
      </c>
      <c r="E73" s="42" t="n">
        <v>94</v>
      </c>
      <c r="F73" s="42" t="n">
        <v>89</v>
      </c>
      <c r="G73" s="42" t="n">
        <v>91</v>
      </c>
      <c r="H73" s="42"/>
      <c r="I73" s="42"/>
      <c r="J73" s="42" t="s">
        <v>1992</v>
      </c>
      <c r="K73" s="42" t="s">
        <v>484</v>
      </c>
    </row>
    <row r="74" customFormat="false" ht="15" hidden="false" customHeight="true" outlineLevel="0" collapsed="false">
      <c r="A74" s="42" t="s">
        <v>2064</v>
      </c>
      <c r="B74" s="42" t="s">
        <v>637</v>
      </c>
      <c r="C74" s="42" t="s">
        <v>638</v>
      </c>
      <c r="D74" s="42" t="s">
        <v>1500</v>
      </c>
      <c r="E74" s="42" t="n">
        <v>95</v>
      </c>
      <c r="F74" s="42" t="n">
        <v>90</v>
      </c>
      <c r="G74" s="42" t="n">
        <v>92</v>
      </c>
      <c r="H74" s="42"/>
      <c r="I74" s="42"/>
      <c r="J74" s="42" t="s">
        <v>1992</v>
      </c>
      <c r="K74" s="42" t="s">
        <v>484</v>
      </c>
    </row>
    <row r="75" customFormat="false" ht="15" hidden="false" customHeight="true" outlineLevel="0" collapsed="false">
      <c r="A75" s="42" t="s">
        <v>2065</v>
      </c>
      <c r="B75" s="42" t="s">
        <v>645</v>
      </c>
      <c r="C75" s="42" t="s">
        <v>646</v>
      </c>
      <c r="D75" s="42" t="s">
        <v>1500</v>
      </c>
      <c r="E75" s="42" t="n">
        <v>91</v>
      </c>
      <c r="F75" s="42" t="n">
        <v>86</v>
      </c>
      <c r="G75" s="42" t="n">
        <v>88</v>
      </c>
      <c r="H75" s="42"/>
      <c r="I75" s="42"/>
      <c r="J75" s="42" t="s">
        <v>1992</v>
      </c>
      <c r="K75" s="42" t="s">
        <v>484</v>
      </c>
    </row>
    <row r="76" customFormat="false" ht="15" hidden="false" customHeight="true" outlineLevel="0" collapsed="false">
      <c r="A76" s="42" t="s">
        <v>2066</v>
      </c>
      <c r="B76" s="42" t="s">
        <v>653</v>
      </c>
      <c r="C76" s="42" t="s">
        <v>654</v>
      </c>
      <c r="D76" s="42" t="s">
        <v>1500</v>
      </c>
      <c r="E76" s="42" t="n">
        <v>94</v>
      </c>
      <c r="F76" s="42" t="n">
        <v>89</v>
      </c>
      <c r="G76" s="42" t="n">
        <v>91</v>
      </c>
      <c r="H76" s="42" t="n">
        <v>94</v>
      </c>
      <c r="I76" s="42" t="n">
        <v>92</v>
      </c>
      <c r="J76" s="42" t="s">
        <v>1992</v>
      </c>
      <c r="K76" s="42" t="s">
        <v>484</v>
      </c>
    </row>
    <row r="77" customFormat="false" ht="15" hidden="false" customHeight="true" outlineLevel="0" collapsed="false">
      <c r="A77" s="42" t="s">
        <v>2067</v>
      </c>
      <c r="B77" s="42" t="s">
        <v>661</v>
      </c>
      <c r="C77" s="42" t="s">
        <v>662</v>
      </c>
      <c r="D77" s="42" t="s">
        <v>1500</v>
      </c>
      <c r="E77" s="42" t="n">
        <v>86</v>
      </c>
      <c r="F77" s="42" t="n">
        <v>81</v>
      </c>
      <c r="G77" s="42" t="n">
        <v>83</v>
      </c>
      <c r="H77" s="42"/>
      <c r="I77" s="42"/>
      <c r="J77" s="42" t="s">
        <v>1988</v>
      </c>
      <c r="K77" s="42" t="s">
        <v>484</v>
      </c>
    </row>
    <row r="78" customFormat="false" ht="15" hidden="false" customHeight="true" outlineLevel="0" collapsed="false">
      <c r="A78" s="42" t="s">
        <v>2068</v>
      </c>
      <c r="B78" s="42" t="s">
        <v>670</v>
      </c>
      <c r="C78" s="42" t="s">
        <v>671</v>
      </c>
      <c r="D78" s="42" t="s">
        <v>1500</v>
      </c>
      <c r="E78" s="42" t="n">
        <v>94</v>
      </c>
      <c r="F78" s="42" t="n">
        <v>89</v>
      </c>
      <c r="G78" s="42" t="n">
        <v>91</v>
      </c>
      <c r="H78" s="42"/>
      <c r="I78" s="42"/>
      <c r="J78" s="42" t="s">
        <v>1992</v>
      </c>
      <c r="K78" s="42" t="s">
        <v>484</v>
      </c>
    </row>
    <row r="79" customFormat="false" ht="15" hidden="false" customHeight="true" outlineLevel="0" collapsed="false">
      <c r="A79" s="42" t="s">
        <v>2069</v>
      </c>
      <c r="B79" s="42" t="s">
        <v>678</v>
      </c>
      <c r="C79" s="42" t="s">
        <v>679</v>
      </c>
      <c r="D79" s="42" t="s">
        <v>1500</v>
      </c>
      <c r="E79" s="42" t="n">
        <v>90</v>
      </c>
      <c r="F79" s="42" t="n">
        <v>85</v>
      </c>
      <c r="G79" s="42" t="n">
        <v>87</v>
      </c>
      <c r="H79" s="42"/>
      <c r="I79" s="42"/>
      <c r="J79" s="42" t="s">
        <v>1988</v>
      </c>
      <c r="K79" s="42" t="s">
        <v>484</v>
      </c>
    </row>
    <row r="80" customFormat="false" ht="15" hidden="false" customHeight="true" outlineLevel="0" collapsed="false">
      <c r="A80" s="42" t="s">
        <v>2070</v>
      </c>
      <c r="B80" s="42" t="s">
        <v>685</v>
      </c>
      <c r="C80" s="42" t="s">
        <v>686</v>
      </c>
      <c r="D80" s="42" t="s">
        <v>1504</v>
      </c>
      <c r="E80" s="42" t="n">
        <v>96</v>
      </c>
      <c r="F80" s="42" t="n">
        <v>91</v>
      </c>
      <c r="G80" s="42" t="n">
        <v>93</v>
      </c>
      <c r="H80" s="42"/>
      <c r="I80" s="42"/>
      <c r="J80" s="42" t="s">
        <v>1992</v>
      </c>
      <c r="K80" s="42" t="s">
        <v>484</v>
      </c>
    </row>
    <row r="81" customFormat="false" ht="15" hidden="false" customHeight="true" outlineLevel="0" collapsed="false">
      <c r="A81" s="42" t="s">
        <v>2071</v>
      </c>
      <c r="B81" s="42" t="s">
        <v>697</v>
      </c>
      <c r="C81" s="42" t="s">
        <v>698</v>
      </c>
      <c r="D81" s="42" t="s">
        <v>1504</v>
      </c>
      <c r="E81" s="42" t="n">
        <v>93</v>
      </c>
      <c r="F81" s="42" t="n">
        <v>88</v>
      </c>
      <c r="G81" s="42" t="n">
        <v>90</v>
      </c>
      <c r="H81" s="42"/>
      <c r="I81" s="42"/>
      <c r="J81" s="42" t="s">
        <v>1992</v>
      </c>
      <c r="K81" s="42" t="s">
        <v>484</v>
      </c>
    </row>
    <row r="82" customFormat="false" ht="15" hidden="false" customHeight="true" outlineLevel="0" collapsed="false">
      <c r="A82" s="42" t="s">
        <v>2072</v>
      </c>
      <c r="B82" s="42" t="s">
        <v>708</v>
      </c>
      <c r="C82" s="42" t="s">
        <v>709</v>
      </c>
      <c r="D82" s="42" t="s">
        <v>1504</v>
      </c>
      <c r="E82" s="42" t="n">
        <v>93</v>
      </c>
      <c r="F82" s="42" t="n">
        <v>88</v>
      </c>
      <c r="G82" s="42" t="n">
        <v>90</v>
      </c>
      <c r="H82" s="42"/>
      <c r="I82" s="42"/>
      <c r="J82" s="42" t="s">
        <v>1992</v>
      </c>
      <c r="K82" s="42" t="s">
        <v>484</v>
      </c>
    </row>
    <row r="83" customFormat="false" ht="15" hidden="false" customHeight="true" outlineLevel="0" collapsed="false">
      <c r="A83" s="42" t="s">
        <v>2073</v>
      </c>
      <c r="B83" s="42" t="s">
        <v>718</v>
      </c>
      <c r="C83" s="42" t="s">
        <v>719</v>
      </c>
      <c r="D83" s="42" t="s">
        <v>1504</v>
      </c>
      <c r="E83" s="42" t="n">
        <v>91</v>
      </c>
      <c r="F83" s="42" t="n">
        <v>86</v>
      </c>
      <c r="G83" s="42" t="n">
        <v>88</v>
      </c>
      <c r="H83" s="42" t="n">
        <v>86</v>
      </c>
      <c r="I83" s="42" t="n">
        <v>88</v>
      </c>
      <c r="J83" s="42" t="s">
        <v>1988</v>
      </c>
      <c r="K83" s="42" t="s">
        <v>484</v>
      </c>
    </row>
    <row r="84" customFormat="false" ht="15" hidden="false" customHeight="true" outlineLevel="0" collapsed="false">
      <c r="A84" s="42" t="s">
        <v>2074</v>
      </c>
      <c r="B84" s="42" t="s">
        <v>725</v>
      </c>
      <c r="C84" s="42" t="s">
        <v>726</v>
      </c>
      <c r="D84" s="42" t="s">
        <v>1504</v>
      </c>
      <c r="E84" s="42" t="n">
        <v>97</v>
      </c>
      <c r="F84" s="42" t="n">
        <v>92</v>
      </c>
      <c r="G84" s="42" t="n">
        <v>94</v>
      </c>
      <c r="H84" s="42" t="n">
        <v>97</v>
      </c>
      <c r="I84" s="42" t="n">
        <v>95</v>
      </c>
      <c r="J84" s="42" t="s">
        <v>1992</v>
      </c>
      <c r="K84" s="42" t="s">
        <v>484</v>
      </c>
    </row>
    <row r="85" customFormat="false" ht="15" hidden="false" customHeight="true" outlineLevel="0" collapsed="false">
      <c r="A85" s="42" t="s">
        <v>2075</v>
      </c>
      <c r="B85" s="42" t="s">
        <v>734</v>
      </c>
      <c r="C85" s="42" t="s">
        <v>735</v>
      </c>
      <c r="D85" s="42" t="s">
        <v>1504</v>
      </c>
      <c r="E85" s="42" t="n">
        <v>93</v>
      </c>
      <c r="F85" s="42" t="n">
        <v>88</v>
      </c>
      <c r="G85" s="42" t="n">
        <v>90</v>
      </c>
      <c r="H85" s="42"/>
      <c r="I85" s="42"/>
      <c r="J85" s="42" t="s">
        <v>1992</v>
      </c>
      <c r="K85" s="42" t="s">
        <v>484</v>
      </c>
    </row>
    <row r="86" customFormat="false" ht="15" hidden="false" customHeight="true" outlineLevel="0" collapsed="false">
      <c r="A86" s="42" t="s">
        <v>2076</v>
      </c>
      <c r="B86" s="42" t="s">
        <v>742</v>
      </c>
      <c r="C86" s="42" t="s">
        <v>743</v>
      </c>
      <c r="D86" s="42" t="s">
        <v>1512</v>
      </c>
      <c r="E86" s="42" t="n">
        <v>96</v>
      </c>
      <c r="F86" s="42" t="n">
        <v>91</v>
      </c>
      <c r="G86" s="42" t="n">
        <v>93</v>
      </c>
      <c r="H86" s="42"/>
      <c r="I86" s="42"/>
      <c r="J86" s="42" t="s">
        <v>1992</v>
      </c>
      <c r="K86" s="42" t="s">
        <v>484</v>
      </c>
    </row>
    <row r="87" customFormat="false" ht="15" hidden="false" customHeight="true" outlineLevel="0" collapsed="false">
      <c r="A87" s="42" t="s">
        <v>2077</v>
      </c>
      <c r="B87" s="42" t="s">
        <v>753</v>
      </c>
      <c r="C87" s="42" t="s">
        <v>754</v>
      </c>
      <c r="D87" s="42" t="s">
        <v>1512</v>
      </c>
      <c r="E87" s="42" t="n">
        <v>95</v>
      </c>
      <c r="F87" s="42" t="n">
        <v>90</v>
      </c>
      <c r="G87" s="42" t="n">
        <v>92</v>
      </c>
      <c r="H87" s="42"/>
      <c r="I87" s="42"/>
      <c r="J87" s="42" t="s">
        <v>1992</v>
      </c>
      <c r="K87" s="42" t="s">
        <v>484</v>
      </c>
    </row>
    <row r="88" customFormat="false" ht="15" hidden="false" customHeight="true" outlineLevel="0" collapsed="false">
      <c r="A88" s="42" t="s">
        <v>2078</v>
      </c>
      <c r="B88" s="42" t="s">
        <v>763</v>
      </c>
      <c r="C88" s="42" t="s">
        <v>764</v>
      </c>
      <c r="D88" s="42" t="s">
        <v>1512</v>
      </c>
      <c r="E88" s="42" t="n">
        <v>93</v>
      </c>
      <c r="F88" s="42" t="n">
        <v>88</v>
      </c>
      <c r="G88" s="42" t="n">
        <v>90</v>
      </c>
      <c r="H88" s="42"/>
      <c r="I88" s="42"/>
      <c r="J88" s="42" t="s">
        <v>1992</v>
      </c>
      <c r="K88" s="42" t="s">
        <v>484</v>
      </c>
    </row>
    <row r="89" customFormat="false" ht="15" hidden="false" customHeight="true" outlineLevel="0" collapsed="false">
      <c r="A89" s="42" t="s">
        <v>2079</v>
      </c>
      <c r="B89" s="42" t="s">
        <v>773</v>
      </c>
      <c r="C89" s="42" t="s">
        <v>774</v>
      </c>
      <c r="D89" s="42" t="s">
        <v>1512</v>
      </c>
      <c r="E89" s="42" t="n">
        <v>92</v>
      </c>
      <c r="F89" s="42" t="n">
        <v>87</v>
      </c>
      <c r="G89" s="42" t="n">
        <v>89</v>
      </c>
      <c r="H89" s="42"/>
      <c r="I89" s="42"/>
      <c r="J89" s="42" t="s">
        <v>1992</v>
      </c>
      <c r="K89" s="42" t="s">
        <v>484</v>
      </c>
    </row>
    <row r="90" customFormat="false" ht="15" hidden="false" customHeight="true" outlineLevel="0" collapsed="false">
      <c r="A90" s="42" t="s">
        <v>2080</v>
      </c>
      <c r="B90" s="42" t="s">
        <v>782</v>
      </c>
      <c r="C90" s="42" t="s">
        <v>783</v>
      </c>
      <c r="D90" s="42" t="s">
        <v>1516</v>
      </c>
      <c r="E90" s="42" t="n">
        <v>92</v>
      </c>
      <c r="F90" s="42" t="n">
        <v>87</v>
      </c>
      <c r="G90" s="42" t="n">
        <v>89</v>
      </c>
      <c r="H90" s="42"/>
      <c r="I90" s="42"/>
      <c r="J90" s="42" t="s">
        <v>1992</v>
      </c>
      <c r="K90" s="42" t="s">
        <v>786</v>
      </c>
    </row>
    <row r="91" customFormat="false" ht="15" hidden="false" customHeight="true" outlineLevel="0" collapsed="false">
      <c r="A91" s="42" t="s">
        <v>2081</v>
      </c>
      <c r="B91" s="42" t="s">
        <v>787</v>
      </c>
      <c r="C91" s="42" t="s">
        <v>788</v>
      </c>
      <c r="D91" s="42" t="s">
        <v>1522</v>
      </c>
      <c r="E91" s="42" t="n">
        <v>89</v>
      </c>
      <c r="F91" s="42" t="n">
        <v>84</v>
      </c>
      <c r="G91" s="42" t="n">
        <v>86</v>
      </c>
      <c r="H91" s="42"/>
      <c r="I91" s="42"/>
      <c r="J91" s="42" t="s">
        <v>1988</v>
      </c>
      <c r="K91" s="42" t="s">
        <v>786</v>
      </c>
    </row>
    <row r="92" customFormat="false" ht="15" hidden="false" customHeight="true" outlineLevel="0" collapsed="false">
      <c r="A92" s="42" t="s">
        <v>2082</v>
      </c>
      <c r="B92" s="42" t="s">
        <v>794</v>
      </c>
      <c r="C92" s="42" t="s">
        <v>795</v>
      </c>
      <c r="D92" s="42" t="s">
        <v>1529</v>
      </c>
      <c r="E92" s="42" t="n">
        <v>93</v>
      </c>
      <c r="F92" s="42" t="n">
        <v>88</v>
      </c>
      <c r="G92" s="42" t="n">
        <v>90</v>
      </c>
      <c r="H92" s="42"/>
      <c r="I92" s="42"/>
      <c r="J92" s="42" t="s">
        <v>1992</v>
      </c>
      <c r="K92" s="42" t="s">
        <v>786</v>
      </c>
    </row>
    <row r="93" customFormat="false" ht="15" hidden="false" customHeight="true" outlineLevel="0" collapsed="false">
      <c r="A93" s="42" t="s">
        <v>2083</v>
      </c>
      <c r="B93" s="42" t="s">
        <v>803</v>
      </c>
      <c r="C93" s="42" t="s">
        <v>804</v>
      </c>
      <c r="D93" s="42" t="s">
        <v>1543</v>
      </c>
      <c r="E93" s="42" t="n">
        <v>97</v>
      </c>
      <c r="F93" s="42" t="n">
        <v>92</v>
      </c>
      <c r="G93" s="42" t="n">
        <v>94</v>
      </c>
      <c r="H93" s="42" t="n">
        <v>97</v>
      </c>
      <c r="I93" s="42" t="n">
        <v>95</v>
      </c>
      <c r="J93" s="42" t="s">
        <v>1992</v>
      </c>
      <c r="K93" s="42" t="s">
        <v>786</v>
      </c>
    </row>
    <row r="94" customFormat="false" ht="15" hidden="false" customHeight="true" outlineLevel="0" collapsed="false">
      <c r="A94" s="42" t="s">
        <v>2084</v>
      </c>
      <c r="B94" s="42" t="s">
        <v>809</v>
      </c>
      <c r="C94" s="42" t="s">
        <v>810</v>
      </c>
      <c r="D94" s="42" t="s">
        <v>1535</v>
      </c>
      <c r="E94" s="42" t="n">
        <v>81</v>
      </c>
      <c r="F94" s="42" t="n">
        <v>76</v>
      </c>
      <c r="G94" s="42" t="n">
        <v>78</v>
      </c>
      <c r="H94" s="42"/>
      <c r="I94" s="42"/>
      <c r="J94" s="42" t="s">
        <v>2012</v>
      </c>
      <c r="K94" s="42" t="s">
        <v>786</v>
      </c>
    </row>
    <row r="95" customFormat="false" ht="15" hidden="false" customHeight="true" outlineLevel="0" collapsed="false">
      <c r="A95" s="42" t="s">
        <v>2085</v>
      </c>
      <c r="B95" s="42" t="s">
        <v>814</v>
      </c>
      <c r="C95" s="42" t="s">
        <v>815</v>
      </c>
      <c r="D95" s="42" t="s">
        <v>1556</v>
      </c>
      <c r="E95" s="42" t="n">
        <v>90</v>
      </c>
      <c r="F95" s="42" t="n">
        <v>85</v>
      </c>
      <c r="G95" s="42" t="n">
        <v>87</v>
      </c>
      <c r="H95" s="42"/>
      <c r="I95" s="42"/>
      <c r="J95" s="42" t="s">
        <v>1988</v>
      </c>
      <c r="K95" s="42" t="s">
        <v>786</v>
      </c>
    </row>
    <row r="96" customFormat="false" ht="15" hidden="false" customHeight="true" outlineLevel="0" collapsed="false">
      <c r="A96" s="42" t="s">
        <v>2086</v>
      </c>
      <c r="B96" s="42" t="s">
        <v>820</v>
      </c>
      <c r="C96" s="42" t="s">
        <v>821</v>
      </c>
      <c r="D96" s="42" t="s">
        <v>1522</v>
      </c>
      <c r="E96" s="42" t="n">
        <v>94</v>
      </c>
      <c r="F96" s="42" t="n">
        <v>89</v>
      </c>
      <c r="G96" s="42" t="n">
        <v>91</v>
      </c>
      <c r="H96" s="42"/>
      <c r="I96" s="42"/>
      <c r="J96" s="42" t="s">
        <v>1992</v>
      </c>
      <c r="K96" s="42" t="s">
        <v>786</v>
      </c>
    </row>
    <row r="97" customFormat="false" ht="15" hidden="false" customHeight="true" outlineLevel="0" collapsed="false">
      <c r="A97" s="42" t="s">
        <v>2087</v>
      </c>
      <c r="B97" s="42" t="s">
        <v>824</v>
      </c>
      <c r="C97" s="42" t="s">
        <v>825</v>
      </c>
      <c r="D97" s="42" t="s">
        <v>1516</v>
      </c>
      <c r="E97" s="42" t="n">
        <v>90</v>
      </c>
      <c r="F97" s="42" t="n">
        <v>85</v>
      </c>
      <c r="G97" s="42" t="n">
        <v>87</v>
      </c>
      <c r="H97" s="42"/>
      <c r="I97" s="42"/>
      <c r="J97" s="42" t="s">
        <v>1988</v>
      </c>
      <c r="K97" s="42" t="s">
        <v>786</v>
      </c>
    </row>
    <row r="98" customFormat="false" ht="15" hidden="false" customHeight="true" outlineLevel="0" collapsed="false">
      <c r="A98" s="42" t="s">
        <v>2088</v>
      </c>
      <c r="B98" s="42" t="s">
        <v>830</v>
      </c>
      <c r="C98" s="42" t="s">
        <v>831</v>
      </c>
      <c r="D98" s="42" t="s">
        <v>1556</v>
      </c>
      <c r="E98" s="42" t="n">
        <v>86</v>
      </c>
      <c r="F98" s="42" t="n">
        <v>81</v>
      </c>
      <c r="G98" s="42" t="n">
        <v>83</v>
      </c>
      <c r="H98" s="42" t="n">
        <v>81</v>
      </c>
      <c r="I98" s="42" t="n">
        <v>83</v>
      </c>
      <c r="J98" s="42" t="s">
        <v>1988</v>
      </c>
      <c r="K98" s="42" t="s">
        <v>786</v>
      </c>
    </row>
    <row r="99" customFormat="false" ht="15" hidden="false" customHeight="true" outlineLevel="0" collapsed="false">
      <c r="A99" s="42" t="s">
        <v>2089</v>
      </c>
      <c r="B99" s="42" t="s">
        <v>834</v>
      </c>
      <c r="C99" s="42" t="s">
        <v>835</v>
      </c>
      <c r="D99" s="42" t="s">
        <v>1529</v>
      </c>
      <c r="E99" s="42" t="n">
        <v>93</v>
      </c>
      <c r="F99" s="42" t="n">
        <v>88</v>
      </c>
      <c r="G99" s="42" t="n">
        <v>90</v>
      </c>
      <c r="H99" s="42"/>
      <c r="I99" s="42"/>
      <c r="J99" s="42" t="s">
        <v>1992</v>
      </c>
      <c r="K99" s="42" t="s">
        <v>786</v>
      </c>
    </row>
    <row r="100" customFormat="false" ht="15" hidden="false" customHeight="true" outlineLevel="0" collapsed="false">
      <c r="A100" s="42" t="s">
        <v>2090</v>
      </c>
      <c r="B100" s="42" t="s">
        <v>838</v>
      </c>
      <c r="C100" s="42" t="s">
        <v>839</v>
      </c>
      <c r="D100" s="42" t="s">
        <v>1543</v>
      </c>
      <c r="E100" s="42" t="n">
        <v>89</v>
      </c>
      <c r="F100" s="42" t="n">
        <v>84</v>
      </c>
      <c r="G100" s="42" t="n">
        <v>86</v>
      </c>
      <c r="H100" s="42"/>
      <c r="I100" s="42"/>
      <c r="J100" s="42" t="s">
        <v>1988</v>
      </c>
      <c r="K100" s="42" t="s">
        <v>786</v>
      </c>
    </row>
    <row r="101" customFormat="false" ht="15" hidden="false" customHeight="true" outlineLevel="0" collapsed="false">
      <c r="A101" s="42" t="s">
        <v>2091</v>
      </c>
      <c r="B101" s="42" t="s">
        <v>842</v>
      </c>
      <c r="C101" s="42" t="s">
        <v>843</v>
      </c>
      <c r="D101" s="42" t="s">
        <v>1516</v>
      </c>
      <c r="E101" s="42" t="n">
        <v>84</v>
      </c>
      <c r="F101" s="42" t="n">
        <v>79</v>
      </c>
      <c r="G101" s="42" t="n">
        <v>81</v>
      </c>
      <c r="H101" s="42" t="n">
        <v>79</v>
      </c>
      <c r="I101" s="42" t="n">
        <v>81</v>
      </c>
      <c r="J101" s="42" t="s">
        <v>1988</v>
      </c>
      <c r="K101" s="42" t="s">
        <v>786</v>
      </c>
    </row>
    <row r="102" customFormat="false" ht="15" hidden="false" customHeight="true" outlineLevel="0" collapsed="false">
      <c r="A102" s="42" t="s">
        <v>2092</v>
      </c>
      <c r="B102" s="42" t="s">
        <v>848</v>
      </c>
      <c r="C102" s="42" t="s">
        <v>849</v>
      </c>
      <c r="D102" s="42" t="s">
        <v>1535</v>
      </c>
      <c r="E102" s="42" t="n">
        <v>93</v>
      </c>
      <c r="F102" s="42" t="n">
        <v>88</v>
      </c>
      <c r="G102" s="42" t="n">
        <v>90</v>
      </c>
      <c r="H102" s="42"/>
      <c r="I102" s="42"/>
      <c r="J102" s="42" t="s">
        <v>1992</v>
      </c>
      <c r="K102" s="42" t="s">
        <v>786</v>
      </c>
    </row>
    <row r="103" customFormat="false" ht="15" hidden="false" customHeight="true" outlineLevel="0" collapsed="false">
      <c r="A103" s="42" t="s">
        <v>2093</v>
      </c>
      <c r="B103" s="42" t="s">
        <v>852</v>
      </c>
      <c r="C103" s="42" t="s">
        <v>853</v>
      </c>
      <c r="D103" s="42" t="s">
        <v>1556</v>
      </c>
      <c r="E103" s="42" t="n">
        <v>78</v>
      </c>
      <c r="F103" s="42" t="n">
        <v>73</v>
      </c>
      <c r="G103" s="42" t="n">
        <v>75</v>
      </c>
      <c r="H103" s="42"/>
      <c r="I103" s="42"/>
      <c r="J103" s="42" t="s">
        <v>2012</v>
      </c>
      <c r="K103" s="42" t="s">
        <v>786</v>
      </c>
    </row>
    <row r="104" customFormat="false" ht="15" hidden="false" customHeight="true" outlineLevel="0" collapsed="false">
      <c r="A104" s="42" t="s">
        <v>2094</v>
      </c>
      <c r="B104" s="42" t="s">
        <v>857</v>
      </c>
      <c r="C104" s="42" t="s">
        <v>858</v>
      </c>
      <c r="D104" s="42" t="s">
        <v>1543</v>
      </c>
      <c r="E104" s="42" t="n">
        <v>95</v>
      </c>
      <c r="F104" s="42" t="n">
        <v>90</v>
      </c>
      <c r="G104" s="42" t="n">
        <v>92</v>
      </c>
      <c r="H104" s="42"/>
      <c r="I104" s="42"/>
      <c r="J104" s="42" t="s">
        <v>1992</v>
      </c>
      <c r="K104" s="42" t="s">
        <v>786</v>
      </c>
    </row>
    <row r="105" customFormat="false" ht="15" hidden="false" customHeight="true" outlineLevel="0" collapsed="false">
      <c r="A105" s="42" t="s">
        <v>2095</v>
      </c>
      <c r="B105" s="42" t="s">
        <v>862</v>
      </c>
      <c r="C105" s="42" t="s">
        <v>863</v>
      </c>
      <c r="D105" s="42" t="s">
        <v>1522</v>
      </c>
      <c r="E105" s="42" t="n">
        <v>89</v>
      </c>
      <c r="F105" s="42" t="n">
        <v>84</v>
      </c>
      <c r="G105" s="42" t="n">
        <v>86</v>
      </c>
      <c r="H105" s="42"/>
      <c r="I105" s="42"/>
      <c r="J105" s="42" t="s">
        <v>1988</v>
      </c>
      <c r="K105" s="42" t="s">
        <v>786</v>
      </c>
    </row>
    <row r="106" customFormat="false" ht="15" hidden="false" customHeight="true" outlineLevel="0" collapsed="false">
      <c r="A106" s="42" t="s">
        <v>2096</v>
      </c>
      <c r="B106" s="42" t="s">
        <v>867</v>
      </c>
      <c r="C106" s="42" t="s">
        <v>868</v>
      </c>
      <c r="D106" s="42" t="s">
        <v>1543</v>
      </c>
      <c r="E106" s="42" t="n">
        <v>94</v>
      </c>
      <c r="F106" s="42" t="n">
        <v>89</v>
      </c>
      <c r="G106" s="42" t="n">
        <v>91</v>
      </c>
      <c r="H106" s="42"/>
      <c r="I106" s="42"/>
      <c r="J106" s="42" t="s">
        <v>1992</v>
      </c>
      <c r="K106" s="42" t="s">
        <v>786</v>
      </c>
    </row>
    <row r="107" customFormat="false" ht="15" hidden="false" customHeight="true" outlineLevel="0" collapsed="false">
      <c r="A107" s="42" t="s">
        <v>2097</v>
      </c>
      <c r="B107" s="42" t="s">
        <v>874</v>
      </c>
      <c r="C107" s="42" t="s">
        <v>875</v>
      </c>
      <c r="D107" s="42" t="s">
        <v>1535</v>
      </c>
      <c r="E107" s="42" t="n">
        <v>88</v>
      </c>
      <c r="F107" s="42" t="n">
        <v>83</v>
      </c>
      <c r="G107" s="42" t="n">
        <v>85</v>
      </c>
      <c r="H107" s="42"/>
      <c r="I107" s="42"/>
      <c r="J107" s="42" t="s">
        <v>1988</v>
      </c>
      <c r="K107" s="42" t="s">
        <v>786</v>
      </c>
    </row>
    <row r="108" customFormat="false" ht="15" hidden="false" customHeight="true" outlineLevel="0" collapsed="false">
      <c r="A108" s="42" t="s">
        <v>2098</v>
      </c>
      <c r="B108" s="42" t="s">
        <v>879</v>
      </c>
      <c r="C108" s="42" t="s">
        <v>880</v>
      </c>
      <c r="D108" s="42" t="s">
        <v>1516</v>
      </c>
      <c r="E108" s="42" t="n">
        <v>91</v>
      </c>
      <c r="F108" s="42" t="n">
        <v>86</v>
      </c>
      <c r="G108" s="42" t="n">
        <v>88</v>
      </c>
      <c r="H108" s="42"/>
      <c r="I108" s="42"/>
      <c r="J108" s="42" t="s">
        <v>1992</v>
      </c>
      <c r="K108" s="42" t="s">
        <v>786</v>
      </c>
    </row>
    <row r="109" customFormat="false" ht="15" hidden="false" customHeight="true" outlineLevel="0" collapsed="false">
      <c r="A109" s="42" t="s">
        <v>2099</v>
      </c>
      <c r="B109" s="42" t="s">
        <v>884</v>
      </c>
      <c r="C109" s="42" t="s">
        <v>885</v>
      </c>
      <c r="D109" s="42" t="s">
        <v>1556</v>
      </c>
      <c r="E109" s="42" t="n">
        <v>80</v>
      </c>
      <c r="F109" s="42" t="n">
        <v>75</v>
      </c>
      <c r="G109" s="42" t="n">
        <v>77</v>
      </c>
      <c r="H109" s="42"/>
      <c r="I109" s="42"/>
      <c r="J109" s="42" t="s">
        <v>2012</v>
      </c>
      <c r="K109" s="42" t="s">
        <v>786</v>
      </c>
    </row>
    <row r="110" customFormat="false" ht="15" hidden="false" customHeight="true" outlineLevel="0" collapsed="false">
      <c r="A110" s="42" t="s">
        <v>2100</v>
      </c>
      <c r="B110" s="42" t="s">
        <v>890</v>
      </c>
      <c r="C110" s="42" t="s">
        <v>891</v>
      </c>
      <c r="D110" s="42" t="s">
        <v>1529</v>
      </c>
      <c r="E110" s="42" t="n">
        <v>92</v>
      </c>
      <c r="F110" s="42" t="n">
        <v>87</v>
      </c>
      <c r="G110" s="42" t="n">
        <v>89</v>
      </c>
      <c r="H110" s="42"/>
      <c r="I110" s="42"/>
      <c r="J110" s="42" t="s">
        <v>1992</v>
      </c>
      <c r="K110" s="42" t="s">
        <v>786</v>
      </c>
    </row>
    <row r="111" customFormat="false" ht="15" hidden="false" customHeight="true" outlineLevel="0" collapsed="false">
      <c r="A111" s="42" t="s">
        <v>2101</v>
      </c>
      <c r="B111" s="42" t="s">
        <v>896</v>
      </c>
      <c r="C111" s="42" t="s">
        <v>897</v>
      </c>
      <c r="D111" s="42" t="s">
        <v>1543</v>
      </c>
      <c r="E111" s="42" t="n">
        <v>94</v>
      </c>
      <c r="F111" s="42" t="n">
        <v>89</v>
      </c>
      <c r="G111" s="42" t="n">
        <v>91</v>
      </c>
      <c r="H111" s="42"/>
      <c r="I111" s="42"/>
      <c r="J111" s="42" t="s">
        <v>1992</v>
      </c>
      <c r="K111" s="42" t="s">
        <v>786</v>
      </c>
    </row>
    <row r="112" customFormat="false" ht="15" hidden="false" customHeight="true" outlineLevel="0" collapsed="false">
      <c r="A112" s="42" t="s">
        <v>2102</v>
      </c>
      <c r="B112" s="42" t="s">
        <v>900</v>
      </c>
      <c r="C112" s="42" t="s">
        <v>901</v>
      </c>
      <c r="D112" s="42" t="s">
        <v>1522</v>
      </c>
      <c r="E112" s="42" t="n">
        <v>87</v>
      </c>
      <c r="F112" s="42" t="n">
        <v>82</v>
      </c>
      <c r="G112" s="42" t="n">
        <v>84</v>
      </c>
      <c r="H112" s="42" t="n">
        <v>82</v>
      </c>
      <c r="I112" s="42" t="n">
        <v>84</v>
      </c>
      <c r="J112" s="42" t="s">
        <v>1988</v>
      </c>
      <c r="K112" s="42" t="s">
        <v>786</v>
      </c>
    </row>
    <row r="113" customFormat="false" ht="15" hidden="false" customHeight="true" outlineLevel="0" collapsed="false">
      <c r="A113" s="42" t="s">
        <v>2103</v>
      </c>
      <c r="B113" s="42" t="s">
        <v>904</v>
      </c>
      <c r="C113" s="42" t="s">
        <v>905</v>
      </c>
      <c r="D113" s="42" t="s">
        <v>1556</v>
      </c>
      <c r="E113" s="42" t="n">
        <v>92</v>
      </c>
      <c r="F113" s="42" t="n">
        <v>87</v>
      </c>
      <c r="G113" s="42" t="n">
        <v>89</v>
      </c>
      <c r="H113" s="42"/>
      <c r="I113" s="42"/>
      <c r="J113" s="42" t="s">
        <v>1992</v>
      </c>
      <c r="K113" s="42" t="s">
        <v>786</v>
      </c>
    </row>
    <row r="114" customFormat="false" ht="15" hidden="false" customHeight="true" outlineLevel="0" collapsed="false">
      <c r="A114" s="42" t="s">
        <v>2104</v>
      </c>
      <c r="B114" s="42" t="s">
        <v>909</v>
      </c>
      <c r="C114" s="42" t="s">
        <v>910</v>
      </c>
      <c r="D114" s="42" t="s">
        <v>1529</v>
      </c>
      <c r="E114" s="42" t="n">
        <v>94</v>
      </c>
      <c r="F114" s="42" t="n">
        <v>89</v>
      </c>
      <c r="G114" s="42" t="n">
        <v>91</v>
      </c>
      <c r="H114" s="42"/>
      <c r="I114" s="42"/>
      <c r="J114" s="42" t="s">
        <v>1992</v>
      </c>
      <c r="K114" s="42" t="s">
        <v>786</v>
      </c>
    </row>
    <row r="115" customFormat="false" ht="15" hidden="false" customHeight="true" outlineLevel="0" collapsed="false">
      <c r="A115" s="42" t="s">
        <v>2105</v>
      </c>
      <c r="B115" s="42" t="s">
        <v>913</v>
      </c>
      <c r="C115" s="42" t="s">
        <v>914</v>
      </c>
      <c r="D115" s="42" t="s">
        <v>1570</v>
      </c>
      <c r="E115" s="42" t="n">
        <v>95</v>
      </c>
      <c r="F115" s="42" t="n">
        <v>90</v>
      </c>
      <c r="G115" s="42" t="n">
        <v>92</v>
      </c>
      <c r="H115" s="42"/>
      <c r="I115" s="42"/>
      <c r="J115" s="42" t="s">
        <v>1992</v>
      </c>
      <c r="K115" s="42" t="s">
        <v>786</v>
      </c>
    </row>
    <row r="116" customFormat="false" ht="15" hidden="false" customHeight="true" outlineLevel="0" collapsed="false">
      <c r="A116" s="42" t="s">
        <v>2106</v>
      </c>
      <c r="B116" s="42" t="s">
        <v>923</v>
      </c>
      <c r="C116" s="42" t="s">
        <v>924</v>
      </c>
      <c r="D116" s="42" t="s">
        <v>1570</v>
      </c>
      <c r="E116" s="42" t="n">
        <v>91</v>
      </c>
      <c r="F116" s="42" t="n">
        <v>86</v>
      </c>
      <c r="G116" s="42" t="n">
        <v>88</v>
      </c>
      <c r="H116" s="42"/>
      <c r="I116" s="42"/>
      <c r="J116" s="42" t="s">
        <v>1988</v>
      </c>
      <c r="K116" s="42" t="s">
        <v>786</v>
      </c>
    </row>
    <row r="117" customFormat="false" ht="15" hidden="false" customHeight="true" outlineLevel="0" collapsed="false">
      <c r="A117" s="42" t="s">
        <v>2107</v>
      </c>
      <c r="B117" s="42" t="s">
        <v>930</v>
      </c>
      <c r="C117" s="42" t="s">
        <v>931</v>
      </c>
      <c r="D117" s="42" t="s">
        <v>1570</v>
      </c>
      <c r="E117" s="42" t="n">
        <v>94</v>
      </c>
      <c r="F117" s="42" t="n">
        <v>89</v>
      </c>
      <c r="G117" s="42" t="n">
        <v>91</v>
      </c>
      <c r="H117" s="42" t="n">
        <v>94</v>
      </c>
      <c r="I117" s="42" t="n">
        <v>92</v>
      </c>
      <c r="J117" s="42" t="s">
        <v>1992</v>
      </c>
      <c r="K117" s="42" t="s">
        <v>786</v>
      </c>
    </row>
    <row r="118" customFormat="false" ht="15" hidden="false" customHeight="true" outlineLevel="0" collapsed="false">
      <c r="A118" s="42" t="s">
        <v>2108</v>
      </c>
      <c r="B118" s="42" t="s">
        <v>937</v>
      </c>
      <c r="C118" s="42" t="s">
        <v>938</v>
      </c>
      <c r="D118" s="42" t="s">
        <v>1570</v>
      </c>
      <c r="E118" s="42" t="n">
        <v>85</v>
      </c>
      <c r="F118" s="42" t="n">
        <v>80</v>
      </c>
      <c r="G118" s="42" t="n">
        <v>82</v>
      </c>
      <c r="H118" s="42"/>
      <c r="I118" s="42"/>
      <c r="J118" s="42" t="s">
        <v>1988</v>
      </c>
      <c r="K118" s="42" t="s">
        <v>786</v>
      </c>
    </row>
    <row r="119" customFormat="false" ht="15" hidden="false" customHeight="true" outlineLevel="0" collapsed="false">
      <c r="A119" s="42" t="s">
        <v>2109</v>
      </c>
      <c r="B119" s="42" t="s">
        <v>945</v>
      </c>
      <c r="C119" s="42" t="s">
        <v>946</v>
      </c>
      <c r="D119" s="42" t="s">
        <v>1570</v>
      </c>
      <c r="E119" s="42" t="n">
        <v>93</v>
      </c>
      <c r="F119" s="42" t="n">
        <v>88</v>
      </c>
      <c r="G119" s="42" t="n">
        <v>90</v>
      </c>
      <c r="H119" s="42"/>
      <c r="I119" s="42"/>
      <c r="J119" s="42" t="s">
        <v>1992</v>
      </c>
      <c r="K119" s="42" t="s">
        <v>786</v>
      </c>
    </row>
    <row r="120" customFormat="false" ht="15" hidden="false" customHeight="true" outlineLevel="0" collapsed="false">
      <c r="A120" s="42" t="s">
        <v>2110</v>
      </c>
      <c r="B120" s="42" t="s">
        <v>952</v>
      </c>
      <c r="C120" s="42" t="s">
        <v>953</v>
      </c>
      <c r="D120" s="42" t="s">
        <v>1570</v>
      </c>
      <c r="E120" s="42" t="n">
        <v>90</v>
      </c>
      <c r="F120" s="42" t="n">
        <v>85</v>
      </c>
      <c r="G120" s="42" t="n">
        <v>87</v>
      </c>
      <c r="H120" s="42"/>
      <c r="I120" s="42"/>
      <c r="J120" s="42" t="s">
        <v>1988</v>
      </c>
      <c r="K120" s="42" t="s">
        <v>786</v>
      </c>
    </row>
    <row r="121" customFormat="false" ht="15" hidden="false" customHeight="true" outlineLevel="0" collapsed="false">
      <c r="A121" s="42" t="s">
        <v>2111</v>
      </c>
      <c r="B121" s="42" t="s">
        <v>958</v>
      </c>
      <c r="C121" s="42" t="s">
        <v>959</v>
      </c>
      <c r="D121" s="42" t="s">
        <v>1572</v>
      </c>
      <c r="E121" s="42" t="n">
        <v>96</v>
      </c>
      <c r="F121" s="42" t="n">
        <v>91</v>
      </c>
      <c r="G121" s="42" t="n">
        <v>93</v>
      </c>
      <c r="H121" s="42"/>
      <c r="I121" s="42"/>
      <c r="J121" s="42" t="s">
        <v>1992</v>
      </c>
      <c r="K121" s="42" t="s">
        <v>786</v>
      </c>
    </row>
    <row r="122" customFormat="false" ht="15" hidden="false" customHeight="true" outlineLevel="0" collapsed="false">
      <c r="A122" s="42" t="s">
        <v>2112</v>
      </c>
      <c r="B122" s="42" t="s">
        <v>966</v>
      </c>
      <c r="C122" s="42" t="s">
        <v>967</v>
      </c>
      <c r="D122" s="42" t="s">
        <v>1572</v>
      </c>
      <c r="E122" s="42" t="n">
        <v>92</v>
      </c>
      <c r="F122" s="42" t="n">
        <v>87</v>
      </c>
      <c r="G122" s="42" t="n">
        <v>89</v>
      </c>
      <c r="H122" s="42"/>
      <c r="I122" s="42"/>
      <c r="J122" s="42" t="s">
        <v>1992</v>
      </c>
      <c r="K122" s="42" t="s">
        <v>786</v>
      </c>
    </row>
    <row r="123" customFormat="false" ht="15" hidden="false" customHeight="true" outlineLevel="0" collapsed="false">
      <c r="A123" s="42" t="s">
        <v>2113</v>
      </c>
      <c r="B123" s="42" t="s">
        <v>975</v>
      </c>
      <c r="C123" s="42" t="s">
        <v>976</v>
      </c>
      <c r="D123" s="42" t="s">
        <v>1572</v>
      </c>
      <c r="E123" s="42" t="n">
        <v>93</v>
      </c>
      <c r="F123" s="42" t="n">
        <v>88</v>
      </c>
      <c r="G123" s="42" t="n">
        <v>90</v>
      </c>
      <c r="H123" s="42"/>
      <c r="I123" s="42"/>
      <c r="J123" s="42" t="s">
        <v>1992</v>
      </c>
      <c r="K123" s="42" t="s">
        <v>786</v>
      </c>
    </row>
    <row r="124" customFormat="false" ht="15" hidden="false" customHeight="true" outlineLevel="0" collapsed="false">
      <c r="A124" s="42" t="s">
        <v>2114</v>
      </c>
      <c r="B124" s="42" t="s">
        <v>983</v>
      </c>
      <c r="C124" s="42" t="s">
        <v>984</v>
      </c>
      <c r="D124" s="42" t="s">
        <v>1572</v>
      </c>
      <c r="E124" s="42" t="n">
        <v>90</v>
      </c>
      <c r="F124" s="42" t="n">
        <v>85</v>
      </c>
      <c r="G124" s="42" t="n">
        <v>87</v>
      </c>
      <c r="H124" s="42" t="n">
        <v>85</v>
      </c>
      <c r="I124" s="42" t="n">
        <v>87</v>
      </c>
      <c r="J124" s="42" t="s">
        <v>1988</v>
      </c>
      <c r="K124" s="42" t="s">
        <v>786</v>
      </c>
    </row>
    <row r="125" customFormat="false" ht="15" hidden="false" customHeight="true" outlineLevel="0" collapsed="false">
      <c r="A125" s="42" t="s">
        <v>2115</v>
      </c>
      <c r="B125" s="42" t="s">
        <v>990</v>
      </c>
      <c r="C125" s="42" t="s">
        <v>991</v>
      </c>
      <c r="D125" s="42" t="s">
        <v>1572</v>
      </c>
      <c r="E125" s="42" t="n">
        <v>97</v>
      </c>
      <c r="F125" s="42" t="n">
        <v>92</v>
      </c>
      <c r="G125" s="42" t="n">
        <v>94</v>
      </c>
      <c r="H125" s="42" t="n">
        <v>97</v>
      </c>
      <c r="I125" s="42" t="n">
        <v>95</v>
      </c>
      <c r="J125" s="42" t="s">
        <v>1992</v>
      </c>
      <c r="K125" s="42" t="s">
        <v>786</v>
      </c>
    </row>
    <row r="126" customFormat="false" ht="15" hidden="false" customHeight="true" outlineLevel="0" collapsed="false">
      <c r="A126" s="42" t="s">
        <v>2116</v>
      </c>
      <c r="B126" s="42" t="s">
        <v>997</v>
      </c>
      <c r="C126" s="42" t="s">
        <v>998</v>
      </c>
      <c r="D126" s="42" t="s">
        <v>1572</v>
      </c>
      <c r="E126" s="42" t="n">
        <v>92</v>
      </c>
      <c r="F126" s="42" t="n">
        <v>87</v>
      </c>
      <c r="G126" s="42" t="n">
        <v>89</v>
      </c>
      <c r="H126" s="42"/>
      <c r="I126" s="42"/>
      <c r="J126" s="42" t="s">
        <v>1992</v>
      </c>
      <c r="K126" s="42" t="s">
        <v>786</v>
      </c>
    </row>
    <row r="127" customFormat="false" ht="15" hidden="false" customHeight="true" outlineLevel="0" collapsed="false">
      <c r="A127" s="42" t="s">
        <v>2117</v>
      </c>
      <c r="B127" s="42" t="s">
        <v>1003</v>
      </c>
      <c r="C127" s="42" t="s">
        <v>1004</v>
      </c>
      <c r="D127" s="42" t="s">
        <v>1580</v>
      </c>
      <c r="E127" s="42" t="n">
        <v>95</v>
      </c>
      <c r="F127" s="42" t="n">
        <v>90</v>
      </c>
      <c r="G127" s="42" t="n">
        <v>92</v>
      </c>
      <c r="H127" s="42"/>
      <c r="I127" s="42"/>
      <c r="J127" s="42" t="s">
        <v>1992</v>
      </c>
      <c r="K127" s="42" t="s">
        <v>786</v>
      </c>
    </row>
    <row r="128" customFormat="false" ht="15" hidden="false" customHeight="true" outlineLevel="0" collapsed="false">
      <c r="A128" s="42" t="s">
        <v>2118</v>
      </c>
      <c r="B128" s="42" t="s">
        <v>1012</v>
      </c>
      <c r="C128" s="42" t="s">
        <v>1013</v>
      </c>
      <c r="D128" s="42" t="s">
        <v>1580</v>
      </c>
      <c r="E128" s="42" t="n">
        <v>96</v>
      </c>
      <c r="F128" s="42" t="n">
        <v>91</v>
      </c>
      <c r="G128" s="42" t="n">
        <v>93</v>
      </c>
      <c r="H128" s="42"/>
      <c r="I128" s="42"/>
      <c r="J128" s="42" t="s">
        <v>1992</v>
      </c>
      <c r="K128" s="42" t="s">
        <v>786</v>
      </c>
    </row>
    <row r="129" customFormat="false" ht="15" hidden="false" customHeight="true" outlineLevel="0" collapsed="false">
      <c r="A129" s="42" t="s">
        <v>2119</v>
      </c>
      <c r="B129" s="42" t="s">
        <v>1020</v>
      </c>
      <c r="C129" s="42" t="s">
        <v>1021</v>
      </c>
      <c r="D129" s="42" t="s">
        <v>1580</v>
      </c>
      <c r="E129" s="42" t="n">
        <v>94</v>
      </c>
      <c r="F129" s="42" t="n">
        <v>89</v>
      </c>
      <c r="G129" s="42" t="n">
        <v>91</v>
      </c>
      <c r="H129" s="42"/>
      <c r="I129" s="42"/>
      <c r="J129" s="42" t="s">
        <v>1992</v>
      </c>
      <c r="K129" s="42" t="s">
        <v>786</v>
      </c>
    </row>
    <row r="130" customFormat="false" ht="15" hidden="false" customHeight="true" outlineLevel="0" collapsed="false">
      <c r="A130" s="42" t="s">
        <v>2120</v>
      </c>
      <c r="B130" s="42" t="s">
        <v>1028</v>
      </c>
      <c r="C130" s="42" t="s">
        <v>1029</v>
      </c>
      <c r="D130" s="42" t="s">
        <v>1580</v>
      </c>
      <c r="E130" s="42" t="n">
        <v>92</v>
      </c>
      <c r="F130" s="42" t="n">
        <v>87</v>
      </c>
      <c r="G130" s="42" t="n">
        <v>89</v>
      </c>
      <c r="H130" s="42"/>
      <c r="I130" s="42"/>
      <c r="J130" s="42" t="s">
        <v>1992</v>
      </c>
      <c r="K130" s="42" t="s">
        <v>786</v>
      </c>
    </row>
    <row r="131" customFormat="false" ht="15" hidden="false" customHeight="true" outlineLevel="0" collapsed="false">
      <c r="A131" s="42" t="s">
        <v>2121</v>
      </c>
      <c r="B131" s="42" t="s">
        <v>1035</v>
      </c>
      <c r="C131" s="42" t="s">
        <v>1036</v>
      </c>
      <c r="D131" s="42" t="s">
        <v>1398</v>
      </c>
      <c r="E131" s="42" t="n">
        <v>93</v>
      </c>
      <c r="F131" s="42" t="n">
        <v>88</v>
      </c>
      <c r="G131" s="42" t="n">
        <v>90</v>
      </c>
      <c r="H131" s="42" t="n">
        <v>93</v>
      </c>
      <c r="I131" s="42" t="n">
        <v>91</v>
      </c>
      <c r="J131" s="42" t="s">
        <v>1992</v>
      </c>
      <c r="K131" s="42" t="s">
        <v>62</v>
      </c>
    </row>
    <row r="132" customFormat="false" ht="15" hidden="false" customHeight="true" outlineLevel="0" collapsed="false">
      <c r="A132" s="42" t="s">
        <v>2122</v>
      </c>
      <c r="B132" s="42" t="s">
        <v>1040</v>
      </c>
      <c r="C132" s="42" t="s">
        <v>1041</v>
      </c>
      <c r="D132" s="42" t="s">
        <v>1405</v>
      </c>
      <c r="E132" s="42" t="n">
        <v>93</v>
      </c>
      <c r="F132" s="42" t="n">
        <v>88</v>
      </c>
      <c r="G132" s="42" t="n">
        <v>90</v>
      </c>
      <c r="H132" s="42" t="n">
        <v>93</v>
      </c>
      <c r="I132" s="42" t="n">
        <v>91</v>
      </c>
      <c r="J132" s="42" t="s">
        <v>1992</v>
      </c>
      <c r="K132" s="42" t="s">
        <v>62</v>
      </c>
    </row>
    <row r="133" customFormat="false" ht="15" hidden="false" customHeight="true" outlineLevel="0" collapsed="false">
      <c r="A133" s="42" t="s">
        <v>2123</v>
      </c>
      <c r="B133" s="42" t="s">
        <v>1048</v>
      </c>
      <c r="C133" s="42" t="s">
        <v>1049</v>
      </c>
      <c r="D133" s="42" t="s">
        <v>1440</v>
      </c>
      <c r="E133" s="42" t="n">
        <v>93</v>
      </c>
      <c r="F133" s="42" t="n">
        <v>88</v>
      </c>
      <c r="G133" s="42" t="n">
        <v>90</v>
      </c>
      <c r="H133" s="42" t="n">
        <v>93</v>
      </c>
      <c r="I133" s="42" t="n">
        <v>91</v>
      </c>
      <c r="J133" s="42" t="s">
        <v>1992</v>
      </c>
      <c r="K133" s="42" t="s">
        <v>62</v>
      </c>
    </row>
    <row r="134" customFormat="false" ht="15" hidden="false" customHeight="true" outlineLevel="0" collapsed="false">
      <c r="A134" s="42" t="s">
        <v>2124</v>
      </c>
      <c r="B134" s="42" t="s">
        <v>1057</v>
      </c>
      <c r="C134" s="42" t="s">
        <v>1036</v>
      </c>
      <c r="D134" s="42" t="s">
        <v>1449</v>
      </c>
      <c r="E134" s="42" t="n">
        <v>93</v>
      </c>
      <c r="F134" s="42" t="n">
        <v>88</v>
      </c>
      <c r="G134" s="42" t="n">
        <v>90</v>
      </c>
      <c r="H134" s="42" t="n">
        <v>93</v>
      </c>
      <c r="I134" s="42" t="n">
        <v>91</v>
      </c>
      <c r="J134" s="42" t="s">
        <v>1992</v>
      </c>
      <c r="K134" s="42" t="s">
        <v>484</v>
      </c>
    </row>
    <row r="135" customFormat="false" ht="15" hidden="false" customHeight="true" outlineLevel="0" collapsed="false">
      <c r="A135" s="42" t="s">
        <v>2125</v>
      </c>
      <c r="B135" s="42" t="s">
        <v>1060</v>
      </c>
      <c r="C135" s="42" t="s">
        <v>1041</v>
      </c>
      <c r="D135" s="42" t="s">
        <v>1500</v>
      </c>
      <c r="E135" s="42" t="n">
        <v>93</v>
      </c>
      <c r="F135" s="42" t="n">
        <v>88</v>
      </c>
      <c r="G135" s="42" t="n">
        <v>90</v>
      </c>
      <c r="H135" s="42" t="n">
        <v>93</v>
      </c>
      <c r="I135" s="42" t="n">
        <v>91</v>
      </c>
      <c r="J135" s="42" t="s">
        <v>1992</v>
      </c>
      <c r="K135" s="42" t="s">
        <v>484</v>
      </c>
    </row>
    <row r="136" customFormat="false" ht="15" hidden="false" customHeight="true" outlineLevel="0" collapsed="false">
      <c r="A136" s="42" t="s">
        <v>2126</v>
      </c>
      <c r="B136" s="42" t="s">
        <v>1063</v>
      </c>
      <c r="C136" s="42" t="s">
        <v>1049</v>
      </c>
      <c r="D136" s="42" t="s">
        <v>1512</v>
      </c>
      <c r="E136" s="42" t="n">
        <v>93</v>
      </c>
      <c r="F136" s="42" t="n">
        <v>88</v>
      </c>
      <c r="G136" s="42" t="n">
        <v>90</v>
      </c>
      <c r="H136" s="42" t="n">
        <v>93</v>
      </c>
      <c r="I136" s="42" t="n">
        <v>91</v>
      </c>
      <c r="J136" s="42" t="s">
        <v>1992</v>
      </c>
      <c r="K136" s="42" t="s">
        <v>484</v>
      </c>
    </row>
    <row r="137" customFormat="false" ht="15" hidden="false" customHeight="true" outlineLevel="0" collapsed="false">
      <c r="A137" s="42" t="s">
        <v>2127</v>
      </c>
      <c r="B137" s="42" t="s">
        <v>1066</v>
      </c>
      <c r="C137" s="42" t="s">
        <v>1036</v>
      </c>
      <c r="D137" s="42" t="s">
        <v>1543</v>
      </c>
      <c r="E137" s="42" t="n">
        <v>93</v>
      </c>
      <c r="F137" s="42" t="n">
        <v>88</v>
      </c>
      <c r="G137" s="42" t="n">
        <v>90</v>
      </c>
      <c r="H137" s="42" t="n">
        <v>93</v>
      </c>
      <c r="I137" s="42" t="n">
        <v>91</v>
      </c>
      <c r="J137" s="42" t="s">
        <v>1992</v>
      </c>
      <c r="K137" s="42" t="s">
        <v>786</v>
      </c>
    </row>
    <row r="138" customFormat="false" ht="15" hidden="false" customHeight="true" outlineLevel="0" collapsed="false">
      <c r="A138" s="42" t="s">
        <v>2128</v>
      </c>
      <c r="B138" s="42" t="s">
        <v>1068</v>
      </c>
      <c r="C138" s="42" t="s">
        <v>1041</v>
      </c>
      <c r="D138" s="42" t="s">
        <v>1570</v>
      </c>
      <c r="E138" s="42" t="n">
        <v>93</v>
      </c>
      <c r="F138" s="42" t="n">
        <v>88</v>
      </c>
      <c r="G138" s="42" t="n">
        <v>90</v>
      </c>
      <c r="H138" s="42" t="n">
        <v>93</v>
      </c>
      <c r="I138" s="42" t="n">
        <v>91</v>
      </c>
      <c r="J138" s="42" t="s">
        <v>1992</v>
      </c>
      <c r="K138" s="42" t="s">
        <v>786</v>
      </c>
    </row>
    <row r="139" customFormat="false" ht="15" hidden="false" customHeight="true" outlineLevel="0" collapsed="false">
      <c r="A139" s="42" t="s">
        <v>2129</v>
      </c>
      <c r="B139" s="42" t="s">
        <v>1070</v>
      </c>
      <c r="C139" s="42" t="s">
        <v>1049</v>
      </c>
      <c r="D139" s="42" t="s">
        <v>1580</v>
      </c>
      <c r="E139" s="42" t="n">
        <v>93</v>
      </c>
      <c r="F139" s="42" t="n">
        <v>88</v>
      </c>
      <c r="G139" s="42" t="n">
        <v>90</v>
      </c>
      <c r="H139" s="42" t="n">
        <v>93</v>
      </c>
      <c r="I139" s="42" t="n">
        <v>91</v>
      </c>
      <c r="J139" s="42" t="s">
        <v>1992</v>
      </c>
      <c r="K139" s="42" t="s">
        <v>786</v>
      </c>
    </row>
    <row r="140" customFormat="false" ht="15" hidden="false" customHeight="true" outlineLevel="0" collapsed="false">
      <c r="A140" s="46" t="s">
        <v>2130</v>
      </c>
      <c r="B140" s="46" t="s">
        <v>1072</v>
      </c>
      <c r="C140" s="46" t="s">
        <v>1073</v>
      </c>
      <c r="D140" s="46" t="s">
        <v>1321</v>
      </c>
      <c r="E140" s="47" t="n">
        <v>80</v>
      </c>
      <c r="F140" s="47" t="n">
        <v>83</v>
      </c>
      <c r="G140" s="47" t="n">
        <v>87</v>
      </c>
      <c r="H140" s="47"/>
      <c r="I140" s="47"/>
      <c r="J140" s="47" t="s">
        <v>1988</v>
      </c>
      <c r="K140" s="46" t="s">
        <v>62</v>
      </c>
    </row>
    <row r="141" customFormat="false" ht="15" hidden="false" customHeight="true" outlineLevel="0" collapsed="false">
      <c r="A141" s="46" t="s">
        <v>2131</v>
      </c>
      <c r="B141" s="46" t="s">
        <v>1072</v>
      </c>
      <c r="C141" s="46" t="s">
        <v>1073</v>
      </c>
      <c r="D141" s="46" t="s">
        <v>1382</v>
      </c>
      <c r="E141" s="47" t="n">
        <v>88</v>
      </c>
      <c r="F141" s="47" t="n">
        <v>81</v>
      </c>
      <c r="G141" s="47" t="n">
        <v>85</v>
      </c>
      <c r="H141" s="47"/>
      <c r="I141" s="47"/>
      <c r="J141" s="47" t="s">
        <v>1992</v>
      </c>
      <c r="K141" s="46" t="s">
        <v>62</v>
      </c>
    </row>
    <row r="142" customFormat="false" ht="15" hidden="false" customHeight="true" outlineLevel="0" collapsed="false">
      <c r="A142" s="46" t="s">
        <v>2132</v>
      </c>
      <c r="B142" s="46" t="s">
        <v>1078</v>
      </c>
      <c r="C142" s="46" t="s">
        <v>1079</v>
      </c>
      <c r="D142" s="46" t="s">
        <v>1330</v>
      </c>
      <c r="E142" s="47" t="n">
        <v>60</v>
      </c>
      <c r="F142" s="47" t="n">
        <v>52</v>
      </c>
      <c r="G142" s="47" t="n">
        <v>57</v>
      </c>
      <c r="H142" s="47"/>
      <c r="I142" s="47"/>
      <c r="J142" s="47" t="s">
        <v>2012</v>
      </c>
      <c r="K142" s="46" t="s">
        <v>62</v>
      </c>
    </row>
    <row r="143" customFormat="false" ht="15" hidden="false" customHeight="true" outlineLevel="0" collapsed="false">
      <c r="A143" s="46" t="s">
        <v>2133</v>
      </c>
      <c r="B143" s="46" t="s">
        <v>1078</v>
      </c>
      <c r="C143" s="46" t="s">
        <v>1079</v>
      </c>
      <c r="D143" s="46" t="s">
        <v>1391</v>
      </c>
      <c r="E143" s="47" t="n">
        <v>58</v>
      </c>
      <c r="F143" s="47" t="n">
        <v>63</v>
      </c>
      <c r="G143" s="47" t="n">
        <v>54</v>
      </c>
      <c r="H143" s="47"/>
      <c r="I143" s="47"/>
      <c r="J143" s="47" t="s">
        <v>2012</v>
      </c>
      <c r="K143" s="46" t="s">
        <v>62</v>
      </c>
    </row>
    <row r="144" customFormat="false" ht="15" hidden="false" customHeight="true" outlineLevel="0" collapsed="false">
      <c r="A144" s="46" t="s">
        <v>2134</v>
      </c>
      <c r="B144" s="46" t="s">
        <v>1082</v>
      </c>
      <c r="C144" s="46" t="s">
        <v>1083</v>
      </c>
      <c r="D144" s="46" t="s">
        <v>1357</v>
      </c>
      <c r="E144" s="47" t="n">
        <v>69</v>
      </c>
      <c r="F144" s="47" t="n">
        <v>73</v>
      </c>
      <c r="G144" s="47" t="n">
        <v>66</v>
      </c>
      <c r="H144" s="47"/>
      <c r="I144" s="47"/>
      <c r="J144" s="47" t="s">
        <v>2012</v>
      </c>
      <c r="K144" s="46" t="s">
        <v>62</v>
      </c>
    </row>
    <row r="145" customFormat="false" ht="15" hidden="false" customHeight="true" outlineLevel="0" collapsed="false">
      <c r="A145" s="46" t="s">
        <v>2135</v>
      </c>
      <c r="B145" s="46" t="s">
        <v>1082</v>
      </c>
      <c r="C145" s="46" t="s">
        <v>1083</v>
      </c>
      <c r="D145" s="46" t="s">
        <v>1401</v>
      </c>
      <c r="E145" s="47" t="n">
        <v>67</v>
      </c>
      <c r="F145" s="47" t="n">
        <v>71</v>
      </c>
      <c r="G145" s="47" t="n">
        <v>76</v>
      </c>
      <c r="H145" s="47"/>
      <c r="I145" s="47"/>
      <c r="J145" s="47" t="s">
        <v>1988</v>
      </c>
      <c r="K145" s="46" t="s">
        <v>62</v>
      </c>
    </row>
    <row r="146" customFormat="false" ht="15" hidden="false" customHeight="true" outlineLevel="0" collapsed="false">
      <c r="A146" s="46" t="s">
        <v>2136</v>
      </c>
      <c r="B146" s="46" t="s">
        <v>1089</v>
      </c>
      <c r="C146" s="46" t="s">
        <v>1090</v>
      </c>
      <c r="D146" s="46" t="s">
        <v>1347</v>
      </c>
      <c r="E146" s="47" t="n">
        <v>95</v>
      </c>
      <c r="F146" s="47" t="n">
        <v>90</v>
      </c>
      <c r="G146" s="47" t="n">
        <v>93</v>
      </c>
      <c r="H146" s="47"/>
      <c r="I146" s="47"/>
      <c r="J146" s="47" t="s">
        <v>1992</v>
      </c>
      <c r="K146" s="46" t="s">
        <v>62</v>
      </c>
    </row>
    <row r="147" customFormat="false" ht="15" hidden="false" customHeight="true" outlineLevel="0" collapsed="false">
      <c r="A147" s="46" t="s">
        <v>2137</v>
      </c>
      <c r="B147" s="46" t="s">
        <v>1089</v>
      </c>
      <c r="C147" s="46" t="s">
        <v>1090</v>
      </c>
      <c r="D147" s="46" t="s">
        <v>1401</v>
      </c>
      <c r="E147" s="47" t="n">
        <v>94</v>
      </c>
      <c r="F147" s="47" t="n">
        <v>89</v>
      </c>
      <c r="G147" s="47" t="n">
        <v>92</v>
      </c>
      <c r="H147" s="47"/>
      <c r="I147" s="47"/>
      <c r="J147" s="47" t="s">
        <v>1992</v>
      </c>
      <c r="K147" s="46" t="s">
        <v>62</v>
      </c>
    </row>
    <row r="148" customFormat="false" ht="15" hidden="false" customHeight="true" outlineLevel="0" collapsed="false">
      <c r="A148" s="46" t="s">
        <v>2138</v>
      </c>
      <c r="B148" s="46" t="s">
        <v>1094</v>
      </c>
      <c r="C148" s="46" t="s">
        <v>1095</v>
      </c>
      <c r="D148" s="46" t="s">
        <v>1361</v>
      </c>
      <c r="E148" s="47" t="n">
        <v>71</v>
      </c>
      <c r="F148" s="47" t="n">
        <v>76</v>
      </c>
      <c r="G148" s="47" t="n">
        <v>68</v>
      </c>
      <c r="H148" s="47"/>
      <c r="I148" s="47"/>
      <c r="J148" s="47" t="s">
        <v>1988</v>
      </c>
      <c r="K148" s="46" t="s">
        <v>62</v>
      </c>
    </row>
    <row r="149" customFormat="false" ht="15" hidden="false" customHeight="true" outlineLevel="0" collapsed="false">
      <c r="A149" s="46" t="s">
        <v>2139</v>
      </c>
      <c r="B149" s="46" t="s">
        <v>1094</v>
      </c>
      <c r="C149" s="46" t="s">
        <v>1095</v>
      </c>
      <c r="D149" s="46" t="s">
        <v>1401</v>
      </c>
      <c r="E149" s="47" t="n">
        <v>69</v>
      </c>
      <c r="F149" s="47" t="n">
        <v>73</v>
      </c>
      <c r="G149" s="47" t="n">
        <v>66</v>
      </c>
      <c r="H149" s="47"/>
      <c r="I149" s="47"/>
      <c r="J149" s="47" t="s">
        <v>2012</v>
      </c>
      <c r="K149" s="46" t="s">
        <v>62</v>
      </c>
    </row>
    <row r="150" customFormat="false" ht="15" hidden="false" customHeight="true" outlineLevel="0" collapsed="false">
      <c r="A150" s="46" t="s">
        <v>2140</v>
      </c>
      <c r="B150" s="46" t="s">
        <v>1099</v>
      </c>
      <c r="C150" s="46" t="s">
        <v>1100</v>
      </c>
      <c r="D150" s="46" t="s">
        <v>1334</v>
      </c>
      <c r="E150" s="47" t="n">
        <v>36</v>
      </c>
      <c r="F150" s="47" t="n">
        <v>42</v>
      </c>
      <c r="G150" s="47" t="n">
        <v>47</v>
      </c>
      <c r="H150" s="47"/>
      <c r="I150" s="47"/>
      <c r="J150" s="47" t="s">
        <v>1999</v>
      </c>
      <c r="K150" s="46" t="s">
        <v>62</v>
      </c>
    </row>
    <row r="151" customFormat="false" ht="15" hidden="false" customHeight="true" outlineLevel="0" collapsed="false">
      <c r="A151" s="46" t="s">
        <v>2141</v>
      </c>
      <c r="B151" s="46" t="s">
        <v>1099</v>
      </c>
      <c r="C151" s="46" t="s">
        <v>1100</v>
      </c>
      <c r="D151" s="46" t="s">
        <v>1330</v>
      </c>
      <c r="E151" s="47" t="n">
        <v>48</v>
      </c>
      <c r="F151" s="47" t="n">
        <v>39</v>
      </c>
      <c r="G151" s="47" t="n">
        <v>44</v>
      </c>
      <c r="H151" s="47"/>
      <c r="I151" s="47"/>
      <c r="J151" s="47" t="s">
        <v>1999</v>
      </c>
      <c r="K151" s="46" t="s">
        <v>62</v>
      </c>
    </row>
    <row r="152" customFormat="false" ht="15" hidden="false" customHeight="true" outlineLevel="0" collapsed="false">
      <c r="A152" s="46" t="s">
        <v>2142</v>
      </c>
      <c r="B152" s="46" t="s">
        <v>1104</v>
      </c>
      <c r="C152" s="46" t="s">
        <v>1105</v>
      </c>
      <c r="D152" s="46" t="s">
        <v>1338</v>
      </c>
      <c r="E152" s="47" t="n">
        <v>85</v>
      </c>
      <c r="F152" s="47" t="n">
        <v>79</v>
      </c>
      <c r="G152" s="47" t="n">
        <v>82</v>
      </c>
      <c r="H152" s="47"/>
      <c r="I152" s="47"/>
      <c r="J152" s="47" t="s">
        <v>1988</v>
      </c>
      <c r="K152" s="46" t="s">
        <v>62</v>
      </c>
    </row>
    <row r="153" customFormat="false" ht="15" hidden="false" customHeight="true" outlineLevel="0" collapsed="false">
      <c r="A153" s="46" t="s">
        <v>2143</v>
      </c>
      <c r="B153" s="46" t="s">
        <v>1104</v>
      </c>
      <c r="C153" s="46" t="s">
        <v>1105</v>
      </c>
      <c r="D153" s="46" t="s">
        <v>1342</v>
      </c>
      <c r="E153" s="47" t="n">
        <v>83</v>
      </c>
      <c r="F153" s="47" t="n">
        <v>87</v>
      </c>
      <c r="G153" s="47" t="n">
        <v>80</v>
      </c>
      <c r="H153" s="47"/>
      <c r="I153" s="47"/>
      <c r="J153" s="47" t="s">
        <v>1988</v>
      </c>
      <c r="K153" s="46" t="s">
        <v>62</v>
      </c>
    </row>
    <row r="154" customFormat="false" ht="15" hidden="false" customHeight="true" outlineLevel="0" collapsed="false">
      <c r="A154" s="46" t="s">
        <v>2144</v>
      </c>
      <c r="B154" s="46" t="s">
        <v>1110</v>
      </c>
      <c r="C154" s="46" t="s">
        <v>1111</v>
      </c>
      <c r="D154" s="46" t="s">
        <v>1382</v>
      </c>
      <c r="E154" s="47" t="n">
        <v>68</v>
      </c>
      <c r="F154" s="47" t="n">
        <v>73</v>
      </c>
      <c r="G154" s="47" t="n">
        <v>65</v>
      </c>
      <c r="H154" s="47"/>
      <c r="I154" s="47"/>
      <c r="J154" s="47" t="s">
        <v>2012</v>
      </c>
      <c r="K154" s="46" t="s">
        <v>62</v>
      </c>
    </row>
    <row r="155" customFormat="false" ht="15" hidden="false" customHeight="true" outlineLevel="0" collapsed="false">
      <c r="A155" s="46" t="s">
        <v>2145</v>
      </c>
      <c r="B155" s="46" t="s">
        <v>1110</v>
      </c>
      <c r="C155" s="46" t="s">
        <v>1111</v>
      </c>
      <c r="D155" s="46" t="s">
        <v>1326</v>
      </c>
      <c r="E155" s="47" t="n">
        <v>66</v>
      </c>
      <c r="F155" s="47" t="n">
        <v>71</v>
      </c>
      <c r="G155" s="47" t="n">
        <v>75</v>
      </c>
      <c r="H155" s="47"/>
      <c r="I155" s="47"/>
      <c r="J155" s="47" t="s">
        <v>1988</v>
      </c>
      <c r="K155" s="46" t="s">
        <v>62</v>
      </c>
    </row>
    <row r="156" customFormat="false" ht="15" hidden="false" customHeight="true" outlineLevel="0" collapsed="false">
      <c r="A156" s="46" t="s">
        <v>2146</v>
      </c>
      <c r="B156" s="46" t="s">
        <v>1115</v>
      </c>
      <c r="C156" s="46" t="s">
        <v>1116</v>
      </c>
      <c r="D156" s="46" t="s">
        <v>1357</v>
      </c>
      <c r="E156" s="47" t="n">
        <v>95</v>
      </c>
      <c r="F156" s="47" t="n">
        <v>90</v>
      </c>
      <c r="G156" s="47" t="n">
        <v>93</v>
      </c>
      <c r="H156" s="47" t="n">
        <v>93</v>
      </c>
      <c r="I156" s="47" t="n">
        <v>93</v>
      </c>
      <c r="J156" s="47" t="s">
        <v>1992</v>
      </c>
      <c r="K156" s="46" t="s">
        <v>62</v>
      </c>
    </row>
    <row r="157" customFormat="false" ht="15" hidden="false" customHeight="true" outlineLevel="0" collapsed="false">
      <c r="A157" s="46" t="s">
        <v>2147</v>
      </c>
      <c r="B157" s="46" t="s">
        <v>1115</v>
      </c>
      <c r="C157" s="46" t="s">
        <v>1116</v>
      </c>
      <c r="D157" s="46" t="s">
        <v>1401</v>
      </c>
      <c r="E157" s="47" t="n">
        <v>93</v>
      </c>
      <c r="F157" s="47" t="n">
        <v>88</v>
      </c>
      <c r="G157" s="47" t="n">
        <v>91</v>
      </c>
      <c r="H157" s="47" t="n">
        <v>91</v>
      </c>
      <c r="I157" s="47" t="n">
        <v>91</v>
      </c>
      <c r="J157" s="47" t="s">
        <v>1992</v>
      </c>
      <c r="K157" s="46" t="s">
        <v>62</v>
      </c>
    </row>
    <row r="158" customFormat="false" ht="15" hidden="false" customHeight="true" outlineLevel="0" collapsed="false">
      <c r="A158" s="46" t="s">
        <v>2148</v>
      </c>
      <c r="B158" s="46" t="s">
        <v>1120</v>
      </c>
      <c r="C158" s="46" t="s">
        <v>1121</v>
      </c>
      <c r="D158" s="46" t="s">
        <v>1373</v>
      </c>
      <c r="E158" s="47" t="n">
        <v>56</v>
      </c>
      <c r="F158" s="47" t="n">
        <v>62</v>
      </c>
      <c r="G158" s="47" t="n">
        <v>53</v>
      </c>
      <c r="H158" s="47"/>
      <c r="I158" s="47"/>
      <c r="J158" s="47" t="s">
        <v>2012</v>
      </c>
      <c r="K158" s="46" t="s">
        <v>62</v>
      </c>
    </row>
    <row r="159" customFormat="false" ht="15" hidden="false" customHeight="true" outlineLevel="0" collapsed="false">
      <c r="A159" s="46" t="s">
        <v>2149</v>
      </c>
      <c r="B159" s="46" t="s">
        <v>1120</v>
      </c>
      <c r="C159" s="46" t="s">
        <v>1121</v>
      </c>
      <c r="D159" s="46" t="s">
        <v>1378</v>
      </c>
      <c r="E159" s="47" t="n">
        <v>54</v>
      </c>
      <c r="F159" s="47" t="n">
        <v>59</v>
      </c>
      <c r="G159" s="47" t="n">
        <v>50</v>
      </c>
      <c r="H159" s="47"/>
      <c r="I159" s="47"/>
      <c r="J159" s="47" t="s">
        <v>1996</v>
      </c>
      <c r="K159" s="46" t="s">
        <v>62</v>
      </c>
    </row>
    <row r="160" customFormat="false" ht="15" hidden="false" customHeight="true" outlineLevel="0" collapsed="false">
      <c r="A160" s="46" t="s">
        <v>2150</v>
      </c>
      <c r="B160" s="46" t="s">
        <v>1125</v>
      </c>
      <c r="C160" s="46" t="s">
        <v>1126</v>
      </c>
      <c r="D160" s="46" t="s">
        <v>1365</v>
      </c>
      <c r="E160" s="47" t="n">
        <v>78</v>
      </c>
      <c r="F160" s="47" t="n">
        <v>82</v>
      </c>
      <c r="G160" s="47" t="n">
        <v>86</v>
      </c>
      <c r="H160" s="47"/>
      <c r="I160" s="47"/>
      <c r="J160" s="47" t="s">
        <v>1988</v>
      </c>
      <c r="K160" s="46" t="s">
        <v>62</v>
      </c>
    </row>
    <row r="161" customFormat="false" ht="15" hidden="false" customHeight="true" outlineLevel="0" collapsed="false">
      <c r="A161" s="46" t="s">
        <v>2151</v>
      </c>
      <c r="B161" s="46" t="s">
        <v>1125</v>
      </c>
      <c r="C161" s="46" t="s">
        <v>1126</v>
      </c>
      <c r="D161" s="46" t="s">
        <v>1401</v>
      </c>
      <c r="E161" s="47" t="n">
        <v>87</v>
      </c>
      <c r="F161" s="47" t="n">
        <v>80</v>
      </c>
      <c r="G161" s="47" t="n">
        <v>84</v>
      </c>
      <c r="H161" s="47"/>
      <c r="I161" s="47"/>
      <c r="J161" s="47" t="s">
        <v>1988</v>
      </c>
      <c r="K161" s="46" t="s">
        <v>62</v>
      </c>
    </row>
    <row r="162" customFormat="false" ht="15" hidden="false" customHeight="true" outlineLevel="0" collapsed="false">
      <c r="A162" s="46" t="s">
        <v>2152</v>
      </c>
      <c r="B162" s="46" t="s">
        <v>1130</v>
      </c>
      <c r="C162" s="46" t="s">
        <v>1131</v>
      </c>
      <c r="D162" s="46" t="s">
        <v>1373</v>
      </c>
      <c r="E162" s="47" t="n">
        <v>59</v>
      </c>
      <c r="F162" s="47" t="n">
        <v>50</v>
      </c>
      <c r="G162" s="47" t="n">
        <v>55</v>
      </c>
      <c r="H162" s="47"/>
      <c r="I162" s="47"/>
      <c r="J162" s="47" t="s">
        <v>2012</v>
      </c>
      <c r="K162" s="46" t="s">
        <v>62</v>
      </c>
    </row>
    <row r="163" customFormat="false" ht="15" hidden="false" customHeight="true" outlineLevel="0" collapsed="false">
      <c r="A163" s="46" t="s">
        <v>2153</v>
      </c>
      <c r="B163" s="46" t="s">
        <v>1130</v>
      </c>
      <c r="C163" s="46" t="s">
        <v>1131</v>
      </c>
      <c r="D163" s="46" t="s">
        <v>1378</v>
      </c>
      <c r="E163" s="47" t="n">
        <v>56</v>
      </c>
      <c r="F163" s="47" t="n">
        <v>61</v>
      </c>
      <c r="G163" s="47" t="n">
        <v>53</v>
      </c>
      <c r="H163" s="47"/>
      <c r="I163" s="47"/>
      <c r="J163" s="47" t="s">
        <v>2012</v>
      </c>
      <c r="K163" s="46" t="s">
        <v>62</v>
      </c>
    </row>
    <row r="164" customFormat="false" ht="15" hidden="false" customHeight="true" outlineLevel="0" collapsed="false">
      <c r="A164" s="46" t="s">
        <v>2154</v>
      </c>
      <c r="B164" s="46" t="s">
        <v>1135</v>
      </c>
      <c r="C164" s="46" t="s">
        <v>1136</v>
      </c>
      <c r="D164" s="46" t="s">
        <v>1352</v>
      </c>
      <c r="E164" s="47" t="n">
        <v>90</v>
      </c>
      <c r="F164" s="47" t="n">
        <v>93</v>
      </c>
      <c r="G164" s="47" t="n">
        <v>96</v>
      </c>
      <c r="H164" s="47"/>
      <c r="I164" s="47"/>
      <c r="J164" s="47" t="s">
        <v>1992</v>
      </c>
      <c r="K164" s="46" t="s">
        <v>62</v>
      </c>
    </row>
    <row r="165" customFormat="false" ht="15" hidden="false" customHeight="true" outlineLevel="0" collapsed="false">
      <c r="A165" s="46" t="s">
        <v>2155</v>
      </c>
      <c r="B165" s="46" t="s">
        <v>1135</v>
      </c>
      <c r="C165" s="46" t="s">
        <v>1136</v>
      </c>
      <c r="D165" s="46" t="s">
        <v>1373</v>
      </c>
      <c r="E165" s="47" t="n">
        <v>88</v>
      </c>
      <c r="F165" s="47" t="n">
        <v>91</v>
      </c>
      <c r="G165" s="47" t="n">
        <v>94</v>
      </c>
      <c r="H165" s="47"/>
      <c r="I165" s="47"/>
      <c r="J165" s="47" t="s">
        <v>1992</v>
      </c>
      <c r="K165" s="46" t="s">
        <v>62</v>
      </c>
    </row>
    <row r="166" customFormat="false" ht="15" hidden="false" customHeight="true" outlineLevel="0" collapsed="false">
      <c r="A166" s="46" t="s">
        <v>2156</v>
      </c>
      <c r="B166" s="46" t="s">
        <v>1140</v>
      </c>
      <c r="C166" s="46" t="s">
        <v>1141</v>
      </c>
      <c r="D166" s="46" t="s">
        <v>1365</v>
      </c>
      <c r="E166" s="47" t="n">
        <v>75</v>
      </c>
      <c r="F166" s="47" t="n">
        <v>67</v>
      </c>
      <c r="G166" s="47" t="n">
        <v>72</v>
      </c>
      <c r="H166" s="47"/>
      <c r="I166" s="47"/>
      <c r="J166" s="47" t="s">
        <v>1988</v>
      </c>
      <c r="K166" s="46" t="s">
        <v>62</v>
      </c>
    </row>
    <row r="167" customFormat="false" ht="15" hidden="false" customHeight="true" outlineLevel="0" collapsed="false">
      <c r="A167" s="46" t="s">
        <v>2157</v>
      </c>
      <c r="B167" s="46" t="s">
        <v>1140</v>
      </c>
      <c r="C167" s="46" t="s">
        <v>1141</v>
      </c>
      <c r="D167" s="46" t="s">
        <v>1401</v>
      </c>
      <c r="E167" s="47" t="n">
        <v>73</v>
      </c>
      <c r="F167" s="47" t="n">
        <v>65</v>
      </c>
      <c r="G167" s="47" t="n">
        <v>69</v>
      </c>
      <c r="H167" s="47"/>
      <c r="I167" s="47"/>
      <c r="J167" s="47" t="s">
        <v>2012</v>
      </c>
      <c r="K167" s="46" t="s">
        <v>62</v>
      </c>
    </row>
    <row r="168" customFormat="false" ht="15" hidden="false" customHeight="true" outlineLevel="0" collapsed="false">
      <c r="A168" s="46" t="s">
        <v>2158</v>
      </c>
      <c r="B168" s="46" t="s">
        <v>1145</v>
      </c>
      <c r="C168" s="46" t="s">
        <v>1146</v>
      </c>
      <c r="D168" s="46" t="s">
        <v>1386</v>
      </c>
      <c r="E168" s="47" t="n">
        <v>56</v>
      </c>
      <c r="F168" s="47" t="n">
        <v>61</v>
      </c>
      <c r="G168" s="47" t="n">
        <v>52</v>
      </c>
      <c r="H168" s="47"/>
      <c r="I168" s="47"/>
      <c r="J168" s="47" t="s">
        <v>2012</v>
      </c>
      <c r="K168" s="46" t="s">
        <v>62</v>
      </c>
    </row>
    <row r="169" customFormat="false" ht="15" hidden="false" customHeight="true" outlineLevel="0" collapsed="false">
      <c r="A169" s="46" t="s">
        <v>2159</v>
      </c>
      <c r="B169" s="46" t="s">
        <v>1145</v>
      </c>
      <c r="C169" s="46" t="s">
        <v>1146</v>
      </c>
      <c r="D169" s="46" t="s">
        <v>1378</v>
      </c>
      <c r="E169" s="47" t="n">
        <v>53</v>
      </c>
      <c r="F169" s="47" t="n">
        <v>58</v>
      </c>
      <c r="G169" s="47" t="n">
        <v>63</v>
      </c>
      <c r="H169" s="47"/>
      <c r="I169" s="47"/>
      <c r="J169" s="47" t="s">
        <v>2012</v>
      </c>
      <c r="K169" s="46" t="s">
        <v>62</v>
      </c>
    </row>
    <row r="170" customFormat="false" ht="15" hidden="false" customHeight="true" outlineLevel="0" collapsed="false">
      <c r="A170" s="46" t="s">
        <v>2160</v>
      </c>
      <c r="B170" s="46" t="s">
        <v>1150</v>
      </c>
      <c r="C170" s="46" t="s">
        <v>1151</v>
      </c>
      <c r="D170" s="46" t="s">
        <v>1391</v>
      </c>
      <c r="E170" s="47" t="n">
        <v>78</v>
      </c>
      <c r="F170" s="47" t="n">
        <v>82</v>
      </c>
      <c r="G170" s="47" t="n">
        <v>85</v>
      </c>
      <c r="H170" s="47"/>
      <c r="I170" s="47"/>
      <c r="J170" s="47" t="s">
        <v>1988</v>
      </c>
      <c r="K170" s="46" t="s">
        <v>62</v>
      </c>
    </row>
    <row r="171" customFormat="false" ht="15" hidden="false" customHeight="true" outlineLevel="0" collapsed="false">
      <c r="A171" s="46" t="s">
        <v>2161</v>
      </c>
      <c r="B171" s="46" t="s">
        <v>1150</v>
      </c>
      <c r="C171" s="46" t="s">
        <v>1151</v>
      </c>
      <c r="D171" s="46" t="s">
        <v>1334</v>
      </c>
      <c r="E171" s="47" t="n">
        <v>86</v>
      </c>
      <c r="F171" s="47" t="n">
        <v>80</v>
      </c>
      <c r="G171" s="47" t="n">
        <v>84</v>
      </c>
      <c r="H171" s="47"/>
      <c r="I171" s="47"/>
      <c r="J171" s="47" t="s">
        <v>1988</v>
      </c>
      <c r="K171" s="46" t="s">
        <v>62</v>
      </c>
    </row>
    <row r="172" customFormat="false" ht="15" hidden="false" customHeight="true" outlineLevel="0" collapsed="false">
      <c r="A172" s="46" t="s">
        <v>2162</v>
      </c>
      <c r="B172" s="46" t="s">
        <v>1155</v>
      </c>
      <c r="C172" s="46" t="s">
        <v>1156</v>
      </c>
      <c r="D172" s="46" t="s">
        <v>1338</v>
      </c>
      <c r="E172" s="47" t="n">
        <v>72</v>
      </c>
      <c r="F172" s="47" t="n">
        <v>77</v>
      </c>
      <c r="G172" s="47" t="n">
        <v>69</v>
      </c>
      <c r="H172" s="47"/>
      <c r="I172" s="47"/>
      <c r="J172" s="47" t="s">
        <v>1988</v>
      </c>
      <c r="K172" s="46" t="s">
        <v>62</v>
      </c>
    </row>
    <row r="173" customFormat="false" ht="15" hidden="false" customHeight="true" outlineLevel="0" collapsed="false">
      <c r="A173" s="46" t="s">
        <v>2163</v>
      </c>
      <c r="B173" s="46" t="s">
        <v>1155</v>
      </c>
      <c r="C173" s="46" t="s">
        <v>1156</v>
      </c>
      <c r="D173" s="46" t="s">
        <v>1342</v>
      </c>
      <c r="E173" s="47" t="n">
        <v>70</v>
      </c>
      <c r="F173" s="47" t="n">
        <v>74</v>
      </c>
      <c r="G173" s="47" t="n">
        <v>67</v>
      </c>
      <c r="H173" s="47"/>
      <c r="I173" s="47"/>
      <c r="J173" s="47" t="s">
        <v>1988</v>
      </c>
      <c r="K173" s="46" t="s">
        <v>62</v>
      </c>
    </row>
    <row r="174" customFormat="false" ht="15" hidden="false" customHeight="true" outlineLevel="0" collapsed="false">
      <c r="A174" s="46" t="s">
        <v>2164</v>
      </c>
      <c r="B174" s="46" t="s">
        <v>1160</v>
      </c>
      <c r="C174" s="46" t="s">
        <v>1161</v>
      </c>
      <c r="D174" s="46" t="s">
        <v>1369</v>
      </c>
      <c r="E174" s="47" t="n">
        <v>53</v>
      </c>
      <c r="F174" s="47" t="n">
        <v>58</v>
      </c>
      <c r="G174" s="47" t="n">
        <v>63</v>
      </c>
      <c r="H174" s="47"/>
      <c r="I174" s="47"/>
      <c r="J174" s="47" t="s">
        <v>2012</v>
      </c>
      <c r="K174" s="46" t="s">
        <v>62</v>
      </c>
    </row>
    <row r="175" customFormat="false" ht="15" hidden="false" customHeight="true" outlineLevel="0" collapsed="false">
      <c r="A175" s="46" t="s">
        <v>2165</v>
      </c>
      <c r="B175" s="46" t="s">
        <v>1160</v>
      </c>
      <c r="C175" s="46" t="s">
        <v>1161</v>
      </c>
      <c r="D175" s="46" t="s">
        <v>1401</v>
      </c>
      <c r="E175" s="47" t="n">
        <v>64</v>
      </c>
      <c r="F175" s="47" t="n">
        <v>55</v>
      </c>
      <c r="G175" s="47" t="n">
        <v>60</v>
      </c>
      <c r="H175" s="47"/>
      <c r="I175" s="47"/>
      <c r="J175" s="47" t="s">
        <v>2012</v>
      </c>
      <c r="K175" s="46" t="s">
        <v>62</v>
      </c>
    </row>
    <row r="176" customFormat="false" ht="15" hidden="false" customHeight="true" outlineLevel="0" collapsed="false">
      <c r="A176" s="46" t="s">
        <v>2166</v>
      </c>
      <c r="B176" s="46" t="s">
        <v>1165</v>
      </c>
      <c r="C176" s="46" t="s">
        <v>1166</v>
      </c>
      <c r="D176" s="46" t="s">
        <v>1357</v>
      </c>
      <c r="E176" s="47" t="n">
        <v>86</v>
      </c>
      <c r="F176" s="47" t="n">
        <v>79</v>
      </c>
      <c r="G176" s="47" t="n">
        <v>83</v>
      </c>
      <c r="H176" s="47"/>
      <c r="I176" s="47"/>
      <c r="J176" s="47" t="s">
        <v>1988</v>
      </c>
      <c r="K176" s="46" t="s">
        <v>62</v>
      </c>
    </row>
    <row r="177" customFormat="false" ht="15" hidden="false" customHeight="true" outlineLevel="0" collapsed="false">
      <c r="A177" s="46" t="s">
        <v>2167</v>
      </c>
      <c r="B177" s="46" t="s">
        <v>1165</v>
      </c>
      <c r="C177" s="46" t="s">
        <v>1166</v>
      </c>
      <c r="D177" s="46" t="s">
        <v>1401</v>
      </c>
      <c r="E177" s="47" t="n">
        <v>84</v>
      </c>
      <c r="F177" s="47" t="n">
        <v>88</v>
      </c>
      <c r="G177" s="47" t="n">
        <v>81</v>
      </c>
      <c r="H177" s="47"/>
      <c r="I177" s="47"/>
      <c r="J177" s="47" t="s">
        <v>1988</v>
      </c>
      <c r="K177" s="46" t="s">
        <v>62</v>
      </c>
    </row>
    <row r="178" customFormat="false" ht="15" hidden="false" customHeight="true" outlineLevel="0" collapsed="false">
      <c r="A178" s="46" t="s">
        <v>2168</v>
      </c>
      <c r="B178" s="46" t="s">
        <v>1170</v>
      </c>
      <c r="C178" s="46" t="s">
        <v>1171</v>
      </c>
      <c r="D178" s="46" t="s">
        <v>1382</v>
      </c>
      <c r="E178" s="47" t="n">
        <v>40</v>
      </c>
      <c r="F178" s="47" t="n">
        <v>45</v>
      </c>
      <c r="G178" s="47" t="n">
        <v>36</v>
      </c>
      <c r="H178" s="47"/>
      <c r="I178" s="47"/>
      <c r="J178" s="47" t="s">
        <v>1999</v>
      </c>
      <c r="K178" s="46" t="s">
        <v>62</v>
      </c>
    </row>
    <row r="179" customFormat="false" ht="15" hidden="false" customHeight="true" outlineLevel="0" collapsed="false">
      <c r="A179" s="46" t="s">
        <v>2169</v>
      </c>
      <c r="B179" s="46" t="s">
        <v>1170</v>
      </c>
      <c r="C179" s="46" t="s">
        <v>1171</v>
      </c>
      <c r="D179" s="46" t="s">
        <v>1326</v>
      </c>
      <c r="E179" s="47" t="n">
        <v>37</v>
      </c>
      <c r="F179" s="47" t="n">
        <v>43</v>
      </c>
      <c r="G179" s="47" t="n">
        <v>48</v>
      </c>
      <c r="H179" s="47"/>
      <c r="I179" s="47"/>
      <c r="J179" s="47" t="s">
        <v>1999</v>
      </c>
      <c r="K179" s="46" t="s">
        <v>62</v>
      </c>
    </row>
    <row r="180" customFormat="false" ht="15" hidden="false" customHeight="true" outlineLevel="0" collapsed="false">
      <c r="A180" s="46" t="s">
        <v>2170</v>
      </c>
      <c r="B180" s="46" t="s">
        <v>1175</v>
      </c>
      <c r="C180" s="46" t="s">
        <v>1176</v>
      </c>
      <c r="D180" s="46" t="s">
        <v>1321</v>
      </c>
      <c r="E180" s="47" t="n">
        <v>88</v>
      </c>
      <c r="F180" s="47" t="n">
        <v>81</v>
      </c>
      <c r="G180" s="47" t="n">
        <v>85</v>
      </c>
      <c r="H180" s="47"/>
      <c r="I180" s="47"/>
      <c r="J180" s="47" t="s">
        <v>1992</v>
      </c>
      <c r="K180" s="46" t="s">
        <v>62</v>
      </c>
    </row>
    <row r="181" customFormat="false" ht="15" hidden="false" customHeight="true" outlineLevel="0" collapsed="false">
      <c r="A181" s="46" t="s">
        <v>2171</v>
      </c>
      <c r="B181" s="46" t="s">
        <v>1175</v>
      </c>
      <c r="C181" s="46" t="s">
        <v>1176</v>
      </c>
      <c r="D181" s="46" t="s">
        <v>1382</v>
      </c>
      <c r="E181" s="47" t="n">
        <v>86</v>
      </c>
      <c r="F181" s="47" t="n">
        <v>79</v>
      </c>
      <c r="G181" s="47" t="n">
        <v>83</v>
      </c>
      <c r="H181" s="47"/>
      <c r="I181" s="47"/>
      <c r="J181" s="47" t="s">
        <v>1988</v>
      </c>
      <c r="K181" s="46" t="s">
        <v>62</v>
      </c>
    </row>
    <row r="182" customFormat="false" ht="15" hidden="false" customHeight="true" outlineLevel="0" collapsed="false">
      <c r="A182" s="46" t="s">
        <v>2172</v>
      </c>
      <c r="B182" s="46" t="s">
        <v>1180</v>
      </c>
      <c r="C182" s="46" t="s">
        <v>1181</v>
      </c>
      <c r="D182" s="46" t="s">
        <v>1365</v>
      </c>
      <c r="E182" s="47" t="n">
        <v>71</v>
      </c>
      <c r="F182" s="47" t="n">
        <v>76</v>
      </c>
      <c r="G182" s="47" t="n">
        <v>68</v>
      </c>
      <c r="H182" s="47"/>
      <c r="I182" s="47"/>
      <c r="J182" s="47" t="s">
        <v>1988</v>
      </c>
      <c r="K182" s="46" t="s">
        <v>62</v>
      </c>
    </row>
    <row r="183" customFormat="false" ht="15" hidden="false" customHeight="true" outlineLevel="0" collapsed="false">
      <c r="A183" s="46" t="s">
        <v>2173</v>
      </c>
      <c r="B183" s="46" t="s">
        <v>1180</v>
      </c>
      <c r="C183" s="46" t="s">
        <v>1181</v>
      </c>
      <c r="D183" s="46" t="s">
        <v>1401</v>
      </c>
      <c r="E183" s="47" t="n">
        <v>69</v>
      </c>
      <c r="F183" s="47" t="n">
        <v>74</v>
      </c>
      <c r="G183" s="47" t="n">
        <v>66</v>
      </c>
      <c r="H183" s="47"/>
      <c r="I183" s="47"/>
      <c r="J183" s="47" t="s">
        <v>1988</v>
      </c>
      <c r="K183" s="46" t="s">
        <v>62</v>
      </c>
    </row>
    <row r="184" customFormat="false" ht="15" hidden="false" customHeight="true" outlineLevel="0" collapsed="false">
      <c r="A184" s="46" t="s">
        <v>2174</v>
      </c>
      <c r="B184" s="46" t="s">
        <v>1186</v>
      </c>
      <c r="C184" s="46" t="s">
        <v>1187</v>
      </c>
      <c r="D184" s="46" t="s">
        <v>1334</v>
      </c>
      <c r="E184" s="47" t="n">
        <v>67</v>
      </c>
      <c r="F184" s="47" t="n">
        <v>71</v>
      </c>
      <c r="G184" s="47" t="n">
        <v>75</v>
      </c>
      <c r="H184" s="47"/>
      <c r="I184" s="47"/>
      <c r="J184" s="47" t="s">
        <v>1988</v>
      </c>
      <c r="K184" s="46" t="s">
        <v>62</v>
      </c>
    </row>
    <row r="185" customFormat="false" ht="15" hidden="false" customHeight="true" outlineLevel="0" collapsed="false">
      <c r="A185" s="46" t="s">
        <v>2175</v>
      </c>
      <c r="B185" s="46" t="s">
        <v>1186</v>
      </c>
      <c r="C185" s="46" t="s">
        <v>1187</v>
      </c>
      <c r="D185" s="46" t="s">
        <v>1391</v>
      </c>
      <c r="E185" s="47" t="n">
        <v>76</v>
      </c>
      <c r="F185" s="47" t="n">
        <v>69</v>
      </c>
      <c r="G185" s="47" t="n">
        <v>73</v>
      </c>
      <c r="H185" s="47"/>
      <c r="I185" s="47"/>
      <c r="J185" s="47" t="s">
        <v>1988</v>
      </c>
      <c r="K185" s="46" t="s">
        <v>62</v>
      </c>
    </row>
    <row r="186" customFormat="false" ht="15" hidden="false" customHeight="true" outlineLevel="0" collapsed="false">
      <c r="A186" s="46" t="s">
        <v>2176</v>
      </c>
      <c r="B186" s="46" t="s">
        <v>1191</v>
      </c>
      <c r="C186" s="46" t="s">
        <v>1192</v>
      </c>
      <c r="D186" s="46" t="s">
        <v>1357</v>
      </c>
      <c r="E186" s="47" t="n">
        <v>85</v>
      </c>
      <c r="F186" s="47" t="n">
        <v>79</v>
      </c>
      <c r="G186" s="47" t="n">
        <v>83</v>
      </c>
      <c r="H186" s="47"/>
      <c r="I186" s="47"/>
      <c r="J186" s="47" t="s">
        <v>1988</v>
      </c>
      <c r="K186" s="46" t="s">
        <v>62</v>
      </c>
    </row>
    <row r="187" customFormat="false" ht="15" hidden="false" customHeight="true" outlineLevel="0" collapsed="false">
      <c r="A187" s="46" t="s">
        <v>2177</v>
      </c>
      <c r="B187" s="46" t="s">
        <v>1191</v>
      </c>
      <c r="C187" s="46" t="s">
        <v>1192</v>
      </c>
      <c r="D187" s="46" t="s">
        <v>1401</v>
      </c>
      <c r="E187" s="47" t="n">
        <v>83</v>
      </c>
      <c r="F187" s="47" t="n">
        <v>87</v>
      </c>
      <c r="G187" s="47" t="n">
        <v>81</v>
      </c>
      <c r="H187" s="47"/>
      <c r="I187" s="47"/>
      <c r="J187" s="47" t="s">
        <v>1988</v>
      </c>
      <c r="K187" s="46" t="s">
        <v>62</v>
      </c>
    </row>
    <row r="188" customFormat="false" ht="15" hidden="false" customHeight="true" outlineLevel="0" collapsed="false">
      <c r="A188" s="46" t="s">
        <v>2178</v>
      </c>
      <c r="B188" s="46" t="s">
        <v>1196</v>
      </c>
      <c r="C188" s="46" t="s">
        <v>1197</v>
      </c>
      <c r="D188" s="46" t="s">
        <v>1347</v>
      </c>
      <c r="E188" s="47" t="n">
        <v>54</v>
      </c>
      <c r="F188" s="47" t="n">
        <v>60</v>
      </c>
      <c r="G188" s="47" t="n">
        <v>51</v>
      </c>
      <c r="H188" s="47"/>
      <c r="I188" s="47"/>
      <c r="J188" s="47" t="s">
        <v>2012</v>
      </c>
      <c r="K188" s="46" t="s">
        <v>62</v>
      </c>
    </row>
    <row r="189" customFormat="false" ht="15" hidden="false" customHeight="true" outlineLevel="0" collapsed="false">
      <c r="A189" s="46" t="s">
        <v>2179</v>
      </c>
      <c r="B189" s="46" t="s">
        <v>1196</v>
      </c>
      <c r="C189" s="46" t="s">
        <v>1197</v>
      </c>
      <c r="D189" s="46" t="s">
        <v>1401</v>
      </c>
      <c r="E189" s="47" t="n">
        <v>52</v>
      </c>
      <c r="F189" s="47" t="n">
        <v>57</v>
      </c>
      <c r="G189" s="47" t="n">
        <v>62</v>
      </c>
      <c r="H189" s="47"/>
      <c r="I189" s="47"/>
      <c r="J189" s="47" t="s">
        <v>2012</v>
      </c>
      <c r="K189" s="46" t="s">
        <v>62</v>
      </c>
    </row>
    <row r="190" customFormat="false" ht="15" hidden="false" customHeight="true" outlineLevel="0" collapsed="false">
      <c r="A190" s="46" t="s">
        <v>2180</v>
      </c>
      <c r="B190" s="46" t="s">
        <v>1201</v>
      </c>
      <c r="C190" s="46" t="s">
        <v>1202</v>
      </c>
      <c r="D190" s="46" t="s">
        <v>1361</v>
      </c>
      <c r="E190" s="47" t="n">
        <v>76</v>
      </c>
      <c r="F190" s="47" t="n">
        <v>68</v>
      </c>
      <c r="G190" s="47" t="n">
        <v>73</v>
      </c>
      <c r="H190" s="47"/>
      <c r="I190" s="47"/>
      <c r="J190" s="47" t="s">
        <v>1988</v>
      </c>
      <c r="K190" s="46" t="s">
        <v>62</v>
      </c>
    </row>
    <row r="191" customFormat="false" ht="15" hidden="false" customHeight="true" outlineLevel="0" collapsed="false">
      <c r="A191" s="46" t="s">
        <v>2181</v>
      </c>
      <c r="B191" s="46" t="s">
        <v>1201</v>
      </c>
      <c r="C191" s="46" t="s">
        <v>1202</v>
      </c>
      <c r="D191" s="46" t="s">
        <v>1401</v>
      </c>
      <c r="E191" s="47" t="n">
        <v>74</v>
      </c>
      <c r="F191" s="47" t="n">
        <v>66</v>
      </c>
      <c r="G191" s="47" t="n">
        <v>70</v>
      </c>
      <c r="H191" s="47"/>
      <c r="I191" s="47"/>
      <c r="J191" s="47" t="s">
        <v>1988</v>
      </c>
      <c r="K191" s="46" t="s">
        <v>62</v>
      </c>
    </row>
    <row r="192" customFormat="false" ht="15" hidden="false" customHeight="true" outlineLevel="0" collapsed="false">
      <c r="A192" s="46" t="s">
        <v>2182</v>
      </c>
      <c r="B192" s="46" t="s">
        <v>1206</v>
      </c>
      <c r="C192" s="46" t="s">
        <v>1207</v>
      </c>
      <c r="D192" s="46" t="s">
        <v>1338</v>
      </c>
      <c r="E192" s="47" t="n">
        <v>92</v>
      </c>
      <c r="F192" s="47" t="n">
        <v>95</v>
      </c>
      <c r="G192" s="47" t="n">
        <v>90</v>
      </c>
      <c r="H192" s="47"/>
      <c r="I192" s="47"/>
      <c r="J192" s="47" t="s">
        <v>1992</v>
      </c>
      <c r="K192" s="46" t="s">
        <v>62</v>
      </c>
    </row>
    <row r="193" customFormat="false" ht="15" hidden="false" customHeight="true" outlineLevel="0" collapsed="false">
      <c r="A193" s="46" t="s">
        <v>2183</v>
      </c>
      <c r="B193" s="46" t="s">
        <v>1206</v>
      </c>
      <c r="C193" s="46" t="s">
        <v>1207</v>
      </c>
      <c r="D193" s="46" t="s">
        <v>1342</v>
      </c>
      <c r="E193" s="47" t="n">
        <v>90</v>
      </c>
      <c r="F193" s="47" t="n">
        <v>93</v>
      </c>
      <c r="G193" s="47" t="n">
        <v>88</v>
      </c>
      <c r="H193" s="47"/>
      <c r="I193" s="47"/>
      <c r="J193" s="47" t="s">
        <v>1992</v>
      </c>
      <c r="K193" s="46" t="s">
        <v>62</v>
      </c>
    </row>
    <row r="194" customFormat="false" ht="15" hidden="false" customHeight="true" outlineLevel="0" collapsed="false">
      <c r="A194" s="46" t="s">
        <v>2184</v>
      </c>
      <c r="B194" s="46" t="s">
        <v>1211</v>
      </c>
      <c r="C194" s="46" t="s">
        <v>1212</v>
      </c>
      <c r="D194" s="46" t="s">
        <v>1386</v>
      </c>
      <c r="E194" s="47" t="n">
        <v>51</v>
      </c>
      <c r="F194" s="47" t="n">
        <v>56</v>
      </c>
      <c r="G194" s="47" t="n">
        <v>61</v>
      </c>
      <c r="H194" s="47"/>
      <c r="I194" s="47"/>
      <c r="J194" s="47" t="s">
        <v>2012</v>
      </c>
      <c r="K194" s="46" t="s">
        <v>62</v>
      </c>
    </row>
    <row r="195" customFormat="false" ht="15" hidden="false" customHeight="true" outlineLevel="0" collapsed="false">
      <c r="A195" s="46" t="s">
        <v>2185</v>
      </c>
      <c r="B195" s="46" t="s">
        <v>1211</v>
      </c>
      <c r="C195" s="46" t="s">
        <v>1212</v>
      </c>
      <c r="D195" s="46" t="s">
        <v>1373</v>
      </c>
      <c r="E195" s="47" t="n">
        <v>62</v>
      </c>
      <c r="F195" s="47" t="n">
        <v>54</v>
      </c>
      <c r="G195" s="47" t="n">
        <v>59</v>
      </c>
      <c r="H195" s="47"/>
      <c r="I195" s="47"/>
      <c r="J195" s="47" t="s">
        <v>2012</v>
      </c>
      <c r="K195" s="46" t="s">
        <v>62</v>
      </c>
    </row>
    <row r="196" customFormat="false" ht="15" hidden="false" customHeight="true" outlineLevel="0" collapsed="false">
      <c r="A196" s="46" t="s">
        <v>2186</v>
      </c>
      <c r="B196" s="46" t="s">
        <v>1216</v>
      </c>
      <c r="C196" s="46" t="s">
        <v>1217</v>
      </c>
      <c r="D196" s="46" t="s">
        <v>1391</v>
      </c>
      <c r="E196" s="47" t="n">
        <v>44</v>
      </c>
      <c r="F196" s="47" t="n">
        <v>36</v>
      </c>
      <c r="G196" s="47" t="n">
        <v>41</v>
      </c>
      <c r="H196" s="47"/>
      <c r="I196" s="47"/>
      <c r="J196" s="47" t="s">
        <v>1999</v>
      </c>
      <c r="K196" s="46" t="s">
        <v>62</v>
      </c>
    </row>
    <row r="197" customFormat="false" ht="15" hidden="false" customHeight="true" outlineLevel="0" collapsed="false">
      <c r="A197" s="46" t="s">
        <v>2187</v>
      </c>
      <c r="B197" s="46" t="s">
        <v>1216</v>
      </c>
      <c r="C197" s="46" t="s">
        <v>1217</v>
      </c>
      <c r="D197" s="46" t="s">
        <v>1330</v>
      </c>
      <c r="E197" s="47" t="n">
        <v>42</v>
      </c>
      <c r="F197" s="47" t="n">
        <v>47</v>
      </c>
      <c r="G197" s="47" t="n">
        <v>38</v>
      </c>
      <c r="H197" s="47"/>
      <c r="I197" s="47"/>
      <c r="J197" s="47" t="s">
        <v>1999</v>
      </c>
      <c r="K197" s="46" t="s">
        <v>62</v>
      </c>
    </row>
    <row r="198" customFormat="false" ht="15" hidden="false" customHeight="true" outlineLevel="0" collapsed="false">
      <c r="A198" s="46" t="s">
        <v>2188</v>
      </c>
      <c r="B198" s="46" t="s">
        <v>1221</v>
      </c>
      <c r="C198" s="46" t="s">
        <v>1222</v>
      </c>
      <c r="D198" s="46" t="s">
        <v>1357</v>
      </c>
      <c r="E198" s="47" t="n">
        <v>81</v>
      </c>
      <c r="F198" s="47" t="n">
        <v>84</v>
      </c>
      <c r="G198" s="47" t="n">
        <v>78</v>
      </c>
      <c r="H198" s="47"/>
      <c r="I198" s="47"/>
      <c r="J198" s="47" t="s">
        <v>1988</v>
      </c>
      <c r="K198" s="46" t="s">
        <v>62</v>
      </c>
    </row>
    <row r="199" customFormat="false" ht="15" hidden="false" customHeight="true" outlineLevel="0" collapsed="false">
      <c r="A199" s="46" t="s">
        <v>2189</v>
      </c>
      <c r="B199" s="46" t="s">
        <v>1221</v>
      </c>
      <c r="C199" s="46" t="s">
        <v>1222</v>
      </c>
      <c r="D199" s="46" t="s">
        <v>1401</v>
      </c>
      <c r="E199" s="47" t="n">
        <v>79</v>
      </c>
      <c r="F199" s="47" t="n">
        <v>82</v>
      </c>
      <c r="G199" s="47" t="n">
        <v>86</v>
      </c>
      <c r="H199" s="47"/>
      <c r="I199" s="47"/>
      <c r="J199" s="47" t="s">
        <v>1988</v>
      </c>
      <c r="K199" s="46" t="s">
        <v>62</v>
      </c>
    </row>
    <row r="200" customFormat="false" ht="15" hidden="false" customHeight="true" outlineLevel="0" collapsed="false">
      <c r="A200" s="46" t="s">
        <v>2190</v>
      </c>
      <c r="B200" s="46" t="s">
        <v>1228</v>
      </c>
      <c r="C200" s="46" t="s">
        <v>1229</v>
      </c>
      <c r="D200" s="46" t="s">
        <v>1373</v>
      </c>
      <c r="E200" s="47" t="n">
        <v>86</v>
      </c>
      <c r="F200" s="47" t="n">
        <v>80</v>
      </c>
      <c r="G200" s="47" t="n">
        <v>84</v>
      </c>
      <c r="H200" s="47"/>
      <c r="I200" s="47"/>
      <c r="J200" s="47" t="s">
        <v>1988</v>
      </c>
      <c r="K200" s="46" t="s">
        <v>62</v>
      </c>
    </row>
    <row r="201" customFormat="false" ht="15" hidden="false" customHeight="true" outlineLevel="0" collapsed="false">
      <c r="A201" s="46" t="s">
        <v>2191</v>
      </c>
      <c r="B201" s="46" t="s">
        <v>1228</v>
      </c>
      <c r="C201" s="46" t="s">
        <v>1229</v>
      </c>
      <c r="D201" s="46" t="s">
        <v>1378</v>
      </c>
      <c r="E201" s="47" t="n">
        <v>85</v>
      </c>
      <c r="F201" s="47" t="n">
        <v>78</v>
      </c>
      <c r="G201" s="47" t="n">
        <v>82</v>
      </c>
      <c r="H201" s="47"/>
      <c r="I201" s="47"/>
      <c r="J201" s="47" t="s">
        <v>1988</v>
      </c>
      <c r="K201" s="46" t="s">
        <v>62</v>
      </c>
    </row>
    <row r="202" customFormat="false" ht="15" hidden="false" customHeight="true" outlineLevel="0" collapsed="false">
      <c r="A202" s="46" t="s">
        <v>2192</v>
      </c>
      <c r="B202" s="46" t="s">
        <v>1233</v>
      </c>
      <c r="C202" s="46" t="s">
        <v>1234</v>
      </c>
      <c r="D202" s="46" t="s">
        <v>1369</v>
      </c>
      <c r="E202" s="47" t="n">
        <v>70</v>
      </c>
      <c r="F202" s="47" t="n">
        <v>75</v>
      </c>
      <c r="G202" s="47" t="n">
        <v>67</v>
      </c>
      <c r="H202" s="47"/>
      <c r="I202" s="47"/>
      <c r="J202" s="47" t="s">
        <v>1988</v>
      </c>
      <c r="K202" s="46" t="s">
        <v>62</v>
      </c>
    </row>
    <row r="203" customFormat="false" ht="15" hidden="false" customHeight="true" outlineLevel="0" collapsed="false">
      <c r="A203" s="46" t="s">
        <v>2193</v>
      </c>
      <c r="B203" s="46" t="s">
        <v>1233</v>
      </c>
      <c r="C203" s="46" t="s">
        <v>1234</v>
      </c>
      <c r="D203" s="46" t="s">
        <v>1401</v>
      </c>
      <c r="E203" s="47" t="n">
        <v>68</v>
      </c>
      <c r="F203" s="47" t="n">
        <v>72</v>
      </c>
      <c r="G203" s="47" t="n">
        <v>77</v>
      </c>
      <c r="H203" s="47"/>
      <c r="I203" s="47"/>
      <c r="J203" s="47" t="s">
        <v>1988</v>
      </c>
      <c r="K203" s="46" t="s">
        <v>62</v>
      </c>
    </row>
    <row r="204" customFormat="false" ht="15" hidden="false" customHeight="true" outlineLevel="0" collapsed="false">
      <c r="A204" s="46" t="s">
        <v>2194</v>
      </c>
      <c r="B204" s="46" t="s">
        <v>1238</v>
      </c>
      <c r="C204" s="46" t="s">
        <v>1239</v>
      </c>
      <c r="D204" s="46" t="s">
        <v>1433</v>
      </c>
      <c r="E204" s="47" t="n">
        <v>78</v>
      </c>
      <c r="F204" s="47" t="n">
        <v>82</v>
      </c>
      <c r="G204" s="47" t="n">
        <v>86</v>
      </c>
      <c r="H204" s="47"/>
      <c r="I204" s="47"/>
      <c r="J204" s="47" t="s">
        <v>1988</v>
      </c>
      <c r="K204" s="46" t="s">
        <v>62</v>
      </c>
    </row>
    <row r="205" customFormat="false" ht="15" hidden="false" customHeight="true" outlineLevel="0" collapsed="false">
      <c r="A205" s="46" t="s">
        <v>2195</v>
      </c>
      <c r="B205" s="46" t="s">
        <v>1238</v>
      </c>
      <c r="C205" s="46" t="s">
        <v>1239</v>
      </c>
      <c r="D205" s="46" t="s">
        <v>1405</v>
      </c>
      <c r="E205" s="47" t="n">
        <v>86</v>
      </c>
      <c r="F205" s="47" t="n">
        <v>80</v>
      </c>
      <c r="G205" s="47" t="n">
        <v>84</v>
      </c>
      <c r="H205" s="47"/>
      <c r="I205" s="47"/>
      <c r="J205" s="47" t="s">
        <v>1988</v>
      </c>
      <c r="K205" s="46" t="s">
        <v>62</v>
      </c>
    </row>
    <row r="206" customFormat="false" ht="15" hidden="false" customHeight="true" outlineLevel="0" collapsed="false">
      <c r="A206" s="46" t="s">
        <v>2196</v>
      </c>
      <c r="B206" s="46" t="s">
        <v>1244</v>
      </c>
      <c r="C206" s="46" t="s">
        <v>1245</v>
      </c>
      <c r="D206" s="46" t="s">
        <v>1422</v>
      </c>
      <c r="E206" s="47" t="n">
        <v>72</v>
      </c>
      <c r="F206" s="47" t="n">
        <v>77</v>
      </c>
      <c r="G206" s="47" t="n">
        <v>69</v>
      </c>
      <c r="H206" s="47"/>
      <c r="I206" s="47"/>
      <c r="J206" s="47" t="s">
        <v>1988</v>
      </c>
      <c r="K206" s="46" t="s">
        <v>62</v>
      </c>
    </row>
    <row r="207" customFormat="false" ht="15" hidden="false" customHeight="true" outlineLevel="0" collapsed="false">
      <c r="A207" s="46" t="s">
        <v>2197</v>
      </c>
      <c r="B207" s="46" t="s">
        <v>1244</v>
      </c>
      <c r="C207" s="46" t="s">
        <v>1245</v>
      </c>
      <c r="D207" s="46" t="s">
        <v>1426</v>
      </c>
      <c r="E207" s="47" t="n">
        <v>70</v>
      </c>
      <c r="F207" s="47" t="n">
        <v>75</v>
      </c>
      <c r="G207" s="47" t="n">
        <v>67</v>
      </c>
      <c r="H207" s="47"/>
      <c r="I207" s="47"/>
      <c r="J207" s="47" t="s">
        <v>1988</v>
      </c>
      <c r="K207" s="46" t="s">
        <v>62</v>
      </c>
    </row>
    <row r="208" customFormat="false" ht="15" hidden="false" customHeight="true" outlineLevel="0" collapsed="false">
      <c r="A208" s="46" t="s">
        <v>2198</v>
      </c>
      <c r="B208" s="46" t="s">
        <v>1253</v>
      </c>
      <c r="C208" s="46" t="s">
        <v>1254</v>
      </c>
      <c r="D208" s="46" t="s">
        <v>1405</v>
      </c>
      <c r="E208" s="47" t="n">
        <v>80</v>
      </c>
      <c r="F208" s="47" t="n">
        <v>84</v>
      </c>
      <c r="G208" s="47" t="n">
        <v>88</v>
      </c>
      <c r="H208" s="47"/>
      <c r="I208" s="47"/>
      <c r="J208" s="47" t="s">
        <v>1988</v>
      </c>
      <c r="K208" s="46" t="s">
        <v>62</v>
      </c>
    </row>
    <row r="209" customFormat="false" ht="15" hidden="false" customHeight="true" outlineLevel="0" collapsed="false">
      <c r="A209" s="46" t="s">
        <v>2199</v>
      </c>
      <c r="B209" s="46" t="s">
        <v>1253</v>
      </c>
      <c r="C209" s="46" t="s">
        <v>1254</v>
      </c>
      <c r="D209" s="46" t="s">
        <v>1411</v>
      </c>
      <c r="E209" s="47" t="n">
        <v>78</v>
      </c>
      <c r="F209" s="47" t="n">
        <v>82</v>
      </c>
      <c r="G209" s="47" t="n">
        <v>86</v>
      </c>
      <c r="H209" s="47"/>
      <c r="I209" s="47"/>
      <c r="J209" s="47" t="s">
        <v>1988</v>
      </c>
      <c r="K209" s="46" t="s">
        <v>62</v>
      </c>
    </row>
    <row r="210" customFormat="false" ht="15" hidden="false" customHeight="true" outlineLevel="0" collapsed="false">
      <c r="A210" s="46" t="s">
        <v>2200</v>
      </c>
      <c r="B210" s="46" t="s">
        <v>1260</v>
      </c>
      <c r="C210" s="46" t="s">
        <v>1261</v>
      </c>
      <c r="D210" s="46" t="s">
        <v>1411</v>
      </c>
      <c r="E210" s="47" t="n">
        <v>75</v>
      </c>
      <c r="F210" s="47" t="n">
        <v>67</v>
      </c>
      <c r="G210" s="47" t="n">
        <v>71</v>
      </c>
      <c r="H210" s="47"/>
      <c r="I210" s="47"/>
      <c r="J210" s="47" t="s">
        <v>1988</v>
      </c>
      <c r="K210" s="46" t="s">
        <v>62</v>
      </c>
    </row>
    <row r="211" customFormat="false" ht="15" hidden="false" customHeight="true" outlineLevel="0" collapsed="false">
      <c r="A211" s="46" t="s">
        <v>2201</v>
      </c>
      <c r="B211" s="46" t="s">
        <v>1260</v>
      </c>
      <c r="C211" s="46" t="s">
        <v>1261</v>
      </c>
      <c r="D211" s="46" t="s">
        <v>1414</v>
      </c>
      <c r="E211" s="47" t="n">
        <v>72</v>
      </c>
      <c r="F211" s="47" t="n">
        <v>77</v>
      </c>
      <c r="G211" s="47" t="n">
        <v>69</v>
      </c>
      <c r="H211" s="47"/>
      <c r="I211" s="47"/>
      <c r="J211" s="47" t="s">
        <v>1988</v>
      </c>
      <c r="K211" s="46" t="s">
        <v>62</v>
      </c>
    </row>
    <row r="212" customFormat="false" ht="15" hidden="false" customHeight="true" outlineLevel="0" collapsed="false">
      <c r="A212" s="46" t="s">
        <v>2202</v>
      </c>
      <c r="B212" s="46" t="s">
        <v>1271</v>
      </c>
      <c r="C212" s="46" t="s">
        <v>1272</v>
      </c>
      <c r="D212" s="46" t="s">
        <v>1437</v>
      </c>
      <c r="E212" s="47" t="n">
        <v>82</v>
      </c>
      <c r="F212" s="47" t="n">
        <v>86</v>
      </c>
      <c r="G212" s="47" t="n">
        <v>79</v>
      </c>
      <c r="H212" s="47"/>
      <c r="I212" s="47"/>
      <c r="J212" s="47" t="s">
        <v>1988</v>
      </c>
      <c r="K212" s="46" t="s">
        <v>62</v>
      </c>
    </row>
    <row r="213" customFormat="false" ht="15" hidden="false" customHeight="true" outlineLevel="0" collapsed="false">
      <c r="A213" s="46" t="s">
        <v>2203</v>
      </c>
      <c r="B213" s="46" t="s">
        <v>1271</v>
      </c>
      <c r="C213" s="46" t="s">
        <v>1272</v>
      </c>
      <c r="D213" s="46" t="s">
        <v>1418</v>
      </c>
      <c r="E213" s="47" t="n">
        <v>80</v>
      </c>
      <c r="F213" s="47" t="n">
        <v>84</v>
      </c>
      <c r="G213" s="47" t="n">
        <v>87</v>
      </c>
      <c r="H213" s="47"/>
      <c r="I213" s="47"/>
      <c r="J213" s="47" t="s">
        <v>1988</v>
      </c>
      <c r="K213" s="46" t="s">
        <v>62</v>
      </c>
    </row>
    <row r="214" customFormat="false" ht="15" hidden="false" customHeight="true" outlineLevel="0" collapsed="false">
      <c r="A214" s="46" t="s">
        <v>2204</v>
      </c>
      <c r="B214" s="46" t="s">
        <v>1282</v>
      </c>
      <c r="C214" s="46" t="s">
        <v>1283</v>
      </c>
      <c r="D214" s="46" t="s">
        <v>1440</v>
      </c>
      <c r="E214" s="47" t="n">
        <v>96</v>
      </c>
      <c r="F214" s="47" t="n">
        <v>91</v>
      </c>
      <c r="G214" s="47" t="n">
        <v>94</v>
      </c>
      <c r="H214" s="47"/>
      <c r="I214" s="47"/>
      <c r="J214" s="47" t="s">
        <v>1992</v>
      </c>
      <c r="K214" s="46" t="s">
        <v>62</v>
      </c>
    </row>
    <row r="215" customFormat="false" ht="15" hidden="false" customHeight="true" outlineLevel="0" collapsed="false">
      <c r="A215" s="46" t="s">
        <v>2205</v>
      </c>
      <c r="B215" s="46" t="s">
        <v>1282</v>
      </c>
      <c r="C215" s="46" t="s">
        <v>1283</v>
      </c>
      <c r="D215" s="46" t="s">
        <v>1443</v>
      </c>
      <c r="E215" s="47" t="n">
        <v>94</v>
      </c>
      <c r="F215" s="47" t="n">
        <v>89</v>
      </c>
      <c r="G215" s="47" t="n">
        <v>92</v>
      </c>
      <c r="H215" s="47"/>
      <c r="I215" s="47"/>
      <c r="J215" s="47" t="s">
        <v>1992</v>
      </c>
      <c r="K215" s="46" t="s">
        <v>62</v>
      </c>
    </row>
    <row r="216" customFormat="false" ht="15" hidden="false" customHeight="true" outlineLevel="0" collapsed="false">
      <c r="A216" s="46" t="s">
        <v>2206</v>
      </c>
      <c r="B216" s="46" t="s">
        <v>1294</v>
      </c>
      <c r="C216" s="46" t="s">
        <v>1295</v>
      </c>
      <c r="D216" s="46" t="s">
        <v>1440</v>
      </c>
      <c r="E216" s="47" t="n">
        <v>84</v>
      </c>
      <c r="F216" s="47" t="n">
        <v>87</v>
      </c>
      <c r="G216" s="47" t="n">
        <v>81</v>
      </c>
      <c r="H216" s="47"/>
      <c r="I216" s="47"/>
      <c r="J216" s="47" t="s">
        <v>1988</v>
      </c>
      <c r="K216" s="46" t="s">
        <v>62</v>
      </c>
    </row>
    <row r="217" customFormat="false" ht="15" hidden="false" customHeight="true" outlineLevel="0" collapsed="false">
      <c r="A217" s="46" t="s">
        <v>2207</v>
      </c>
      <c r="B217" s="46" t="s">
        <v>1294</v>
      </c>
      <c r="C217" s="46" t="s">
        <v>1295</v>
      </c>
      <c r="D217" s="46" t="s">
        <v>1446</v>
      </c>
      <c r="E217" s="47" t="n">
        <v>82</v>
      </c>
      <c r="F217" s="47" t="n">
        <v>86</v>
      </c>
      <c r="G217" s="47" t="n">
        <v>79</v>
      </c>
      <c r="H217" s="47"/>
      <c r="I217" s="47"/>
      <c r="J217" s="47" t="s">
        <v>1988</v>
      </c>
      <c r="K217" s="46" t="s">
        <v>62</v>
      </c>
    </row>
    <row r="218" customFormat="false" ht="15" hidden="false" customHeight="true" outlineLevel="0" collapsed="false">
      <c r="A218" s="46" t="s">
        <v>2208</v>
      </c>
      <c r="B218" s="46" t="s">
        <v>1305</v>
      </c>
      <c r="C218" s="46" t="s">
        <v>1306</v>
      </c>
      <c r="D218" s="46" t="s">
        <v>1405</v>
      </c>
      <c r="E218" s="47" t="n">
        <v>52</v>
      </c>
      <c r="F218" s="47" t="n">
        <v>57</v>
      </c>
      <c r="G218" s="47" t="n">
        <v>63</v>
      </c>
      <c r="H218" s="47"/>
      <c r="I218" s="47"/>
      <c r="J218" s="47" t="s">
        <v>2012</v>
      </c>
      <c r="K218" s="46" t="s">
        <v>62</v>
      </c>
    </row>
    <row r="219" customFormat="false" ht="15" hidden="false" customHeight="true" outlineLevel="0" collapsed="false">
      <c r="A219" s="46" t="s">
        <v>2209</v>
      </c>
      <c r="B219" s="46" t="s">
        <v>1305</v>
      </c>
      <c r="C219" s="46" t="s">
        <v>1306</v>
      </c>
      <c r="D219" s="46" t="s">
        <v>1426</v>
      </c>
      <c r="E219" s="47" t="n">
        <v>64</v>
      </c>
      <c r="F219" s="47" t="n">
        <v>55</v>
      </c>
      <c r="G219" s="47" t="n">
        <v>60</v>
      </c>
      <c r="H219" s="47"/>
      <c r="I219" s="47"/>
      <c r="J219" s="47" t="s">
        <v>2012</v>
      </c>
      <c r="K219" s="46"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22"/>
    <col collapsed="false" customWidth="true" hidden="false" outlineLevel="0" max="4" min="4" style="1" width="10"/>
    <col collapsed="false" customWidth="true" hidden="false" outlineLevel="0" max="5" min="5" style="1" width="28"/>
    <col collapsed="false" customWidth="true" hidden="false" outlineLevel="0" max="8" min="6" style="1" width="10"/>
    <col collapsed="false" customWidth="true" hidden="false" outlineLevel="0" max="9" min="9" style="1" width="8"/>
    <col collapsed="false" customWidth="true" hidden="false" outlineLevel="0" max="11" min="10" style="1" width="10"/>
  </cols>
  <sheetData>
    <row r="1" customFormat="false" ht="30" hidden="false" customHeight="true" outlineLevel="0" collapsed="false">
      <c r="A1" s="41" t="s">
        <v>2210</v>
      </c>
      <c r="B1" s="41" t="s">
        <v>0</v>
      </c>
      <c r="C1" s="41" t="s">
        <v>1583</v>
      </c>
      <c r="D1" s="41" t="s">
        <v>1313</v>
      </c>
      <c r="E1" s="41" t="s">
        <v>1584</v>
      </c>
      <c r="F1" s="41" t="s">
        <v>2211</v>
      </c>
      <c r="G1" s="41" t="s">
        <v>2212</v>
      </c>
      <c r="H1" s="41" t="s">
        <v>2213</v>
      </c>
      <c r="I1" s="41" t="s">
        <v>2214</v>
      </c>
      <c r="J1" s="41" t="s">
        <v>2215</v>
      </c>
      <c r="K1" s="41" t="s">
        <v>2216</v>
      </c>
      <c r="L1" s="41" t="s">
        <v>35</v>
      </c>
    </row>
    <row r="2" customFormat="false" ht="15" hidden="false" customHeight="true" outlineLevel="0" collapsed="false">
      <c r="A2" s="42" t="s">
        <v>2217</v>
      </c>
      <c r="B2" s="42" t="s">
        <v>40</v>
      </c>
      <c r="C2" s="42" t="s">
        <v>41</v>
      </c>
      <c r="D2" s="42" t="s">
        <v>1321</v>
      </c>
      <c r="E2" s="42" t="s">
        <v>1322</v>
      </c>
      <c r="F2" s="42" t="n">
        <v>28</v>
      </c>
      <c r="G2" s="42" t="n">
        <v>26</v>
      </c>
      <c r="H2" s="42" t="n">
        <v>2</v>
      </c>
      <c r="I2" s="42" t="n">
        <v>1</v>
      </c>
      <c r="J2" s="44" t="n">
        <f aca="false">ROUND(G2/F2*100,0)</f>
        <v>93</v>
      </c>
      <c r="K2" s="42" t="s">
        <v>2218</v>
      </c>
      <c r="L2" s="42" t="s">
        <v>62</v>
      </c>
    </row>
    <row r="3" customFormat="false" ht="15" hidden="false" customHeight="true" outlineLevel="0" collapsed="false">
      <c r="A3" s="43" t="s">
        <v>2219</v>
      </c>
      <c r="B3" s="43" t="s">
        <v>40</v>
      </c>
      <c r="C3" s="43" t="s">
        <v>41</v>
      </c>
      <c r="D3" s="43" t="s">
        <v>1326</v>
      </c>
      <c r="E3" s="43" t="s">
        <v>1327</v>
      </c>
      <c r="F3" s="43" t="n">
        <v>26</v>
      </c>
      <c r="G3" s="43" t="n">
        <v>25</v>
      </c>
      <c r="H3" s="43" t="n">
        <v>1</v>
      </c>
      <c r="I3" s="43" t="n">
        <v>2</v>
      </c>
      <c r="J3" s="45" t="n">
        <f aca="false">ROUND(G3/F3*100,0)</f>
        <v>96</v>
      </c>
      <c r="K3" s="43" t="s">
        <v>2218</v>
      </c>
      <c r="L3" s="43" t="s">
        <v>62</v>
      </c>
    </row>
    <row r="4" customFormat="false" ht="15" hidden="false" customHeight="true" outlineLevel="0" collapsed="false">
      <c r="A4" s="42" t="s">
        <v>2220</v>
      </c>
      <c r="B4" s="42" t="s">
        <v>111</v>
      </c>
      <c r="C4" s="42" t="s">
        <v>112</v>
      </c>
      <c r="D4" s="42" t="s">
        <v>1373</v>
      </c>
      <c r="E4" s="42" t="s">
        <v>1374</v>
      </c>
      <c r="F4" s="42" t="n">
        <v>30</v>
      </c>
      <c r="G4" s="42" t="n">
        <v>17</v>
      </c>
      <c r="H4" s="42" t="n">
        <v>13</v>
      </c>
      <c r="I4" s="42" t="n">
        <v>3</v>
      </c>
      <c r="J4" s="44" t="n">
        <f aca="false">ROUND(G4/F4*100,0)</f>
        <v>57</v>
      </c>
      <c r="K4" s="42" t="s">
        <v>2221</v>
      </c>
      <c r="L4" s="42" t="s">
        <v>62</v>
      </c>
    </row>
    <row r="5" customFormat="false" ht="15" hidden="false" customHeight="true" outlineLevel="0" collapsed="false">
      <c r="A5" s="43" t="s">
        <v>2222</v>
      </c>
      <c r="B5" s="43" t="s">
        <v>188</v>
      </c>
      <c r="C5" s="43" t="s">
        <v>189</v>
      </c>
      <c r="D5" s="43" t="s">
        <v>1352</v>
      </c>
      <c r="E5" s="43" t="s">
        <v>1353</v>
      </c>
      <c r="F5" s="43" t="n">
        <v>26</v>
      </c>
      <c r="G5" s="43" t="n">
        <v>14</v>
      </c>
      <c r="H5" s="43" t="n">
        <v>12</v>
      </c>
      <c r="I5" s="43" t="n">
        <v>2</v>
      </c>
      <c r="J5" s="45" t="n">
        <f aca="false">ROUND(G5/F5*100,0)</f>
        <v>54</v>
      </c>
      <c r="K5" s="43" t="s">
        <v>2221</v>
      </c>
      <c r="L5" s="43" t="s">
        <v>62</v>
      </c>
    </row>
    <row r="6" customFormat="false" ht="15" hidden="false" customHeight="true" outlineLevel="0" collapsed="false">
      <c r="A6" s="42" t="s">
        <v>2223</v>
      </c>
      <c r="B6" s="42" t="s">
        <v>213</v>
      </c>
      <c r="C6" s="42" t="s">
        <v>214</v>
      </c>
      <c r="D6" s="42" t="s">
        <v>1321</v>
      </c>
      <c r="E6" s="42" t="s">
        <v>1322</v>
      </c>
      <c r="F6" s="42" t="n">
        <v>28</v>
      </c>
      <c r="G6" s="42" t="n">
        <v>28</v>
      </c>
      <c r="H6" s="42" t="n">
        <v>0</v>
      </c>
      <c r="I6" s="42" t="n">
        <v>0</v>
      </c>
      <c r="J6" s="44" t="n">
        <f aca="false">ROUND(G6/F6*100,0)</f>
        <v>100</v>
      </c>
      <c r="K6" s="42" t="s">
        <v>2218</v>
      </c>
      <c r="L6" s="42" t="s">
        <v>62</v>
      </c>
    </row>
    <row r="7" customFormat="false" ht="15" hidden="false" customHeight="true" outlineLevel="0" collapsed="false">
      <c r="A7" s="43" t="s">
        <v>2224</v>
      </c>
      <c r="B7" s="43" t="s">
        <v>65</v>
      </c>
      <c r="C7" s="43" t="s">
        <v>66</v>
      </c>
      <c r="D7" s="43" t="s">
        <v>1330</v>
      </c>
      <c r="E7" s="43" t="s">
        <v>1331</v>
      </c>
      <c r="F7" s="43" t="n">
        <v>26</v>
      </c>
      <c r="G7" s="43" t="n">
        <v>21</v>
      </c>
      <c r="H7" s="43" t="n">
        <v>5</v>
      </c>
      <c r="I7" s="43" t="n">
        <v>2</v>
      </c>
      <c r="J7" s="45" t="n">
        <f aca="false">ROUND(G7/F7*100,0)</f>
        <v>81</v>
      </c>
      <c r="K7" s="43" t="s">
        <v>2218</v>
      </c>
      <c r="L7" s="43" t="s">
        <v>62</v>
      </c>
    </row>
    <row r="8" customFormat="false" ht="15" hidden="false" customHeight="true" outlineLevel="0" collapsed="false">
      <c r="A8" s="42" t="s">
        <v>2225</v>
      </c>
      <c r="B8" s="42" t="s">
        <v>247</v>
      </c>
      <c r="C8" s="42" t="s">
        <v>248</v>
      </c>
      <c r="D8" s="42" t="s">
        <v>1391</v>
      </c>
      <c r="E8" s="42" t="s">
        <v>1392</v>
      </c>
      <c r="F8" s="42" t="n">
        <v>26</v>
      </c>
      <c r="G8" s="42" t="n">
        <v>16</v>
      </c>
      <c r="H8" s="42" t="n">
        <v>10</v>
      </c>
      <c r="I8" s="42" t="n">
        <v>3</v>
      </c>
      <c r="J8" s="44" t="n">
        <f aca="false">ROUND(G8/F8*100,0)</f>
        <v>62</v>
      </c>
      <c r="K8" s="42" t="s">
        <v>2226</v>
      </c>
      <c r="L8" s="42" t="s">
        <v>62</v>
      </c>
    </row>
    <row r="9" customFormat="false" ht="15" hidden="false" customHeight="true" outlineLevel="0" collapsed="false">
      <c r="A9" s="43" t="s">
        <v>2227</v>
      </c>
      <c r="B9" s="43" t="s">
        <v>198</v>
      </c>
      <c r="C9" s="43" t="s">
        <v>199</v>
      </c>
      <c r="D9" s="43" t="s">
        <v>1369</v>
      </c>
      <c r="E9" s="43" t="s">
        <v>1370</v>
      </c>
      <c r="F9" s="43" t="n">
        <v>24</v>
      </c>
      <c r="G9" s="43" t="n">
        <v>24</v>
      </c>
      <c r="H9" s="43" t="n">
        <v>0</v>
      </c>
      <c r="I9" s="43" t="n">
        <v>1</v>
      </c>
      <c r="J9" s="45" t="n">
        <f aca="false">ROUND(G9/F9*100,0)</f>
        <v>100</v>
      </c>
      <c r="K9" s="43" t="s">
        <v>2218</v>
      </c>
      <c r="L9" s="43" t="s">
        <v>62</v>
      </c>
    </row>
    <row r="10" customFormat="false" ht="15" hidden="false" customHeight="true" outlineLevel="0" collapsed="false">
      <c r="A10" s="42" t="s">
        <v>2228</v>
      </c>
      <c r="B10" s="42" t="s">
        <v>142</v>
      </c>
      <c r="C10" s="42" t="s">
        <v>143</v>
      </c>
      <c r="D10" s="42" t="s">
        <v>1347</v>
      </c>
      <c r="E10" s="42" t="s">
        <v>1348</v>
      </c>
      <c r="F10" s="42" t="n">
        <v>26</v>
      </c>
      <c r="G10" s="42" t="n">
        <v>22</v>
      </c>
      <c r="H10" s="42" t="n">
        <v>4</v>
      </c>
      <c r="I10" s="42" t="n">
        <v>1</v>
      </c>
      <c r="J10" s="44" t="n">
        <f aca="false">ROUND(G10/F10*100,0)</f>
        <v>85</v>
      </c>
      <c r="K10" s="42" t="s">
        <v>2218</v>
      </c>
      <c r="L10" s="42" t="s">
        <v>62</v>
      </c>
    </row>
    <row r="11" customFormat="false" ht="15" hidden="false" customHeight="true" outlineLevel="0" collapsed="false">
      <c r="A11" s="43" t="s">
        <v>2229</v>
      </c>
      <c r="B11" s="43" t="s">
        <v>151</v>
      </c>
      <c r="C11" s="43" t="s">
        <v>152</v>
      </c>
      <c r="D11" s="43" t="s">
        <v>1334</v>
      </c>
      <c r="E11" s="43" t="s">
        <v>1335</v>
      </c>
      <c r="F11" s="43" t="n">
        <v>26</v>
      </c>
      <c r="G11" s="43" t="n">
        <v>16</v>
      </c>
      <c r="H11" s="43" t="n">
        <v>10</v>
      </c>
      <c r="I11" s="43" t="n">
        <v>2</v>
      </c>
      <c r="J11" s="45" t="n">
        <f aca="false">ROUND(G11/F11*100,0)</f>
        <v>62</v>
      </c>
      <c r="K11" s="43" t="s">
        <v>2226</v>
      </c>
      <c r="L11" s="43" t="s">
        <v>62</v>
      </c>
    </row>
    <row r="12" customFormat="false" ht="15" hidden="false" customHeight="true" outlineLevel="0" collapsed="false">
      <c r="A12" s="42" t="s">
        <v>2230</v>
      </c>
      <c r="B12" s="42" t="s">
        <v>236</v>
      </c>
      <c r="C12" s="42" t="s">
        <v>237</v>
      </c>
      <c r="D12" s="42" t="s">
        <v>1365</v>
      </c>
      <c r="E12" s="42" t="s">
        <v>1366</v>
      </c>
      <c r="F12" s="42" t="n">
        <v>24</v>
      </c>
      <c r="G12" s="42" t="n">
        <v>15</v>
      </c>
      <c r="H12" s="42" t="n">
        <v>9</v>
      </c>
      <c r="I12" s="42" t="n">
        <v>2</v>
      </c>
      <c r="J12" s="44" t="n">
        <f aca="false">ROUND(G12/F12*100,0)</f>
        <v>63</v>
      </c>
      <c r="K12" s="42" t="s">
        <v>2226</v>
      </c>
      <c r="L12" s="42" t="s">
        <v>62</v>
      </c>
    </row>
    <row r="13" customFormat="false" ht="15" hidden="false" customHeight="true" outlineLevel="0" collapsed="false">
      <c r="A13" s="43" t="s">
        <v>2231</v>
      </c>
      <c r="B13" s="43" t="s">
        <v>253</v>
      </c>
      <c r="C13" s="43" t="s">
        <v>254</v>
      </c>
      <c r="D13" s="43" t="s">
        <v>1382</v>
      </c>
      <c r="E13" s="43" t="s">
        <v>1383</v>
      </c>
      <c r="F13" s="43" t="n">
        <v>24</v>
      </c>
      <c r="G13" s="43" t="n">
        <v>22</v>
      </c>
      <c r="H13" s="43" t="n">
        <v>2</v>
      </c>
      <c r="I13" s="43" t="n">
        <v>1</v>
      </c>
      <c r="J13" s="45" t="n">
        <f aca="false">ROUND(G13/F13*100,0)</f>
        <v>92</v>
      </c>
      <c r="K13" s="43" t="s">
        <v>2218</v>
      </c>
      <c r="L13" s="43" t="s">
        <v>62</v>
      </c>
    </row>
    <row r="14" customFormat="false" ht="15" hidden="false" customHeight="true" outlineLevel="0" collapsed="false">
      <c r="A14" s="42" t="s">
        <v>2232</v>
      </c>
      <c r="B14" s="42" t="s">
        <v>258</v>
      </c>
      <c r="C14" s="42" t="s">
        <v>259</v>
      </c>
      <c r="D14" s="42" t="s">
        <v>1398</v>
      </c>
      <c r="E14" s="42" t="s">
        <v>1399</v>
      </c>
      <c r="F14" s="42" t="n">
        <v>26</v>
      </c>
      <c r="G14" s="42" t="n">
        <v>25</v>
      </c>
      <c r="H14" s="42" t="n">
        <v>1</v>
      </c>
      <c r="I14" s="42" t="n">
        <v>1</v>
      </c>
      <c r="J14" s="44" t="n">
        <f aca="false">ROUND(G14/F14*100,0)</f>
        <v>96</v>
      </c>
      <c r="K14" s="42" t="s">
        <v>2218</v>
      </c>
      <c r="L14" s="42" t="s">
        <v>62</v>
      </c>
    </row>
    <row r="15" customFormat="false" ht="15" hidden="false" customHeight="true" outlineLevel="0" collapsed="false">
      <c r="A15" s="43" t="s">
        <v>2233</v>
      </c>
      <c r="B15" s="43" t="s">
        <v>258</v>
      </c>
      <c r="C15" s="43" t="s">
        <v>259</v>
      </c>
      <c r="D15" s="43" t="s">
        <v>1382</v>
      </c>
      <c r="E15" s="43" t="s">
        <v>1383</v>
      </c>
      <c r="F15" s="43" t="n">
        <v>24</v>
      </c>
      <c r="G15" s="43" t="n">
        <v>22</v>
      </c>
      <c r="H15" s="43" t="n">
        <v>2</v>
      </c>
      <c r="I15" s="43" t="n">
        <v>0</v>
      </c>
      <c r="J15" s="45" t="n">
        <f aca="false">ROUND(G15/F15*100,0)</f>
        <v>92</v>
      </c>
      <c r="K15" s="43" t="s">
        <v>2218</v>
      </c>
      <c r="L15" s="43" t="s">
        <v>62</v>
      </c>
    </row>
    <row r="16" customFormat="false" ht="15" hidden="false" customHeight="true" outlineLevel="0" collapsed="false">
      <c r="A16" s="42" t="s">
        <v>2234</v>
      </c>
      <c r="B16" s="42" t="s">
        <v>258</v>
      </c>
      <c r="C16" s="42" t="s">
        <v>259</v>
      </c>
      <c r="D16" s="42" t="s">
        <v>1373</v>
      </c>
      <c r="E16" s="42" t="s">
        <v>1374</v>
      </c>
      <c r="F16" s="42" t="n">
        <v>30</v>
      </c>
      <c r="G16" s="42" t="n">
        <v>28</v>
      </c>
      <c r="H16" s="42" t="n">
        <v>2</v>
      </c>
      <c r="I16" s="42" t="n">
        <v>1</v>
      </c>
      <c r="J16" s="44" t="n">
        <f aca="false">ROUND(G16/F16*100,0)</f>
        <v>93</v>
      </c>
      <c r="K16" s="42" t="s">
        <v>2218</v>
      </c>
      <c r="L16" s="42" t="s">
        <v>62</v>
      </c>
    </row>
    <row r="17" customFormat="false" ht="15" hidden="false" customHeight="true" outlineLevel="0" collapsed="false">
      <c r="A17" s="43" t="s">
        <v>2235</v>
      </c>
      <c r="B17" s="43" t="s">
        <v>258</v>
      </c>
      <c r="C17" s="43" t="s">
        <v>259</v>
      </c>
      <c r="D17" s="43" t="s">
        <v>1401</v>
      </c>
      <c r="E17" s="43" t="s">
        <v>1402</v>
      </c>
      <c r="F17" s="43" t="n">
        <v>24</v>
      </c>
      <c r="G17" s="43" t="n">
        <v>23</v>
      </c>
      <c r="H17" s="43" t="n">
        <v>1</v>
      </c>
      <c r="I17" s="43" t="n">
        <v>0</v>
      </c>
      <c r="J17" s="45" t="n">
        <f aca="false">ROUND(G17/F17*100,0)</f>
        <v>96</v>
      </c>
      <c r="K17" s="43" t="s">
        <v>2218</v>
      </c>
      <c r="L17" s="43" t="s">
        <v>62</v>
      </c>
    </row>
    <row r="18" customFormat="false" ht="15" hidden="false" customHeight="true" outlineLevel="0" collapsed="false">
      <c r="A18" s="1" t="s">
        <v>2236</v>
      </c>
      <c r="B18" s="1" t="s">
        <v>264</v>
      </c>
      <c r="C18" s="1" t="s">
        <v>265</v>
      </c>
      <c r="D18" s="1" t="s">
        <v>1433</v>
      </c>
      <c r="E18" s="1" t="s">
        <v>1434</v>
      </c>
      <c r="F18" s="1" t="n">
        <v>24</v>
      </c>
      <c r="G18" s="1" t="n">
        <v>22</v>
      </c>
      <c r="H18" s="1" t="n">
        <v>2</v>
      </c>
      <c r="I18" s="1" t="n">
        <v>1</v>
      </c>
      <c r="J18" s="1" t="n">
        <v>92</v>
      </c>
      <c r="K18" s="1" t="s">
        <v>2218</v>
      </c>
      <c r="L18" s="1" t="s">
        <v>62</v>
      </c>
    </row>
    <row r="19" customFormat="false" ht="15" hidden="false" customHeight="true" outlineLevel="0" collapsed="false">
      <c r="A19" s="1" t="s">
        <v>2237</v>
      </c>
      <c r="B19" s="1" t="s">
        <v>264</v>
      </c>
      <c r="C19" s="1" t="s">
        <v>265</v>
      </c>
      <c r="D19" s="1" t="s">
        <v>1411</v>
      </c>
      <c r="E19" s="1" t="s">
        <v>1412</v>
      </c>
      <c r="F19" s="1" t="n">
        <v>20</v>
      </c>
      <c r="G19" s="1" t="n">
        <v>19</v>
      </c>
      <c r="H19" s="1" t="n">
        <v>1</v>
      </c>
      <c r="I19" s="1" t="n">
        <v>1</v>
      </c>
      <c r="J19" s="1" t="n">
        <v>95</v>
      </c>
      <c r="K19" s="1" t="s">
        <v>2218</v>
      </c>
      <c r="L19" s="1" t="s">
        <v>62</v>
      </c>
    </row>
    <row r="20" customFormat="false" ht="15" hidden="false" customHeight="true" outlineLevel="0" collapsed="false">
      <c r="A20" s="1" t="s">
        <v>2238</v>
      </c>
      <c r="B20" s="1" t="s">
        <v>264</v>
      </c>
      <c r="C20" s="1" t="s">
        <v>265</v>
      </c>
      <c r="D20" s="1" t="s">
        <v>1414</v>
      </c>
      <c r="E20" s="1" t="s">
        <v>1415</v>
      </c>
      <c r="F20" s="1" t="n">
        <v>16</v>
      </c>
      <c r="G20" s="1" t="n">
        <v>15</v>
      </c>
      <c r="H20" s="1" t="n">
        <v>1</v>
      </c>
      <c r="I20" s="1" t="n">
        <v>0</v>
      </c>
      <c r="J20" s="1" t="n">
        <v>94</v>
      </c>
      <c r="K20" s="1" t="s">
        <v>2218</v>
      </c>
      <c r="L20" s="1" t="s">
        <v>62</v>
      </c>
    </row>
    <row r="21" customFormat="false" ht="15" hidden="false" customHeight="true" outlineLevel="0" collapsed="false">
      <c r="A21" s="1" t="s">
        <v>2239</v>
      </c>
      <c r="B21" s="1" t="s">
        <v>281</v>
      </c>
      <c r="C21" s="1" t="s">
        <v>282</v>
      </c>
      <c r="D21" s="1" t="s">
        <v>1422</v>
      </c>
      <c r="E21" s="1" t="s">
        <v>1423</v>
      </c>
      <c r="F21" s="1" t="n">
        <v>22</v>
      </c>
      <c r="G21" s="1" t="n">
        <v>19</v>
      </c>
      <c r="H21" s="1" t="n">
        <v>3</v>
      </c>
      <c r="I21" s="1" t="n">
        <v>1</v>
      </c>
      <c r="J21" s="1" t="n">
        <v>86</v>
      </c>
      <c r="K21" s="1" t="s">
        <v>2218</v>
      </c>
      <c r="L21" s="1" t="s">
        <v>62</v>
      </c>
    </row>
    <row r="22" customFormat="false" ht="15" hidden="false" customHeight="true" outlineLevel="0" collapsed="false">
      <c r="A22" s="1" t="s">
        <v>2240</v>
      </c>
      <c r="B22" s="1" t="s">
        <v>281</v>
      </c>
      <c r="C22" s="1" t="s">
        <v>282</v>
      </c>
      <c r="D22" s="1" t="s">
        <v>1426</v>
      </c>
      <c r="E22" s="1" t="s">
        <v>1427</v>
      </c>
      <c r="F22" s="1" t="n">
        <v>22</v>
      </c>
      <c r="G22" s="1" t="n">
        <v>18</v>
      </c>
      <c r="H22" s="1" t="n">
        <v>4</v>
      </c>
      <c r="I22" s="1" t="n">
        <v>1</v>
      </c>
      <c r="J22" s="1" t="n">
        <v>82</v>
      </c>
      <c r="K22" s="1" t="s">
        <v>2218</v>
      </c>
      <c r="L22" s="1" t="s">
        <v>62</v>
      </c>
    </row>
    <row r="23" customFormat="false" ht="15" hidden="false" customHeight="true" outlineLevel="0" collapsed="false">
      <c r="A23" s="1" t="s">
        <v>2241</v>
      </c>
      <c r="B23" s="1" t="s">
        <v>281</v>
      </c>
      <c r="C23" s="1" t="s">
        <v>282</v>
      </c>
      <c r="D23" s="1" t="s">
        <v>1429</v>
      </c>
      <c r="E23" s="1" t="s">
        <v>1430</v>
      </c>
      <c r="F23" s="1" t="n">
        <v>20</v>
      </c>
      <c r="G23" s="1" t="n">
        <v>18</v>
      </c>
      <c r="H23" s="1" t="n">
        <v>2</v>
      </c>
      <c r="I23" s="1" t="n">
        <v>1</v>
      </c>
      <c r="J23" s="1" t="n">
        <v>90</v>
      </c>
      <c r="K23" s="1" t="s">
        <v>2218</v>
      </c>
      <c r="L23" s="1" t="s">
        <v>62</v>
      </c>
    </row>
    <row r="24" customFormat="false" ht="15" hidden="false" customHeight="true" outlineLevel="0" collapsed="false">
      <c r="A24" s="1" t="s">
        <v>2242</v>
      </c>
      <c r="B24" s="1" t="s">
        <v>309</v>
      </c>
      <c r="C24" s="1" t="s">
        <v>310</v>
      </c>
      <c r="D24" s="1" t="s">
        <v>1437</v>
      </c>
      <c r="E24" s="1" t="s">
        <v>1438</v>
      </c>
      <c r="F24" s="1" t="n">
        <v>22</v>
      </c>
      <c r="G24" s="1" t="n">
        <v>13</v>
      </c>
      <c r="H24" s="1" t="n">
        <v>9</v>
      </c>
      <c r="I24" s="1" t="n">
        <v>2</v>
      </c>
      <c r="J24" s="1" t="n">
        <v>59</v>
      </c>
      <c r="K24" s="1" t="s">
        <v>2221</v>
      </c>
      <c r="L24" s="1" t="s">
        <v>62</v>
      </c>
    </row>
    <row r="25" customFormat="false" ht="15" hidden="false" customHeight="true" outlineLevel="0" collapsed="false">
      <c r="A25" s="1" t="s">
        <v>2243</v>
      </c>
      <c r="B25" s="1" t="s">
        <v>309</v>
      </c>
      <c r="C25" s="1" t="s">
        <v>310</v>
      </c>
      <c r="D25" s="1" t="s">
        <v>1405</v>
      </c>
      <c r="E25" s="1" t="s">
        <v>1406</v>
      </c>
      <c r="F25" s="1" t="n">
        <v>18</v>
      </c>
      <c r="G25" s="1" t="n">
        <v>11</v>
      </c>
      <c r="H25" s="1" t="n">
        <v>7</v>
      </c>
      <c r="I25" s="1" t="n">
        <v>2</v>
      </c>
      <c r="J25" s="1" t="n">
        <v>61</v>
      </c>
      <c r="K25" s="1" t="s">
        <v>2226</v>
      </c>
      <c r="L25" s="1" t="s">
        <v>62</v>
      </c>
    </row>
    <row r="26" customFormat="false" ht="15" hidden="false" customHeight="true" outlineLevel="0" collapsed="false">
      <c r="A26" s="1" t="s">
        <v>2244</v>
      </c>
      <c r="B26" s="1" t="s">
        <v>319</v>
      </c>
      <c r="C26" s="1" t="s">
        <v>320</v>
      </c>
      <c r="D26" s="1" t="s">
        <v>1411</v>
      </c>
      <c r="E26" s="1" t="s">
        <v>1412</v>
      </c>
      <c r="F26" s="1" t="n">
        <v>20</v>
      </c>
      <c r="G26" s="1" t="n">
        <v>19</v>
      </c>
      <c r="H26" s="1" t="n">
        <v>1</v>
      </c>
      <c r="I26" s="1" t="n">
        <v>0</v>
      </c>
      <c r="J26" s="1" t="n">
        <v>95</v>
      </c>
      <c r="K26" s="1" t="s">
        <v>2218</v>
      </c>
      <c r="L26" s="1" t="s">
        <v>62</v>
      </c>
    </row>
    <row r="27" customFormat="false" ht="15" hidden="false" customHeight="true" outlineLevel="0" collapsed="false">
      <c r="A27" s="1" t="s">
        <v>2245</v>
      </c>
      <c r="B27" s="1" t="s">
        <v>319</v>
      </c>
      <c r="C27" s="1" t="s">
        <v>320</v>
      </c>
      <c r="D27" s="1" t="s">
        <v>1414</v>
      </c>
      <c r="E27" s="1" t="s">
        <v>1415</v>
      </c>
      <c r="F27" s="1" t="n">
        <v>16</v>
      </c>
      <c r="G27" s="1" t="n">
        <v>15</v>
      </c>
      <c r="H27" s="1" t="n">
        <v>1</v>
      </c>
      <c r="I27" s="1" t="n">
        <v>1</v>
      </c>
      <c r="J27" s="1" t="n">
        <v>94</v>
      </c>
      <c r="K27" s="1" t="s">
        <v>2218</v>
      </c>
      <c r="L27" s="1" t="s">
        <v>62</v>
      </c>
    </row>
    <row r="28" customFormat="false" ht="15" hidden="false" customHeight="true" outlineLevel="0" collapsed="false">
      <c r="A28" s="1" t="s">
        <v>2246</v>
      </c>
      <c r="B28" s="1" t="s">
        <v>328</v>
      </c>
      <c r="C28" s="1" t="s">
        <v>329</v>
      </c>
      <c r="D28" s="1" t="s">
        <v>1422</v>
      </c>
      <c r="E28" s="1" t="s">
        <v>1423</v>
      </c>
      <c r="F28" s="1" t="n">
        <v>22</v>
      </c>
      <c r="G28" s="1" t="n">
        <v>20</v>
      </c>
      <c r="H28" s="1" t="n">
        <v>2</v>
      </c>
      <c r="I28" s="1" t="n">
        <v>0</v>
      </c>
      <c r="J28" s="1" t="n">
        <v>91</v>
      </c>
      <c r="K28" s="1" t="s">
        <v>2218</v>
      </c>
      <c r="L28" s="1" t="s">
        <v>62</v>
      </c>
    </row>
    <row r="29" customFormat="false" ht="15" hidden="false" customHeight="true" outlineLevel="0" collapsed="false">
      <c r="A29" s="1" t="s">
        <v>2247</v>
      </c>
      <c r="B29" s="1" t="s">
        <v>328</v>
      </c>
      <c r="C29" s="1" t="s">
        <v>329</v>
      </c>
      <c r="D29" s="1" t="s">
        <v>1426</v>
      </c>
      <c r="E29" s="1" t="s">
        <v>1427</v>
      </c>
      <c r="F29" s="1" t="n">
        <v>22</v>
      </c>
      <c r="G29" s="1" t="n">
        <v>19</v>
      </c>
      <c r="H29" s="1" t="n">
        <v>3</v>
      </c>
      <c r="I29" s="1" t="n">
        <v>1</v>
      </c>
      <c r="J29" s="1" t="n">
        <v>86</v>
      </c>
      <c r="K29" s="1" t="s">
        <v>2218</v>
      </c>
      <c r="L29" s="1" t="s">
        <v>62</v>
      </c>
    </row>
    <row r="30" customFormat="false" ht="15" hidden="false" customHeight="true" outlineLevel="0" collapsed="false">
      <c r="A30" s="1" t="s">
        <v>2248</v>
      </c>
      <c r="B30" s="1" t="s">
        <v>328</v>
      </c>
      <c r="C30" s="1" t="s">
        <v>329</v>
      </c>
      <c r="D30" s="1" t="s">
        <v>1429</v>
      </c>
      <c r="E30" s="1" t="s">
        <v>1430</v>
      </c>
      <c r="F30" s="1" t="n">
        <v>20</v>
      </c>
      <c r="G30" s="1" t="n">
        <v>18</v>
      </c>
      <c r="H30" s="1" t="n">
        <v>2</v>
      </c>
      <c r="I30" s="1" t="n">
        <v>1</v>
      </c>
      <c r="J30" s="1" t="n">
        <v>90</v>
      </c>
      <c r="K30" s="1" t="s">
        <v>2218</v>
      </c>
      <c r="L30" s="1" t="s">
        <v>62</v>
      </c>
    </row>
    <row r="31" customFormat="false" ht="15" hidden="false" customHeight="true" outlineLevel="0" collapsed="false">
      <c r="A31" s="1" t="s">
        <v>2249</v>
      </c>
      <c r="B31" s="1" t="s">
        <v>337</v>
      </c>
      <c r="C31" s="1" t="s">
        <v>338</v>
      </c>
      <c r="D31" s="1" t="s">
        <v>1411</v>
      </c>
      <c r="E31" s="1" t="s">
        <v>1412</v>
      </c>
      <c r="F31" s="1" t="n">
        <v>20</v>
      </c>
      <c r="G31" s="1" t="n">
        <v>20</v>
      </c>
      <c r="H31" s="1" t="n">
        <v>0</v>
      </c>
      <c r="I31" s="1" t="n">
        <v>0</v>
      </c>
      <c r="J31" s="1" t="n">
        <v>100</v>
      </c>
      <c r="K31" s="1" t="s">
        <v>2218</v>
      </c>
      <c r="L31" s="1" t="s">
        <v>62</v>
      </c>
    </row>
    <row r="32" customFormat="false" ht="15" hidden="false" customHeight="true" outlineLevel="0" collapsed="false">
      <c r="A32" s="1" t="s">
        <v>2250</v>
      </c>
      <c r="B32" s="1" t="s">
        <v>337</v>
      </c>
      <c r="C32" s="1" t="s">
        <v>338</v>
      </c>
      <c r="D32" s="1" t="s">
        <v>1414</v>
      </c>
      <c r="E32" s="1" t="s">
        <v>1415</v>
      </c>
      <c r="F32" s="1" t="n">
        <v>16</v>
      </c>
      <c r="G32" s="1" t="n">
        <v>15</v>
      </c>
      <c r="H32" s="1" t="n">
        <v>1</v>
      </c>
      <c r="I32" s="1" t="n">
        <v>0</v>
      </c>
      <c r="J32" s="1" t="n">
        <v>94</v>
      </c>
      <c r="K32" s="1" t="s">
        <v>2218</v>
      </c>
      <c r="L32" s="1" t="s">
        <v>62</v>
      </c>
    </row>
    <row r="33" customFormat="false" ht="15" hidden="false" customHeight="true" outlineLevel="0" collapsed="false">
      <c r="A33" s="1" t="s">
        <v>2251</v>
      </c>
      <c r="B33" s="1" t="s">
        <v>354</v>
      </c>
      <c r="C33" s="1" t="s">
        <v>355</v>
      </c>
      <c r="D33" s="1" t="s">
        <v>1414</v>
      </c>
      <c r="E33" s="1" t="s">
        <v>1415</v>
      </c>
      <c r="F33" s="1" t="n">
        <v>16</v>
      </c>
      <c r="G33" s="1" t="n">
        <v>14</v>
      </c>
      <c r="H33" s="1" t="n">
        <v>2</v>
      </c>
      <c r="I33" s="1" t="n">
        <v>0</v>
      </c>
      <c r="J33" s="1" t="n">
        <v>88</v>
      </c>
      <c r="K33" s="1" t="s">
        <v>2218</v>
      </c>
      <c r="L33" s="1" t="s">
        <v>62</v>
      </c>
    </row>
    <row r="34" customFormat="false" ht="15" hidden="false" customHeight="true" outlineLevel="0" collapsed="false">
      <c r="A34" s="1" t="s">
        <v>2252</v>
      </c>
      <c r="B34" s="1" t="s">
        <v>370</v>
      </c>
      <c r="C34" s="1" t="s">
        <v>371</v>
      </c>
      <c r="D34" s="1" t="s">
        <v>1411</v>
      </c>
      <c r="E34" s="1" t="s">
        <v>1412</v>
      </c>
      <c r="F34" s="1" t="n">
        <v>20</v>
      </c>
      <c r="G34" s="1" t="n">
        <v>19</v>
      </c>
      <c r="H34" s="1" t="n">
        <v>1</v>
      </c>
      <c r="I34" s="1" t="n">
        <v>0</v>
      </c>
      <c r="J34" s="1" t="n">
        <v>95</v>
      </c>
      <c r="K34" s="1" t="s">
        <v>2218</v>
      </c>
      <c r="L34" s="1" t="s">
        <v>62</v>
      </c>
    </row>
    <row r="35" customFormat="false" ht="15" hidden="false" customHeight="true" outlineLevel="0" collapsed="false">
      <c r="A35" s="1" t="s">
        <v>2253</v>
      </c>
      <c r="B35" s="1" t="s">
        <v>370</v>
      </c>
      <c r="C35" s="1" t="s">
        <v>371</v>
      </c>
      <c r="D35" s="1" t="s">
        <v>1414</v>
      </c>
      <c r="E35" s="1" t="s">
        <v>1415</v>
      </c>
      <c r="F35" s="1" t="n">
        <v>16</v>
      </c>
      <c r="G35" s="1" t="n">
        <v>15</v>
      </c>
      <c r="H35" s="1" t="n">
        <v>1</v>
      </c>
      <c r="I35" s="1" t="n">
        <v>1</v>
      </c>
      <c r="J35" s="1" t="n">
        <v>94</v>
      </c>
      <c r="K35" s="1" t="s">
        <v>2218</v>
      </c>
      <c r="L35" s="1" t="s">
        <v>62</v>
      </c>
    </row>
    <row r="36" customFormat="false" ht="15" hidden="false" customHeight="true" outlineLevel="0" collapsed="false">
      <c r="A36" s="1" t="s">
        <v>2254</v>
      </c>
      <c r="B36" s="1" t="s">
        <v>412</v>
      </c>
      <c r="C36" s="1" t="s">
        <v>413</v>
      </c>
      <c r="D36" s="1" t="s">
        <v>1405</v>
      </c>
      <c r="E36" s="1" t="s">
        <v>1406</v>
      </c>
      <c r="F36" s="1" t="n">
        <v>18</v>
      </c>
      <c r="G36" s="1" t="n">
        <v>17</v>
      </c>
      <c r="H36" s="1" t="n">
        <v>1</v>
      </c>
      <c r="I36" s="1" t="n">
        <v>0</v>
      </c>
      <c r="J36" s="1" t="n">
        <v>94</v>
      </c>
      <c r="K36" s="1" t="s">
        <v>2218</v>
      </c>
      <c r="L36" s="1" t="s">
        <v>62</v>
      </c>
    </row>
    <row r="37" customFormat="false" ht="15" hidden="false" customHeight="true" outlineLevel="0" collapsed="false">
      <c r="A37" s="1" t="s">
        <v>2255</v>
      </c>
      <c r="B37" s="1" t="s">
        <v>412</v>
      </c>
      <c r="C37" s="1" t="s">
        <v>413</v>
      </c>
      <c r="D37" s="1" t="s">
        <v>1414</v>
      </c>
      <c r="E37" s="1" t="s">
        <v>1415</v>
      </c>
      <c r="F37" s="1" t="n">
        <v>16</v>
      </c>
      <c r="G37" s="1" t="n">
        <v>15</v>
      </c>
      <c r="H37" s="1" t="n">
        <v>1</v>
      </c>
      <c r="I37" s="1" t="n">
        <v>0</v>
      </c>
      <c r="J37" s="1" t="n">
        <v>94</v>
      </c>
      <c r="K37" s="1" t="s">
        <v>2218</v>
      </c>
      <c r="L37" s="1" t="s">
        <v>62</v>
      </c>
    </row>
    <row r="38" customFormat="false" ht="15" hidden="false" customHeight="true" outlineLevel="0" collapsed="false">
      <c r="A38" s="1" t="s">
        <v>2256</v>
      </c>
      <c r="B38" s="1" t="s">
        <v>412</v>
      </c>
      <c r="C38" s="1" t="s">
        <v>413</v>
      </c>
      <c r="D38" s="1" t="s">
        <v>1418</v>
      </c>
      <c r="E38" s="1" t="s">
        <v>1419</v>
      </c>
      <c r="F38" s="1" t="n">
        <v>14</v>
      </c>
      <c r="G38" s="1" t="n">
        <v>13</v>
      </c>
      <c r="H38" s="1" t="n">
        <v>1</v>
      </c>
      <c r="I38" s="1" t="n">
        <v>0</v>
      </c>
      <c r="J38" s="1" t="n">
        <v>93</v>
      </c>
      <c r="K38" s="1" t="s">
        <v>2218</v>
      </c>
      <c r="L38" s="1" t="s">
        <v>62</v>
      </c>
    </row>
    <row r="39" customFormat="false" ht="15" hidden="false" customHeight="true" outlineLevel="0" collapsed="false">
      <c r="A39" s="1" t="s">
        <v>2257</v>
      </c>
      <c r="B39" s="1" t="s">
        <v>451</v>
      </c>
      <c r="C39" s="1" t="s">
        <v>452</v>
      </c>
      <c r="D39" s="1" t="s">
        <v>1440</v>
      </c>
      <c r="E39" s="1" t="s">
        <v>1441</v>
      </c>
      <c r="F39" s="1" t="n">
        <v>22</v>
      </c>
      <c r="G39" s="1" t="n">
        <v>21</v>
      </c>
      <c r="H39" s="1" t="n">
        <v>1</v>
      </c>
      <c r="I39" s="1" t="n">
        <v>0</v>
      </c>
      <c r="J39" s="1" t="n">
        <v>95</v>
      </c>
      <c r="K39" s="1" t="s">
        <v>2218</v>
      </c>
      <c r="L39" s="1" t="s">
        <v>62</v>
      </c>
    </row>
    <row r="40" customFormat="false" ht="15" hidden="false" customHeight="true" outlineLevel="0" collapsed="false">
      <c r="A40" s="1" t="s">
        <v>2258</v>
      </c>
      <c r="B40" s="1" t="s">
        <v>451</v>
      </c>
      <c r="C40" s="1" t="s">
        <v>452</v>
      </c>
      <c r="D40" s="1" t="s">
        <v>1443</v>
      </c>
      <c r="E40" s="1" t="s">
        <v>1444</v>
      </c>
      <c r="F40" s="1" t="n">
        <v>14</v>
      </c>
      <c r="G40" s="1" t="n">
        <v>14</v>
      </c>
      <c r="H40" s="1" t="n">
        <v>0</v>
      </c>
      <c r="I40" s="1" t="n">
        <v>0</v>
      </c>
      <c r="J40" s="1" t="n">
        <v>100</v>
      </c>
      <c r="K40" s="1" t="s">
        <v>2218</v>
      </c>
      <c r="L40" s="1" t="s">
        <v>62</v>
      </c>
    </row>
    <row r="41" customFormat="false" ht="15" hidden="false" customHeight="true" outlineLevel="0" collapsed="false">
      <c r="A41" s="1" t="s">
        <v>2259</v>
      </c>
      <c r="B41" s="1" t="s">
        <v>451</v>
      </c>
      <c r="C41" s="1" t="s">
        <v>452</v>
      </c>
      <c r="D41" s="1" t="s">
        <v>1446</v>
      </c>
      <c r="E41" s="1" t="s">
        <v>1447</v>
      </c>
      <c r="F41" s="1" t="n">
        <v>18</v>
      </c>
      <c r="G41" s="1" t="n">
        <v>17</v>
      </c>
      <c r="H41" s="1" t="n">
        <v>1</v>
      </c>
      <c r="I41" s="1" t="n">
        <v>0</v>
      </c>
      <c r="J41" s="1" t="n">
        <v>94</v>
      </c>
      <c r="K41" s="1" t="s">
        <v>2218</v>
      </c>
      <c r="L41" s="1" t="s">
        <v>62</v>
      </c>
    </row>
    <row r="42" customFormat="false" ht="15" hidden="false" customHeight="true" outlineLevel="0" collapsed="false">
      <c r="A42" s="1" t="s">
        <v>2260</v>
      </c>
      <c r="B42" s="1" t="s">
        <v>451</v>
      </c>
      <c r="C42" s="1" t="s">
        <v>452</v>
      </c>
      <c r="D42" s="1" t="s">
        <v>1405</v>
      </c>
      <c r="E42" s="1" t="s">
        <v>1406</v>
      </c>
      <c r="F42" s="1" t="n">
        <v>18</v>
      </c>
      <c r="G42" s="1" t="n">
        <v>17</v>
      </c>
      <c r="H42" s="1" t="n">
        <v>1</v>
      </c>
      <c r="I42" s="1" t="n">
        <v>0</v>
      </c>
      <c r="J42" s="1" t="n">
        <v>94</v>
      </c>
      <c r="K42" s="1" t="s">
        <v>2218</v>
      </c>
      <c r="L42" s="1" t="s">
        <v>62</v>
      </c>
    </row>
    <row r="43" customFormat="false" ht="15" hidden="false" customHeight="true" outlineLevel="0" collapsed="false">
      <c r="A43" s="1" t="s">
        <v>2261</v>
      </c>
      <c r="B43" s="1" t="s">
        <v>464</v>
      </c>
      <c r="C43" s="1" t="s">
        <v>465</v>
      </c>
      <c r="D43" s="1" t="s">
        <v>1443</v>
      </c>
      <c r="E43" s="1" t="s">
        <v>1444</v>
      </c>
      <c r="F43" s="1" t="n">
        <v>14</v>
      </c>
      <c r="G43" s="1" t="n">
        <v>13</v>
      </c>
      <c r="H43" s="1" t="n">
        <v>1</v>
      </c>
      <c r="I43" s="1" t="n">
        <v>0</v>
      </c>
      <c r="J43" s="1" t="n">
        <v>93</v>
      </c>
      <c r="K43" s="1" t="s">
        <v>2218</v>
      </c>
      <c r="L43" s="1" t="s">
        <v>62</v>
      </c>
    </row>
    <row r="44" customFormat="false" ht="15" hidden="false" customHeight="true" outlineLevel="0" collapsed="false">
      <c r="A44" s="1" t="s">
        <v>2262</v>
      </c>
      <c r="B44" s="1" t="s">
        <v>464</v>
      </c>
      <c r="C44" s="1" t="s">
        <v>465</v>
      </c>
      <c r="D44" s="1" t="s">
        <v>1446</v>
      </c>
      <c r="E44" s="1" t="s">
        <v>1447</v>
      </c>
      <c r="F44" s="1" t="n">
        <v>18</v>
      </c>
      <c r="G44" s="1" t="n">
        <v>16</v>
      </c>
      <c r="H44" s="1" t="n">
        <v>2</v>
      </c>
      <c r="I44" s="1" t="n">
        <v>0</v>
      </c>
      <c r="J44" s="1" t="n">
        <v>89</v>
      </c>
      <c r="K44" s="1" t="s">
        <v>2218</v>
      </c>
      <c r="L44" s="1" t="s">
        <v>62</v>
      </c>
    </row>
    <row r="45" customFormat="false" ht="15" hidden="false" customHeight="true" outlineLevel="0" collapsed="false">
      <c r="A45" s="1" t="s">
        <v>2263</v>
      </c>
      <c r="B45" s="1" t="s">
        <v>425</v>
      </c>
      <c r="C45" s="1" t="s">
        <v>426</v>
      </c>
      <c r="D45" s="1" t="s">
        <v>1443</v>
      </c>
      <c r="E45" s="1" t="s">
        <v>1444</v>
      </c>
      <c r="F45" s="1" t="n">
        <v>14</v>
      </c>
      <c r="G45" s="1" t="n">
        <v>14</v>
      </c>
      <c r="H45" s="1" t="n">
        <v>0</v>
      </c>
      <c r="I45" s="1" t="n">
        <v>0</v>
      </c>
      <c r="J45" s="1" t="n">
        <v>100</v>
      </c>
      <c r="K45" s="1" t="s">
        <v>2218</v>
      </c>
      <c r="L45" s="1" t="s">
        <v>62</v>
      </c>
    </row>
    <row r="46" customFormat="false" ht="15" hidden="false" customHeight="true" outlineLevel="0" collapsed="false">
      <c r="A46" s="1" t="s">
        <v>2264</v>
      </c>
      <c r="B46" s="1" t="s">
        <v>425</v>
      </c>
      <c r="C46" s="1" t="s">
        <v>426</v>
      </c>
      <c r="D46" s="1" t="s">
        <v>1411</v>
      </c>
      <c r="E46" s="1" t="s">
        <v>1412</v>
      </c>
      <c r="F46" s="1" t="n">
        <v>20</v>
      </c>
      <c r="G46" s="1" t="n">
        <v>19</v>
      </c>
      <c r="H46" s="1" t="n">
        <v>1</v>
      </c>
      <c r="I46" s="1" t="n">
        <v>0</v>
      </c>
      <c r="J46" s="1" t="n">
        <v>95</v>
      </c>
      <c r="K46" s="1" t="s">
        <v>2218</v>
      </c>
      <c r="L46" s="1" t="s">
        <v>62</v>
      </c>
    </row>
    <row r="47" customFormat="false" ht="15" hidden="false" customHeight="true" outlineLevel="0" collapsed="false">
      <c r="A47" s="1" t="s">
        <v>2265</v>
      </c>
      <c r="B47" s="1" t="s">
        <v>438</v>
      </c>
      <c r="C47" s="1" t="s">
        <v>439</v>
      </c>
      <c r="D47" s="1" t="s">
        <v>1443</v>
      </c>
      <c r="E47" s="1" t="s">
        <v>1444</v>
      </c>
      <c r="F47" s="1" t="n">
        <v>14</v>
      </c>
      <c r="G47" s="1" t="n">
        <v>13</v>
      </c>
      <c r="H47" s="1" t="n">
        <v>1</v>
      </c>
      <c r="I47" s="1" t="n">
        <v>1</v>
      </c>
      <c r="J47" s="1" t="n">
        <v>93</v>
      </c>
      <c r="K47" s="1" t="s">
        <v>2218</v>
      </c>
      <c r="L47" s="1" t="s">
        <v>62</v>
      </c>
    </row>
    <row r="48" customFormat="false" ht="15" hidden="false" customHeight="true" outlineLevel="0" collapsed="false">
      <c r="A48" s="1" t="s">
        <v>2266</v>
      </c>
      <c r="B48" s="1" t="s">
        <v>438</v>
      </c>
      <c r="C48" s="1" t="s">
        <v>439</v>
      </c>
      <c r="D48" s="1" t="s">
        <v>1411</v>
      </c>
      <c r="E48" s="1" t="s">
        <v>1412</v>
      </c>
      <c r="F48" s="1" t="n">
        <v>20</v>
      </c>
      <c r="G48" s="1" t="n">
        <v>20</v>
      </c>
      <c r="H48" s="1" t="n">
        <v>0</v>
      </c>
      <c r="I48" s="1" t="n">
        <v>0</v>
      </c>
      <c r="J48" s="1" t="n">
        <v>100</v>
      </c>
      <c r="K48" s="1" t="s">
        <v>2218</v>
      </c>
      <c r="L48" s="1" t="s">
        <v>62</v>
      </c>
    </row>
    <row r="49" customFormat="false" ht="15" hidden="false" customHeight="true" outlineLevel="0" collapsed="false">
      <c r="A49" s="42" t="s">
        <v>2267</v>
      </c>
      <c r="B49" s="42" t="s">
        <v>476</v>
      </c>
      <c r="C49" s="42" t="s">
        <v>477</v>
      </c>
      <c r="D49" s="42" t="s">
        <v>1449</v>
      </c>
      <c r="E49" s="42" t="s">
        <v>1399</v>
      </c>
      <c r="F49" s="42" t="n">
        <v>26</v>
      </c>
      <c r="G49" s="42" t="n">
        <v>25</v>
      </c>
      <c r="H49" s="42" t="n">
        <v>0</v>
      </c>
      <c r="I49" s="42" t="n">
        <v>1</v>
      </c>
      <c r="J49" s="44" t="n">
        <f aca="false">ROUND(G49/F49*100,0)</f>
        <v>96</v>
      </c>
      <c r="K49" s="42" t="s">
        <v>2218</v>
      </c>
      <c r="L49" s="42" t="s">
        <v>484</v>
      </c>
    </row>
    <row r="50" customFormat="false" ht="15" hidden="false" customHeight="true" outlineLevel="0" collapsed="false">
      <c r="A50" s="42" t="s">
        <v>2268</v>
      </c>
      <c r="B50" s="42" t="s">
        <v>485</v>
      </c>
      <c r="C50" s="42" t="s">
        <v>486</v>
      </c>
      <c r="D50" s="42" t="s">
        <v>1458</v>
      </c>
      <c r="E50" s="42" t="s">
        <v>1459</v>
      </c>
      <c r="F50" s="42" t="n">
        <v>28</v>
      </c>
      <c r="G50" s="42" t="n">
        <v>27</v>
      </c>
      <c r="H50" s="42" t="n">
        <v>0</v>
      </c>
      <c r="I50" s="42" t="n">
        <v>1</v>
      </c>
      <c r="J50" s="44" t="n">
        <f aca="false">ROUND(G50/F50*100,0)</f>
        <v>96</v>
      </c>
      <c r="K50" s="42" t="s">
        <v>2218</v>
      </c>
      <c r="L50" s="42" t="s">
        <v>484</v>
      </c>
    </row>
    <row r="51" customFormat="false" ht="15" hidden="false" customHeight="true" outlineLevel="0" collapsed="false">
      <c r="A51" s="42" t="s">
        <v>2269</v>
      </c>
      <c r="B51" s="42" t="s">
        <v>494</v>
      </c>
      <c r="C51" s="42" t="s">
        <v>495</v>
      </c>
      <c r="D51" s="42" t="s">
        <v>1474</v>
      </c>
      <c r="E51" s="42" t="s">
        <v>1475</v>
      </c>
      <c r="F51" s="42" t="n">
        <v>30</v>
      </c>
      <c r="G51" s="42" t="n">
        <v>29</v>
      </c>
      <c r="H51" s="42" t="n">
        <v>0</v>
      </c>
      <c r="I51" s="42" t="n">
        <v>1</v>
      </c>
      <c r="J51" s="44" t="n">
        <f aca="false">ROUND(G51/F51*100,0)</f>
        <v>97</v>
      </c>
      <c r="K51" s="42" t="s">
        <v>2218</v>
      </c>
      <c r="L51" s="42" t="s">
        <v>484</v>
      </c>
    </row>
    <row r="52" customFormat="false" ht="15" hidden="false" customHeight="true" outlineLevel="0" collapsed="false">
      <c r="A52" s="42" t="s">
        <v>2270</v>
      </c>
      <c r="B52" s="42" t="s">
        <v>504</v>
      </c>
      <c r="C52" s="42" t="s">
        <v>505</v>
      </c>
      <c r="D52" s="42" t="s">
        <v>1464</v>
      </c>
      <c r="E52" s="42" t="s">
        <v>1465</v>
      </c>
      <c r="F52" s="42" t="n">
        <v>26</v>
      </c>
      <c r="G52" s="42" t="n">
        <v>25</v>
      </c>
      <c r="H52" s="42" t="n">
        <v>0</v>
      </c>
      <c r="I52" s="42" t="n">
        <v>1</v>
      </c>
      <c r="J52" s="44" t="n">
        <f aca="false">ROUND(G52/F52*100,0)</f>
        <v>96</v>
      </c>
      <c r="K52" s="42" t="s">
        <v>2218</v>
      </c>
      <c r="L52" s="42" t="s">
        <v>484</v>
      </c>
    </row>
    <row r="53" customFormat="false" ht="15" hidden="false" customHeight="true" outlineLevel="0" collapsed="false">
      <c r="A53" s="42" t="s">
        <v>2271</v>
      </c>
      <c r="B53" s="42" t="s">
        <v>512</v>
      </c>
      <c r="C53" s="42" t="s">
        <v>513</v>
      </c>
      <c r="D53" s="42" t="s">
        <v>1474</v>
      </c>
      <c r="E53" s="42" t="s">
        <v>1475</v>
      </c>
      <c r="F53" s="42" t="n">
        <v>27</v>
      </c>
      <c r="G53" s="42" t="n">
        <v>26</v>
      </c>
      <c r="H53" s="42" t="n">
        <v>0</v>
      </c>
      <c r="I53" s="42" t="n">
        <v>1</v>
      </c>
      <c r="J53" s="44" t="n">
        <f aca="false">ROUND(G53/F53*100,0)</f>
        <v>96</v>
      </c>
      <c r="K53" s="42" t="s">
        <v>2218</v>
      </c>
      <c r="L53" s="42" t="s">
        <v>484</v>
      </c>
    </row>
    <row r="54" customFormat="false" ht="15" hidden="false" customHeight="true" outlineLevel="0" collapsed="false">
      <c r="A54" s="42" t="s">
        <v>2272</v>
      </c>
      <c r="B54" s="42" t="s">
        <v>520</v>
      </c>
      <c r="C54" s="42" t="s">
        <v>521</v>
      </c>
      <c r="D54" s="42" t="s">
        <v>1449</v>
      </c>
      <c r="E54" s="42" t="s">
        <v>1399</v>
      </c>
      <c r="F54" s="42" t="n">
        <v>30</v>
      </c>
      <c r="G54" s="42" t="n">
        <v>29</v>
      </c>
      <c r="H54" s="42" t="n">
        <v>0</v>
      </c>
      <c r="I54" s="42" t="n">
        <v>1</v>
      </c>
      <c r="J54" s="44" t="n">
        <f aca="false">ROUND(G54/F54*100,0)</f>
        <v>97</v>
      </c>
      <c r="K54" s="42" t="s">
        <v>2218</v>
      </c>
      <c r="L54" s="42" t="s">
        <v>484</v>
      </c>
    </row>
    <row r="55" customFormat="false" ht="15" hidden="false" customHeight="true" outlineLevel="0" collapsed="false">
      <c r="A55" s="42" t="s">
        <v>2273</v>
      </c>
      <c r="B55" s="42" t="s">
        <v>526</v>
      </c>
      <c r="C55" s="42" t="s">
        <v>527</v>
      </c>
      <c r="D55" s="42" t="s">
        <v>1485</v>
      </c>
      <c r="E55" s="42" t="s">
        <v>1486</v>
      </c>
      <c r="F55" s="42" t="n">
        <v>30</v>
      </c>
      <c r="G55" s="42" t="n">
        <v>29</v>
      </c>
      <c r="H55" s="42" t="n">
        <v>0</v>
      </c>
      <c r="I55" s="42" t="n">
        <v>1</v>
      </c>
      <c r="J55" s="44" t="n">
        <f aca="false">ROUND(G55/F55*100,0)</f>
        <v>97</v>
      </c>
      <c r="K55" s="42" t="s">
        <v>2218</v>
      </c>
      <c r="L55" s="42" t="s">
        <v>484</v>
      </c>
    </row>
    <row r="56" customFormat="false" ht="15" hidden="false" customHeight="true" outlineLevel="0" collapsed="false">
      <c r="A56" s="42" t="s">
        <v>2274</v>
      </c>
      <c r="B56" s="42" t="s">
        <v>534</v>
      </c>
      <c r="C56" s="42" t="s">
        <v>535</v>
      </c>
      <c r="D56" s="42" t="s">
        <v>1458</v>
      </c>
      <c r="E56" s="42" t="s">
        <v>1459</v>
      </c>
      <c r="F56" s="42" t="n">
        <v>27</v>
      </c>
      <c r="G56" s="42" t="n">
        <v>26</v>
      </c>
      <c r="H56" s="42" t="n">
        <v>0</v>
      </c>
      <c r="I56" s="42" t="n">
        <v>1</v>
      </c>
      <c r="J56" s="44" t="n">
        <f aca="false">ROUND(G56/F56*100,0)</f>
        <v>96</v>
      </c>
      <c r="K56" s="42" t="s">
        <v>2218</v>
      </c>
      <c r="L56" s="42" t="s">
        <v>484</v>
      </c>
    </row>
    <row r="57" customFormat="false" ht="15" hidden="false" customHeight="true" outlineLevel="0" collapsed="false">
      <c r="A57" s="42" t="s">
        <v>2275</v>
      </c>
      <c r="B57" s="42" t="s">
        <v>540</v>
      </c>
      <c r="C57" s="42" t="s">
        <v>541</v>
      </c>
      <c r="D57" s="42" t="s">
        <v>1464</v>
      </c>
      <c r="E57" s="42" t="s">
        <v>1465</v>
      </c>
      <c r="F57" s="42" t="n">
        <v>29</v>
      </c>
      <c r="G57" s="42" t="n">
        <v>28</v>
      </c>
      <c r="H57" s="42" t="n">
        <v>0</v>
      </c>
      <c r="I57" s="42" t="n">
        <v>1</v>
      </c>
      <c r="J57" s="44" t="n">
        <f aca="false">ROUND(G57/F57*100,0)</f>
        <v>97</v>
      </c>
      <c r="K57" s="42" t="s">
        <v>2218</v>
      </c>
      <c r="L57" s="42" t="s">
        <v>484</v>
      </c>
    </row>
    <row r="58" customFormat="false" ht="15" hidden="false" customHeight="true" outlineLevel="0" collapsed="false">
      <c r="A58" s="42" t="s">
        <v>2276</v>
      </c>
      <c r="B58" s="42" t="s">
        <v>546</v>
      </c>
      <c r="C58" s="42" t="s">
        <v>547</v>
      </c>
      <c r="D58" s="42" t="s">
        <v>1474</v>
      </c>
      <c r="E58" s="42" t="s">
        <v>1475</v>
      </c>
      <c r="F58" s="42" t="n">
        <v>29</v>
      </c>
      <c r="G58" s="42" t="n">
        <v>28</v>
      </c>
      <c r="H58" s="42" t="n">
        <v>0</v>
      </c>
      <c r="I58" s="42" t="n">
        <v>1</v>
      </c>
      <c r="J58" s="44" t="n">
        <f aca="false">ROUND(G58/F58*100,0)</f>
        <v>97</v>
      </c>
      <c r="K58" s="42" t="s">
        <v>2218</v>
      </c>
      <c r="L58" s="42" t="s">
        <v>484</v>
      </c>
    </row>
    <row r="59" customFormat="false" ht="15" hidden="false" customHeight="true" outlineLevel="0" collapsed="false">
      <c r="A59" s="42" t="s">
        <v>2277</v>
      </c>
      <c r="B59" s="42" t="s">
        <v>552</v>
      </c>
      <c r="C59" s="42" t="s">
        <v>553</v>
      </c>
      <c r="D59" s="42" t="s">
        <v>1449</v>
      </c>
      <c r="E59" s="42" t="s">
        <v>1399</v>
      </c>
      <c r="F59" s="42" t="n">
        <v>28</v>
      </c>
      <c r="G59" s="42" t="n">
        <v>27</v>
      </c>
      <c r="H59" s="42" t="n">
        <v>0</v>
      </c>
      <c r="I59" s="42" t="n">
        <v>1</v>
      </c>
      <c r="J59" s="44" t="n">
        <f aca="false">ROUND(G59/F59*100,0)</f>
        <v>96</v>
      </c>
      <c r="K59" s="42" t="s">
        <v>2218</v>
      </c>
      <c r="L59" s="42" t="s">
        <v>484</v>
      </c>
    </row>
    <row r="60" customFormat="false" ht="15" hidden="false" customHeight="true" outlineLevel="0" collapsed="false">
      <c r="A60" s="42" t="s">
        <v>2278</v>
      </c>
      <c r="B60" s="42" t="s">
        <v>559</v>
      </c>
      <c r="C60" s="42" t="s">
        <v>560</v>
      </c>
      <c r="D60" s="42" t="s">
        <v>1458</v>
      </c>
      <c r="E60" s="42" t="s">
        <v>1459</v>
      </c>
      <c r="F60" s="42" t="n">
        <v>26</v>
      </c>
      <c r="G60" s="42" t="n">
        <v>25</v>
      </c>
      <c r="H60" s="42" t="n">
        <v>0</v>
      </c>
      <c r="I60" s="42" t="n">
        <v>1</v>
      </c>
      <c r="J60" s="44" t="n">
        <f aca="false">ROUND(G60/F60*100,0)</f>
        <v>96</v>
      </c>
      <c r="K60" s="42" t="s">
        <v>2218</v>
      </c>
      <c r="L60" s="42" t="s">
        <v>484</v>
      </c>
    </row>
    <row r="61" customFormat="false" ht="15" hidden="false" customHeight="true" outlineLevel="0" collapsed="false">
      <c r="A61" s="42" t="s">
        <v>2279</v>
      </c>
      <c r="B61" s="42" t="s">
        <v>565</v>
      </c>
      <c r="C61" s="42" t="s">
        <v>566</v>
      </c>
      <c r="D61" s="42" t="s">
        <v>1474</v>
      </c>
      <c r="E61" s="42" t="s">
        <v>1475</v>
      </c>
      <c r="F61" s="42" t="n">
        <v>27</v>
      </c>
      <c r="G61" s="42" t="n">
        <v>26</v>
      </c>
      <c r="H61" s="42" t="n">
        <v>0</v>
      </c>
      <c r="I61" s="42" t="n">
        <v>1</v>
      </c>
      <c r="J61" s="44" t="n">
        <f aca="false">ROUND(G61/F61*100,0)</f>
        <v>96</v>
      </c>
      <c r="K61" s="42" t="s">
        <v>2218</v>
      </c>
      <c r="L61" s="42" t="s">
        <v>484</v>
      </c>
    </row>
    <row r="62" customFormat="false" ht="15" hidden="false" customHeight="true" outlineLevel="0" collapsed="false">
      <c r="A62" s="42" t="s">
        <v>2280</v>
      </c>
      <c r="B62" s="42" t="s">
        <v>571</v>
      </c>
      <c r="C62" s="42" t="s">
        <v>572</v>
      </c>
      <c r="D62" s="42" t="s">
        <v>1485</v>
      </c>
      <c r="E62" s="42" t="s">
        <v>1486</v>
      </c>
      <c r="F62" s="42" t="n">
        <v>27</v>
      </c>
      <c r="G62" s="42" t="n">
        <v>25</v>
      </c>
      <c r="H62" s="42" t="n">
        <v>1</v>
      </c>
      <c r="I62" s="42" t="n">
        <v>1</v>
      </c>
      <c r="J62" s="44" t="n">
        <f aca="false">ROUND(G62/F62*100,0)</f>
        <v>93</v>
      </c>
      <c r="K62" s="42" t="s">
        <v>2218</v>
      </c>
      <c r="L62" s="42" t="s">
        <v>484</v>
      </c>
    </row>
    <row r="63" customFormat="false" ht="15" hidden="false" customHeight="true" outlineLevel="0" collapsed="false">
      <c r="A63" s="42" t="s">
        <v>2281</v>
      </c>
      <c r="B63" s="42" t="s">
        <v>576</v>
      </c>
      <c r="C63" s="42" t="s">
        <v>577</v>
      </c>
      <c r="D63" s="42" t="s">
        <v>1464</v>
      </c>
      <c r="E63" s="42" t="s">
        <v>1465</v>
      </c>
      <c r="F63" s="42" t="n">
        <v>26</v>
      </c>
      <c r="G63" s="42" t="n">
        <v>25</v>
      </c>
      <c r="H63" s="42" t="n">
        <v>0</v>
      </c>
      <c r="I63" s="42" t="n">
        <v>1</v>
      </c>
      <c r="J63" s="44" t="n">
        <f aca="false">ROUND(G63/F63*100,0)</f>
        <v>96</v>
      </c>
      <c r="K63" s="42" t="s">
        <v>2218</v>
      </c>
      <c r="L63" s="42" t="s">
        <v>484</v>
      </c>
    </row>
    <row r="64" customFormat="false" ht="15" hidden="false" customHeight="true" outlineLevel="0" collapsed="false">
      <c r="A64" s="42" t="s">
        <v>2282</v>
      </c>
      <c r="B64" s="42" t="s">
        <v>581</v>
      </c>
      <c r="C64" s="42" t="s">
        <v>582</v>
      </c>
      <c r="D64" s="42" t="s">
        <v>1449</v>
      </c>
      <c r="E64" s="42" t="s">
        <v>1399</v>
      </c>
      <c r="F64" s="42" t="n">
        <v>30</v>
      </c>
      <c r="G64" s="42" t="n">
        <v>29</v>
      </c>
      <c r="H64" s="42" t="n">
        <v>0</v>
      </c>
      <c r="I64" s="42" t="n">
        <v>1</v>
      </c>
      <c r="J64" s="44" t="n">
        <f aca="false">ROUND(G64/F64*100,0)</f>
        <v>97</v>
      </c>
      <c r="K64" s="42" t="s">
        <v>2218</v>
      </c>
      <c r="L64" s="42" t="s">
        <v>484</v>
      </c>
    </row>
    <row r="65" customFormat="false" ht="15" hidden="false" customHeight="true" outlineLevel="0" collapsed="false">
      <c r="A65" s="42" t="s">
        <v>2283</v>
      </c>
      <c r="B65" s="42" t="s">
        <v>586</v>
      </c>
      <c r="C65" s="42" t="s">
        <v>587</v>
      </c>
      <c r="D65" s="42" t="s">
        <v>1474</v>
      </c>
      <c r="E65" s="42" t="s">
        <v>1475</v>
      </c>
      <c r="F65" s="42" t="n">
        <v>29</v>
      </c>
      <c r="G65" s="42" t="n">
        <v>28</v>
      </c>
      <c r="H65" s="42" t="n">
        <v>0</v>
      </c>
      <c r="I65" s="42" t="n">
        <v>1</v>
      </c>
      <c r="J65" s="44" t="n">
        <f aca="false">ROUND(G65/F65*100,0)</f>
        <v>97</v>
      </c>
      <c r="K65" s="42" t="s">
        <v>2218</v>
      </c>
      <c r="L65" s="42" t="s">
        <v>484</v>
      </c>
    </row>
    <row r="66" customFormat="false" ht="15" hidden="false" customHeight="true" outlineLevel="0" collapsed="false">
      <c r="A66" s="42" t="s">
        <v>2284</v>
      </c>
      <c r="B66" s="42" t="s">
        <v>591</v>
      </c>
      <c r="C66" s="42" t="s">
        <v>592</v>
      </c>
      <c r="D66" s="42" t="s">
        <v>1458</v>
      </c>
      <c r="E66" s="42" t="s">
        <v>1459</v>
      </c>
      <c r="F66" s="42" t="n">
        <v>27</v>
      </c>
      <c r="G66" s="42" t="n">
        <v>26</v>
      </c>
      <c r="H66" s="42" t="n">
        <v>0</v>
      </c>
      <c r="I66" s="42" t="n">
        <v>1</v>
      </c>
      <c r="J66" s="44" t="n">
        <f aca="false">ROUND(G66/F66*100,0)</f>
        <v>96</v>
      </c>
      <c r="K66" s="42" t="s">
        <v>2218</v>
      </c>
      <c r="L66" s="42" t="s">
        <v>484</v>
      </c>
    </row>
    <row r="67" customFormat="false" ht="15" hidden="false" customHeight="true" outlineLevel="0" collapsed="false">
      <c r="A67" s="42" t="s">
        <v>2285</v>
      </c>
      <c r="B67" s="42" t="s">
        <v>598</v>
      </c>
      <c r="C67" s="42" t="s">
        <v>599</v>
      </c>
      <c r="D67" s="42" t="s">
        <v>1485</v>
      </c>
      <c r="E67" s="42" t="s">
        <v>1486</v>
      </c>
      <c r="F67" s="42" t="n">
        <v>26</v>
      </c>
      <c r="G67" s="42" t="n">
        <v>25</v>
      </c>
      <c r="H67" s="42" t="n">
        <v>0</v>
      </c>
      <c r="I67" s="42" t="n">
        <v>1</v>
      </c>
      <c r="J67" s="44" t="n">
        <f aca="false">ROUND(G67/F67*100,0)</f>
        <v>96</v>
      </c>
      <c r="K67" s="42" t="s">
        <v>2218</v>
      </c>
      <c r="L67" s="42" t="s">
        <v>484</v>
      </c>
    </row>
    <row r="68" customFormat="false" ht="15" hidden="false" customHeight="true" outlineLevel="0" collapsed="false">
      <c r="A68" s="42" t="s">
        <v>2286</v>
      </c>
      <c r="B68" s="42" t="s">
        <v>604</v>
      </c>
      <c r="C68" s="42" t="s">
        <v>605</v>
      </c>
      <c r="D68" s="42" t="s">
        <v>1449</v>
      </c>
      <c r="E68" s="42" t="s">
        <v>1399</v>
      </c>
      <c r="F68" s="42" t="n">
        <v>29</v>
      </c>
      <c r="G68" s="42" t="n">
        <v>27</v>
      </c>
      <c r="H68" s="42" t="n">
        <v>1</v>
      </c>
      <c r="I68" s="42" t="n">
        <v>1</v>
      </c>
      <c r="J68" s="44" t="n">
        <f aca="false">ROUND(G68/F68*100,0)</f>
        <v>93</v>
      </c>
      <c r="K68" s="42" t="s">
        <v>2218</v>
      </c>
      <c r="L68" s="42" t="s">
        <v>484</v>
      </c>
    </row>
    <row r="69" customFormat="false" ht="15" hidden="false" customHeight="true" outlineLevel="0" collapsed="false">
      <c r="A69" s="42" t="s">
        <v>2287</v>
      </c>
      <c r="B69" s="42" t="s">
        <v>610</v>
      </c>
      <c r="C69" s="42" t="s">
        <v>611</v>
      </c>
      <c r="D69" s="42" t="s">
        <v>1474</v>
      </c>
      <c r="E69" s="42" t="s">
        <v>1475</v>
      </c>
      <c r="F69" s="42" t="n">
        <v>30</v>
      </c>
      <c r="G69" s="42" t="n">
        <v>29</v>
      </c>
      <c r="H69" s="42" t="n">
        <v>0</v>
      </c>
      <c r="I69" s="42" t="n">
        <v>1</v>
      </c>
      <c r="J69" s="44" t="n">
        <f aca="false">ROUND(G69/F69*100,0)</f>
        <v>97</v>
      </c>
      <c r="K69" s="42" t="s">
        <v>2218</v>
      </c>
      <c r="L69" s="42" t="s">
        <v>484</v>
      </c>
    </row>
    <row r="70" customFormat="false" ht="15" hidden="false" customHeight="true" outlineLevel="0" collapsed="false">
      <c r="A70" s="42" t="s">
        <v>2288</v>
      </c>
      <c r="B70" s="42" t="s">
        <v>616</v>
      </c>
      <c r="C70" s="42" t="s">
        <v>617</v>
      </c>
      <c r="D70" s="42" t="s">
        <v>1464</v>
      </c>
      <c r="E70" s="42" t="s">
        <v>1465</v>
      </c>
      <c r="F70" s="42" t="n">
        <v>29</v>
      </c>
      <c r="G70" s="42" t="n">
        <v>28</v>
      </c>
      <c r="H70" s="42" t="n">
        <v>0</v>
      </c>
      <c r="I70" s="42" t="n">
        <v>1</v>
      </c>
      <c r="J70" s="44" t="n">
        <f aca="false">ROUND(G70/F70*100,0)</f>
        <v>97</v>
      </c>
      <c r="K70" s="42" t="s">
        <v>2218</v>
      </c>
      <c r="L70" s="42" t="s">
        <v>484</v>
      </c>
    </row>
    <row r="71" customFormat="false" ht="15" hidden="false" customHeight="true" outlineLevel="0" collapsed="false">
      <c r="A71" s="42" t="s">
        <v>2289</v>
      </c>
      <c r="B71" s="42" t="s">
        <v>622</v>
      </c>
      <c r="C71" s="42" t="s">
        <v>623</v>
      </c>
      <c r="D71" s="42" t="s">
        <v>1458</v>
      </c>
      <c r="E71" s="42" t="s">
        <v>1459</v>
      </c>
      <c r="F71" s="42" t="n">
        <v>29</v>
      </c>
      <c r="G71" s="42" t="n">
        <v>28</v>
      </c>
      <c r="H71" s="42" t="n">
        <v>0</v>
      </c>
      <c r="I71" s="42" t="n">
        <v>1</v>
      </c>
      <c r="J71" s="44" t="n">
        <f aca="false">ROUND(G71/F71*100,0)</f>
        <v>97</v>
      </c>
      <c r="K71" s="42" t="s">
        <v>2218</v>
      </c>
      <c r="L71" s="42" t="s">
        <v>484</v>
      </c>
    </row>
    <row r="72" customFormat="false" ht="15" hidden="false" customHeight="true" outlineLevel="0" collapsed="false">
      <c r="A72" s="42" t="s">
        <v>2290</v>
      </c>
      <c r="B72" s="42" t="s">
        <v>627</v>
      </c>
      <c r="C72" s="42" t="s">
        <v>628</v>
      </c>
      <c r="D72" s="42" t="s">
        <v>1474</v>
      </c>
      <c r="E72" s="42" t="s">
        <v>1475</v>
      </c>
      <c r="F72" s="42" t="n">
        <v>28</v>
      </c>
      <c r="G72" s="42" t="n">
        <v>27</v>
      </c>
      <c r="H72" s="42" t="n">
        <v>0</v>
      </c>
      <c r="I72" s="42" t="n">
        <v>1</v>
      </c>
      <c r="J72" s="44" t="n">
        <f aca="false">ROUND(G72/F72*100,0)</f>
        <v>96</v>
      </c>
      <c r="K72" s="42" t="s">
        <v>2218</v>
      </c>
      <c r="L72" s="42" t="s">
        <v>484</v>
      </c>
    </row>
    <row r="73" customFormat="false" ht="15" hidden="false" customHeight="true" outlineLevel="0" collapsed="false">
      <c r="A73" s="42" t="s">
        <v>2291</v>
      </c>
      <c r="B73" s="42" t="s">
        <v>632</v>
      </c>
      <c r="C73" s="42" t="s">
        <v>633</v>
      </c>
      <c r="D73" s="42" t="s">
        <v>1449</v>
      </c>
      <c r="E73" s="42" t="s">
        <v>1399</v>
      </c>
      <c r="F73" s="42" t="n">
        <v>29</v>
      </c>
      <c r="G73" s="42" t="n">
        <v>28</v>
      </c>
      <c r="H73" s="42" t="n">
        <v>0</v>
      </c>
      <c r="I73" s="42" t="n">
        <v>1</v>
      </c>
      <c r="J73" s="44" t="n">
        <f aca="false">ROUND(G73/F73*100,0)</f>
        <v>97</v>
      </c>
      <c r="K73" s="42" t="s">
        <v>2218</v>
      </c>
      <c r="L73" s="42" t="s">
        <v>484</v>
      </c>
    </row>
    <row r="74" customFormat="false" ht="15" hidden="false" customHeight="true" outlineLevel="0" collapsed="false">
      <c r="A74" s="42" t="s">
        <v>2292</v>
      </c>
      <c r="B74" s="42" t="s">
        <v>637</v>
      </c>
      <c r="C74" s="42" t="s">
        <v>638</v>
      </c>
      <c r="D74" s="42" t="s">
        <v>1500</v>
      </c>
      <c r="E74" s="42" t="s">
        <v>1406</v>
      </c>
      <c r="F74" s="42" t="n">
        <v>28</v>
      </c>
      <c r="G74" s="42" t="n">
        <v>27</v>
      </c>
      <c r="H74" s="42" t="n">
        <v>0</v>
      </c>
      <c r="I74" s="42" t="n">
        <v>1</v>
      </c>
      <c r="J74" s="44" t="n">
        <f aca="false">ROUND(G74/F74*100,0)</f>
        <v>96</v>
      </c>
      <c r="K74" s="42" t="s">
        <v>2218</v>
      </c>
      <c r="L74" s="42" t="s">
        <v>484</v>
      </c>
    </row>
    <row r="75" customFormat="false" ht="15" hidden="false" customHeight="true" outlineLevel="0" collapsed="false">
      <c r="A75" s="42" t="s">
        <v>2293</v>
      </c>
      <c r="B75" s="42" t="s">
        <v>645</v>
      </c>
      <c r="C75" s="42" t="s">
        <v>646</v>
      </c>
      <c r="D75" s="42" t="s">
        <v>1500</v>
      </c>
      <c r="E75" s="42" t="s">
        <v>1406</v>
      </c>
      <c r="F75" s="42" t="n">
        <v>26</v>
      </c>
      <c r="G75" s="42" t="n">
        <v>25</v>
      </c>
      <c r="H75" s="42" t="n">
        <v>0</v>
      </c>
      <c r="I75" s="42" t="n">
        <v>1</v>
      </c>
      <c r="J75" s="44" t="n">
        <f aca="false">ROUND(G75/F75*100,0)</f>
        <v>96</v>
      </c>
      <c r="K75" s="42" t="s">
        <v>2218</v>
      </c>
      <c r="L75" s="42" t="s">
        <v>484</v>
      </c>
    </row>
    <row r="76" customFormat="false" ht="15" hidden="false" customHeight="true" outlineLevel="0" collapsed="false">
      <c r="A76" s="42" t="s">
        <v>2294</v>
      </c>
      <c r="B76" s="42" t="s">
        <v>653</v>
      </c>
      <c r="C76" s="42" t="s">
        <v>654</v>
      </c>
      <c r="D76" s="42" t="s">
        <v>1500</v>
      </c>
      <c r="E76" s="42" t="s">
        <v>1406</v>
      </c>
      <c r="F76" s="42" t="n">
        <v>30</v>
      </c>
      <c r="G76" s="42" t="n">
        <v>29</v>
      </c>
      <c r="H76" s="42" t="n">
        <v>0</v>
      </c>
      <c r="I76" s="42" t="n">
        <v>1</v>
      </c>
      <c r="J76" s="44" t="n">
        <f aca="false">ROUND(G76/F76*100,0)</f>
        <v>97</v>
      </c>
      <c r="K76" s="42" t="s">
        <v>2218</v>
      </c>
      <c r="L76" s="42" t="s">
        <v>484</v>
      </c>
    </row>
    <row r="77" customFormat="false" ht="15" hidden="false" customHeight="true" outlineLevel="0" collapsed="false">
      <c r="A77" s="42" t="s">
        <v>2295</v>
      </c>
      <c r="B77" s="42" t="s">
        <v>661</v>
      </c>
      <c r="C77" s="42" t="s">
        <v>662</v>
      </c>
      <c r="D77" s="42" t="s">
        <v>1500</v>
      </c>
      <c r="E77" s="42" t="s">
        <v>1406</v>
      </c>
      <c r="F77" s="42" t="n">
        <v>26</v>
      </c>
      <c r="G77" s="42" t="n">
        <v>25</v>
      </c>
      <c r="H77" s="42" t="n">
        <v>0</v>
      </c>
      <c r="I77" s="42" t="n">
        <v>1</v>
      </c>
      <c r="J77" s="44" t="n">
        <f aca="false">ROUND(G77/F77*100,0)</f>
        <v>96</v>
      </c>
      <c r="K77" s="42" t="s">
        <v>2218</v>
      </c>
      <c r="L77" s="42" t="s">
        <v>484</v>
      </c>
    </row>
    <row r="78" customFormat="false" ht="15" hidden="false" customHeight="true" outlineLevel="0" collapsed="false">
      <c r="A78" s="42" t="s">
        <v>2296</v>
      </c>
      <c r="B78" s="42" t="s">
        <v>670</v>
      </c>
      <c r="C78" s="42" t="s">
        <v>671</v>
      </c>
      <c r="D78" s="42" t="s">
        <v>1500</v>
      </c>
      <c r="E78" s="42" t="s">
        <v>1406</v>
      </c>
      <c r="F78" s="42" t="n">
        <v>26</v>
      </c>
      <c r="G78" s="42" t="n">
        <v>25</v>
      </c>
      <c r="H78" s="42" t="n">
        <v>0</v>
      </c>
      <c r="I78" s="42" t="n">
        <v>1</v>
      </c>
      <c r="J78" s="44" t="n">
        <f aca="false">ROUND(G78/F78*100,0)</f>
        <v>96</v>
      </c>
      <c r="K78" s="42" t="s">
        <v>2218</v>
      </c>
      <c r="L78" s="42" t="s">
        <v>484</v>
      </c>
    </row>
    <row r="79" customFormat="false" ht="15" hidden="false" customHeight="true" outlineLevel="0" collapsed="false">
      <c r="A79" s="42" t="s">
        <v>2297</v>
      </c>
      <c r="B79" s="42" t="s">
        <v>678</v>
      </c>
      <c r="C79" s="42" t="s">
        <v>679</v>
      </c>
      <c r="D79" s="42" t="s">
        <v>1500</v>
      </c>
      <c r="E79" s="42" t="s">
        <v>1406</v>
      </c>
      <c r="F79" s="42" t="n">
        <v>29</v>
      </c>
      <c r="G79" s="42" t="n">
        <v>28</v>
      </c>
      <c r="H79" s="42" t="n">
        <v>0</v>
      </c>
      <c r="I79" s="42" t="n">
        <v>1</v>
      </c>
      <c r="J79" s="44" t="n">
        <f aca="false">ROUND(G79/F79*100,0)</f>
        <v>97</v>
      </c>
      <c r="K79" s="42" t="s">
        <v>2218</v>
      </c>
      <c r="L79" s="42" t="s">
        <v>484</v>
      </c>
    </row>
    <row r="80" customFormat="false" ht="15" hidden="false" customHeight="true" outlineLevel="0" collapsed="false">
      <c r="A80" s="42" t="s">
        <v>2298</v>
      </c>
      <c r="B80" s="42" t="s">
        <v>685</v>
      </c>
      <c r="C80" s="42" t="s">
        <v>686</v>
      </c>
      <c r="D80" s="42" t="s">
        <v>1504</v>
      </c>
      <c r="E80" s="42" t="s">
        <v>1415</v>
      </c>
      <c r="F80" s="42" t="n">
        <v>28</v>
      </c>
      <c r="G80" s="42" t="n">
        <v>27</v>
      </c>
      <c r="H80" s="42" t="n">
        <v>0</v>
      </c>
      <c r="I80" s="42" t="n">
        <v>1</v>
      </c>
      <c r="J80" s="44" t="n">
        <f aca="false">ROUND(G80/F80*100,0)</f>
        <v>96</v>
      </c>
      <c r="K80" s="42" t="s">
        <v>2218</v>
      </c>
      <c r="L80" s="42" t="s">
        <v>484</v>
      </c>
    </row>
    <row r="81" customFormat="false" ht="15" hidden="false" customHeight="true" outlineLevel="0" collapsed="false">
      <c r="A81" s="42" t="s">
        <v>2299</v>
      </c>
      <c r="B81" s="42" t="s">
        <v>697</v>
      </c>
      <c r="C81" s="42" t="s">
        <v>698</v>
      </c>
      <c r="D81" s="42" t="s">
        <v>1504</v>
      </c>
      <c r="E81" s="42" t="s">
        <v>1415</v>
      </c>
      <c r="F81" s="42" t="n">
        <v>29</v>
      </c>
      <c r="G81" s="42" t="n">
        <v>28</v>
      </c>
      <c r="H81" s="42" t="n">
        <v>0</v>
      </c>
      <c r="I81" s="42" t="n">
        <v>1</v>
      </c>
      <c r="J81" s="44" t="n">
        <f aca="false">ROUND(G81/F81*100,0)</f>
        <v>97</v>
      </c>
      <c r="K81" s="42" t="s">
        <v>2218</v>
      </c>
      <c r="L81" s="42" t="s">
        <v>484</v>
      </c>
    </row>
    <row r="82" customFormat="false" ht="15" hidden="false" customHeight="true" outlineLevel="0" collapsed="false">
      <c r="A82" s="42" t="s">
        <v>2300</v>
      </c>
      <c r="B82" s="42" t="s">
        <v>708</v>
      </c>
      <c r="C82" s="42" t="s">
        <v>709</v>
      </c>
      <c r="D82" s="42" t="s">
        <v>1504</v>
      </c>
      <c r="E82" s="42" t="s">
        <v>1415</v>
      </c>
      <c r="F82" s="42" t="n">
        <v>27</v>
      </c>
      <c r="G82" s="42" t="n">
        <v>26</v>
      </c>
      <c r="H82" s="42" t="n">
        <v>0</v>
      </c>
      <c r="I82" s="42" t="n">
        <v>1</v>
      </c>
      <c r="J82" s="44" t="n">
        <f aca="false">ROUND(G82/F82*100,0)</f>
        <v>96</v>
      </c>
      <c r="K82" s="42" t="s">
        <v>2218</v>
      </c>
      <c r="L82" s="42" t="s">
        <v>484</v>
      </c>
    </row>
    <row r="83" customFormat="false" ht="15" hidden="false" customHeight="true" outlineLevel="0" collapsed="false">
      <c r="A83" s="42" t="s">
        <v>2301</v>
      </c>
      <c r="B83" s="42" t="s">
        <v>718</v>
      </c>
      <c r="C83" s="42" t="s">
        <v>719</v>
      </c>
      <c r="D83" s="42" t="s">
        <v>1504</v>
      </c>
      <c r="E83" s="42" t="s">
        <v>1415</v>
      </c>
      <c r="F83" s="42" t="n">
        <v>29</v>
      </c>
      <c r="G83" s="42" t="n">
        <v>28</v>
      </c>
      <c r="H83" s="42" t="n">
        <v>0</v>
      </c>
      <c r="I83" s="42" t="n">
        <v>1</v>
      </c>
      <c r="J83" s="44" t="n">
        <f aca="false">ROUND(G83/F83*100,0)</f>
        <v>97</v>
      </c>
      <c r="K83" s="42" t="s">
        <v>2218</v>
      </c>
      <c r="L83" s="42" t="s">
        <v>484</v>
      </c>
    </row>
    <row r="84" customFormat="false" ht="15" hidden="false" customHeight="true" outlineLevel="0" collapsed="false">
      <c r="A84" s="42" t="s">
        <v>2302</v>
      </c>
      <c r="B84" s="42" t="s">
        <v>725</v>
      </c>
      <c r="C84" s="42" t="s">
        <v>726</v>
      </c>
      <c r="D84" s="42" t="s">
        <v>1504</v>
      </c>
      <c r="E84" s="42" t="s">
        <v>1415</v>
      </c>
      <c r="F84" s="42" t="n">
        <v>30</v>
      </c>
      <c r="G84" s="42" t="n">
        <v>29</v>
      </c>
      <c r="H84" s="42" t="n">
        <v>0</v>
      </c>
      <c r="I84" s="42" t="n">
        <v>1</v>
      </c>
      <c r="J84" s="44" t="n">
        <f aca="false">ROUND(G84/F84*100,0)</f>
        <v>97</v>
      </c>
      <c r="K84" s="42" t="s">
        <v>2218</v>
      </c>
      <c r="L84" s="42" t="s">
        <v>484</v>
      </c>
    </row>
    <row r="85" customFormat="false" ht="15" hidden="false" customHeight="true" outlineLevel="0" collapsed="false">
      <c r="A85" s="42" t="s">
        <v>2303</v>
      </c>
      <c r="B85" s="42" t="s">
        <v>734</v>
      </c>
      <c r="C85" s="42" t="s">
        <v>735</v>
      </c>
      <c r="D85" s="42" t="s">
        <v>1504</v>
      </c>
      <c r="E85" s="42" t="s">
        <v>1415</v>
      </c>
      <c r="F85" s="42" t="n">
        <v>30</v>
      </c>
      <c r="G85" s="42" t="n">
        <v>29</v>
      </c>
      <c r="H85" s="42" t="n">
        <v>0</v>
      </c>
      <c r="I85" s="42" t="n">
        <v>1</v>
      </c>
      <c r="J85" s="44" t="n">
        <f aca="false">ROUND(G85/F85*100,0)</f>
        <v>97</v>
      </c>
      <c r="K85" s="42" t="s">
        <v>2218</v>
      </c>
      <c r="L85" s="42" t="s">
        <v>484</v>
      </c>
    </row>
    <row r="86" customFormat="false" ht="15" hidden="false" customHeight="true" outlineLevel="0" collapsed="false">
      <c r="A86" s="42" t="s">
        <v>2304</v>
      </c>
      <c r="B86" s="42" t="s">
        <v>742</v>
      </c>
      <c r="C86" s="42" t="s">
        <v>743</v>
      </c>
      <c r="D86" s="42" t="s">
        <v>1512</v>
      </c>
      <c r="E86" s="42" t="s">
        <v>1441</v>
      </c>
      <c r="F86" s="42" t="n">
        <v>28</v>
      </c>
      <c r="G86" s="42" t="n">
        <v>27</v>
      </c>
      <c r="H86" s="42" t="n">
        <v>0</v>
      </c>
      <c r="I86" s="42" t="n">
        <v>1</v>
      </c>
      <c r="J86" s="44" t="n">
        <f aca="false">ROUND(G86/F86*100,0)</f>
        <v>96</v>
      </c>
      <c r="K86" s="42" t="s">
        <v>2218</v>
      </c>
      <c r="L86" s="42" t="s">
        <v>484</v>
      </c>
    </row>
    <row r="87" customFormat="false" ht="15" hidden="false" customHeight="true" outlineLevel="0" collapsed="false">
      <c r="A87" s="42" t="s">
        <v>2305</v>
      </c>
      <c r="B87" s="42" t="s">
        <v>753</v>
      </c>
      <c r="C87" s="42" t="s">
        <v>754</v>
      </c>
      <c r="D87" s="42" t="s">
        <v>1512</v>
      </c>
      <c r="E87" s="42" t="s">
        <v>1441</v>
      </c>
      <c r="F87" s="42" t="n">
        <v>30</v>
      </c>
      <c r="G87" s="42" t="n">
        <v>29</v>
      </c>
      <c r="H87" s="42" t="n">
        <v>0</v>
      </c>
      <c r="I87" s="42" t="n">
        <v>1</v>
      </c>
      <c r="J87" s="44" t="n">
        <f aca="false">ROUND(G87/F87*100,0)</f>
        <v>97</v>
      </c>
      <c r="K87" s="42" t="s">
        <v>2218</v>
      </c>
      <c r="L87" s="42" t="s">
        <v>484</v>
      </c>
    </row>
    <row r="88" customFormat="false" ht="15" hidden="false" customHeight="true" outlineLevel="0" collapsed="false">
      <c r="A88" s="42" t="s">
        <v>2306</v>
      </c>
      <c r="B88" s="42" t="s">
        <v>763</v>
      </c>
      <c r="C88" s="42" t="s">
        <v>764</v>
      </c>
      <c r="D88" s="42" t="s">
        <v>1512</v>
      </c>
      <c r="E88" s="42" t="s">
        <v>1441</v>
      </c>
      <c r="F88" s="42" t="n">
        <v>27</v>
      </c>
      <c r="G88" s="42" t="n">
        <v>26</v>
      </c>
      <c r="H88" s="42" t="n">
        <v>0</v>
      </c>
      <c r="I88" s="42" t="n">
        <v>1</v>
      </c>
      <c r="J88" s="44" t="n">
        <f aca="false">ROUND(G88/F88*100,0)</f>
        <v>96</v>
      </c>
      <c r="K88" s="42" t="s">
        <v>2218</v>
      </c>
      <c r="L88" s="42" t="s">
        <v>484</v>
      </c>
    </row>
    <row r="89" customFormat="false" ht="15" hidden="false" customHeight="true" outlineLevel="0" collapsed="false">
      <c r="A89" s="42" t="s">
        <v>2307</v>
      </c>
      <c r="B89" s="42" t="s">
        <v>773</v>
      </c>
      <c r="C89" s="42" t="s">
        <v>774</v>
      </c>
      <c r="D89" s="42" t="s">
        <v>1512</v>
      </c>
      <c r="E89" s="42" t="s">
        <v>1441</v>
      </c>
      <c r="F89" s="42" t="n">
        <v>29</v>
      </c>
      <c r="G89" s="42" t="n">
        <v>28</v>
      </c>
      <c r="H89" s="42" t="n">
        <v>0</v>
      </c>
      <c r="I89" s="42" t="n">
        <v>1</v>
      </c>
      <c r="J89" s="44" t="n">
        <f aca="false">ROUND(G89/F89*100,0)</f>
        <v>97</v>
      </c>
      <c r="K89" s="42" t="s">
        <v>2218</v>
      </c>
      <c r="L89" s="42" t="s">
        <v>484</v>
      </c>
    </row>
    <row r="90" customFormat="false" ht="15" hidden="false" customHeight="true" outlineLevel="0" collapsed="false">
      <c r="A90" s="42" t="s">
        <v>2308</v>
      </c>
      <c r="B90" s="42" t="s">
        <v>782</v>
      </c>
      <c r="C90" s="42" t="s">
        <v>783</v>
      </c>
      <c r="D90" s="42" t="s">
        <v>1516</v>
      </c>
      <c r="E90" s="42" t="s">
        <v>1517</v>
      </c>
      <c r="F90" s="42" t="n">
        <v>28</v>
      </c>
      <c r="G90" s="42" t="n">
        <v>27</v>
      </c>
      <c r="H90" s="42" t="n">
        <v>0</v>
      </c>
      <c r="I90" s="42" t="n">
        <v>1</v>
      </c>
      <c r="J90" s="44" t="n">
        <f aca="false">ROUND(G90/F90*100,0)</f>
        <v>96</v>
      </c>
      <c r="K90" s="42" t="s">
        <v>2218</v>
      </c>
      <c r="L90" s="42" t="s">
        <v>786</v>
      </c>
    </row>
    <row r="91" customFormat="false" ht="15" hidden="false" customHeight="true" outlineLevel="0" collapsed="false">
      <c r="A91" s="42" t="s">
        <v>2309</v>
      </c>
      <c r="B91" s="42" t="s">
        <v>787</v>
      </c>
      <c r="C91" s="42" t="s">
        <v>788</v>
      </c>
      <c r="D91" s="42" t="s">
        <v>1522</v>
      </c>
      <c r="E91" s="42" t="s">
        <v>1523</v>
      </c>
      <c r="F91" s="42" t="n">
        <v>28</v>
      </c>
      <c r="G91" s="42" t="n">
        <v>27</v>
      </c>
      <c r="H91" s="42" t="n">
        <v>0</v>
      </c>
      <c r="I91" s="42" t="n">
        <v>1</v>
      </c>
      <c r="J91" s="44" t="n">
        <f aca="false">ROUND(G91/F91*100,0)</f>
        <v>96</v>
      </c>
      <c r="K91" s="42" t="s">
        <v>2218</v>
      </c>
      <c r="L91" s="42" t="s">
        <v>786</v>
      </c>
    </row>
    <row r="92" customFormat="false" ht="15" hidden="false" customHeight="true" outlineLevel="0" collapsed="false">
      <c r="A92" s="42" t="s">
        <v>2310</v>
      </c>
      <c r="B92" s="42" t="s">
        <v>794</v>
      </c>
      <c r="C92" s="42" t="s">
        <v>795</v>
      </c>
      <c r="D92" s="42" t="s">
        <v>1529</v>
      </c>
      <c r="E92" s="42" t="s">
        <v>1530</v>
      </c>
      <c r="F92" s="42" t="n">
        <v>29</v>
      </c>
      <c r="G92" s="42" t="n">
        <v>28</v>
      </c>
      <c r="H92" s="42" t="n">
        <v>0</v>
      </c>
      <c r="I92" s="42" t="n">
        <v>1</v>
      </c>
      <c r="J92" s="44" t="n">
        <f aca="false">ROUND(G92/F92*100,0)</f>
        <v>97</v>
      </c>
      <c r="K92" s="42" t="s">
        <v>2218</v>
      </c>
      <c r="L92" s="42" t="s">
        <v>786</v>
      </c>
    </row>
    <row r="93" customFormat="false" ht="15" hidden="false" customHeight="true" outlineLevel="0" collapsed="false">
      <c r="A93" s="42" t="s">
        <v>2311</v>
      </c>
      <c r="B93" s="42" t="s">
        <v>803</v>
      </c>
      <c r="C93" s="42" t="s">
        <v>804</v>
      </c>
      <c r="D93" s="42" t="s">
        <v>1543</v>
      </c>
      <c r="E93" s="42" t="s">
        <v>1322</v>
      </c>
      <c r="F93" s="42" t="n">
        <v>28</v>
      </c>
      <c r="G93" s="42" t="n">
        <v>27</v>
      </c>
      <c r="H93" s="42" t="n">
        <v>0</v>
      </c>
      <c r="I93" s="42" t="n">
        <v>1</v>
      </c>
      <c r="J93" s="44" t="n">
        <f aca="false">ROUND(G93/F93*100,0)</f>
        <v>96</v>
      </c>
      <c r="K93" s="42" t="s">
        <v>2218</v>
      </c>
      <c r="L93" s="42" t="s">
        <v>786</v>
      </c>
    </row>
    <row r="94" customFormat="false" ht="15" hidden="false" customHeight="true" outlineLevel="0" collapsed="false">
      <c r="A94" s="42" t="s">
        <v>2312</v>
      </c>
      <c r="B94" s="42" t="s">
        <v>809</v>
      </c>
      <c r="C94" s="42" t="s">
        <v>810</v>
      </c>
      <c r="D94" s="42" t="s">
        <v>1535</v>
      </c>
      <c r="E94" s="42" t="s">
        <v>1536</v>
      </c>
      <c r="F94" s="42" t="n">
        <v>28</v>
      </c>
      <c r="G94" s="42" t="n">
        <v>26</v>
      </c>
      <c r="H94" s="42" t="n">
        <v>1</v>
      </c>
      <c r="I94" s="42" t="n">
        <v>1</v>
      </c>
      <c r="J94" s="44" t="n">
        <f aca="false">ROUND(G94/F94*100,0)</f>
        <v>93</v>
      </c>
      <c r="K94" s="42" t="s">
        <v>2218</v>
      </c>
      <c r="L94" s="42" t="s">
        <v>786</v>
      </c>
    </row>
    <row r="95" customFormat="false" ht="15" hidden="false" customHeight="true" outlineLevel="0" collapsed="false">
      <c r="A95" s="42" t="s">
        <v>2313</v>
      </c>
      <c r="B95" s="42" t="s">
        <v>814</v>
      </c>
      <c r="C95" s="42" t="s">
        <v>815</v>
      </c>
      <c r="D95" s="42" t="s">
        <v>1556</v>
      </c>
      <c r="E95" s="42" t="s">
        <v>1557</v>
      </c>
      <c r="F95" s="42" t="n">
        <v>27</v>
      </c>
      <c r="G95" s="42" t="n">
        <v>26</v>
      </c>
      <c r="H95" s="42" t="n">
        <v>0</v>
      </c>
      <c r="I95" s="42" t="n">
        <v>1</v>
      </c>
      <c r="J95" s="44" t="n">
        <f aca="false">ROUND(G95/F95*100,0)</f>
        <v>96</v>
      </c>
      <c r="K95" s="42" t="s">
        <v>2218</v>
      </c>
      <c r="L95" s="42" t="s">
        <v>786</v>
      </c>
    </row>
    <row r="96" customFormat="false" ht="15" hidden="false" customHeight="true" outlineLevel="0" collapsed="false">
      <c r="A96" s="42" t="s">
        <v>2314</v>
      </c>
      <c r="B96" s="42" t="s">
        <v>820</v>
      </c>
      <c r="C96" s="42" t="s">
        <v>821</v>
      </c>
      <c r="D96" s="42" t="s">
        <v>1522</v>
      </c>
      <c r="E96" s="42" t="s">
        <v>1523</v>
      </c>
      <c r="F96" s="42" t="n">
        <v>26</v>
      </c>
      <c r="G96" s="42" t="n">
        <v>25</v>
      </c>
      <c r="H96" s="42" t="n">
        <v>0</v>
      </c>
      <c r="I96" s="42" t="n">
        <v>1</v>
      </c>
      <c r="J96" s="44" t="n">
        <f aca="false">ROUND(G96/F96*100,0)</f>
        <v>96</v>
      </c>
      <c r="K96" s="42" t="s">
        <v>2218</v>
      </c>
      <c r="L96" s="42" t="s">
        <v>786</v>
      </c>
    </row>
    <row r="97" customFormat="false" ht="15" hidden="false" customHeight="true" outlineLevel="0" collapsed="false">
      <c r="A97" s="42" t="s">
        <v>2315</v>
      </c>
      <c r="B97" s="42" t="s">
        <v>824</v>
      </c>
      <c r="C97" s="42" t="s">
        <v>825</v>
      </c>
      <c r="D97" s="42" t="s">
        <v>1516</v>
      </c>
      <c r="E97" s="42" t="s">
        <v>1517</v>
      </c>
      <c r="F97" s="42" t="n">
        <v>29</v>
      </c>
      <c r="G97" s="42" t="n">
        <v>28</v>
      </c>
      <c r="H97" s="42" t="n">
        <v>0</v>
      </c>
      <c r="I97" s="42" t="n">
        <v>1</v>
      </c>
      <c r="J97" s="44" t="n">
        <f aca="false">ROUND(G97/F97*100,0)</f>
        <v>97</v>
      </c>
      <c r="K97" s="42" t="s">
        <v>2218</v>
      </c>
      <c r="L97" s="42" t="s">
        <v>786</v>
      </c>
    </row>
    <row r="98" customFormat="false" ht="15" hidden="false" customHeight="true" outlineLevel="0" collapsed="false">
      <c r="A98" s="42" t="s">
        <v>2316</v>
      </c>
      <c r="B98" s="42" t="s">
        <v>830</v>
      </c>
      <c r="C98" s="42" t="s">
        <v>831</v>
      </c>
      <c r="D98" s="42" t="s">
        <v>1556</v>
      </c>
      <c r="E98" s="42" t="s">
        <v>1557</v>
      </c>
      <c r="F98" s="42" t="n">
        <v>27</v>
      </c>
      <c r="G98" s="42" t="n">
        <v>26</v>
      </c>
      <c r="H98" s="42" t="n">
        <v>0</v>
      </c>
      <c r="I98" s="42" t="n">
        <v>1</v>
      </c>
      <c r="J98" s="44" t="n">
        <f aca="false">ROUND(G98/F98*100,0)</f>
        <v>96</v>
      </c>
      <c r="K98" s="42" t="s">
        <v>2218</v>
      </c>
      <c r="L98" s="42" t="s">
        <v>786</v>
      </c>
    </row>
    <row r="99" customFormat="false" ht="15" hidden="false" customHeight="true" outlineLevel="0" collapsed="false">
      <c r="A99" s="42" t="s">
        <v>2317</v>
      </c>
      <c r="B99" s="42" t="s">
        <v>834</v>
      </c>
      <c r="C99" s="42" t="s">
        <v>835</v>
      </c>
      <c r="D99" s="42" t="s">
        <v>1529</v>
      </c>
      <c r="E99" s="42" t="s">
        <v>1530</v>
      </c>
      <c r="F99" s="42" t="n">
        <v>29</v>
      </c>
      <c r="G99" s="42" t="n">
        <v>28</v>
      </c>
      <c r="H99" s="42" t="n">
        <v>0</v>
      </c>
      <c r="I99" s="42" t="n">
        <v>1</v>
      </c>
      <c r="J99" s="44" t="n">
        <f aca="false">ROUND(G99/F99*100,0)</f>
        <v>97</v>
      </c>
      <c r="K99" s="42" t="s">
        <v>2218</v>
      </c>
      <c r="L99" s="42" t="s">
        <v>786</v>
      </c>
    </row>
    <row r="100" customFormat="false" ht="15" hidden="false" customHeight="true" outlineLevel="0" collapsed="false">
      <c r="A100" s="42" t="s">
        <v>2318</v>
      </c>
      <c r="B100" s="42" t="s">
        <v>838</v>
      </c>
      <c r="C100" s="42" t="s">
        <v>839</v>
      </c>
      <c r="D100" s="42" t="s">
        <v>1543</v>
      </c>
      <c r="E100" s="42" t="s">
        <v>1322</v>
      </c>
      <c r="F100" s="42" t="n">
        <v>27</v>
      </c>
      <c r="G100" s="42" t="n">
        <v>26</v>
      </c>
      <c r="H100" s="42" t="n">
        <v>0</v>
      </c>
      <c r="I100" s="42" t="n">
        <v>1</v>
      </c>
      <c r="J100" s="44" t="n">
        <f aca="false">ROUND(G100/F100*100,0)</f>
        <v>96</v>
      </c>
      <c r="K100" s="42" t="s">
        <v>2218</v>
      </c>
      <c r="L100" s="42" t="s">
        <v>786</v>
      </c>
    </row>
    <row r="101" customFormat="false" ht="15" hidden="false" customHeight="true" outlineLevel="0" collapsed="false">
      <c r="A101" s="42" t="s">
        <v>2319</v>
      </c>
      <c r="B101" s="42" t="s">
        <v>842</v>
      </c>
      <c r="C101" s="42" t="s">
        <v>843</v>
      </c>
      <c r="D101" s="42" t="s">
        <v>1516</v>
      </c>
      <c r="E101" s="42" t="s">
        <v>1517</v>
      </c>
      <c r="F101" s="42" t="n">
        <v>29</v>
      </c>
      <c r="G101" s="42" t="n">
        <v>28</v>
      </c>
      <c r="H101" s="42" t="n">
        <v>0</v>
      </c>
      <c r="I101" s="42" t="n">
        <v>1</v>
      </c>
      <c r="J101" s="44" t="n">
        <f aca="false">ROUND(G101/F101*100,0)</f>
        <v>97</v>
      </c>
      <c r="K101" s="42" t="s">
        <v>2218</v>
      </c>
      <c r="L101" s="42" t="s">
        <v>786</v>
      </c>
    </row>
    <row r="102" customFormat="false" ht="15" hidden="false" customHeight="true" outlineLevel="0" collapsed="false">
      <c r="A102" s="42" t="s">
        <v>2320</v>
      </c>
      <c r="B102" s="42" t="s">
        <v>848</v>
      </c>
      <c r="C102" s="42" t="s">
        <v>849</v>
      </c>
      <c r="D102" s="42" t="s">
        <v>1535</v>
      </c>
      <c r="E102" s="42" t="s">
        <v>1536</v>
      </c>
      <c r="F102" s="42" t="n">
        <v>29</v>
      </c>
      <c r="G102" s="42" t="n">
        <v>28</v>
      </c>
      <c r="H102" s="42" t="n">
        <v>0</v>
      </c>
      <c r="I102" s="42" t="n">
        <v>1</v>
      </c>
      <c r="J102" s="44" t="n">
        <f aca="false">ROUND(G102/F102*100,0)</f>
        <v>97</v>
      </c>
      <c r="K102" s="42" t="s">
        <v>2218</v>
      </c>
      <c r="L102" s="42" t="s">
        <v>786</v>
      </c>
    </row>
    <row r="103" customFormat="false" ht="15" hidden="false" customHeight="true" outlineLevel="0" collapsed="false">
      <c r="A103" s="42" t="s">
        <v>2321</v>
      </c>
      <c r="B103" s="42" t="s">
        <v>852</v>
      </c>
      <c r="C103" s="42" t="s">
        <v>853</v>
      </c>
      <c r="D103" s="42" t="s">
        <v>1556</v>
      </c>
      <c r="E103" s="42" t="s">
        <v>1557</v>
      </c>
      <c r="F103" s="42" t="n">
        <v>27</v>
      </c>
      <c r="G103" s="42" t="n">
        <v>25</v>
      </c>
      <c r="H103" s="42" t="n">
        <v>1</v>
      </c>
      <c r="I103" s="42" t="n">
        <v>1</v>
      </c>
      <c r="J103" s="44" t="n">
        <f aca="false">ROUND(G103/F103*100,0)</f>
        <v>93</v>
      </c>
      <c r="K103" s="42" t="s">
        <v>2218</v>
      </c>
      <c r="L103" s="42" t="s">
        <v>786</v>
      </c>
    </row>
    <row r="104" customFormat="false" ht="15" hidden="false" customHeight="true" outlineLevel="0" collapsed="false">
      <c r="A104" s="42" t="s">
        <v>2322</v>
      </c>
      <c r="B104" s="42" t="s">
        <v>857</v>
      </c>
      <c r="C104" s="42" t="s">
        <v>858</v>
      </c>
      <c r="D104" s="42" t="s">
        <v>1543</v>
      </c>
      <c r="E104" s="42" t="s">
        <v>1322</v>
      </c>
      <c r="F104" s="42" t="n">
        <v>30</v>
      </c>
      <c r="G104" s="42" t="n">
        <v>29</v>
      </c>
      <c r="H104" s="42" t="n">
        <v>0</v>
      </c>
      <c r="I104" s="42" t="n">
        <v>1</v>
      </c>
      <c r="J104" s="44" t="n">
        <f aca="false">ROUND(G104/F104*100,0)</f>
        <v>97</v>
      </c>
      <c r="K104" s="42" t="s">
        <v>2218</v>
      </c>
      <c r="L104" s="42" t="s">
        <v>786</v>
      </c>
    </row>
    <row r="105" customFormat="false" ht="15" hidden="false" customHeight="true" outlineLevel="0" collapsed="false">
      <c r="A105" s="42" t="s">
        <v>2323</v>
      </c>
      <c r="B105" s="42" t="s">
        <v>862</v>
      </c>
      <c r="C105" s="42" t="s">
        <v>863</v>
      </c>
      <c r="D105" s="42" t="s">
        <v>1522</v>
      </c>
      <c r="E105" s="42" t="s">
        <v>1523</v>
      </c>
      <c r="F105" s="42" t="n">
        <v>29</v>
      </c>
      <c r="G105" s="42" t="n">
        <v>28</v>
      </c>
      <c r="H105" s="42" t="n">
        <v>0</v>
      </c>
      <c r="I105" s="42" t="n">
        <v>1</v>
      </c>
      <c r="J105" s="44" t="n">
        <f aca="false">ROUND(G105/F105*100,0)</f>
        <v>97</v>
      </c>
      <c r="K105" s="42" t="s">
        <v>2218</v>
      </c>
      <c r="L105" s="42" t="s">
        <v>786</v>
      </c>
    </row>
    <row r="106" customFormat="false" ht="15" hidden="false" customHeight="true" outlineLevel="0" collapsed="false">
      <c r="A106" s="42" t="s">
        <v>2324</v>
      </c>
      <c r="B106" s="42" t="s">
        <v>867</v>
      </c>
      <c r="C106" s="42" t="s">
        <v>868</v>
      </c>
      <c r="D106" s="42" t="s">
        <v>1543</v>
      </c>
      <c r="E106" s="42" t="s">
        <v>1322</v>
      </c>
      <c r="F106" s="42" t="n">
        <v>28</v>
      </c>
      <c r="G106" s="42" t="n">
        <v>27</v>
      </c>
      <c r="H106" s="42" t="n">
        <v>0</v>
      </c>
      <c r="I106" s="42" t="n">
        <v>1</v>
      </c>
      <c r="J106" s="44" t="n">
        <f aca="false">ROUND(G106/F106*100,0)</f>
        <v>96</v>
      </c>
      <c r="K106" s="42" t="s">
        <v>2218</v>
      </c>
      <c r="L106" s="42" t="s">
        <v>786</v>
      </c>
    </row>
    <row r="107" customFormat="false" ht="15" hidden="false" customHeight="true" outlineLevel="0" collapsed="false">
      <c r="A107" s="42" t="s">
        <v>2325</v>
      </c>
      <c r="B107" s="42" t="s">
        <v>874</v>
      </c>
      <c r="C107" s="42" t="s">
        <v>875</v>
      </c>
      <c r="D107" s="42" t="s">
        <v>1535</v>
      </c>
      <c r="E107" s="42" t="s">
        <v>1536</v>
      </c>
      <c r="F107" s="42" t="n">
        <v>30</v>
      </c>
      <c r="G107" s="42" t="n">
        <v>29</v>
      </c>
      <c r="H107" s="42" t="n">
        <v>0</v>
      </c>
      <c r="I107" s="42" t="n">
        <v>1</v>
      </c>
      <c r="J107" s="44" t="n">
        <f aca="false">ROUND(G107/F107*100,0)</f>
        <v>97</v>
      </c>
      <c r="K107" s="42" t="s">
        <v>2218</v>
      </c>
      <c r="L107" s="42" t="s">
        <v>786</v>
      </c>
    </row>
    <row r="108" customFormat="false" ht="15" hidden="false" customHeight="true" outlineLevel="0" collapsed="false">
      <c r="A108" s="42" t="s">
        <v>2326</v>
      </c>
      <c r="B108" s="42" t="s">
        <v>879</v>
      </c>
      <c r="C108" s="42" t="s">
        <v>880</v>
      </c>
      <c r="D108" s="42" t="s">
        <v>1516</v>
      </c>
      <c r="E108" s="42" t="s">
        <v>1517</v>
      </c>
      <c r="F108" s="42" t="n">
        <v>26</v>
      </c>
      <c r="G108" s="42" t="n">
        <v>25</v>
      </c>
      <c r="H108" s="42" t="n">
        <v>0</v>
      </c>
      <c r="I108" s="42" t="n">
        <v>1</v>
      </c>
      <c r="J108" s="44" t="n">
        <f aca="false">ROUND(G108/F108*100,0)</f>
        <v>96</v>
      </c>
      <c r="K108" s="42" t="s">
        <v>2218</v>
      </c>
      <c r="L108" s="42" t="s">
        <v>786</v>
      </c>
    </row>
    <row r="109" customFormat="false" ht="15" hidden="false" customHeight="true" outlineLevel="0" collapsed="false">
      <c r="A109" s="42" t="s">
        <v>2327</v>
      </c>
      <c r="B109" s="42" t="s">
        <v>884</v>
      </c>
      <c r="C109" s="42" t="s">
        <v>885</v>
      </c>
      <c r="D109" s="42" t="s">
        <v>1556</v>
      </c>
      <c r="E109" s="42" t="s">
        <v>1557</v>
      </c>
      <c r="F109" s="42" t="n">
        <v>26</v>
      </c>
      <c r="G109" s="42" t="n">
        <v>24</v>
      </c>
      <c r="H109" s="42" t="n">
        <v>1</v>
      </c>
      <c r="I109" s="42" t="n">
        <v>1</v>
      </c>
      <c r="J109" s="44" t="n">
        <f aca="false">ROUND(G109/F109*100,0)</f>
        <v>92</v>
      </c>
      <c r="K109" s="42" t="s">
        <v>2218</v>
      </c>
      <c r="L109" s="42" t="s">
        <v>786</v>
      </c>
    </row>
    <row r="110" customFormat="false" ht="15" hidden="false" customHeight="true" outlineLevel="0" collapsed="false">
      <c r="A110" s="42" t="s">
        <v>2328</v>
      </c>
      <c r="B110" s="42" t="s">
        <v>890</v>
      </c>
      <c r="C110" s="42" t="s">
        <v>891</v>
      </c>
      <c r="D110" s="42" t="s">
        <v>1529</v>
      </c>
      <c r="E110" s="42" t="s">
        <v>1530</v>
      </c>
      <c r="F110" s="42" t="n">
        <v>30</v>
      </c>
      <c r="G110" s="42" t="n">
        <v>29</v>
      </c>
      <c r="H110" s="42" t="n">
        <v>0</v>
      </c>
      <c r="I110" s="42" t="n">
        <v>1</v>
      </c>
      <c r="J110" s="44" t="n">
        <f aca="false">ROUND(G110/F110*100,0)</f>
        <v>97</v>
      </c>
      <c r="K110" s="42" t="s">
        <v>2218</v>
      </c>
      <c r="L110" s="42" t="s">
        <v>786</v>
      </c>
    </row>
    <row r="111" customFormat="false" ht="15" hidden="false" customHeight="true" outlineLevel="0" collapsed="false">
      <c r="A111" s="42" t="s">
        <v>2329</v>
      </c>
      <c r="B111" s="42" t="s">
        <v>896</v>
      </c>
      <c r="C111" s="42" t="s">
        <v>897</v>
      </c>
      <c r="D111" s="42" t="s">
        <v>1543</v>
      </c>
      <c r="E111" s="42" t="s">
        <v>1322</v>
      </c>
      <c r="F111" s="42" t="n">
        <v>30</v>
      </c>
      <c r="G111" s="42" t="n">
        <v>29</v>
      </c>
      <c r="H111" s="42" t="n">
        <v>0</v>
      </c>
      <c r="I111" s="42" t="n">
        <v>1</v>
      </c>
      <c r="J111" s="44" t="n">
        <f aca="false">ROUND(G111/F111*100,0)</f>
        <v>97</v>
      </c>
      <c r="K111" s="42" t="s">
        <v>2218</v>
      </c>
      <c r="L111" s="42" t="s">
        <v>786</v>
      </c>
    </row>
    <row r="112" customFormat="false" ht="15" hidden="false" customHeight="true" outlineLevel="0" collapsed="false">
      <c r="A112" s="42" t="s">
        <v>2330</v>
      </c>
      <c r="B112" s="42" t="s">
        <v>900</v>
      </c>
      <c r="C112" s="42" t="s">
        <v>901</v>
      </c>
      <c r="D112" s="42" t="s">
        <v>1522</v>
      </c>
      <c r="E112" s="42" t="s">
        <v>1523</v>
      </c>
      <c r="F112" s="42" t="n">
        <v>26</v>
      </c>
      <c r="G112" s="42" t="n">
        <v>25</v>
      </c>
      <c r="H112" s="42" t="n">
        <v>0</v>
      </c>
      <c r="I112" s="42" t="n">
        <v>1</v>
      </c>
      <c r="J112" s="44" t="n">
        <f aca="false">ROUND(G112/F112*100,0)</f>
        <v>96</v>
      </c>
      <c r="K112" s="42" t="s">
        <v>2218</v>
      </c>
      <c r="L112" s="42" t="s">
        <v>786</v>
      </c>
    </row>
    <row r="113" customFormat="false" ht="15" hidden="false" customHeight="true" outlineLevel="0" collapsed="false">
      <c r="A113" s="42" t="s">
        <v>2331</v>
      </c>
      <c r="B113" s="42" t="s">
        <v>904</v>
      </c>
      <c r="C113" s="42" t="s">
        <v>905</v>
      </c>
      <c r="D113" s="42" t="s">
        <v>1556</v>
      </c>
      <c r="E113" s="42" t="s">
        <v>1557</v>
      </c>
      <c r="F113" s="42" t="n">
        <v>26</v>
      </c>
      <c r="G113" s="42" t="n">
        <v>25</v>
      </c>
      <c r="H113" s="42" t="n">
        <v>0</v>
      </c>
      <c r="I113" s="42" t="n">
        <v>1</v>
      </c>
      <c r="J113" s="44" t="n">
        <f aca="false">ROUND(G113/F113*100,0)</f>
        <v>96</v>
      </c>
      <c r="K113" s="42" t="s">
        <v>2218</v>
      </c>
      <c r="L113" s="42" t="s">
        <v>786</v>
      </c>
    </row>
    <row r="114" customFormat="false" ht="15" hidden="false" customHeight="true" outlineLevel="0" collapsed="false">
      <c r="A114" s="42" t="s">
        <v>2332</v>
      </c>
      <c r="B114" s="42" t="s">
        <v>909</v>
      </c>
      <c r="C114" s="42" t="s">
        <v>910</v>
      </c>
      <c r="D114" s="42" t="s">
        <v>1529</v>
      </c>
      <c r="E114" s="42" t="s">
        <v>1530</v>
      </c>
      <c r="F114" s="42" t="n">
        <v>29</v>
      </c>
      <c r="G114" s="42" t="n">
        <v>28</v>
      </c>
      <c r="H114" s="42" t="n">
        <v>0</v>
      </c>
      <c r="I114" s="42" t="n">
        <v>1</v>
      </c>
      <c r="J114" s="44" t="n">
        <f aca="false">ROUND(G114/F114*100,0)</f>
        <v>97</v>
      </c>
      <c r="K114" s="42" t="s">
        <v>2218</v>
      </c>
      <c r="L114" s="42" t="s">
        <v>786</v>
      </c>
    </row>
    <row r="115" customFormat="false" ht="15" hidden="false" customHeight="true" outlineLevel="0" collapsed="false">
      <c r="A115" s="42" t="s">
        <v>2333</v>
      </c>
      <c r="B115" s="42" t="s">
        <v>913</v>
      </c>
      <c r="C115" s="42" t="s">
        <v>914</v>
      </c>
      <c r="D115" s="42" t="s">
        <v>1570</v>
      </c>
      <c r="E115" s="42" t="s">
        <v>1406</v>
      </c>
      <c r="F115" s="42" t="n">
        <v>30</v>
      </c>
      <c r="G115" s="42" t="n">
        <v>29</v>
      </c>
      <c r="H115" s="42" t="n">
        <v>0</v>
      </c>
      <c r="I115" s="42" t="n">
        <v>1</v>
      </c>
      <c r="J115" s="44" t="n">
        <f aca="false">ROUND(G115/F115*100,0)</f>
        <v>97</v>
      </c>
      <c r="K115" s="42" t="s">
        <v>2218</v>
      </c>
      <c r="L115" s="42" t="s">
        <v>786</v>
      </c>
    </row>
    <row r="116" customFormat="false" ht="15" hidden="false" customHeight="true" outlineLevel="0" collapsed="false">
      <c r="A116" s="42" t="s">
        <v>2334</v>
      </c>
      <c r="B116" s="42" t="s">
        <v>923</v>
      </c>
      <c r="C116" s="42" t="s">
        <v>924</v>
      </c>
      <c r="D116" s="42" t="s">
        <v>1570</v>
      </c>
      <c r="E116" s="42" t="s">
        <v>1406</v>
      </c>
      <c r="F116" s="42" t="n">
        <v>30</v>
      </c>
      <c r="G116" s="42" t="n">
        <v>29</v>
      </c>
      <c r="H116" s="42" t="n">
        <v>0</v>
      </c>
      <c r="I116" s="42" t="n">
        <v>1</v>
      </c>
      <c r="J116" s="44" t="n">
        <f aca="false">ROUND(G116/F116*100,0)</f>
        <v>97</v>
      </c>
      <c r="K116" s="42" t="s">
        <v>2218</v>
      </c>
      <c r="L116" s="42" t="s">
        <v>786</v>
      </c>
    </row>
    <row r="117" customFormat="false" ht="15" hidden="false" customHeight="true" outlineLevel="0" collapsed="false">
      <c r="A117" s="42" t="s">
        <v>2335</v>
      </c>
      <c r="B117" s="42" t="s">
        <v>930</v>
      </c>
      <c r="C117" s="42" t="s">
        <v>931</v>
      </c>
      <c r="D117" s="42" t="s">
        <v>1570</v>
      </c>
      <c r="E117" s="42" t="s">
        <v>1406</v>
      </c>
      <c r="F117" s="42" t="n">
        <v>29</v>
      </c>
      <c r="G117" s="42" t="n">
        <v>28</v>
      </c>
      <c r="H117" s="42" t="n">
        <v>0</v>
      </c>
      <c r="I117" s="42" t="n">
        <v>1</v>
      </c>
      <c r="J117" s="44" t="n">
        <f aca="false">ROUND(G117/F117*100,0)</f>
        <v>97</v>
      </c>
      <c r="K117" s="42" t="s">
        <v>2218</v>
      </c>
      <c r="L117" s="42" t="s">
        <v>786</v>
      </c>
    </row>
    <row r="118" customFormat="false" ht="15" hidden="false" customHeight="true" outlineLevel="0" collapsed="false">
      <c r="A118" s="42" t="s">
        <v>2336</v>
      </c>
      <c r="B118" s="42" t="s">
        <v>937</v>
      </c>
      <c r="C118" s="42" t="s">
        <v>938</v>
      </c>
      <c r="D118" s="42" t="s">
        <v>1570</v>
      </c>
      <c r="E118" s="42" t="s">
        <v>1406</v>
      </c>
      <c r="F118" s="42" t="n">
        <v>29</v>
      </c>
      <c r="G118" s="42" t="n">
        <v>28</v>
      </c>
      <c r="H118" s="42" t="n">
        <v>0</v>
      </c>
      <c r="I118" s="42" t="n">
        <v>1</v>
      </c>
      <c r="J118" s="44" t="n">
        <f aca="false">ROUND(G118/F118*100,0)</f>
        <v>97</v>
      </c>
      <c r="K118" s="42" t="s">
        <v>2218</v>
      </c>
      <c r="L118" s="42" t="s">
        <v>786</v>
      </c>
    </row>
    <row r="119" customFormat="false" ht="15" hidden="false" customHeight="true" outlineLevel="0" collapsed="false">
      <c r="A119" s="42" t="s">
        <v>2337</v>
      </c>
      <c r="B119" s="42" t="s">
        <v>945</v>
      </c>
      <c r="C119" s="42" t="s">
        <v>946</v>
      </c>
      <c r="D119" s="42" t="s">
        <v>1570</v>
      </c>
      <c r="E119" s="42" t="s">
        <v>1406</v>
      </c>
      <c r="F119" s="42" t="n">
        <v>27</v>
      </c>
      <c r="G119" s="42" t="n">
        <v>26</v>
      </c>
      <c r="H119" s="42" t="n">
        <v>0</v>
      </c>
      <c r="I119" s="42" t="n">
        <v>1</v>
      </c>
      <c r="J119" s="44" t="n">
        <f aca="false">ROUND(G119/F119*100,0)</f>
        <v>96</v>
      </c>
      <c r="K119" s="42" t="s">
        <v>2218</v>
      </c>
      <c r="L119" s="42" t="s">
        <v>786</v>
      </c>
    </row>
    <row r="120" customFormat="false" ht="15" hidden="false" customHeight="true" outlineLevel="0" collapsed="false">
      <c r="A120" s="42" t="s">
        <v>2338</v>
      </c>
      <c r="B120" s="42" t="s">
        <v>952</v>
      </c>
      <c r="C120" s="42" t="s">
        <v>953</v>
      </c>
      <c r="D120" s="42" t="s">
        <v>1570</v>
      </c>
      <c r="E120" s="42" t="s">
        <v>1406</v>
      </c>
      <c r="F120" s="42" t="n">
        <v>26</v>
      </c>
      <c r="G120" s="42" t="n">
        <v>25</v>
      </c>
      <c r="H120" s="42" t="n">
        <v>0</v>
      </c>
      <c r="I120" s="42" t="n">
        <v>1</v>
      </c>
      <c r="J120" s="44" t="n">
        <f aca="false">ROUND(G120/F120*100,0)</f>
        <v>96</v>
      </c>
      <c r="K120" s="42" t="s">
        <v>2218</v>
      </c>
      <c r="L120" s="42" t="s">
        <v>786</v>
      </c>
    </row>
    <row r="121" customFormat="false" ht="15" hidden="false" customHeight="true" outlineLevel="0" collapsed="false">
      <c r="A121" s="42" t="s">
        <v>2339</v>
      </c>
      <c r="B121" s="42" t="s">
        <v>958</v>
      </c>
      <c r="C121" s="42" t="s">
        <v>959</v>
      </c>
      <c r="D121" s="42" t="s">
        <v>1572</v>
      </c>
      <c r="E121" s="42" t="s">
        <v>1415</v>
      </c>
      <c r="F121" s="42" t="n">
        <v>29</v>
      </c>
      <c r="G121" s="42" t="n">
        <v>28</v>
      </c>
      <c r="H121" s="42" t="n">
        <v>0</v>
      </c>
      <c r="I121" s="42" t="n">
        <v>1</v>
      </c>
      <c r="J121" s="44" t="n">
        <f aca="false">ROUND(G121/F121*100,0)</f>
        <v>97</v>
      </c>
      <c r="K121" s="42" t="s">
        <v>2218</v>
      </c>
      <c r="L121" s="42" t="s">
        <v>786</v>
      </c>
    </row>
    <row r="122" customFormat="false" ht="15" hidden="false" customHeight="true" outlineLevel="0" collapsed="false">
      <c r="A122" s="42" t="s">
        <v>2340</v>
      </c>
      <c r="B122" s="42" t="s">
        <v>966</v>
      </c>
      <c r="C122" s="42" t="s">
        <v>967</v>
      </c>
      <c r="D122" s="42" t="s">
        <v>1572</v>
      </c>
      <c r="E122" s="42" t="s">
        <v>1415</v>
      </c>
      <c r="F122" s="42" t="n">
        <v>29</v>
      </c>
      <c r="G122" s="42" t="n">
        <v>28</v>
      </c>
      <c r="H122" s="42" t="n">
        <v>0</v>
      </c>
      <c r="I122" s="42" t="n">
        <v>1</v>
      </c>
      <c r="J122" s="44" t="n">
        <f aca="false">ROUND(G122/F122*100,0)</f>
        <v>97</v>
      </c>
      <c r="K122" s="42" t="s">
        <v>2218</v>
      </c>
      <c r="L122" s="42" t="s">
        <v>786</v>
      </c>
    </row>
    <row r="123" customFormat="false" ht="15" hidden="false" customHeight="true" outlineLevel="0" collapsed="false">
      <c r="A123" s="42" t="s">
        <v>2341</v>
      </c>
      <c r="B123" s="42" t="s">
        <v>975</v>
      </c>
      <c r="C123" s="42" t="s">
        <v>976</v>
      </c>
      <c r="D123" s="42" t="s">
        <v>1572</v>
      </c>
      <c r="E123" s="42" t="s">
        <v>1415</v>
      </c>
      <c r="F123" s="42" t="n">
        <v>27</v>
      </c>
      <c r="G123" s="42" t="n">
        <v>26</v>
      </c>
      <c r="H123" s="42" t="n">
        <v>0</v>
      </c>
      <c r="I123" s="42" t="n">
        <v>1</v>
      </c>
      <c r="J123" s="44" t="n">
        <f aca="false">ROUND(G123/F123*100,0)</f>
        <v>96</v>
      </c>
      <c r="K123" s="42" t="s">
        <v>2218</v>
      </c>
      <c r="L123" s="42" t="s">
        <v>786</v>
      </c>
    </row>
    <row r="124" customFormat="false" ht="15" hidden="false" customHeight="true" outlineLevel="0" collapsed="false">
      <c r="A124" s="42" t="s">
        <v>2342</v>
      </c>
      <c r="B124" s="42" t="s">
        <v>983</v>
      </c>
      <c r="C124" s="42" t="s">
        <v>984</v>
      </c>
      <c r="D124" s="42" t="s">
        <v>1572</v>
      </c>
      <c r="E124" s="42" t="s">
        <v>1415</v>
      </c>
      <c r="F124" s="42" t="n">
        <v>30</v>
      </c>
      <c r="G124" s="42" t="n">
        <v>29</v>
      </c>
      <c r="H124" s="42" t="n">
        <v>0</v>
      </c>
      <c r="I124" s="42" t="n">
        <v>1</v>
      </c>
      <c r="J124" s="44" t="n">
        <f aca="false">ROUND(G124/F124*100,0)</f>
        <v>97</v>
      </c>
      <c r="K124" s="42" t="s">
        <v>2218</v>
      </c>
      <c r="L124" s="42" t="s">
        <v>786</v>
      </c>
    </row>
    <row r="125" customFormat="false" ht="15" hidden="false" customHeight="true" outlineLevel="0" collapsed="false">
      <c r="A125" s="42" t="s">
        <v>2343</v>
      </c>
      <c r="B125" s="42" t="s">
        <v>990</v>
      </c>
      <c r="C125" s="42" t="s">
        <v>991</v>
      </c>
      <c r="D125" s="42" t="s">
        <v>1572</v>
      </c>
      <c r="E125" s="42" t="s">
        <v>1415</v>
      </c>
      <c r="F125" s="42" t="n">
        <v>26</v>
      </c>
      <c r="G125" s="42" t="n">
        <v>25</v>
      </c>
      <c r="H125" s="42" t="n">
        <v>0</v>
      </c>
      <c r="I125" s="42" t="n">
        <v>1</v>
      </c>
      <c r="J125" s="44" t="n">
        <f aca="false">ROUND(G125/F125*100,0)</f>
        <v>96</v>
      </c>
      <c r="K125" s="42" t="s">
        <v>2218</v>
      </c>
      <c r="L125" s="42" t="s">
        <v>786</v>
      </c>
    </row>
    <row r="126" customFormat="false" ht="15" hidden="false" customHeight="true" outlineLevel="0" collapsed="false">
      <c r="A126" s="42" t="s">
        <v>2344</v>
      </c>
      <c r="B126" s="42" t="s">
        <v>997</v>
      </c>
      <c r="C126" s="42" t="s">
        <v>998</v>
      </c>
      <c r="D126" s="42" t="s">
        <v>1572</v>
      </c>
      <c r="E126" s="42" t="s">
        <v>1415</v>
      </c>
      <c r="F126" s="42" t="n">
        <v>29</v>
      </c>
      <c r="G126" s="42" t="n">
        <v>28</v>
      </c>
      <c r="H126" s="42" t="n">
        <v>0</v>
      </c>
      <c r="I126" s="42" t="n">
        <v>1</v>
      </c>
      <c r="J126" s="44" t="n">
        <f aca="false">ROUND(G126/F126*100,0)</f>
        <v>97</v>
      </c>
      <c r="K126" s="42" t="s">
        <v>2218</v>
      </c>
      <c r="L126" s="42" t="s">
        <v>786</v>
      </c>
    </row>
    <row r="127" customFormat="false" ht="15" hidden="false" customHeight="true" outlineLevel="0" collapsed="false">
      <c r="A127" s="42" t="s">
        <v>2345</v>
      </c>
      <c r="B127" s="42" t="s">
        <v>1003</v>
      </c>
      <c r="C127" s="42" t="s">
        <v>1004</v>
      </c>
      <c r="D127" s="42" t="s">
        <v>1580</v>
      </c>
      <c r="E127" s="42" t="s">
        <v>1441</v>
      </c>
      <c r="F127" s="42" t="n">
        <v>29</v>
      </c>
      <c r="G127" s="42" t="n">
        <v>28</v>
      </c>
      <c r="H127" s="42" t="n">
        <v>0</v>
      </c>
      <c r="I127" s="42" t="n">
        <v>1</v>
      </c>
      <c r="J127" s="44" t="n">
        <f aca="false">ROUND(G127/F127*100,0)</f>
        <v>97</v>
      </c>
      <c r="K127" s="42" t="s">
        <v>2218</v>
      </c>
      <c r="L127" s="42" t="s">
        <v>786</v>
      </c>
    </row>
    <row r="128" customFormat="false" ht="15" hidden="false" customHeight="true" outlineLevel="0" collapsed="false">
      <c r="A128" s="42" t="s">
        <v>2346</v>
      </c>
      <c r="B128" s="42" t="s">
        <v>1012</v>
      </c>
      <c r="C128" s="42" t="s">
        <v>1013</v>
      </c>
      <c r="D128" s="42" t="s">
        <v>1580</v>
      </c>
      <c r="E128" s="42" t="s">
        <v>1441</v>
      </c>
      <c r="F128" s="42" t="n">
        <v>29</v>
      </c>
      <c r="G128" s="42" t="n">
        <v>28</v>
      </c>
      <c r="H128" s="42" t="n">
        <v>0</v>
      </c>
      <c r="I128" s="42" t="n">
        <v>1</v>
      </c>
      <c r="J128" s="44" t="n">
        <f aca="false">ROUND(G128/F128*100,0)</f>
        <v>97</v>
      </c>
      <c r="K128" s="42" t="s">
        <v>2218</v>
      </c>
      <c r="L128" s="42" t="s">
        <v>786</v>
      </c>
    </row>
    <row r="129" customFormat="false" ht="15" hidden="false" customHeight="true" outlineLevel="0" collapsed="false">
      <c r="A129" s="42" t="s">
        <v>2347</v>
      </c>
      <c r="B129" s="42" t="s">
        <v>1020</v>
      </c>
      <c r="C129" s="42" t="s">
        <v>1021</v>
      </c>
      <c r="D129" s="42" t="s">
        <v>1580</v>
      </c>
      <c r="E129" s="42" t="s">
        <v>1441</v>
      </c>
      <c r="F129" s="42" t="n">
        <v>29</v>
      </c>
      <c r="G129" s="42" t="n">
        <v>28</v>
      </c>
      <c r="H129" s="42" t="n">
        <v>0</v>
      </c>
      <c r="I129" s="42" t="n">
        <v>1</v>
      </c>
      <c r="J129" s="44" t="n">
        <f aca="false">ROUND(G129/F129*100,0)</f>
        <v>97</v>
      </c>
      <c r="K129" s="42" t="s">
        <v>2218</v>
      </c>
      <c r="L129" s="42" t="s">
        <v>786</v>
      </c>
    </row>
    <row r="130" customFormat="false" ht="15" hidden="false" customHeight="true" outlineLevel="0" collapsed="false">
      <c r="A130" s="42" t="s">
        <v>2348</v>
      </c>
      <c r="B130" s="42" t="s">
        <v>1028</v>
      </c>
      <c r="C130" s="42" t="s">
        <v>1029</v>
      </c>
      <c r="D130" s="42" t="s">
        <v>1580</v>
      </c>
      <c r="E130" s="42" t="s">
        <v>1441</v>
      </c>
      <c r="F130" s="42" t="n">
        <v>30</v>
      </c>
      <c r="G130" s="42" t="n">
        <v>29</v>
      </c>
      <c r="H130" s="42" t="n">
        <v>0</v>
      </c>
      <c r="I130" s="42" t="n">
        <v>1</v>
      </c>
      <c r="J130" s="44" t="n">
        <f aca="false">ROUND(G130/F130*100,0)</f>
        <v>97</v>
      </c>
      <c r="K130" s="42" t="s">
        <v>2218</v>
      </c>
      <c r="L130" s="42" t="s">
        <v>786</v>
      </c>
    </row>
    <row r="131" customFormat="false" ht="15" hidden="false" customHeight="true" outlineLevel="0" collapsed="false">
      <c r="A131" s="42" t="s">
        <v>2349</v>
      </c>
      <c r="B131" s="42" t="s">
        <v>1035</v>
      </c>
      <c r="C131" s="42" t="s">
        <v>1036</v>
      </c>
      <c r="D131" s="42" t="s">
        <v>1398</v>
      </c>
      <c r="E131" s="42" t="s">
        <v>1399</v>
      </c>
      <c r="F131" s="42" t="n">
        <v>28</v>
      </c>
      <c r="G131" s="42" t="n">
        <v>27</v>
      </c>
      <c r="H131" s="42" t="n">
        <v>0</v>
      </c>
      <c r="I131" s="42" t="n">
        <v>1</v>
      </c>
      <c r="J131" s="44" t="n">
        <f aca="false">ROUND(G131/F131*100,0)</f>
        <v>96</v>
      </c>
      <c r="K131" s="42" t="s">
        <v>2218</v>
      </c>
      <c r="L131" s="42" t="s">
        <v>62</v>
      </c>
    </row>
    <row r="132" customFormat="false" ht="15" hidden="false" customHeight="true" outlineLevel="0" collapsed="false">
      <c r="A132" s="42" t="s">
        <v>2350</v>
      </c>
      <c r="B132" s="42" t="s">
        <v>1040</v>
      </c>
      <c r="C132" s="42" t="s">
        <v>1041</v>
      </c>
      <c r="D132" s="42" t="s">
        <v>1405</v>
      </c>
      <c r="E132" s="42" t="s">
        <v>1406</v>
      </c>
      <c r="F132" s="42" t="n">
        <v>28</v>
      </c>
      <c r="G132" s="42" t="n">
        <v>27</v>
      </c>
      <c r="H132" s="42" t="n">
        <v>0</v>
      </c>
      <c r="I132" s="42" t="n">
        <v>1</v>
      </c>
      <c r="J132" s="44" t="n">
        <f aca="false">ROUND(G132/F132*100,0)</f>
        <v>96</v>
      </c>
      <c r="K132" s="42" t="s">
        <v>2218</v>
      </c>
      <c r="L132" s="42" t="s">
        <v>62</v>
      </c>
    </row>
    <row r="133" customFormat="false" ht="15" hidden="false" customHeight="true" outlineLevel="0" collapsed="false">
      <c r="A133" s="42" t="s">
        <v>2351</v>
      </c>
      <c r="B133" s="42" t="s">
        <v>1048</v>
      </c>
      <c r="C133" s="42" t="s">
        <v>1049</v>
      </c>
      <c r="D133" s="42" t="s">
        <v>1440</v>
      </c>
      <c r="E133" s="42" t="s">
        <v>1441</v>
      </c>
      <c r="F133" s="42" t="n">
        <v>28</v>
      </c>
      <c r="G133" s="42" t="n">
        <v>27</v>
      </c>
      <c r="H133" s="42" t="n">
        <v>0</v>
      </c>
      <c r="I133" s="42" t="n">
        <v>1</v>
      </c>
      <c r="J133" s="44" t="n">
        <f aca="false">ROUND(G133/F133*100,0)</f>
        <v>96</v>
      </c>
      <c r="K133" s="42" t="s">
        <v>2218</v>
      </c>
      <c r="L133" s="42" t="s">
        <v>62</v>
      </c>
    </row>
    <row r="134" customFormat="false" ht="15" hidden="false" customHeight="true" outlineLevel="0" collapsed="false">
      <c r="A134" s="42" t="s">
        <v>2352</v>
      </c>
      <c r="B134" s="42" t="s">
        <v>1057</v>
      </c>
      <c r="C134" s="42" t="s">
        <v>1036</v>
      </c>
      <c r="D134" s="42" t="s">
        <v>1449</v>
      </c>
      <c r="E134" s="42" t="s">
        <v>1399</v>
      </c>
      <c r="F134" s="42" t="n">
        <v>28</v>
      </c>
      <c r="G134" s="42" t="n">
        <v>27</v>
      </c>
      <c r="H134" s="42" t="n">
        <v>0</v>
      </c>
      <c r="I134" s="42" t="n">
        <v>1</v>
      </c>
      <c r="J134" s="44" t="n">
        <f aca="false">ROUND(G134/F134*100,0)</f>
        <v>96</v>
      </c>
      <c r="K134" s="42" t="s">
        <v>2218</v>
      </c>
      <c r="L134" s="42" t="s">
        <v>484</v>
      </c>
    </row>
    <row r="135" customFormat="false" ht="15" hidden="false" customHeight="true" outlineLevel="0" collapsed="false">
      <c r="A135" s="42" t="s">
        <v>2353</v>
      </c>
      <c r="B135" s="42" t="s">
        <v>1060</v>
      </c>
      <c r="C135" s="42" t="s">
        <v>1041</v>
      </c>
      <c r="D135" s="42" t="s">
        <v>1500</v>
      </c>
      <c r="E135" s="42" t="s">
        <v>1406</v>
      </c>
      <c r="F135" s="42" t="n">
        <v>28</v>
      </c>
      <c r="G135" s="42" t="n">
        <v>27</v>
      </c>
      <c r="H135" s="42" t="n">
        <v>0</v>
      </c>
      <c r="I135" s="42" t="n">
        <v>1</v>
      </c>
      <c r="J135" s="44" t="n">
        <f aca="false">ROUND(G135/F135*100,0)</f>
        <v>96</v>
      </c>
      <c r="K135" s="42" t="s">
        <v>2218</v>
      </c>
      <c r="L135" s="42" t="s">
        <v>484</v>
      </c>
    </row>
    <row r="136" customFormat="false" ht="15" hidden="false" customHeight="true" outlineLevel="0" collapsed="false">
      <c r="A136" s="42" t="s">
        <v>2354</v>
      </c>
      <c r="B136" s="42" t="s">
        <v>1063</v>
      </c>
      <c r="C136" s="42" t="s">
        <v>1049</v>
      </c>
      <c r="D136" s="42" t="s">
        <v>1512</v>
      </c>
      <c r="E136" s="42" t="s">
        <v>1441</v>
      </c>
      <c r="F136" s="42" t="n">
        <v>28</v>
      </c>
      <c r="G136" s="42" t="n">
        <v>27</v>
      </c>
      <c r="H136" s="42" t="n">
        <v>0</v>
      </c>
      <c r="I136" s="42" t="n">
        <v>1</v>
      </c>
      <c r="J136" s="44" t="n">
        <f aca="false">ROUND(G136/F136*100,0)</f>
        <v>96</v>
      </c>
      <c r="K136" s="42" t="s">
        <v>2218</v>
      </c>
      <c r="L136" s="42" t="s">
        <v>484</v>
      </c>
    </row>
    <row r="137" customFormat="false" ht="15" hidden="false" customHeight="true" outlineLevel="0" collapsed="false">
      <c r="A137" s="42" t="s">
        <v>2355</v>
      </c>
      <c r="B137" s="42" t="s">
        <v>1066</v>
      </c>
      <c r="C137" s="42" t="s">
        <v>1036</v>
      </c>
      <c r="D137" s="42" t="s">
        <v>1543</v>
      </c>
      <c r="E137" s="42" t="s">
        <v>1322</v>
      </c>
      <c r="F137" s="42" t="n">
        <v>28</v>
      </c>
      <c r="G137" s="42" t="n">
        <v>27</v>
      </c>
      <c r="H137" s="42" t="n">
        <v>0</v>
      </c>
      <c r="I137" s="42" t="n">
        <v>1</v>
      </c>
      <c r="J137" s="44" t="n">
        <f aca="false">ROUND(G137/F137*100,0)</f>
        <v>96</v>
      </c>
      <c r="K137" s="42" t="s">
        <v>2218</v>
      </c>
      <c r="L137" s="42" t="s">
        <v>786</v>
      </c>
    </row>
    <row r="138" customFormat="false" ht="15" hidden="false" customHeight="true" outlineLevel="0" collapsed="false">
      <c r="A138" s="42" t="s">
        <v>2356</v>
      </c>
      <c r="B138" s="42" t="s">
        <v>1068</v>
      </c>
      <c r="C138" s="42" t="s">
        <v>1041</v>
      </c>
      <c r="D138" s="42" t="s">
        <v>1570</v>
      </c>
      <c r="E138" s="42" t="s">
        <v>1406</v>
      </c>
      <c r="F138" s="42" t="n">
        <v>28</v>
      </c>
      <c r="G138" s="42" t="n">
        <v>27</v>
      </c>
      <c r="H138" s="42" t="n">
        <v>0</v>
      </c>
      <c r="I138" s="42" t="n">
        <v>1</v>
      </c>
      <c r="J138" s="44" t="n">
        <f aca="false">ROUND(G138/F138*100,0)</f>
        <v>96</v>
      </c>
      <c r="K138" s="42" t="s">
        <v>2218</v>
      </c>
      <c r="L138" s="42" t="s">
        <v>786</v>
      </c>
    </row>
    <row r="139" customFormat="false" ht="15" hidden="false" customHeight="true" outlineLevel="0" collapsed="false">
      <c r="A139" s="42" t="s">
        <v>2357</v>
      </c>
      <c r="B139" s="42" t="s">
        <v>1070</v>
      </c>
      <c r="C139" s="42" t="s">
        <v>1049</v>
      </c>
      <c r="D139" s="42" t="s">
        <v>1580</v>
      </c>
      <c r="E139" s="42" t="s">
        <v>1441</v>
      </c>
      <c r="F139" s="42" t="n">
        <v>28</v>
      </c>
      <c r="G139" s="42" t="n">
        <v>27</v>
      </c>
      <c r="H139" s="42" t="n">
        <v>0</v>
      </c>
      <c r="I139" s="42" t="n">
        <v>1</v>
      </c>
      <c r="J139" s="44" t="n">
        <f aca="false">ROUND(G139/F139*100,0)</f>
        <v>96</v>
      </c>
      <c r="K139" s="42" t="s">
        <v>2218</v>
      </c>
      <c r="L139" s="42" t="s">
        <v>786</v>
      </c>
    </row>
    <row r="140" customFormat="false" ht="15" hidden="false" customHeight="true" outlineLevel="0" collapsed="false">
      <c r="A140" s="46" t="s">
        <v>2358</v>
      </c>
      <c r="B140" s="46" t="s">
        <v>1072</v>
      </c>
      <c r="C140" s="46" t="s">
        <v>1073</v>
      </c>
      <c r="D140" s="46" t="s">
        <v>1321</v>
      </c>
      <c r="E140" s="46" t="s">
        <v>1322</v>
      </c>
      <c r="F140" s="47" t="n">
        <v>26</v>
      </c>
      <c r="G140" s="47" t="n">
        <v>23</v>
      </c>
      <c r="H140" s="47" t="n">
        <v>2</v>
      </c>
      <c r="I140" s="47" t="n">
        <v>1</v>
      </c>
      <c r="J140" s="47" t="n">
        <f aca="false">ROUND(G140/F140*100,0)</f>
        <v>88</v>
      </c>
      <c r="K140" s="47" t="s">
        <v>2218</v>
      </c>
      <c r="L140" s="46" t="s">
        <v>62</v>
      </c>
    </row>
    <row r="141" customFormat="false" ht="15" hidden="false" customHeight="true" outlineLevel="0" collapsed="false">
      <c r="A141" s="46" t="s">
        <v>2359</v>
      </c>
      <c r="B141" s="46" t="s">
        <v>1072</v>
      </c>
      <c r="C141" s="46" t="s">
        <v>1073</v>
      </c>
      <c r="D141" s="46" t="s">
        <v>1382</v>
      </c>
      <c r="E141" s="46" t="s">
        <v>1383</v>
      </c>
      <c r="F141" s="47" t="n">
        <v>27</v>
      </c>
      <c r="G141" s="47" t="n">
        <v>23</v>
      </c>
      <c r="H141" s="47" t="n">
        <v>3</v>
      </c>
      <c r="I141" s="47" t="n">
        <v>1</v>
      </c>
      <c r="J141" s="47" t="n">
        <f aca="false">ROUND(G141/F141*100,0)</f>
        <v>85</v>
      </c>
      <c r="K141" s="47" t="s">
        <v>2218</v>
      </c>
      <c r="L141" s="46" t="s">
        <v>62</v>
      </c>
    </row>
    <row r="142" customFormat="false" ht="15" hidden="false" customHeight="true" outlineLevel="0" collapsed="false">
      <c r="A142" s="46" t="s">
        <v>2360</v>
      </c>
      <c r="B142" s="46" t="s">
        <v>1078</v>
      </c>
      <c r="C142" s="46" t="s">
        <v>1079</v>
      </c>
      <c r="D142" s="46" t="s">
        <v>1330</v>
      </c>
      <c r="E142" s="46" t="s">
        <v>1331</v>
      </c>
      <c r="F142" s="47" t="n">
        <v>26</v>
      </c>
      <c r="G142" s="47" t="n">
        <v>18</v>
      </c>
      <c r="H142" s="47" t="n">
        <v>7</v>
      </c>
      <c r="I142" s="47" t="n">
        <v>1</v>
      </c>
      <c r="J142" s="47" t="n">
        <f aca="false">ROUND(G142/F142*100,0)</f>
        <v>69</v>
      </c>
      <c r="K142" s="47" t="s">
        <v>2226</v>
      </c>
      <c r="L142" s="46" t="s">
        <v>62</v>
      </c>
    </row>
    <row r="143" customFormat="false" ht="15" hidden="false" customHeight="true" outlineLevel="0" collapsed="false">
      <c r="A143" s="46" t="s">
        <v>2361</v>
      </c>
      <c r="B143" s="46" t="s">
        <v>1078</v>
      </c>
      <c r="C143" s="46" t="s">
        <v>1079</v>
      </c>
      <c r="D143" s="46" t="s">
        <v>1391</v>
      </c>
      <c r="E143" s="46" t="s">
        <v>1392</v>
      </c>
      <c r="F143" s="47" t="n">
        <v>27</v>
      </c>
      <c r="G143" s="47" t="n">
        <v>18</v>
      </c>
      <c r="H143" s="47" t="n">
        <v>8</v>
      </c>
      <c r="I143" s="47" t="n">
        <v>1</v>
      </c>
      <c r="J143" s="47" t="n">
        <f aca="false">ROUND(G143/F143*100,0)</f>
        <v>67</v>
      </c>
      <c r="K143" s="47" t="s">
        <v>2226</v>
      </c>
      <c r="L143" s="46" t="s">
        <v>62</v>
      </c>
    </row>
    <row r="144" customFormat="false" ht="15" hidden="false" customHeight="true" outlineLevel="0" collapsed="false">
      <c r="A144" s="46" t="s">
        <v>2362</v>
      </c>
      <c r="B144" s="46" t="s">
        <v>1082</v>
      </c>
      <c r="C144" s="46" t="s">
        <v>1083</v>
      </c>
      <c r="D144" s="46" t="s">
        <v>1357</v>
      </c>
      <c r="E144" s="46" t="s">
        <v>1358</v>
      </c>
      <c r="F144" s="47" t="n">
        <v>26</v>
      </c>
      <c r="G144" s="47" t="n">
        <v>20</v>
      </c>
      <c r="H144" s="47" t="n">
        <v>5</v>
      </c>
      <c r="I144" s="47" t="n">
        <v>1</v>
      </c>
      <c r="J144" s="47" t="n">
        <f aca="false">ROUND(G144/F144*100,0)</f>
        <v>77</v>
      </c>
      <c r="K144" s="47" t="s">
        <v>2226</v>
      </c>
      <c r="L144" s="46" t="s">
        <v>62</v>
      </c>
    </row>
    <row r="145" customFormat="false" ht="15" hidden="false" customHeight="true" outlineLevel="0" collapsed="false">
      <c r="A145" s="46" t="s">
        <v>2363</v>
      </c>
      <c r="B145" s="46" t="s">
        <v>1082</v>
      </c>
      <c r="C145" s="46" t="s">
        <v>1083</v>
      </c>
      <c r="D145" s="46" t="s">
        <v>1401</v>
      </c>
      <c r="E145" s="46" t="s">
        <v>1402</v>
      </c>
      <c r="F145" s="47" t="n">
        <v>27</v>
      </c>
      <c r="G145" s="47" t="n">
        <v>20</v>
      </c>
      <c r="H145" s="47" t="n">
        <v>6</v>
      </c>
      <c r="I145" s="47" t="n">
        <v>1</v>
      </c>
      <c r="J145" s="47" t="n">
        <f aca="false">ROUND(G145/F145*100,0)</f>
        <v>74</v>
      </c>
      <c r="K145" s="47" t="s">
        <v>2226</v>
      </c>
      <c r="L145" s="46" t="s">
        <v>62</v>
      </c>
    </row>
    <row r="146" customFormat="false" ht="15" hidden="false" customHeight="true" outlineLevel="0" collapsed="false">
      <c r="A146" s="46" t="s">
        <v>2364</v>
      </c>
      <c r="B146" s="46" t="s">
        <v>1089</v>
      </c>
      <c r="C146" s="46" t="s">
        <v>1090</v>
      </c>
      <c r="D146" s="46" t="s">
        <v>1347</v>
      </c>
      <c r="E146" s="46" t="s">
        <v>1348</v>
      </c>
      <c r="F146" s="47" t="n">
        <v>26</v>
      </c>
      <c r="G146" s="47" t="n">
        <v>24</v>
      </c>
      <c r="H146" s="47" t="n">
        <v>1</v>
      </c>
      <c r="I146" s="47" t="n">
        <v>1</v>
      </c>
      <c r="J146" s="47" t="n">
        <f aca="false">ROUND(G146/F146*100,0)</f>
        <v>92</v>
      </c>
      <c r="K146" s="47" t="s">
        <v>2218</v>
      </c>
      <c r="L146" s="46" t="s">
        <v>62</v>
      </c>
    </row>
    <row r="147" customFormat="false" ht="15" hidden="false" customHeight="true" outlineLevel="0" collapsed="false">
      <c r="A147" s="46" t="s">
        <v>2365</v>
      </c>
      <c r="B147" s="46" t="s">
        <v>1089</v>
      </c>
      <c r="C147" s="46" t="s">
        <v>1090</v>
      </c>
      <c r="D147" s="46" t="s">
        <v>1401</v>
      </c>
      <c r="E147" s="46" t="s">
        <v>1402</v>
      </c>
      <c r="F147" s="47" t="n">
        <v>27</v>
      </c>
      <c r="G147" s="47" t="n">
        <v>26</v>
      </c>
      <c r="H147" s="47" t="n">
        <v>0</v>
      </c>
      <c r="I147" s="47" t="n">
        <v>1</v>
      </c>
      <c r="J147" s="47" t="n">
        <f aca="false">ROUND(G147/F147*100,0)</f>
        <v>96</v>
      </c>
      <c r="K147" s="47" t="s">
        <v>2218</v>
      </c>
      <c r="L147" s="46" t="s">
        <v>62</v>
      </c>
    </row>
    <row r="148" customFormat="false" ht="15" hidden="false" customHeight="true" outlineLevel="0" collapsed="false">
      <c r="A148" s="46" t="s">
        <v>2366</v>
      </c>
      <c r="B148" s="46" t="s">
        <v>1094</v>
      </c>
      <c r="C148" s="46" t="s">
        <v>1095</v>
      </c>
      <c r="D148" s="46" t="s">
        <v>1361</v>
      </c>
      <c r="E148" s="46" t="s">
        <v>1362</v>
      </c>
      <c r="F148" s="47" t="n">
        <v>26</v>
      </c>
      <c r="G148" s="47" t="n">
        <v>21</v>
      </c>
      <c r="H148" s="47" t="n">
        <v>4</v>
      </c>
      <c r="I148" s="47" t="n">
        <v>1</v>
      </c>
      <c r="J148" s="47" t="n">
        <f aca="false">ROUND(G148/F148*100,0)</f>
        <v>81</v>
      </c>
      <c r="K148" s="47" t="s">
        <v>2226</v>
      </c>
      <c r="L148" s="46" t="s">
        <v>62</v>
      </c>
    </row>
    <row r="149" customFormat="false" ht="15" hidden="false" customHeight="true" outlineLevel="0" collapsed="false">
      <c r="A149" s="46" t="s">
        <v>2367</v>
      </c>
      <c r="B149" s="46" t="s">
        <v>1094</v>
      </c>
      <c r="C149" s="46" t="s">
        <v>1095</v>
      </c>
      <c r="D149" s="46" t="s">
        <v>1401</v>
      </c>
      <c r="E149" s="46" t="s">
        <v>1402</v>
      </c>
      <c r="F149" s="47" t="n">
        <v>27</v>
      </c>
      <c r="G149" s="47" t="n">
        <v>21</v>
      </c>
      <c r="H149" s="47" t="n">
        <v>5</v>
      </c>
      <c r="I149" s="47" t="n">
        <v>1</v>
      </c>
      <c r="J149" s="47" t="n">
        <f aca="false">ROUND(G149/F149*100,0)</f>
        <v>78</v>
      </c>
      <c r="K149" s="47" t="s">
        <v>2226</v>
      </c>
      <c r="L149" s="46" t="s">
        <v>62</v>
      </c>
    </row>
    <row r="150" customFormat="false" ht="15" hidden="false" customHeight="true" outlineLevel="0" collapsed="false">
      <c r="A150" s="46" t="s">
        <v>2368</v>
      </c>
      <c r="B150" s="46" t="s">
        <v>1099</v>
      </c>
      <c r="C150" s="46" t="s">
        <v>1100</v>
      </c>
      <c r="D150" s="46" t="s">
        <v>1334</v>
      </c>
      <c r="E150" s="46" t="s">
        <v>1335</v>
      </c>
      <c r="F150" s="47" t="n">
        <v>26</v>
      </c>
      <c r="G150" s="47" t="n">
        <v>12</v>
      </c>
      <c r="H150" s="47" t="n">
        <v>13</v>
      </c>
      <c r="I150" s="47" t="n">
        <v>1</v>
      </c>
      <c r="J150" s="47" t="n">
        <f aca="false">ROUND(G150/F150*100,0)</f>
        <v>46</v>
      </c>
      <c r="K150" s="47" t="s">
        <v>2221</v>
      </c>
      <c r="L150" s="46" t="s">
        <v>62</v>
      </c>
    </row>
    <row r="151" customFormat="false" ht="15" hidden="false" customHeight="true" outlineLevel="0" collapsed="false">
      <c r="A151" s="46" t="s">
        <v>2369</v>
      </c>
      <c r="B151" s="46" t="s">
        <v>1099</v>
      </c>
      <c r="C151" s="46" t="s">
        <v>1100</v>
      </c>
      <c r="D151" s="46" t="s">
        <v>1330</v>
      </c>
      <c r="E151" s="46" t="s">
        <v>1331</v>
      </c>
      <c r="F151" s="47" t="n">
        <v>27</v>
      </c>
      <c r="G151" s="47" t="n">
        <v>12</v>
      </c>
      <c r="H151" s="47" t="n">
        <v>14</v>
      </c>
      <c r="I151" s="47" t="n">
        <v>1</v>
      </c>
      <c r="J151" s="47" t="n">
        <f aca="false">ROUND(G151/F151*100,0)</f>
        <v>44</v>
      </c>
      <c r="K151" s="47" t="s">
        <v>2221</v>
      </c>
      <c r="L151" s="46" t="s">
        <v>62</v>
      </c>
    </row>
    <row r="152" customFormat="false" ht="15" hidden="false" customHeight="true" outlineLevel="0" collapsed="false">
      <c r="A152" s="46" t="s">
        <v>2370</v>
      </c>
      <c r="B152" s="46" t="s">
        <v>1104</v>
      </c>
      <c r="C152" s="46" t="s">
        <v>1105</v>
      </c>
      <c r="D152" s="46" t="s">
        <v>1338</v>
      </c>
      <c r="E152" s="46" t="s">
        <v>1339</v>
      </c>
      <c r="F152" s="47" t="n">
        <v>26</v>
      </c>
      <c r="G152" s="47" t="n">
        <v>24</v>
      </c>
      <c r="H152" s="47" t="n">
        <v>1</v>
      </c>
      <c r="I152" s="47" t="n">
        <v>1</v>
      </c>
      <c r="J152" s="47" t="n">
        <f aca="false">ROUND(G152/F152*100,0)</f>
        <v>92</v>
      </c>
      <c r="K152" s="47" t="s">
        <v>2218</v>
      </c>
      <c r="L152" s="46" t="s">
        <v>62</v>
      </c>
    </row>
    <row r="153" customFormat="false" ht="15" hidden="false" customHeight="true" outlineLevel="0" collapsed="false">
      <c r="A153" s="46" t="s">
        <v>2371</v>
      </c>
      <c r="B153" s="46" t="s">
        <v>1104</v>
      </c>
      <c r="C153" s="46" t="s">
        <v>1105</v>
      </c>
      <c r="D153" s="46" t="s">
        <v>1342</v>
      </c>
      <c r="E153" s="46" t="s">
        <v>1343</v>
      </c>
      <c r="F153" s="47" t="n">
        <v>27</v>
      </c>
      <c r="G153" s="47" t="n">
        <v>24</v>
      </c>
      <c r="H153" s="47" t="n">
        <v>2</v>
      </c>
      <c r="I153" s="47" t="n">
        <v>1</v>
      </c>
      <c r="J153" s="47" t="n">
        <f aca="false">ROUND(G153/F153*100,0)</f>
        <v>89</v>
      </c>
      <c r="K153" s="47" t="s">
        <v>2218</v>
      </c>
      <c r="L153" s="46" t="s">
        <v>62</v>
      </c>
    </row>
    <row r="154" customFormat="false" ht="15" hidden="false" customHeight="true" outlineLevel="0" collapsed="false">
      <c r="A154" s="46" t="s">
        <v>2372</v>
      </c>
      <c r="B154" s="46" t="s">
        <v>1110</v>
      </c>
      <c r="C154" s="46" t="s">
        <v>1111</v>
      </c>
      <c r="D154" s="46" t="s">
        <v>1382</v>
      </c>
      <c r="E154" s="46" t="s">
        <v>1383</v>
      </c>
      <c r="F154" s="47" t="n">
        <v>26</v>
      </c>
      <c r="G154" s="47" t="n">
        <v>20</v>
      </c>
      <c r="H154" s="47" t="n">
        <v>5</v>
      </c>
      <c r="I154" s="47" t="n">
        <v>1</v>
      </c>
      <c r="J154" s="47" t="n">
        <f aca="false">ROUND(G154/F154*100,0)</f>
        <v>77</v>
      </c>
      <c r="K154" s="47" t="s">
        <v>2226</v>
      </c>
      <c r="L154" s="46" t="s">
        <v>62</v>
      </c>
    </row>
    <row r="155" customFormat="false" ht="15" hidden="false" customHeight="true" outlineLevel="0" collapsed="false">
      <c r="A155" s="46" t="s">
        <v>2373</v>
      </c>
      <c r="B155" s="46" t="s">
        <v>1110</v>
      </c>
      <c r="C155" s="46" t="s">
        <v>1111</v>
      </c>
      <c r="D155" s="46" t="s">
        <v>1326</v>
      </c>
      <c r="E155" s="46" t="s">
        <v>1327</v>
      </c>
      <c r="F155" s="47" t="n">
        <v>27</v>
      </c>
      <c r="G155" s="47" t="n">
        <v>20</v>
      </c>
      <c r="H155" s="47" t="n">
        <v>6</v>
      </c>
      <c r="I155" s="47" t="n">
        <v>1</v>
      </c>
      <c r="J155" s="47" t="n">
        <f aca="false">ROUND(G155/F155*100,0)</f>
        <v>74</v>
      </c>
      <c r="K155" s="47" t="s">
        <v>2226</v>
      </c>
      <c r="L155" s="46" t="s">
        <v>62</v>
      </c>
    </row>
    <row r="156" customFormat="false" ht="15" hidden="false" customHeight="true" outlineLevel="0" collapsed="false">
      <c r="A156" s="46" t="s">
        <v>2374</v>
      </c>
      <c r="B156" s="46" t="s">
        <v>1115</v>
      </c>
      <c r="C156" s="46" t="s">
        <v>1116</v>
      </c>
      <c r="D156" s="46" t="s">
        <v>1357</v>
      </c>
      <c r="E156" s="46" t="s">
        <v>1358</v>
      </c>
      <c r="F156" s="47" t="n">
        <v>26</v>
      </c>
      <c r="G156" s="47" t="n">
        <v>25</v>
      </c>
      <c r="H156" s="47" t="n">
        <v>0</v>
      </c>
      <c r="I156" s="47" t="n">
        <v>1</v>
      </c>
      <c r="J156" s="47" t="n">
        <f aca="false">ROUND(G156/F156*100,0)</f>
        <v>96</v>
      </c>
      <c r="K156" s="47" t="s">
        <v>2218</v>
      </c>
      <c r="L156" s="46" t="s">
        <v>62</v>
      </c>
    </row>
    <row r="157" customFormat="false" ht="15" hidden="false" customHeight="true" outlineLevel="0" collapsed="false">
      <c r="A157" s="46" t="s">
        <v>2375</v>
      </c>
      <c r="B157" s="46" t="s">
        <v>1115</v>
      </c>
      <c r="C157" s="46" t="s">
        <v>1116</v>
      </c>
      <c r="D157" s="46" t="s">
        <v>1401</v>
      </c>
      <c r="E157" s="46" t="s">
        <v>1402</v>
      </c>
      <c r="F157" s="47" t="n">
        <v>27</v>
      </c>
      <c r="G157" s="47" t="n">
        <v>26</v>
      </c>
      <c r="H157" s="47" t="n">
        <v>0</v>
      </c>
      <c r="I157" s="47" t="n">
        <v>1</v>
      </c>
      <c r="J157" s="47" t="n">
        <f aca="false">ROUND(G157/F157*100,0)</f>
        <v>96</v>
      </c>
      <c r="K157" s="47" t="s">
        <v>2218</v>
      </c>
      <c r="L157" s="46" t="s">
        <v>62</v>
      </c>
    </row>
    <row r="158" customFormat="false" ht="15" hidden="false" customHeight="true" outlineLevel="0" collapsed="false">
      <c r="A158" s="46" t="s">
        <v>2376</v>
      </c>
      <c r="B158" s="46" t="s">
        <v>1120</v>
      </c>
      <c r="C158" s="46" t="s">
        <v>1121</v>
      </c>
      <c r="D158" s="46" t="s">
        <v>1373</v>
      </c>
      <c r="E158" s="46" t="s">
        <v>1374</v>
      </c>
      <c r="F158" s="47" t="n">
        <v>26</v>
      </c>
      <c r="G158" s="47" t="n">
        <v>17</v>
      </c>
      <c r="H158" s="47" t="n">
        <v>8</v>
      </c>
      <c r="I158" s="47" t="n">
        <v>1</v>
      </c>
      <c r="J158" s="47" t="n">
        <f aca="false">ROUND(G158/F158*100,0)</f>
        <v>65</v>
      </c>
      <c r="K158" s="47" t="s">
        <v>2226</v>
      </c>
      <c r="L158" s="46" t="s">
        <v>62</v>
      </c>
    </row>
    <row r="159" customFormat="false" ht="15" hidden="false" customHeight="true" outlineLevel="0" collapsed="false">
      <c r="A159" s="46" t="s">
        <v>2377</v>
      </c>
      <c r="B159" s="46" t="s">
        <v>1120</v>
      </c>
      <c r="C159" s="46" t="s">
        <v>1121</v>
      </c>
      <c r="D159" s="46" t="s">
        <v>1378</v>
      </c>
      <c r="E159" s="46" t="s">
        <v>1379</v>
      </c>
      <c r="F159" s="47" t="n">
        <v>27</v>
      </c>
      <c r="G159" s="47" t="n">
        <v>17</v>
      </c>
      <c r="H159" s="47" t="n">
        <v>9</v>
      </c>
      <c r="I159" s="47" t="n">
        <v>1</v>
      </c>
      <c r="J159" s="47" t="n">
        <f aca="false">ROUND(G159/F159*100,0)</f>
        <v>63</v>
      </c>
      <c r="K159" s="47" t="s">
        <v>2226</v>
      </c>
      <c r="L159" s="46" t="s">
        <v>62</v>
      </c>
    </row>
    <row r="160" customFormat="false" ht="15" hidden="false" customHeight="true" outlineLevel="0" collapsed="false">
      <c r="A160" s="46" t="s">
        <v>2378</v>
      </c>
      <c r="B160" s="46" t="s">
        <v>1125</v>
      </c>
      <c r="C160" s="46" t="s">
        <v>1126</v>
      </c>
      <c r="D160" s="46" t="s">
        <v>1365</v>
      </c>
      <c r="E160" s="46" t="s">
        <v>1366</v>
      </c>
      <c r="F160" s="47" t="n">
        <v>26</v>
      </c>
      <c r="G160" s="47" t="n">
        <v>22</v>
      </c>
      <c r="H160" s="47" t="n">
        <v>3</v>
      </c>
      <c r="I160" s="47" t="n">
        <v>1</v>
      </c>
      <c r="J160" s="47" t="n">
        <f aca="false">ROUND(G160/F160*100,0)</f>
        <v>85</v>
      </c>
      <c r="K160" s="47" t="s">
        <v>2218</v>
      </c>
      <c r="L160" s="46" t="s">
        <v>62</v>
      </c>
    </row>
    <row r="161" customFormat="false" ht="15" hidden="false" customHeight="true" outlineLevel="0" collapsed="false">
      <c r="A161" s="46" t="s">
        <v>2379</v>
      </c>
      <c r="B161" s="46" t="s">
        <v>1125</v>
      </c>
      <c r="C161" s="46" t="s">
        <v>1126</v>
      </c>
      <c r="D161" s="46" t="s">
        <v>1401</v>
      </c>
      <c r="E161" s="46" t="s">
        <v>1402</v>
      </c>
      <c r="F161" s="47" t="n">
        <v>27</v>
      </c>
      <c r="G161" s="47" t="n">
        <v>25</v>
      </c>
      <c r="H161" s="47" t="n">
        <v>1</v>
      </c>
      <c r="I161" s="47" t="n">
        <v>1</v>
      </c>
      <c r="J161" s="47" t="n">
        <f aca="false">ROUND(G161/F161*100,0)</f>
        <v>93</v>
      </c>
      <c r="K161" s="47" t="s">
        <v>2218</v>
      </c>
      <c r="L161" s="46" t="s">
        <v>62</v>
      </c>
    </row>
    <row r="162" customFormat="false" ht="15" hidden="false" customHeight="true" outlineLevel="0" collapsed="false">
      <c r="A162" s="46" t="s">
        <v>2380</v>
      </c>
      <c r="B162" s="46" t="s">
        <v>1130</v>
      </c>
      <c r="C162" s="46" t="s">
        <v>1131</v>
      </c>
      <c r="D162" s="46" t="s">
        <v>1373</v>
      </c>
      <c r="E162" s="46" t="s">
        <v>1374</v>
      </c>
      <c r="F162" s="47" t="n">
        <v>26</v>
      </c>
      <c r="G162" s="47" t="n">
        <v>18</v>
      </c>
      <c r="H162" s="47" t="n">
        <v>7</v>
      </c>
      <c r="I162" s="47" t="n">
        <v>1</v>
      </c>
      <c r="J162" s="47" t="n">
        <f aca="false">ROUND(G162/F162*100,0)</f>
        <v>69</v>
      </c>
      <c r="K162" s="47" t="s">
        <v>2226</v>
      </c>
      <c r="L162" s="46" t="s">
        <v>62</v>
      </c>
    </row>
    <row r="163" customFormat="false" ht="15" hidden="false" customHeight="true" outlineLevel="0" collapsed="false">
      <c r="A163" s="46" t="s">
        <v>2381</v>
      </c>
      <c r="B163" s="46" t="s">
        <v>1130</v>
      </c>
      <c r="C163" s="46" t="s">
        <v>1131</v>
      </c>
      <c r="D163" s="46" t="s">
        <v>1378</v>
      </c>
      <c r="E163" s="46" t="s">
        <v>1379</v>
      </c>
      <c r="F163" s="47" t="n">
        <v>27</v>
      </c>
      <c r="G163" s="47" t="n">
        <v>18</v>
      </c>
      <c r="H163" s="47" t="n">
        <v>8</v>
      </c>
      <c r="I163" s="47" t="n">
        <v>1</v>
      </c>
      <c r="J163" s="47" t="n">
        <f aca="false">ROUND(G163/F163*100,0)</f>
        <v>67</v>
      </c>
      <c r="K163" s="47" t="s">
        <v>2226</v>
      </c>
      <c r="L163" s="46" t="s">
        <v>62</v>
      </c>
    </row>
    <row r="164" customFormat="false" ht="15" hidden="false" customHeight="true" outlineLevel="0" collapsed="false">
      <c r="A164" s="46" t="s">
        <v>2382</v>
      </c>
      <c r="B164" s="46" t="s">
        <v>1135</v>
      </c>
      <c r="C164" s="46" t="s">
        <v>1136</v>
      </c>
      <c r="D164" s="46" t="s">
        <v>1352</v>
      </c>
      <c r="E164" s="46" t="s">
        <v>1353</v>
      </c>
      <c r="F164" s="47" t="n">
        <v>26</v>
      </c>
      <c r="G164" s="47" t="n">
        <v>25</v>
      </c>
      <c r="H164" s="47" t="n">
        <v>0</v>
      </c>
      <c r="I164" s="47" t="n">
        <v>1</v>
      </c>
      <c r="J164" s="47" t="n">
        <f aca="false">ROUND(G164/F164*100,0)</f>
        <v>96</v>
      </c>
      <c r="K164" s="47" t="s">
        <v>2218</v>
      </c>
      <c r="L164" s="46" t="s">
        <v>62</v>
      </c>
    </row>
    <row r="165" customFormat="false" ht="15" hidden="false" customHeight="true" outlineLevel="0" collapsed="false">
      <c r="A165" s="46" t="s">
        <v>2383</v>
      </c>
      <c r="B165" s="46" t="s">
        <v>1135</v>
      </c>
      <c r="C165" s="46" t="s">
        <v>1136</v>
      </c>
      <c r="D165" s="46" t="s">
        <v>1373</v>
      </c>
      <c r="E165" s="46" t="s">
        <v>1374</v>
      </c>
      <c r="F165" s="47" t="n">
        <v>27</v>
      </c>
      <c r="G165" s="47" t="n">
        <v>25</v>
      </c>
      <c r="H165" s="47" t="n">
        <v>1</v>
      </c>
      <c r="I165" s="47" t="n">
        <v>1</v>
      </c>
      <c r="J165" s="47" t="n">
        <f aca="false">ROUND(G165/F165*100,0)</f>
        <v>93</v>
      </c>
      <c r="K165" s="47" t="s">
        <v>2218</v>
      </c>
      <c r="L165" s="46" t="s">
        <v>62</v>
      </c>
    </row>
    <row r="166" customFormat="false" ht="15" hidden="false" customHeight="true" outlineLevel="0" collapsed="false">
      <c r="A166" s="46" t="s">
        <v>2384</v>
      </c>
      <c r="B166" s="46" t="s">
        <v>1140</v>
      </c>
      <c r="C166" s="46" t="s">
        <v>1141</v>
      </c>
      <c r="D166" s="46" t="s">
        <v>1365</v>
      </c>
      <c r="E166" s="46" t="s">
        <v>1366</v>
      </c>
      <c r="F166" s="47" t="n">
        <v>26</v>
      </c>
      <c r="G166" s="47" t="n">
        <v>22</v>
      </c>
      <c r="H166" s="47" t="n">
        <v>3</v>
      </c>
      <c r="I166" s="47" t="n">
        <v>1</v>
      </c>
      <c r="J166" s="47" t="n">
        <f aca="false">ROUND(G166/F166*100,0)</f>
        <v>85</v>
      </c>
      <c r="K166" s="47" t="s">
        <v>2218</v>
      </c>
      <c r="L166" s="46" t="s">
        <v>62</v>
      </c>
    </row>
    <row r="167" customFormat="false" ht="15" hidden="false" customHeight="true" outlineLevel="0" collapsed="false">
      <c r="A167" s="46" t="s">
        <v>2385</v>
      </c>
      <c r="B167" s="46" t="s">
        <v>1140</v>
      </c>
      <c r="C167" s="46" t="s">
        <v>1141</v>
      </c>
      <c r="D167" s="46" t="s">
        <v>1401</v>
      </c>
      <c r="E167" s="46" t="s">
        <v>1402</v>
      </c>
      <c r="F167" s="47" t="n">
        <v>27</v>
      </c>
      <c r="G167" s="47" t="n">
        <v>22</v>
      </c>
      <c r="H167" s="47" t="n">
        <v>4</v>
      </c>
      <c r="I167" s="47" t="n">
        <v>1</v>
      </c>
      <c r="J167" s="47" t="n">
        <f aca="false">ROUND(G167/F167*100,0)</f>
        <v>81</v>
      </c>
      <c r="K167" s="47" t="s">
        <v>2218</v>
      </c>
      <c r="L167" s="46" t="s">
        <v>62</v>
      </c>
    </row>
    <row r="168" customFormat="false" ht="15" hidden="false" customHeight="true" outlineLevel="0" collapsed="false">
      <c r="A168" s="46" t="s">
        <v>2386</v>
      </c>
      <c r="B168" s="46" t="s">
        <v>1145</v>
      </c>
      <c r="C168" s="46" t="s">
        <v>1146</v>
      </c>
      <c r="D168" s="46" t="s">
        <v>1386</v>
      </c>
      <c r="E168" s="46" t="s">
        <v>1387</v>
      </c>
      <c r="F168" s="47" t="n">
        <v>26</v>
      </c>
      <c r="G168" s="47" t="n">
        <v>17</v>
      </c>
      <c r="H168" s="47" t="n">
        <v>8</v>
      </c>
      <c r="I168" s="47" t="n">
        <v>1</v>
      </c>
      <c r="J168" s="47" t="n">
        <f aca="false">ROUND(G168/F168*100,0)</f>
        <v>65</v>
      </c>
      <c r="K168" s="47" t="s">
        <v>2226</v>
      </c>
      <c r="L168" s="46" t="s">
        <v>62</v>
      </c>
    </row>
    <row r="169" customFormat="false" ht="15" hidden="false" customHeight="true" outlineLevel="0" collapsed="false">
      <c r="A169" s="46" t="s">
        <v>2387</v>
      </c>
      <c r="B169" s="46" t="s">
        <v>1145</v>
      </c>
      <c r="C169" s="46" t="s">
        <v>1146</v>
      </c>
      <c r="D169" s="46" t="s">
        <v>1378</v>
      </c>
      <c r="E169" s="46" t="s">
        <v>1379</v>
      </c>
      <c r="F169" s="47" t="n">
        <v>27</v>
      </c>
      <c r="G169" s="47" t="n">
        <v>17</v>
      </c>
      <c r="H169" s="47" t="n">
        <v>9</v>
      </c>
      <c r="I169" s="47" t="n">
        <v>1</v>
      </c>
      <c r="J169" s="47" t="n">
        <f aca="false">ROUND(G169/F169*100,0)</f>
        <v>63</v>
      </c>
      <c r="K169" s="47" t="s">
        <v>2226</v>
      </c>
      <c r="L169" s="46" t="s">
        <v>62</v>
      </c>
    </row>
    <row r="170" customFormat="false" ht="15" hidden="false" customHeight="true" outlineLevel="0" collapsed="false">
      <c r="A170" s="46" t="s">
        <v>2388</v>
      </c>
      <c r="B170" s="46" t="s">
        <v>1150</v>
      </c>
      <c r="C170" s="46" t="s">
        <v>1151</v>
      </c>
      <c r="D170" s="46" t="s">
        <v>1391</v>
      </c>
      <c r="E170" s="46" t="s">
        <v>1392</v>
      </c>
      <c r="F170" s="47" t="n">
        <v>26</v>
      </c>
      <c r="G170" s="47" t="n">
        <v>22</v>
      </c>
      <c r="H170" s="47" t="n">
        <v>3</v>
      </c>
      <c r="I170" s="47" t="n">
        <v>1</v>
      </c>
      <c r="J170" s="47" t="n">
        <f aca="false">ROUND(G170/F170*100,0)</f>
        <v>85</v>
      </c>
      <c r="K170" s="47" t="s">
        <v>2218</v>
      </c>
      <c r="L170" s="46" t="s">
        <v>62</v>
      </c>
    </row>
    <row r="171" customFormat="false" ht="15" hidden="false" customHeight="true" outlineLevel="0" collapsed="false">
      <c r="A171" s="46" t="s">
        <v>2389</v>
      </c>
      <c r="B171" s="46" t="s">
        <v>1150</v>
      </c>
      <c r="C171" s="46" t="s">
        <v>1151</v>
      </c>
      <c r="D171" s="46" t="s">
        <v>1334</v>
      </c>
      <c r="E171" s="46" t="s">
        <v>1335</v>
      </c>
      <c r="F171" s="47" t="n">
        <v>27</v>
      </c>
      <c r="G171" s="47" t="n">
        <v>25</v>
      </c>
      <c r="H171" s="47" t="n">
        <v>1</v>
      </c>
      <c r="I171" s="47" t="n">
        <v>1</v>
      </c>
      <c r="J171" s="47" t="n">
        <f aca="false">ROUND(G171/F171*100,0)</f>
        <v>93</v>
      </c>
      <c r="K171" s="47" t="s">
        <v>2218</v>
      </c>
      <c r="L171" s="46" t="s">
        <v>62</v>
      </c>
    </row>
    <row r="172" customFormat="false" ht="15" hidden="false" customHeight="true" outlineLevel="0" collapsed="false">
      <c r="A172" s="46" t="s">
        <v>2390</v>
      </c>
      <c r="B172" s="46" t="s">
        <v>1155</v>
      </c>
      <c r="C172" s="46" t="s">
        <v>1156</v>
      </c>
      <c r="D172" s="46" t="s">
        <v>1338</v>
      </c>
      <c r="E172" s="46" t="s">
        <v>1339</v>
      </c>
      <c r="F172" s="47" t="n">
        <v>26</v>
      </c>
      <c r="G172" s="47" t="n">
        <v>21</v>
      </c>
      <c r="H172" s="47" t="n">
        <v>4</v>
      </c>
      <c r="I172" s="47" t="n">
        <v>1</v>
      </c>
      <c r="J172" s="47" t="n">
        <f aca="false">ROUND(G172/F172*100,0)</f>
        <v>81</v>
      </c>
      <c r="K172" s="47" t="s">
        <v>2218</v>
      </c>
      <c r="L172" s="46" t="s">
        <v>62</v>
      </c>
    </row>
    <row r="173" customFormat="false" ht="15" hidden="false" customHeight="true" outlineLevel="0" collapsed="false">
      <c r="A173" s="46" t="s">
        <v>2391</v>
      </c>
      <c r="B173" s="46" t="s">
        <v>1155</v>
      </c>
      <c r="C173" s="46" t="s">
        <v>1156</v>
      </c>
      <c r="D173" s="46" t="s">
        <v>1342</v>
      </c>
      <c r="E173" s="46" t="s">
        <v>1343</v>
      </c>
      <c r="F173" s="47" t="n">
        <v>27</v>
      </c>
      <c r="G173" s="47" t="n">
        <v>21</v>
      </c>
      <c r="H173" s="47" t="n">
        <v>5</v>
      </c>
      <c r="I173" s="47" t="n">
        <v>1</v>
      </c>
      <c r="J173" s="47" t="n">
        <f aca="false">ROUND(G173/F173*100,0)</f>
        <v>78</v>
      </c>
      <c r="K173" s="47" t="s">
        <v>2226</v>
      </c>
      <c r="L173" s="46" t="s">
        <v>62</v>
      </c>
    </row>
    <row r="174" customFormat="false" ht="15" hidden="false" customHeight="true" outlineLevel="0" collapsed="false">
      <c r="A174" s="46" t="s">
        <v>2392</v>
      </c>
      <c r="B174" s="46" t="s">
        <v>1160</v>
      </c>
      <c r="C174" s="46" t="s">
        <v>1161</v>
      </c>
      <c r="D174" s="46" t="s">
        <v>1369</v>
      </c>
      <c r="E174" s="46" t="s">
        <v>1370</v>
      </c>
      <c r="F174" s="47" t="n">
        <v>26</v>
      </c>
      <c r="G174" s="47" t="n">
        <v>16</v>
      </c>
      <c r="H174" s="47" t="n">
        <v>9</v>
      </c>
      <c r="I174" s="47" t="n">
        <v>1</v>
      </c>
      <c r="J174" s="47" t="n">
        <f aca="false">ROUND(G174/F174*100,0)</f>
        <v>62</v>
      </c>
      <c r="K174" s="47" t="s">
        <v>2226</v>
      </c>
      <c r="L174" s="46" t="s">
        <v>62</v>
      </c>
    </row>
    <row r="175" customFormat="false" ht="15" hidden="false" customHeight="true" outlineLevel="0" collapsed="false">
      <c r="A175" s="46" t="s">
        <v>2393</v>
      </c>
      <c r="B175" s="46" t="s">
        <v>1160</v>
      </c>
      <c r="C175" s="46" t="s">
        <v>1161</v>
      </c>
      <c r="D175" s="46" t="s">
        <v>1401</v>
      </c>
      <c r="E175" s="46" t="s">
        <v>1402</v>
      </c>
      <c r="F175" s="47" t="n">
        <v>27</v>
      </c>
      <c r="G175" s="47" t="n">
        <v>16</v>
      </c>
      <c r="H175" s="47" t="n">
        <v>10</v>
      </c>
      <c r="I175" s="47" t="n">
        <v>1</v>
      </c>
      <c r="J175" s="47" t="n">
        <f aca="false">ROUND(G175/F175*100,0)</f>
        <v>59</v>
      </c>
      <c r="K175" s="47" t="s">
        <v>2221</v>
      </c>
      <c r="L175" s="46" t="s">
        <v>62</v>
      </c>
    </row>
    <row r="176" customFormat="false" ht="15" hidden="false" customHeight="true" outlineLevel="0" collapsed="false">
      <c r="A176" s="46" t="s">
        <v>2394</v>
      </c>
      <c r="B176" s="46" t="s">
        <v>1165</v>
      </c>
      <c r="C176" s="46" t="s">
        <v>1166</v>
      </c>
      <c r="D176" s="46" t="s">
        <v>1357</v>
      </c>
      <c r="E176" s="46" t="s">
        <v>1358</v>
      </c>
      <c r="F176" s="47" t="n">
        <v>26</v>
      </c>
      <c r="G176" s="47" t="n">
        <v>24</v>
      </c>
      <c r="H176" s="47" t="n">
        <v>1</v>
      </c>
      <c r="I176" s="47" t="n">
        <v>1</v>
      </c>
      <c r="J176" s="47" t="n">
        <f aca="false">ROUND(G176/F176*100,0)</f>
        <v>92</v>
      </c>
      <c r="K176" s="47" t="s">
        <v>2218</v>
      </c>
      <c r="L176" s="46" t="s">
        <v>62</v>
      </c>
    </row>
    <row r="177" customFormat="false" ht="15" hidden="false" customHeight="true" outlineLevel="0" collapsed="false">
      <c r="A177" s="46" t="s">
        <v>2395</v>
      </c>
      <c r="B177" s="46" t="s">
        <v>1165</v>
      </c>
      <c r="C177" s="46" t="s">
        <v>1166</v>
      </c>
      <c r="D177" s="46" t="s">
        <v>1401</v>
      </c>
      <c r="E177" s="46" t="s">
        <v>1402</v>
      </c>
      <c r="F177" s="47" t="n">
        <v>27</v>
      </c>
      <c r="G177" s="47" t="n">
        <v>24</v>
      </c>
      <c r="H177" s="47" t="n">
        <v>2</v>
      </c>
      <c r="I177" s="47" t="n">
        <v>1</v>
      </c>
      <c r="J177" s="47" t="n">
        <f aca="false">ROUND(G177/F177*100,0)</f>
        <v>89</v>
      </c>
      <c r="K177" s="47" t="s">
        <v>2218</v>
      </c>
      <c r="L177" s="46" t="s">
        <v>62</v>
      </c>
    </row>
    <row r="178" customFormat="false" ht="15" hidden="false" customHeight="true" outlineLevel="0" collapsed="false">
      <c r="A178" s="46" t="s">
        <v>2396</v>
      </c>
      <c r="B178" s="46" t="s">
        <v>1170</v>
      </c>
      <c r="C178" s="46" t="s">
        <v>1171</v>
      </c>
      <c r="D178" s="46" t="s">
        <v>1382</v>
      </c>
      <c r="E178" s="46" t="s">
        <v>1383</v>
      </c>
      <c r="F178" s="47" t="n">
        <v>26</v>
      </c>
      <c r="G178" s="47" t="n">
        <v>13</v>
      </c>
      <c r="H178" s="47" t="n">
        <v>12</v>
      </c>
      <c r="I178" s="47" t="n">
        <v>1</v>
      </c>
      <c r="J178" s="47" t="n">
        <f aca="false">ROUND(G178/F178*100,0)</f>
        <v>50</v>
      </c>
      <c r="K178" s="47" t="s">
        <v>2221</v>
      </c>
      <c r="L178" s="46" t="s">
        <v>62</v>
      </c>
    </row>
    <row r="179" customFormat="false" ht="15" hidden="false" customHeight="true" outlineLevel="0" collapsed="false">
      <c r="A179" s="46" t="s">
        <v>2397</v>
      </c>
      <c r="B179" s="46" t="s">
        <v>1170</v>
      </c>
      <c r="C179" s="46" t="s">
        <v>1171</v>
      </c>
      <c r="D179" s="46" t="s">
        <v>1326</v>
      </c>
      <c r="E179" s="46" t="s">
        <v>1327</v>
      </c>
      <c r="F179" s="47" t="n">
        <v>27</v>
      </c>
      <c r="G179" s="47" t="n">
        <v>13</v>
      </c>
      <c r="H179" s="47" t="n">
        <v>13</v>
      </c>
      <c r="I179" s="47" t="n">
        <v>1</v>
      </c>
      <c r="J179" s="47" t="n">
        <f aca="false">ROUND(G179/F179*100,0)</f>
        <v>48</v>
      </c>
      <c r="K179" s="47" t="s">
        <v>2221</v>
      </c>
      <c r="L179" s="46" t="s">
        <v>62</v>
      </c>
    </row>
    <row r="180" customFormat="false" ht="15" hidden="false" customHeight="true" outlineLevel="0" collapsed="false">
      <c r="A180" s="46" t="s">
        <v>2398</v>
      </c>
      <c r="B180" s="46" t="s">
        <v>1175</v>
      </c>
      <c r="C180" s="46" t="s">
        <v>1176</v>
      </c>
      <c r="D180" s="46" t="s">
        <v>1321</v>
      </c>
      <c r="E180" s="46" t="s">
        <v>1322</v>
      </c>
      <c r="F180" s="47" t="n">
        <v>26</v>
      </c>
      <c r="G180" s="47" t="n">
        <v>22</v>
      </c>
      <c r="H180" s="47" t="n">
        <v>3</v>
      </c>
      <c r="I180" s="47" t="n">
        <v>1</v>
      </c>
      <c r="J180" s="47" t="n">
        <f aca="false">ROUND(G180/F180*100,0)</f>
        <v>85</v>
      </c>
      <c r="K180" s="47" t="s">
        <v>2218</v>
      </c>
      <c r="L180" s="46" t="s">
        <v>62</v>
      </c>
    </row>
    <row r="181" customFormat="false" ht="15" hidden="false" customHeight="true" outlineLevel="0" collapsed="false">
      <c r="A181" s="46" t="s">
        <v>2399</v>
      </c>
      <c r="B181" s="46" t="s">
        <v>1175</v>
      </c>
      <c r="C181" s="46" t="s">
        <v>1176</v>
      </c>
      <c r="D181" s="46" t="s">
        <v>1382</v>
      </c>
      <c r="E181" s="46" t="s">
        <v>1383</v>
      </c>
      <c r="F181" s="47" t="n">
        <v>27</v>
      </c>
      <c r="G181" s="47" t="n">
        <v>25</v>
      </c>
      <c r="H181" s="47" t="n">
        <v>1</v>
      </c>
      <c r="I181" s="47" t="n">
        <v>1</v>
      </c>
      <c r="J181" s="47" t="n">
        <f aca="false">ROUND(G181/F181*100,0)</f>
        <v>93</v>
      </c>
      <c r="K181" s="47" t="s">
        <v>2218</v>
      </c>
      <c r="L181" s="46" t="s">
        <v>62</v>
      </c>
    </row>
    <row r="182" customFormat="false" ht="15" hidden="false" customHeight="true" outlineLevel="0" collapsed="false">
      <c r="A182" s="46" t="s">
        <v>2400</v>
      </c>
      <c r="B182" s="46" t="s">
        <v>1180</v>
      </c>
      <c r="C182" s="46" t="s">
        <v>1181</v>
      </c>
      <c r="D182" s="46" t="s">
        <v>1365</v>
      </c>
      <c r="E182" s="46" t="s">
        <v>1366</v>
      </c>
      <c r="F182" s="47" t="n">
        <v>26</v>
      </c>
      <c r="G182" s="47" t="n">
        <v>21</v>
      </c>
      <c r="H182" s="47" t="n">
        <v>4</v>
      </c>
      <c r="I182" s="47" t="n">
        <v>1</v>
      </c>
      <c r="J182" s="47" t="n">
        <f aca="false">ROUND(G182/F182*100,0)</f>
        <v>81</v>
      </c>
      <c r="K182" s="47" t="s">
        <v>2218</v>
      </c>
      <c r="L182" s="46" t="s">
        <v>62</v>
      </c>
    </row>
    <row r="183" customFormat="false" ht="15" hidden="false" customHeight="true" outlineLevel="0" collapsed="false">
      <c r="A183" s="46" t="s">
        <v>2401</v>
      </c>
      <c r="B183" s="46" t="s">
        <v>1180</v>
      </c>
      <c r="C183" s="46" t="s">
        <v>1181</v>
      </c>
      <c r="D183" s="46" t="s">
        <v>1401</v>
      </c>
      <c r="E183" s="46" t="s">
        <v>1402</v>
      </c>
      <c r="F183" s="47" t="n">
        <v>27</v>
      </c>
      <c r="G183" s="47" t="n">
        <v>21</v>
      </c>
      <c r="H183" s="47" t="n">
        <v>5</v>
      </c>
      <c r="I183" s="47" t="n">
        <v>1</v>
      </c>
      <c r="J183" s="47" t="n">
        <f aca="false">ROUND(G183/F183*100,0)</f>
        <v>78</v>
      </c>
      <c r="K183" s="47" t="s">
        <v>2226</v>
      </c>
      <c r="L183" s="46" t="s">
        <v>62</v>
      </c>
    </row>
    <row r="184" customFormat="false" ht="15" hidden="false" customHeight="true" outlineLevel="0" collapsed="false">
      <c r="A184" s="46" t="s">
        <v>2402</v>
      </c>
      <c r="B184" s="46" t="s">
        <v>1186</v>
      </c>
      <c r="C184" s="46" t="s">
        <v>1187</v>
      </c>
      <c r="D184" s="46" t="s">
        <v>1334</v>
      </c>
      <c r="E184" s="46" t="s">
        <v>1335</v>
      </c>
      <c r="F184" s="47" t="n">
        <v>26</v>
      </c>
      <c r="G184" s="47" t="n">
        <v>20</v>
      </c>
      <c r="H184" s="47" t="n">
        <v>5</v>
      </c>
      <c r="I184" s="47" t="n">
        <v>1</v>
      </c>
      <c r="J184" s="47" t="n">
        <f aca="false">ROUND(G184/F184*100,0)</f>
        <v>77</v>
      </c>
      <c r="K184" s="47" t="s">
        <v>2226</v>
      </c>
      <c r="L184" s="46" t="s">
        <v>62</v>
      </c>
    </row>
    <row r="185" customFormat="false" ht="15" hidden="false" customHeight="true" outlineLevel="0" collapsed="false">
      <c r="A185" s="46" t="s">
        <v>2403</v>
      </c>
      <c r="B185" s="46" t="s">
        <v>1186</v>
      </c>
      <c r="C185" s="46" t="s">
        <v>1187</v>
      </c>
      <c r="D185" s="46" t="s">
        <v>1391</v>
      </c>
      <c r="E185" s="46" t="s">
        <v>1392</v>
      </c>
      <c r="F185" s="47" t="n">
        <v>27</v>
      </c>
      <c r="G185" s="47" t="n">
        <v>20</v>
      </c>
      <c r="H185" s="47" t="n">
        <v>6</v>
      </c>
      <c r="I185" s="47" t="n">
        <v>1</v>
      </c>
      <c r="J185" s="47" t="n">
        <f aca="false">ROUND(G185/F185*100,0)</f>
        <v>74</v>
      </c>
      <c r="K185" s="47" t="s">
        <v>2226</v>
      </c>
      <c r="L185" s="46" t="s">
        <v>62</v>
      </c>
    </row>
    <row r="186" customFormat="false" ht="15" hidden="false" customHeight="true" outlineLevel="0" collapsed="false">
      <c r="A186" s="46" t="s">
        <v>2404</v>
      </c>
      <c r="B186" s="46" t="s">
        <v>1191</v>
      </c>
      <c r="C186" s="46" t="s">
        <v>1192</v>
      </c>
      <c r="D186" s="46" t="s">
        <v>1357</v>
      </c>
      <c r="E186" s="46" t="s">
        <v>1358</v>
      </c>
      <c r="F186" s="47" t="n">
        <v>26</v>
      </c>
      <c r="G186" s="47" t="n">
        <v>24</v>
      </c>
      <c r="H186" s="47" t="n">
        <v>1</v>
      </c>
      <c r="I186" s="47" t="n">
        <v>1</v>
      </c>
      <c r="J186" s="47" t="n">
        <f aca="false">ROUND(G186/F186*100,0)</f>
        <v>92</v>
      </c>
      <c r="K186" s="47" t="s">
        <v>2218</v>
      </c>
      <c r="L186" s="46" t="s">
        <v>62</v>
      </c>
    </row>
    <row r="187" customFormat="false" ht="15" hidden="false" customHeight="true" outlineLevel="0" collapsed="false">
      <c r="A187" s="46" t="s">
        <v>2405</v>
      </c>
      <c r="B187" s="46" t="s">
        <v>1191</v>
      </c>
      <c r="C187" s="46" t="s">
        <v>1192</v>
      </c>
      <c r="D187" s="46" t="s">
        <v>1401</v>
      </c>
      <c r="E187" s="46" t="s">
        <v>1402</v>
      </c>
      <c r="F187" s="47" t="n">
        <v>27</v>
      </c>
      <c r="G187" s="47" t="n">
        <v>24</v>
      </c>
      <c r="H187" s="47" t="n">
        <v>2</v>
      </c>
      <c r="I187" s="47" t="n">
        <v>1</v>
      </c>
      <c r="J187" s="47" t="n">
        <f aca="false">ROUND(G187/F187*100,0)</f>
        <v>89</v>
      </c>
      <c r="K187" s="47" t="s">
        <v>2218</v>
      </c>
      <c r="L187" s="46" t="s">
        <v>62</v>
      </c>
    </row>
    <row r="188" customFormat="false" ht="15" hidden="false" customHeight="true" outlineLevel="0" collapsed="false">
      <c r="A188" s="46" t="s">
        <v>2406</v>
      </c>
      <c r="B188" s="46" t="s">
        <v>1196</v>
      </c>
      <c r="C188" s="46" t="s">
        <v>1197</v>
      </c>
      <c r="D188" s="46" t="s">
        <v>1347</v>
      </c>
      <c r="E188" s="46" t="s">
        <v>1348</v>
      </c>
      <c r="F188" s="47" t="n">
        <v>26</v>
      </c>
      <c r="G188" s="47" t="n">
        <v>16</v>
      </c>
      <c r="H188" s="47" t="n">
        <v>9</v>
      </c>
      <c r="I188" s="47" t="n">
        <v>1</v>
      </c>
      <c r="J188" s="47" t="n">
        <f aca="false">ROUND(G188/F188*100,0)</f>
        <v>62</v>
      </c>
      <c r="K188" s="47" t="s">
        <v>2226</v>
      </c>
      <c r="L188" s="46" t="s">
        <v>62</v>
      </c>
    </row>
    <row r="189" customFormat="false" ht="15" hidden="false" customHeight="true" outlineLevel="0" collapsed="false">
      <c r="A189" s="46" t="s">
        <v>2407</v>
      </c>
      <c r="B189" s="46" t="s">
        <v>1196</v>
      </c>
      <c r="C189" s="46" t="s">
        <v>1197</v>
      </c>
      <c r="D189" s="46" t="s">
        <v>1401</v>
      </c>
      <c r="E189" s="46" t="s">
        <v>1402</v>
      </c>
      <c r="F189" s="47" t="n">
        <v>27</v>
      </c>
      <c r="G189" s="47" t="n">
        <v>16</v>
      </c>
      <c r="H189" s="47" t="n">
        <v>10</v>
      </c>
      <c r="I189" s="47" t="n">
        <v>1</v>
      </c>
      <c r="J189" s="47" t="n">
        <f aca="false">ROUND(G189/F189*100,0)</f>
        <v>59</v>
      </c>
      <c r="K189" s="47" t="s">
        <v>2226</v>
      </c>
      <c r="L189" s="46" t="s">
        <v>62</v>
      </c>
    </row>
    <row r="190" customFormat="false" ht="15" hidden="false" customHeight="true" outlineLevel="0" collapsed="false">
      <c r="A190" s="46" t="s">
        <v>2408</v>
      </c>
      <c r="B190" s="46" t="s">
        <v>1201</v>
      </c>
      <c r="C190" s="46" t="s">
        <v>1202</v>
      </c>
      <c r="D190" s="46" t="s">
        <v>1361</v>
      </c>
      <c r="E190" s="46" t="s">
        <v>1362</v>
      </c>
      <c r="F190" s="47" t="n">
        <v>26</v>
      </c>
      <c r="G190" s="47" t="n">
        <v>19</v>
      </c>
      <c r="H190" s="47" t="n">
        <v>6</v>
      </c>
      <c r="I190" s="47" t="n">
        <v>1</v>
      </c>
      <c r="J190" s="47" t="n">
        <f aca="false">ROUND(G190/F190*100,0)</f>
        <v>73</v>
      </c>
      <c r="K190" s="47" t="s">
        <v>2226</v>
      </c>
      <c r="L190" s="46" t="s">
        <v>62</v>
      </c>
    </row>
    <row r="191" customFormat="false" ht="15" hidden="false" customHeight="true" outlineLevel="0" collapsed="false">
      <c r="A191" s="46" t="s">
        <v>2409</v>
      </c>
      <c r="B191" s="46" t="s">
        <v>1201</v>
      </c>
      <c r="C191" s="46" t="s">
        <v>1202</v>
      </c>
      <c r="D191" s="46" t="s">
        <v>1401</v>
      </c>
      <c r="E191" s="46" t="s">
        <v>1402</v>
      </c>
      <c r="F191" s="47" t="n">
        <v>27</v>
      </c>
      <c r="G191" s="47" t="n">
        <v>22</v>
      </c>
      <c r="H191" s="47" t="n">
        <v>4</v>
      </c>
      <c r="I191" s="47" t="n">
        <v>1</v>
      </c>
      <c r="J191" s="47" t="n">
        <f aca="false">ROUND(G191/F191*100,0)</f>
        <v>81</v>
      </c>
      <c r="K191" s="47" t="s">
        <v>2218</v>
      </c>
      <c r="L191" s="46" t="s">
        <v>62</v>
      </c>
    </row>
    <row r="192" customFormat="false" ht="15" hidden="false" customHeight="true" outlineLevel="0" collapsed="false">
      <c r="A192" s="46" t="s">
        <v>2410</v>
      </c>
      <c r="B192" s="46" t="s">
        <v>1206</v>
      </c>
      <c r="C192" s="46" t="s">
        <v>1207</v>
      </c>
      <c r="D192" s="46" t="s">
        <v>1338</v>
      </c>
      <c r="E192" s="46" t="s">
        <v>1339</v>
      </c>
      <c r="F192" s="47" t="n">
        <v>26</v>
      </c>
      <c r="G192" s="47" t="n">
        <v>25</v>
      </c>
      <c r="H192" s="47" t="n">
        <v>0</v>
      </c>
      <c r="I192" s="47" t="n">
        <v>1</v>
      </c>
      <c r="J192" s="47" t="n">
        <f aca="false">ROUND(G192/F192*100,0)</f>
        <v>96</v>
      </c>
      <c r="K192" s="47" t="s">
        <v>2218</v>
      </c>
      <c r="L192" s="46" t="s">
        <v>62</v>
      </c>
    </row>
    <row r="193" customFormat="false" ht="15" hidden="false" customHeight="true" outlineLevel="0" collapsed="false">
      <c r="A193" s="46" t="s">
        <v>2411</v>
      </c>
      <c r="B193" s="46" t="s">
        <v>1206</v>
      </c>
      <c r="C193" s="46" t="s">
        <v>1207</v>
      </c>
      <c r="D193" s="46" t="s">
        <v>1342</v>
      </c>
      <c r="E193" s="46" t="s">
        <v>1343</v>
      </c>
      <c r="F193" s="47" t="n">
        <v>27</v>
      </c>
      <c r="G193" s="47" t="n">
        <v>26</v>
      </c>
      <c r="H193" s="47" t="n">
        <v>0</v>
      </c>
      <c r="I193" s="47" t="n">
        <v>1</v>
      </c>
      <c r="J193" s="47" t="n">
        <f aca="false">ROUND(G193/F193*100,0)</f>
        <v>96</v>
      </c>
      <c r="K193" s="47" t="s">
        <v>2218</v>
      </c>
      <c r="L193" s="46" t="s">
        <v>62</v>
      </c>
    </row>
    <row r="194" customFormat="false" ht="15" hidden="false" customHeight="true" outlineLevel="0" collapsed="false">
      <c r="A194" s="46" t="s">
        <v>2412</v>
      </c>
      <c r="B194" s="46" t="s">
        <v>1211</v>
      </c>
      <c r="C194" s="46" t="s">
        <v>1212</v>
      </c>
      <c r="D194" s="46" t="s">
        <v>1386</v>
      </c>
      <c r="E194" s="46" t="s">
        <v>1387</v>
      </c>
      <c r="F194" s="47" t="n">
        <v>26</v>
      </c>
      <c r="G194" s="47" t="n">
        <v>16</v>
      </c>
      <c r="H194" s="47" t="n">
        <v>9</v>
      </c>
      <c r="I194" s="47" t="n">
        <v>1</v>
      </c>
      <c r="J194" s="47" t="n">
        <f aca="false">ROUND(G194/F194*100,0)</f>
        <v>62</v>
      </c>
      <c r="K194" s="47" t="s">
        <v>2226</v>
      </c>
      <c r="L194" s="46" t="s">
        <v>62</v>
      </c>
    </row>
    <row r="195" customFormat="false" ht="15" hidden="false" customHeight="true" outlineLevel="0" collapsed="false">
      <c r="A195" s="46" t="s">
        <v>2413</v>
      </c>
      <c r="B195" s="46" t="s">
        <v>1211</v>
      </c>
      <c r="C195" s="46" t="s">
        <v>1212</v>
      </c>
      <c r="D195" s="46" t="s">
        <v>1373</v>
      </c>
      <c r="E195" s="46" t="s">
        <v>1374</v>
      </c>
      <c r="F195" s="47" t="n">
        <v>27</v>
      </c>
      <c r="G195" s="47" t="n">
        <v>16</v>
      </c>
      <c r="H195" s="47" t="n">
        <v>10</v>
      </c>
      <c r="I195" s="47" t="n">
        <v>1</v>
      </c>
      <c r="J195" s="47" t="n">
        <f aca="false">ROUND(G195/F195*100,0)</f>
        <v>59</v>
      </c>
      <c r="K195" s="47" t="s">
        <v>2221</v>
      </c>
      <c r="L195" s="46" t="s">
        <v>62</v>
      </c>
    </row>
    <row r="196" customFormat="false" ht="15" hidden="false" customHeight="true" outlineLevel="0" collapsed="false">
      <c r="A196" s="46" t="s">
        <v>2414</v>
      </c>
      <c r="B196" s="46" t="s">
        <v>1216</v>
      </c>
      <c r="C196" s="46" t="s">
        <v>1217</v>
      </c>
      <c r="D196" s="46" t="s">
        <v>1391</v>
      </c>
      <c r="E196" s="46" t="s">
        <v>1392</v>
      </c>
      <c r="F196" s="47" t="n">
        <v>26</v>
      </c>
      <c r="G196" s="47" t="n">
        <v>14</v>
      </c>
      <c r="H196" s="47" t="n">
        <v>11</v>
      </c>
      <c r="I196" s="47" t="n">
        <v>1</v>
      </c>
      <c r="J196" s="47" t="n">
        <f aca="false">ROUND(G196/F196*100,0)</f>
        <v>54</v>
      </c>
      <c r="K196" s="47" t="s">
        <v>2221</v>
      </c>
      <c r="L196" s="46" t="s">
        <v>62</v>
      </c>
    </row>
    <row r="197" customFormat="false" ht="15" hidden="false" customHeight="true" outlineLevel="0" collapsed="false">
      <c r="A197" s="46" t="s">
        <v>2415</v>
      </c>
      <c r="B197" s="46" t="s">
        <v>1216</v>
      </c>
      <c r="C197" s="46" t="s">
        <v>1217</v>
      </c>
      <c r="D197" s="46" t="s">
        <v>1330</v>
      </c>
      <c r="E197" s="46" t="s">
        <v>1331</v>
      </c>
      <c r="F197" s="47" t="n">
        <v>27</v>
      </c>
      <c r="G197" s="47" t="n">
        <v>14</v>
      </c>
      <c r="H197" s="47" t="n">
        <v>12</v>
      </c>
      <c r="I197" s="47" t="n">
        <v>1</v>
      </c>
      <c r="J197" s="47" t="n">
        <f aca="false">ROUND(G197/F197*100,0)</f>
        <v>52</v>
      </c>
      <c r="K197" s="47" t="s">
        <v>2221</v>
      </c>
      <c r="L197" s="46" t="s">
        <v>62</v>
      </c>
    </row>
    <row r="198" customFormat="false" ht="15" hidden="false" customHeight="true" outlineLevel="0" collapsed="false">
      <c r="A198" s="46" t="s">
        <v>2416</v>
      </c>
      <c r="B198" s="46" t="s">
        <v>1221</v>
      </c>
      <c r="C198" s="46" t="s">
        <v>1222</v>
      </c>
      <c r="D198" s="46" t="s">
        <v>1357</v>
      </c>
      <c r="E198" s="46" t="s">
        <v>1358</v>
      </c>
      <c r="F198" s="47" t="n">
        <v>26</v>
      </c>
      <c r="G198" s="47" t="n">
        <v>23</v>
      </c>
      <c r="H198" s="47" t="n">
        <v>2</v>
      </c>
      <c r="I198" s="47" t="n">
        <v>1</v>
      </c>
      <c r="J198" s="47" t="n">
        <f aca="false">ROUND(G198/F198*100,0)</f>
        <v>88</v>
      </c>
      <c r="K198" s="47" t="s">
        <v>2218</v>
      </c>
      <c r="L198" s="46" t="s">
        <v>62</v>
      </c>
    </row>
    <row r="199" customFormat="false" ht="15" hidden="false" customHeight="true" outlineLevel="0" collapsed="false">
      <c r="A199" s="46" t="s">
        <v>2417</v>
      </c>
      <c r="B199" s="46" t="s">
        <v>1221</v>
      </c>
      <c r="C199" s="46" t="s">
        <v>1222</v>
      </c>
      <c r="D199" s="46" t="s">
        <v>1401</v>
      </c>
      <c r="E199" s="46" t="s">
        <v>1402</v>
      </c>
      <c r="F199" s="47" t="n">
        <v>27</v>
      </c>
      <c r="G199" s="47" t="n">
        <v>23</v>
      </c>
      <c r="H199" s="47" t="n">
        <v>3</v>
      </c>
      <c r="I199" s="47" t="n">
        <v>1</v>
      </c>
      <c r="J199" s="47" t="n">
        <f aca="false">ROUND(G199/F199*100,0)</f>
        <v>85</v>
      </c>
      <c r="K199" s="47" t="s">
        <v>2218</v>
      </c>
      <c r="L199" s="46" t="s">
        <v>62</v>
      </c>
    </row>
    <row r="200" customFormat="false" ht="15" hidden="false" customHeight="true" outlineLevel="0" collapsed="false">
      <c r="A200" s="46" t="s">
        <v>2418</v>
      </c>
      <c r="B200" s="46" t="s">
        <v>1228</v>
      </c>
      <c r="C200" s="46" t="s">
        <v>1229</v>
      </c>
      <c r="D200" s="46" t="s">
        <v>1373</v>
      </c>
      <c r="E200" s="46" t="s">
        <v>1374</v>
      </c>
      <c r="F200" s="47" t="n">
        <v>26</v>
      </c>
      <c r="G200" s="47" t="n">
        <v>24</v>
      </c>
      <c r="H200" s="47" t="n">
        <v>1</v>
      </c>
      <c r="I200" s="47" t="n">
        <v>1</v>
      </c>
      <c r="J200" s="47" t="n">
        <f aca="false">ROUND(G200/F200*100,0)</f>
        <v>92</v>
      </c>
      <c r="K200" s="47" t="s">
        <v>2218</v>
      </c>
      <c r="L200" s="46" t="s">
        <v>62</v>
      </c>
    </row>
    <row r="201" customFormat="false" ht="15" hidden="false" customHeight="true" outlineLevel="0" collapsed="false">
      <c r="A201" s="46" t="s">
        <v>2419</v>
      </c>
      <c r="B201" s="46" t="s">
        <v>1228</v>
      </c>
      <c r="C201" s="46" t="s">
        <v>1229</v>
      </c>
      <c r="D201" s="46" t="s">
        <v>1378</v>
      </c>
      <c r="E201" s="46" t="s">
        <v>1379</v>
      </c>
      <c r="F201" s="47" t="n">
        <v>27</v>
      </c>
      <c r="G201" s="47" t="n">
        <v>24</v>
      </c>
      <c r="H201" s="47" t="n">
        <v>2</v>
      </c>
      <c r="I201" s="47" t="n">
        <v>1</v>
      </c>
      <c r="J201" s="47" t="n">
        <f aca="false">ROUND(G201/F201*100,0)</f>
        <v>89</v>
      </c>
      <c r="K201" s="47" t="s">
        <v>2218</v>
      </c>
      <c r="L201" s="46" t="s">
        <v>62</v>
      </c>
    </row>
    <row r="202" customFormat="false" ht="15" hidden="false" customHeight="true" outlineLevel="0" collapsed="false">
      <c r="A202" s="46" t="s">
        <v>2420</v>
      </c>
      <c r="B202" s="46" t="s">
        <v>1233</v>
      </c>
      <c r="C202" s="46" t="s">
        <v>1234</v>
      </c>
      <c r="D202" s="46" t="s">
        <v>1369</v>
      </c>
      <c r="E202" s="46" t="s">
        <v>1370</v>
      </c>
      <c r="F202" s="47" t="n">
        <v>26</v>
      </c>
      <c r="G202" s="47" t="n">
        <v>21</v>
      </c>
      <c r="H202" s="47" t="n">
        <v>4</v>
      </c>
      <c r="I202" s="47" t="n">
        <v>1</v>
      </c>
      <c r="J202" s="47" t="n">
        <f aca="false">ROUND(G202/F202*100,0)</f>
        <v>81</v>
      </c>
      <c r="K202" s="47" t="s">
        <v>2226</v>
      </c>
      <c r="L202" s="46" t="s">
        <v>62</v>
      </c>
    </row>
    <row r="203" customFormat="false" ht="15" hidden="false" customHeight="true" outlineLevel="0" collapsed="false">
      <c r="A203" s="46" t="s">
        <v>2421</v>
      </c>
      <c r="B203" s="46" t="s">
        <v>1233</v>
      </c>
      <c r="C203" s="46" t="s">
        <v>1234</v>
      </c>
      <c r="D203" s="46" t="s">
        <v>1401</v>
      </c>
      <c r="E203" s="46" t="s">
        <v>1402</v>
      </c>
      <c r="F203" s="47" t="n">
        <v>27</v>
      </c>
      <c r="G203" s="47" t="n">
        <v>21</v>
      </c>
      <c r="H203" s="47" t="n">
        <v>5</v>
      </c>
      <c r="I203" s="47" t="n">
        <v>1</v>
      </c>
      <c r="J203" s="47" t="n">
        <f aca="false">ROUND(G203/F203*100,0)</f>
        <v>78</v>
      </c>
      <c r="K203" s="47" t="s">
        <v>2226</v>
      </c>
      <c r="L203" s="46" t="s">
        <v>62</v>
      </c>
    </row>
    <row r="204" customFormat="false" ht="15" hidden="false" customHeight="true" outlineLevel="0" collapsed="false">
      <c r="A204" s="46" t="s">
        <v>2422</v>
      </c>
      <c r="B204" s="46" t="s">
        <v>1238</v>
      </c>
      <c r="C204" s="46" t="s">
        <v>1239</v>
      </c>
      <c r="D204" s="46" t="s">
        <v>1433</v>
      </c>
      <c r="E204" s="46" t="s">
        <v>1434</v>
      </c>
      <c r="F204" s="47" t="n">
        <v>26</v>
      </c>
      <c r="G204" s="47" t="n">
        <v>22</v>
      </c>
      <c r="H204" s="47" t="n">
        <v>3</v>
      </c>
      <c r="I204" s="47" t="n">
        <v>1</v>
      </c>
      <c r="J204" s="47" t="n">
        <f aca="false">ROUND(G204/F204*100,0)</f>
        <v>85</v>
      </c>
      <c r="K204" s="47" t="s">
        <v>2218</v>
      </c>
      <c r="L204" s="46" t="s">
        <v>62</v>
      </c>
    </row>
    <row r="205" customFormat="false" ht="15" hidden="false" customHeight="true" outlineLevel="0" collapsed="false">
      <c r="A205" s="46" t="s">
        <v>2423</v>
      </c>
      <c r="B205" s="46" t="s">
        <v>1238</v>
      </c>
      <c r="C205" s="46" t="s">
        <v>1239</v>
      </c>
      <c r="D205" s="46" t="s">
        <v>1405</v>
      </c>
      <c r="E205" s="46" t="s">
        <v>1406</v>
      </c>
      <c r="F205" s="47" t="n">
        <v>27</v>
      </c>
      <c r="G205" s="47" t="n">
        <v>25</v>
      </c>
      <c r="H205" s="47" t="n">
        <v>1</v>
      </c>
      <c r="I205" s="47" t="n">
        <v>1</v>
      </c>
      <c r="J205" s="47" t="n">
        <f aca="false">ROUND(G205/F205*100,0)</f>
        <v>93</v>
      </c>
      <c r="K205" s="47" t="s">
        <v>2218</v>
      </c>
      <c r="L205" s="46" t="s">
        <v>62</v>
      </c>
    </row>
    <row r="206" customFormat="false" ht="15" hidden="false" customHeight="true" outlineLevel="0" collapsed="false">
      <c r="A206" s="46" t="s">
        <v>2424</v>
      </c>
      <c r="B206" s="46" t="s">
        <v>1244</v>
      </c>
      <c r="C206" s="46" t="s">
        <v>1245</v>
      </c>
      <c r="D206" s="46" t="s">
        <v>1422</v>
      </c>
      <c r="E206" s="46" t="s">
        <v>1423</v>
      </c>
      <c r="F206" s="47" t="n">
        <v>26</v>
      </c>
      <c r="G206" s="47" t="n">
        <v>21</v>
      </c>
      <c r="H206" s="47" t="n">
        <v>4</v>
      </c>
      <c r="I206" s="47" t="n">
        <v>1</v>
      </c>
      <c r="J206" s="47" t="n">
        <f aca="false">ROUND(G206/F206*100,0)</f>
        <v>81</v>
      </c>
      <c r="K206" s="47" t="s">
        <v>2218</v>
      </c>
      <c r="L206" s="46" t="s">
        <v>62</v>
      </c>
    </row>
    <row r="207" customFormat="false" ht="15" hidden="false" customHeight="true" outlineLevel="0" collapsed="false">
      <c r="A207" s="46" t="s">
        <v>2425</v>
      </c>
      <c r="B207" s="46" t="s">
        <v>1244</v>
      </c>
      <c r="C207" s="46" t="s">
        <v>1245</v>
      </c>
      <c r="D207" s="46" t="s">
        <v>1426</v>
      </c>
      <c r="E207" s="46" t="s">
        <v>1427</v>
      </c>
      <c r="F207" s="47" t="n">
        <v>27</v>
      </c>
      <c r="G207" s="47" t="n">
        <v>21</v>
      </c>
      <c r="H207" s="47" t="n">
        <v>5</v>
      </c>
      <c r="I207" s="47" t="n">
        <v>1</v>
      </c>
      <c r="J207" s="47" t="n">
        <f aca="false">ROUND(G207/F207*100,0)</f>
        <v>78</v>
      </c>
      <c r="K207" s="47" t="s">
        <v>2226</v>
      </c>
      <c r="L207" s="46" t="s">
        <v>62</v>
      </c>
    </row>
    <row r="208" customFormat="false" ht="15" hidden="false" customHeight="true" outlineLevel="0" collapsed="false">
      <c r="A208" s="46" t="s">
        <v>2426</v>
      </c>
      <c r="B208" s="46" t="s">
        <v>1253</v>
      </c>
      <c r="C208" s="46" t="s">
        <v>1254</v>
      </c>
      <c r="D208" s="46" t="s">
        <v>1405</v>
      </c>
      <c r="E208" s="46" t="s">
        <v>1406</v>
      </c>
      <c r="F208" s="47" t="n">
        <v>26</v>
      </c>
      <c r="G208" s="47" t="n">
        <v>23</v>
      </c>
      <c r="H208" s="47" t="n">
        <v>2</v>
      </c>
      <c r="I208" s="47" t="n">
        <v>1</v>
      </c>
      <c r="J208" s="47" t="n">
        <f aca="false">ROUND(G208/F208*100,0)</f>
        <v>88</v>
      </c>
      <c r="K208" s="47" t="s">
        <v>2218</v>
      </c>
      <c r="L208" s="46" t="s">
        <v>62</v>
      </c>
    </row>
    <row r="209" customFormat="false" ht="15" hidden="false" customHeight="true" outlineLevel="0" collapsed="false">
      <c r="A209" s="46" t="s">
        <v>2427</v>
      </c>
      <c r="B209" s="46" t="s">
        <v>1253</v>
      </c>
      <c r="C209" s="46" t="s">
        <v>1254</v>
      </c>
      <c r="D209" s="46" t="s">
        <v>1411</v>
      </c>
      <c r="E209" s="46" t="s">
        <v>1412</v>
      </c>
      <c r="F209" s="47" t="n">
        <v>27</v>
      </c>
      <c r="G209" s="47" t="n">
        <v>23</v>
      </c>
      <c r="H209" s="47" t="n">
        <v>3</v>
      </c>
      <c r="I209" s="47" t="n">
        <v>1</v>
      </c>
      <c r="J209" s="47" t="n">
        <f aca="false">ROUND(G209/F209*100,0)</f>
        <v>85</v>
      </c>
      <c r="K209" s="47" t="s">
        <v>2218</v>
      </c>
      <c r="L209" s="46" t="s">
        <v>62</v>
      </c>
    </row>
    <row r="210" customFormat="false" ht="15" hidden="false" customHeight="true" outlineLevel="0" collapsed="false">
      <c r="A210" s="46" t="s">
        <v>2428</v>
      </c>
      <c r="B210" s="46" t="s">
        <v>1260</v>
      </c>
      <c r="C210" s="46" t="s">
        <v>1261</v>
      </c>
      <c r="D210" s="46" t="s">
        <v>1411</v>
      </c>
      <c r="E210" s="46" t="s">
        <v>1412</v>
      </c>
      <c r="F210" s="47" t="n">
        <v>26</v>
      </c>
      <c r="G210" s="47" t="n">
        <v>22</v>
      </c>
      <c r="H210" s="47" t="n">
        <v>3</v>
      </c>
      <c r="I210" s="47" t="n">
        <v>1</v>
      </c>
      <c r="J210" s="47" t="n">
        <f aca="false">ROUND(G210/F210*100,0)</f>
        <v>85</v>
      </c>
      <c r="K210" s="47" t="s">
        <v>2218</v>
      </c>
      <c r="L210" s="46" t="s">
        <v>62</v>
      </c>
    </row>
    <row r="211" customFormat="false" ht="15" hidden="false" customHeight="true" outlineLevel="0" collapsed="false">
      <c r="A211" s="46" t="s">
        <v>2429</v>
      </c>
      <c r="B211" s="46" t="s">
        <v>1260</v>
      </c>
      <c r="C211" s="46" t="s">
        <v>1261</v>
      </c>
      <c r="D211" s="46" t="s">
        <v>1414</v>
      </c>
      <c r="E211" s="46" t="s">
        <v>1415</v>
      </c>
      <c r="F211" s="47" t="n">
        <v>27</v>
      </c>
      <c r="G211" s="47" t="n">
        <v>22</v>
      </c>
      <c r="H211" s="47" t="n">
        <v>4</v>
      </c>
      <c r="I211" s="47" t="n">
        <v>1</v>
      </c>
      <c r="J211" s="47" t="n">
        <f aca="false">ROUND(G211/F211*100,0)</f>
        <v>81</v>
      </c>
      <c r="K211" s="47" t="s">
        <v>2218</v>
      </c>
      <c r="L211" s="46" t="s">
        <v>62</v>
      </c>
    </row>
    <row r="212" customFormat="false" ht="15" hidden="false" customHeight="true" outlineLevel="0" collapsed="false">
      <c r="A212" s="46" t="s">
        <v>2430</v>
      </c>
      <c r="B212" s="46" t="s">
        <v>1271</v>
      </c>
      <c r="C212" s="46" t="s">
        <v>1272</v>
      </c>
      <c r="D212" s="46" t="s">
        <v>1437</v>
      </c>
      <c r="E212" s="46" t="s">
        <v>1438</v>
      </c>
      <c r="F212" s="47" t="n">
        <v>26</v>
      </c>
      <c r="G212" s="47" t="n">
        <v>23</v>
      </c>
      <c r="H212" s="47" t="n">
        <v>2</v>
      </c>
      <c r="I212" s="47" t="n">
        <v>1</v>
      </c>
      <c r="J212" s="47" t="n">
        <f aca="false">ROUND(G212/F212*100,0)</f>
        <v>88</v>
      </c>
      <c r="K212" s="47" t="s">
        <v>2218</v>
      </c>
      <c r="L212" s="46" t="s">
        <v>62</v>
      </c>
    </row>
    <row r="213" customFormat="false" ht="15" hidden="false" customHeight="true" outlineLevel="0" collapsed="false">
      <c r="A213" s="46" t="s">
        <v>2431</v>
      </c>
      <c r="B213" s="46" t="s">
        <v>1271</v>
      </c>
      <c r="C213" s="46" t="s">
        <v>1272</v>
      </c>
      <c r="D213" s="46" t="s">
        <v>1418</v>
      </c>
      <c r="E213" s="46" t="s">
        <v>1419</v>
      </c>
      <c r="F213" s="47" t="n">
        <v>27</v>
      </c>
      <c r="G213" s="47" t="n">
        <v>23</v>
      </c>
      <c r="H213" s="47" t="n">
        <v>3</v>
      </c>
      <c r="I213" s="47" t="n">
        <v>1</v>
      </c>
      <c r="J213" s="47" t="n">
        <f aca="false">ROUND(G213/F213*100,0)</f>
        <v>85</v>
      </c>
      <c r="K213" s="47" t="s">
        <v>2218</v>
      </c>
      <c r="L213" s="46" t="s">
        <v>62</v>
      </c>
    </row>
    <row r="214" customFormat="false" ht="15" hidden="false" customHeight="true" outlineLevel="0" collapsed="false">
      <c r="A214" s="46" t="s">
        <v>2432</v>
      </c>
      <c r="B214" s="46" t="s">
        <v>1282</v>
      </c>
      <c r="C214" s="46" t="s">
        <v>1283</v>
      </c>
      <c r="D214" s="46" t="s">
        <v>1440</v>
      </c>
      <c r="E214" s="46" t="s">
        <v>1441</v>
      </c>
      <c r="F214" s="47" t="n">
        <v>26</v>
      </c>
      <c r="G214" s="47" t="n">
        <v>24</v>
      </c>
      <c r="H214" s="47" t="n">
        <v>1</v>
      </c>
      <c r="I214" s="47" t="n">
        <v>1</v>
      </c>
      <c r="J214" s="47" t="n">
        <f aca="false">ROUND(G214/F214*100,0)</f>
        <v>92</v>
      </c>
      <c r="K214" s="47" t="s">
        <v>2218</v>
      </c>
      <c r="L214" s="46" t="s">
        <v>62</v>
      </c>
    </row>
    <row r="215" customFormat="false" ht="15" hidden="false" customHeight="true" outlineLevel="0" collapsed="false">
      <c r="A215" s="46" t="s">
        <v>2433</v>
      </c>
      <c r="B215" s="46" t="s">
        <v>1282</v>
      </c>
      <c r="C215" s="46" t="s">
        <v>1283</v>
      </c>
      <c r="D215" s="46" t="s">
        <v>1443</v>
      </c>
      <c r="E215" s="46" t="s">
        <v>1444</v>
      </c>
      <c r="F215" s="47" t="n">
        <v>27</v>
      </c>
      <c r="G215" s="47" t="n">
        <v>26</v>
      </c>
      <c r="H215" s="47" t="n">
        <v>0</v>
      </c>
      <c r="I215" s="47" t="n">
        <v>1</v>
      </c>
      <c r="J215" s="47" t="n">
        <f aca="false">ROUND(G215/F215*100,0)</f>
        <v>96</v>
      </c>
      <c r="K215" s="47" t="s">
        <v>2218</v>
      </c>
      <c r="L215" s="46" t="s">
        <v>62</v>
      </c>
    </row>
    <row r="216" customFormat="false" ht="15" hidden="false" customHeight="true" outlineLevel="0" collapsed="false">
      <c r="A216" s="46" t="s">
        <v>2434</v>
      </c>
      <c r="B216" s="46" t="s">
        <v>1294</v>
      </c>
      <c r="C216" s="46" t="s">
        <v>1295</v>
      </c>
      <c r="D216" s="46" t="s">
        <v>1440</v>
      </c>
      <c r="E216" s="46" t="s">
        <v>1441</v>
      </c>
      <c r="F216" s="47" t="n">
        <v>26</v>
      </c>
      <c r="G216" s="47" t="n">
        <v>23</v>
      </c>
      <c r="H216" s="47" t="n">
        <v>2</v>
      </c>
      <c r="I216" s="47" t="n">
        <v>1</v>
      </c>
      <c r="J216" s="47" t="n">
        <f aca="false">ROUND(G216/F216*100,0)</f>
        <v>88</v>
      </c>
      <c r="K216" s="47" t="s">
        <v>2218</v>
      </c>
      <c r="L216" s="46" t="s">
        <v>62</v>
      </c>
    </row>
    <row r="217" customFormat="false" ht="15" hidden="false" customHeight="true" outlineLevel="0" collapsed="false">
      <c r="A217" s="46" t="s">
        <v>2435</v>
      </c>
      <c r="B217" s="46" t="s">
        <v>1294</v>
      </c>
      <c r="C217" s="46" t="s">
        <v>1295</v>
      </c>
      <c r="D217" s="46" t="s">
        <v>1446</v>
      </c>
      <c r="E217" s="46" t="s">
        <v>1447</v>
      </c>
      <c r="F217" s="47" t="n">
        <v>27</v>
      </c>
      <c r="G217" s="47" t="n">
        <v>24</v>
      </c>
      <c r="H217" s="47" t="n">
        <v>2</v>
      </c>
      <c r="I217" s="47" t="n">
        <v>1</v>
      </c>
      <c r="J217" s="47" t="n">
        <f aca="false">ROUND(G217/F217*100,0)</f>
        <v>89</v>
      </c>
      <c r="K217" s="47" t="s">
        <v>2218</v>
      </c>
      <c r="L217" s="46" t="s">
        <v>62</v>
      </c>
    </row>
    <row r="218" customFormat="false" ht="15" hidden="false" customHeight="true" outlineLevel="0" collapsed="false">
      <c r="A218" s="46" t="s">
        <v>2436</v>
      </c>
      <c r="B218" s="46" t="s">
        <v>1305</v>
      </c>
      <c r="C218" s="46" t="s">
        <v>1306</v>
      </c>
      <c r="D218" s="46" t="s">
        <v>1405</v>
      </c>
      <c r="E218" s="46" t="s">
        <v>1406</v>
      </c>
      <c r="F218" s="47" t="n">
        <v>26</v>
      </c>
      <c r="G218" s="47" t="n">
        <v>16</v>
      </c>
      <c r="H218" s="47" t="n">
        <v>9</v>
      </c>
      <c r="I218" s="47" t="n">
        <v>1</v>
      </c>
      <c r="J218" s="47" t="n">
        <f aca="false">ROUND(G218/F218*100,0)</f>
        <v>62</v>
      </c>
      <c r="K218" s="47" t="s">
        <v>2226</v>
      </c>
      <c r="L218" s="46" t="s">
        <v>62</v>
      </c>
    </row>
    <row r="219" customFormat="false" ht="15" hidden="false" customHeight="true" outlineLevel="0" collapsed="false">
      <c r="A219" s="46" t="s">
        <v>2437</v>
      </c>
      <c r="B219" s="46" t="s">
        <v>1305</v>
      </c>
      <c r="C219" s="46" t="s">
        <v>1306</v>
      </c>
      <c r="D219" s="46" t="s">
        <v>1426</v>
      </c>
      <c r="E219" s="46" t="s">
        <v>1427</v>
      </c>
      <c r="F219" s="47" t="n">
        <v>27</v>
      </c>
      <c r="G219" s="47" t="n">
        <v>16</v>
      </c>
      <c r="H219" s="47" t="n">
        <v>10</v>
      </c>
      <c r="I219" s="47" t="n">
        <v>1</v>
      </c>
      <c r="J219" s="47" t="n">
        <f aca="false">ROUND(G219/F219*100,0)</f>
        <v>59</v>
      </c>
      <c r="K219" s="47" t="s">
        <v>2221</v>
      </c>
      <c r="L219" s="46"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6"/>
    <col collapsed="false" customWidth="true" hidden="false" outlineLevel="0" max="2" min="2" style="1" width="18"/>
    <col collapsed="false" customWidth="true" hidden="false" outlineLevel="0" max="3" min="3" style="1" width="24"/>
    <col collapsed="false" customWidth="true" hidden="false" outlineLevel="0" max="4" min="4" style="1" width="20"/>
    <col collapsed="false" customWidth="true" hidden="false" outlineLevel="0" max="5" min="5" style="1" width="28"/>
    <col collapsed="false" customWidth="true" hidden="false" outlineLevel="0" max="6" min="6" style="1" width="14"/>
    <col collapsed="false" customWidth="true" hidden="false" outlineLevel="0" max="8" min="7" style="1" width="16"/>
    <col collapsed="false" customWidth="true" hidden="false" outlineLevel="0" max="9" min="9" style="1" width="14"/>
    <col collapsed="false" customWidth="true" hidden="false" outlineLevel="0" max="11" min="10" style="1" width="18"/>
    <col collapsed="false" customWidth="true" hidden="false" outlineLevel="0" max="13" min="12" style="1" width="14"/>
  </cols>
  <sheetData>
    <row r="1" customFormat="false" ht="25.5" hidden="false" customHeight="true" outlineLevel="0" collapsed="false">
      <c r="A1" s="48" t="s">
        <v>2438</v>
      </c>
      <c r="B1" s="48"/>
      <c r="C1" s="48"/>
      <c r="D1" s="48"/>
      <c r="E1" s="48"/>
      <c r="F1" s="48"/>
      <c r="G1" s="48"/>
      <c r="H1" s="48"/>
      <c r="I1" s="48"/>
      <c r="J1" s="48"/>
      <c r="K1" s="48"/>
      <c r="L1" s="48"/>
    </row>
    <row r="2" customFormat="false" ht="15.75" hidden="false" customHeight="true" outlineLevel="0" collapsed="false">
      <c r="A2" s="49" t="s">
        <v>2439</v>
      </c>
      <c r="B2" s="49"/>
      <c r="C2" s="49"/>
      <c r="D2" s="49"/>
      <c r="E2" s="49"/>
      <c r="F2" s="49"/>
      <c r="G2" s="49"/>
      <c r="H2" s="49"/>
      <c r="I2" s="49"/>
      <c r="J2" s="49"/>
      <c r="K2" s="49"/>
      <c r="L2" s="49"/>
    </row>
    <row r="4" customFormat="false" ht="18" hidden="false" customHeight="true" outlineLevel="0" collapsed="false">
      <c r="A4" s="50" t="s">
        <v>2440</v>
      </c>
      <c r="B4" s="50" t="s">
        <v>2441</v>
      </c>
      <c r="C4" s="50" t="s">
        <v>2442</v>
      </c>
      <c r="D4" s="50" t="s">
        <v>2443</v>
      </c>
      <c r="E4" s="50" t="s">
        <v>2444</v>
      </c>
      <c r="F4" s="50" t="s">
        <v>16</v>
      </c>
      <c r="G4" s="50" t="s">
        <v>19</v>
      </c>
      <c r="H4" s="50" t="s">
        <v>2445</v>
      </c>
      <c r="I4" s="50" t="s">
        <v>2446</v>
      </c>
      <c r="J4" s="50" t="s">
        <v>2447</v>
      </c>
      <c r="K4" s="50" t="s">
        <v>2448</v>
      </c>
      <c r="L4" s="50" t="s">
        <v>2449</v>
      </c>
      <c r="M4" s="50" t="s">
        <v>2450</v>
      </c>
      <c r="N4" s="50" t="s">
        <v>35</v>
      </c>
    </row>
    <row r="5" customFormat="false" ht="15.75" hidden="false" customHeight="true" outlineLevel="0" collapsed="false">
      <c r="A5" s="51" t="s">
        <v>2451</v>
      </c>
      <c r="B5" s="51" t="s">
        <v>40</v>
      </c>
      <c r="C5" s="52" t="s">
        <v>41</v>
      </c>
      <c r="D5" s="51" t="s">
        <v>46</v>
      </c>
      <c r="E5" s="52" t="s">
        <v>48</v>
      </c>
      <c r="F5" s="51" t="s">
        <v>54</v>
      </c>
      <c r="G5" s="51" t="s">
        <v>56</v>
      </c>
      <c r="H5" s="53" t="n">
        <v>75000</v>
      </c>
      <c r="I5" s="53" t="n">
        <v>5000</v>
      </c>
      <c r="J5" s="51" t="n">
        <f aca="false">H5+I5</f>
        <v>80000</v>
      </c>
      <c r="K5" s="53" t="n">
        <v>80000</v>
      </c>
      <c r="L5" s="51" t="n">
        <f aca="false">J5-K5</f>
        <v>0</v>
      </c>
      <c r="M5" s="54" t="s">
        <v>57</v>
      </c>
      <c r="N5" s="54" t="s">
        <v>62</v>
      </c>
    </row>
    <row r="6" customFormat="false" ht="15.75" hidden="false" customHeight="true" outlineLevel="0" collapsed="false">
      <c r="A6" s="55" t="s">
        <v>2452</v>
      </c>
      <c r="B6" s="55" t="s">
        <v>65</v>
      </c>
      <c r="C6" s="56" t="s">
        <v>66</v>
      </c>
      <c r="D6" s="55" t="s">
        <v>71</v>
      </c>
      <c r="E6" s="56" t="s">
        <v>73</v>
      </c>
      <c r="F6" s="55" t="s">
        <v>54</v>
      </c>
      <c r="G6" s="55" t="s">
        <v>78</v>
      </c>
      <c r="H6" s="57" t="n">
        <v>65000</v>
      </c>
      <c r="I6" s="57" t="n">
        <v>5000</v>
      </c>
      <c r="J6" s="55" t="n">
        <f aca="false">H6+I6</f>
        <v>70000</v>
      </c>
      <c r="K6" s="57" t="n">
        <v>70000</v>
      </c>
      <c r="L6" s="55" t="n">
        <f aca="false">J6-K6</f>
        <v>0</v>
      </c>
      <c r="M6" s="54" t="s">
        <v>57</v>
      </c>
      <c r="N6" s="54" t="s">
        <v>62</v>
      </c>
    </row>
    <row r="7" customFormat="false" ht="15.75" hidden="false" customHeight="true" outlineLevel="0" collapsed="false">
      <c r="A7" s="51" t="s">
        <v>2453</v>
      </c>
      <c r="B7" s="51" t="s">
        <v>79</v>
      </c>
      <c r="C7" s="52" t="s">
        <v>80</v>
      </c>
      <c r="D7" s="51" t="s">
        <v>46</v>
      </c>
      <c r="E7" s="52" t="s">
        <v>85</v>
      </c>
      <c r="F7" s="51" t="s">
        <v>54</v>
      </c>
      <c r="G7" s="51" t="s">
        <v>91</v>
      </c>
      <c r="H7" s="53" t="n">
        <v>75000</v>
      </c>
      <c r="I7" s="53" t="n">
        <v>5000</v>
      </c>
      <c r="J7" s="51" t="n">
        <f aca="false">H7+I7</f>
        <v>80000</v>
      </c>
      <c r="K7" s="53" t="n">
        <v>80000</v>
      </c>
      <c r="L7" s="51" t="n">
        <f aca="false">J7-K7</f>
        <v>0</v>
      </c>
      <c r="M7" s="54" t="s">
        <v>57</v>
      </c>
      <c r="N7" s="54" t="s">
        <v>62</v>
      </c>
    </row>
    <row r="8" customFormat="false" ht="15.75" hidden="false" customHeight="true" outlineLevel="0" collapsed="false">
      <c r="A8" s="55" t="s">
        <v>2454</v>
      </c>
      <c r="B8" s="55" t="s">
        <v>96</v>
      </c>
      <c r="C8" s="56" t="s">
        <v>97</v>
      </c>
      <c r="D8" s="55" t="s">
        <v>46</v>
      </c>
      <c r="E8" s="56" t="s">
        <v>102</v>
      </c>
      <c r="F8" s="55" t="s">
        <v>54</v>
      </c>
      <c r="G8" s="55" t="s">
        <v>107</v>
      </c>
      <c r="H8" s="57" t="n">
        <v>75000</v>
      </c>
      <c r="I8" s="57" t="n">
        <v>5000</v>
      </c>
      <c r="J8" s="55" t="n">
        <f aca="false">H8+I8</f>
        <v>80000</v>
      </c>
      <c r="K8" s="57" t="n">
        <v>80000</v>
      </c>
      <c r="L8" s="55" t="n">
        <f aca="false">J8-K8</f>
        <v>0</v>
      </c>
      <c r="M8" s="54" t="s">
        <v>57</v>
      </c>
      <c r="N8" s="54" t="s">
        <v>62</v>
      </c>
    </row>
    <row r="9" customFormat="false" ht="15.75" hidden="false" customHeight="true" outlineLevel="0" collapsed="false">
      <c r="A9" s="51" t="s">
        <v>2455</v>
      </c>
      <c r="B9" s="51" t="s">
        <v>111</v>
      </c>
      <c r="C9" s="52" t="s">
        <v>112</v>
      </c>
      <c r="D9" s="51" t="s">
        <v>46</v>
      </c>
      <c r="E9" s="52" t="s">
        <v>117</v>
      </c>
      <c r="F9" s="51" t="s">
        <v>54</v>
      </c>
      <c r="G9" s="51" t="s">
        <v>123</v>
      </c>
      <c r="H9" s="53" t="n">
        <v>75000</v>
      </c>
      <c r="I9" s="53" t="n">
        <v>5000</v>
      </c>
      <c r="J9" s="51" t="n">
        <f aca="false">H9+I9</f>
        <v>80000</v>
      </c>
      <c r="K9" s="53" t="n">
        <v>45000</v>
      </c>
      <c r="L9" s="51" t="n">
        <f aca="false">J9-K9</f>
        <v>35000</v>
      </c>
      <c r="M9" s="58" t="s">
        <v>124</v>
      </c>
      <c r="N9" s="58" t="s">
        <v>62</v>
      </c>
    </row>
    <row r="10" customFormat="false" ht="15.75" hidden="false" customHeight="true" outlineLevel="0" collapsed="false">
      <c r="A10" s="55" t="s">
        <v>2456</v>
      </c>
      <c r="B10" s="55" t="s">
        <v>127</v>
      </c>
      <c r="C10" s="56" t="s">
        <v>128</v>
      </c>
      <c r="D10" s="55" t="s">
        <v>132</v>
      </c>
      <c r="E10" s="56" t="s">
        <v>134</v>
      </c>
      <c r="F10" s="55" t="s">
        <v>54</v>
      </c>
      <c r="G10" s="55" t="s">
        <v>56</v>
      </c>
      <c r="H10" s="57" t="n">
        <v>60000</v>
      </c>
      <c r="I10" s="57" t="n">
        <v>5000</v>
      </c>
      <c r="J10" s="55" t="n">
        <f aca="false">H10+I10</f>
        <v>65000</v>
      </c>
      <c r="K10" s="57" t="n">
        <v>65000</v>
      </c>
      <c r="L10" s="55" t="n">
        <f aca="false">J10-K10</f>
        <v>0</v>
      </c>
      <c r="M10" s="54" t="s">
        <v>57</v>
      </c>
      <c r="N10" s="54" t="s">
        <v>62</v>
      </c>
    </row>
    <row r="11" customFormat="false" ht="15.75" hidden="false" customHeight="true" outlineLevel="0" collapsed="false">
      <c r="A11" s="51" t="s">
        <v>2457</v>
      </c>
      <c r="B11" s="51" t="s">
        <v>135</v>
      </c>
      <c r="C11" s="52" t="s">
        <v>136</v>
      </c>
      <c r="D11" s="51" t="s">
        <v>46</v>
      </c>
      <c r="E11" s="52" t="s">
        <v>117</v>
      </c>
      <c r="F11" s="51" t="s">
        <v>54</v>
      </c>
      <c r="G11" s="51" t="s">
        <v>78</v>
      </c>
      <c r="H11" s="53" t="n">
        <v>75000</v>
      </c>
      <c r="I11" s="53" t="n">
        <v>5000</v>
      </c>
      <c r="J11" s="51" t="n">
        <f aca="false">H11+I11</f>
        <v>80000</v>
      </c>
      <c r="K11" s="53" t="n">
        <v>80000</v>
      </c>
      <c r="L11" s="51" t="n">
        <f aca="false">J11-K11</f>
        <v>0</v>
      </c>
      <c r="M11" s="54" t="s">
        <v>57</v>
      </c>
      <c r="N11" s="54" t="s">
        <v>62</v>
      </c>
    </row>
    <row r="12" customFormat="false" ht="15.75" hidden="false" customHeight="true" outlineLevel="0" collapsed="false">
      <c r="A12" s="55" t="s">
        <v>2458</v>
      </c>
      <c r="B12" s="55" t="s">
        <v>142</v>
      </c>
      <c r="C12" s="56" t="s">
        <v>143</v>
      </c>
      <c r="D12" s="55" t="s">
        <v>147</v>
      </c>
      <c r="E12" s="56" t="s">
        <v>149</v>
      </c>
      <c r="F12" s="55" t="s">
        <v>54</v>
      </c>
      <c r="G12" s="55" t="s">
        <v>91</v>
      </c>
      <c r="H12" s="57" t="n">
        <v>70000</v>
      </c>
      <c r="I12" s="57" t="n">
        <v>5000</v>
      </c>
      <c r="J12" s="55" t="n">
        <f aca="false">H12+I12</f>
        <v>75000</v>
      </c>
      <c r="K12" s="57" t="n">
        <v>75000</v>
      </c>
      <c r="L12" s="55" t="n">
        <f aca="false">J12-K12</f>
        <v>0</v>
      </c>
      <c r="M12" s="54" t="s">
        <v>57</v>
      </c>
      <c r="N12" s="54" t="s">
        <v>62</v>
      </c>
    </row>
    <row r="13" customFormat="false" ht="15.75" hidden="false" customHeight="true" outlineLevel="0" collapsed="false">
      <c r="A13" s="51" t="s">
        <v>2459</v>
      </c>
      <c r="B13" s="51" t="s">
        <v>151</v>
      </c>
      <c r="C13" s="52" t="s">
        <v>152</v>
      </c>
      <c r="D13" s="51" t="s">
        <v>156</v>
      </c>
      <c r="E13" s="52" t="s">
        <v>73</v>
      </c>
      <c r="F13" s="51" t="s">
        <v>54</v>
      </c>
      <c r="G13" s="51" t="s">
        <v>56</v>
      </c>
      <c r="H13" s="53" t="n">
        <v>65000</v>
      </c>
      <c r="I13" s="53" t="n">
        <v>5000</v>
      </c>
      <c r="J13" s="51" t="n">
        <f aca="false">H13+I13</f>
        <v>70000</v>
      </c>
      <c r="K13" s="53" t="n">
        <v>0</v>
      </c>
      <c r="L13" s="51" t="n">
        <f aca="false">J13-K13</f>
        <v>70000</v>
      </c>
      <c r="M13" s="59" t="s">
        <v>160</v>
      </c>
      <c r="N13" s="59" t="s">
        <v>62</v>
      </c>
    </row>
    <row r="14" customFormat="false" ht="15.75" hidden="false" customHeight="true" outlineLevel="0" collapsed="false">
      <c r="A14" s="55" t="s">
        <v>2460</v>
      </c>
      <c r="B14" s="55" t="s">
        <v>161</v>
      </c>
      <c r="C14" s="56" t="s">
        <v>162</v>
      </c>
      <c r="D14" s="55" t="s">
        <v>46</v>
      </c>
      <c r="E14" s="56" t="s">
        <v>48</v>
      </c>
      <c r="F14" s="55" t="s">
        <v>54</v>
      </c>
      <c r="G14" s="55" t="s">
        <v>123</v>
      </c>
      <c r="H14" s="57" t="n">
        <v>75000</v>
      </c>
      <c r="I14" s="57" t="n">
        <v>5000</v>
      </c>
      <c r="J14" s="55" t="n">
        <f aca="false">H14+I14</f>
        <v>80000</v>
      </c>
      <c r="K14" s="57" t="n">
        <v>80000</v>
      </c>
      <c r="L14" s="55" t="n">
        <f aca="false">J14-K14</f>
        <v>0</v>
      </c>
      <c r="M14" s="54" t="s">
        <v>57</v>
      </c>
      <c r="N14" s="54" t="s">
        <v>62</v>
      </c>
    </row>
    <row r="15" customFormat="false" ht="15.75" hidden="false" customHeight="true" outlineLevel="0" collapsed="false">
      <c r="A15" s="51" t="s">
        <v>2461</v>
      </c>
      <c r="B15" s="51" t="s">
        <v>168</v>
      </c>
      <c r="C15" s="52" t="s">
        <v>169</v>
      </c>
      <c r="D15" s="51" t="s">
        <v>46</v>
      </c>
      <c r="E15" s="52" t="s">
        <v>117</v>
      </c>
      <c r="F15" s="51" t="s">
        <v>54</v>
      </c>
      <c r="G15" s="51" t="s">
        <v>78</v>
      </c>
      <c r="H15" s="53" t="n">
        <v>75000</v>
      </c>
      <c r="I15" s="53" t="n">
        <v>5000</v>
      </c>
      <c r="J15" s="51" t="n">
        <f aca="false">H15+I15</f>
        <v>80000</v>
      </c>
      <c r="K15" s="53" t="n">
        <v>80000</v>
      </c>
      <c r="L15" s="51" t="n">
        <f aca="false">J15-K15</f>
        <v>0</v>
      </c>
      <c r="M15" s="54" t="s">
        <v>57</v>
      </c>
      <c r="N15" s="54" t="s">
        <v>62</v>
      </c>
    </row>
    <row r="16" customFormat="false" ht="15.75" hidden="false" customHeight="true" outlineLevel="0" collapsed="false">
      <c r="A16" s="55" t="s">
        <v>2462</v>
      </c>
      <c r="B16" s="55" t="s">
        <v>174</v>
      </c>
      <c r="C16" s="56" t="s">
        <v>175</v>
      </c>
      <c r="D16" s="55" t="s">
        <v>46</v>
      </c>
      <c r="E16" s="56" t="s">
        <v>85</v>
      </c>
      <c r="F16" s="55" t="s">
        <v>54</v>
      </c>
      <c r="G16" s="55" t="s">
        <v>107</v>
      </c>
      <c r="H16" s="57" t="n">
        <v>75000</v>
      </c>
      <c r="I16" s="57" t="n">
        <v>5000</v>
      </c>
      <c r="J16" s="55" t="n">
        <f aca="false">H16+I16</f>
        <v>80000</v>
      </c>
      <c r="K16" s="57" t="n">
        <v>80000</v>
      </c>
      <c r="L16" s="55" t="n">
        <f aca="false">J16-K16</f>
        <v>0</v>
      </c>
      <c r="M16" s="54" t="s">
        <v>57</v>
      </c>
      <c r="N16" s="54" t="s">
        <v>62</v>
      </c>
    </row>
    <row r="17" customFormat="false" ht="15.75" hidden="false" customHeight="true" outlineLevel="0" collapsed="false">
      <c r="A17" s="51" t="s">
        <v>2463</v>
      </c>
      <c r="B17" s="51" t="s">
        <v>181</v>
      </c>
      <c r="C17" s="52" t="s">
        <v>182</v>
      </c>
      <c r="D17" s="51" t="s">
        <v>71</v>
      </c>
      <c r="E17" s="52" t="s">
        <v>187</v>
      </c>
      <c r="F17" s="51" t="s">
        <v>54</v>
      </c>
      <c r="G17" s="51" t="s">
        <v>56</v>
      </c>
      <c r="H17" s="53" t="n">
        <v>65000</v>
      </c>
      <c r="I17" s="53" t="n">
        <v>5000</v>
      </c>
      <c r="J17" s="51" t="n">
        <f aca="false">H17+I17</f>
        <v>70000</v>
      </c>
      <c r="K17" s="53" t="n">
        <v>70000</v>
      </c>
      <c r="L17" s="51" t="n">
        <f aca="false">J17-K17</f>
        <v>0</v>
      </c>
      <c r="M17" s="54" t="s">
        <v>57</v>
      </c>
      <c r="N17" s="54" t="s">
        <v>62</v>
      </c>
    </row>
    <row r="18" customFormat="false" ht="15.75" hidden="false" customHeight="true" outlineLevel="0" collapsed="false">
      <c r="A18" s="55" t="s">
        <v>2464</v>
      </c>
      <c r="B18" s="55" t="s">
        <v>188</v>
      </c>
      <c r="C18" s="56" t="s">
        <v>189</v>
      </c>
      <c r="D18" s="55" t="s">
        <v>193</v>
      </c>
      <c r="E18" s="56" t="s">
        <v>102</v>
      </c>
      <c r="F18" s="55" t="s">
        <v>54</v>
      </c>
      <c r="G18" s="55" t="s">
        <v>91</v>
      </c>
      <c r="H18" s="57" t="n">
        <v>80000</v>
      </c>
      <c r="I18" s="57" t="n">
        <v>5000</v>
      </c>
      <c r="J18" s="55" t="n">
        <f aca="false">H18+I18</f>
        <v>85000</v>
      </c>
      <c r="K18" s="57" t="n">
        <v>10000</v>
      </c>
      <c r="L18" s="55" t="n">
        <f aca="false">J18-K18</f>
        <v>75000</v>
      </c>
      <c r="M18" s="60" t="s">
        <v>197</v>
      </c>
      <c r="N18" s="60" t="s">
        <v>62</v>
      </c>
    </row>
    <row r="19" customFormat="false" ht="15.75" hidden="false" customHeight="true" outlineLevel="0" collapsed="false">
      <c r="A19" s="51" t="s">
        <v>2465</v>
      </c>
      <c r="B19" s="51" t="s">
        <v>198</v>
      </c>
      <c r="C19" s="52" t="s">
        <v>199</v>
      </c>
      <c r="D19" s="51" t="s">
        <v>71</v>
      </c>
      <c r="E19" s="52" t="s">
        <v>204</v>
      </c>
      <c r="F19" s="51" t="s">
        <v>54</v>
      </c>
      <c r="G19" s="51" t="s">
        <v>123</v>
      </c>
      <c r="H19" s="53" t="n">
        <v>65000</v>
      </c>
      <c r="I19" s="53" t="n">
        <v>5000</v>
      </c>
      <c r="J19" s="51" t="n">
        <f aca="false">H19+I19</f>
        <v>70000</v>
      </c>
      <c r="K19" s="53" t="n">
        <v>70000</v>
      </c>
      <c r="L19" s="51" t="n">
        <f aca="false">J19-K19</f>
        <v>0</v>
      </c>
      <c r="M19" s="54" t="s">
        <v>57</v>
      </c>
      <c r="N19" s="54" t="s">
        <v>62</v>
      </c>
    </row>
    <row r="20" customFormat="false" ht="15.75" hidden="false" customHeight="true" outlineLevel="0" collapsed="false">
      <c r="A20" s="55" t="s">
        <v>2466</v>
      </c>
      <c r="B20" s="55" t="s">
        <v>205</v>
      </c>
      <c r="C20" s="56" t="s">
        <v>206</v>
      </c>
      <c r="D20" s="55" t="s">
        <v>46</v>
      </c>
      <c r="E20" s="56" t="s">
        <v>117</v>
      </c>
      <c r="F20" s="55" t="s">
        <v>54</v>
      </c>
      <c r="G20" s="55" t="s">
        <v>78</v>
      </c>
      <c r="H20" s="57" t="n">
        <v>75000</v>
      </c>
      <c r="I20" s="57" t="n">
        <v>5000</v>
      </c>
      <c r="J20" s="55" t="n">
        <f aca="false">H20+I20</f>
        <v>80000</v>
      </c>
      <c r="K20" s="57" t="n">
        <v>80000</v>
      </c>
      <c r="L20" s="55" t="n">
        <f aca="false">J20-K20</f>
        <v>0</v>
      </c>
      <c r="M20" s="54" t="s">
        <v>57</v>
      </c>
      <c r="N20" s="54" t="s">
        <v>62</v>
      </c>
    </row>
    <row r="21" customFormat="false" ht="15.75" hidden="false" customHeight="true" outlineLevel="0" collapsed="false">
      <c r="A21" s="51" t="s">
        <v>2467</v>
      </c>
      <c r="B21" s="51" t="s">
        <v>213</v>
      </c>
      <c r="C21" s="52" t="s">
        <v>214</v>
      </c>
      <c r="D21" s="51" t="s">
        <v>46</v>
      </c>
      <c r="E21" s="52" t="s">
        <v>48</v>
      </c>
      <c r="F21" s="51" t="s">
        <v>54</v>
      </c>
      <c r="G21" s="51" t="s">
        <v>56</v>
      </c>
      <c r="H21" s="53" t="n">
        <v>75000</v>
      </c>
      <c r="I21" s="53" t="n">
        <v>5000</v>
      </c>
      <c r="J21" s="51" t="n">
        <f aca="false">H21+I21</f>
        <v>80000</v>
      </c>
      <c r="K21" s="53" t="n">
        <v>80000</v>
      </c>
      <c r="L21" s="51" t="n">
        <f aca="false">J21-K21</f>
        <v>0</v>
      </c>
      <c r="M21" s="54" t="s">
        <v>57</v>
      </c>
      <c r="N21" s="54" t="s">
        <v>62</v>
      </c>
    </row>
    <row r="22" customFormat="false" ht="15.75" hidden="false" customHeight="true" outlineLevel="0" collapsed="false">
      <c r="A22" s="55" t="s">
        <v>2468</v>
      </c>
      <c r="B22" s="55" t="s">
        <v>218</v>
      </c>
      <c r="C22" s="56" t="s">
        <v>219</v>
      </c>
      <c r="D22" s="55" t="s">
        <v>132</v>
      </c>
      <c r="E22" s="56" t="s">
        <v>134</v>
      </c>
      <c r="F22" s="55" t="s">
        <v>54</v>
      </c>
      <c r="G22" s="55" t="s">
        <v>91</v>
      </c>
      <c r="H22" s="57" t="n">
        <v>60000</v>
      </c>
      <c r="I22" s="57" t="n">
        <v>5000</v>
      </c>
      <c r="J22" s="55" t="n">
        <f aca="false">H22+I22</f>
        <v>65000</v>
      </c>
      <c r="K22" s="57" t="n">
        <v>65000</v>
      </c>
      <c r="L22" s="55" t="n">
        <f aca="false">J22-K22</f>
        <v>0</v>
      </c>
      <c r="M22" s="54" t="s">
        <v>57</v>
      </c>
      <c r="N22" s="54" t="s">
        <v>62</v>
      </c>
    </row>
    <row r="23" customFormat="false" ht="15.75" hidden="false" customHeight="true" outlineLevel="0" collapsed="false">
      <c r="A23" s="51" t="s">
        <v>2469</v>
      </c>
      <c r="B23" s="51" t="s">
        <v>225</v>
      </c>
      <c r="C23" s="52" t="s">
        <v>226</v>
      </c>
      <c r="D23" s="51" t="s">
        <v>46</v>
      </c>
      <c r="E23" s="52" t="s">
        <v>102</v>
      </c>
      <c r="F23" s="51" t="s">
        <v>54</v>
      </c>
      <c r="G23" s="51" t="s">
        <v>123</v>
      </c>
      <c r="H23" s="53" t="n">
        <v>75000</v>
      </c>
      <c r="I23" s="53" t="n">
        <v>5000</v>
      </c>
      <c r="J23" s="51" t="n">
        <f aca="false">H23+I23</f>
        <v>80000</v>
      </c>
      <c r="K23" s="53" t="n">
        <v>80000</v>
      </c>
      <c r="L23" s="51" t="n">
        <f aca="false">J23-K23</f>
        <v>0</v>
      </c>
      <c r="M23" s="54" t="s">
        <v>57</v>
      </c>
      <c r="N23" s="54" t="s">
        <v>62</v>
      </c>
    </row>
    <row r="24" customFormat="false" ht="15.75" hidden="false" customHeight="true" outlineLevel="0" collapsed="false">
      <c r="A24" s="55" t="s">
        <v>2470</v>
      </c>
      <c r="B24" s="55" t="s">
        <v>231</v>
      </c>
      <c r="C24" s="56" t="s">
        <v>232</v>
      </c>
      <c r="D24" s="55" t="s">
        <v>147</v>
      </c>
      <c r="E24" s="56" t="s">
        <v>149</v>
      </c>
      <c r="F24" s="55" t="s">
        <v>54</v>
      </c>
      <c r="G24" s="55" t="s">
        <v>78</v>
      </c>
      <c r="H24" s="57" t="n">
        <v>70000</v>
      </c>
      <c r="I24" s="57" t="n">
        <v>5000</v>
      </c>
      <c r="J24" s="55" t="n">
        <f aca="false">H24+I24</f>
        <v>75000</v>
      </c>
      <c r="K24" s="57" t="n">
        <v>75000</v>
      </c>
      <c r="L24" s="55" t="n">
        <f aca="false">J24-K24</f>
        <v>0</v>
      </c>
      <c r="M24" s="54" t="s">
        <v>57</v>
      </c>
      <c r="N24" s="54" t="s">
        <v>62</v>
      </c>
    </row>
    <row r="25" customFormat="false" ht="15.75" hidden="false" customHeight="true" outlineLevel="0" collapsed="false">
      <c r="A25" s="51" t="s">
        <v>2471</v>
      </c>
      <c r="B25" s="51" t="s">
        <v>236</v>
      </c>
      <c r="C25" s="52" t="s">
        <v>237</v>
      </c>
      <c r="D25" s="51" t="s">
        <v>71</v>
      </c>
      <c r="E25" s="52" t="s">
        <v>187</v>
      </c>
      <c r="F25" s="51" t="s">
        <v>54</v>
      </c>
      <c r="G25" s="51" t="s">
        <v>56</v>
      </c>
      <c r="H25" s="53" t="n">
        <v>65000</v>
      </c>
      <c r="I25" s="53" t="n">
        <v>5000</v>
      </c>
      <c r="J25" s="51" t="n">
        <f aca="false">H25+I25</f>
        <v>70000</v>
      </c>
      <c r="K25" s="53" t="n">
        <v>0</v>
      </c>
      <c r="L25" s="51" t="n">
        <f aca="false">J25-K25</f>
        <v>70000</v>
      </c>
      <c r="M25" s="59" t="s">
        <v>160</v>
      </c>
      <c r="N25" s="59" t="s">
        <v>62</v>
      </c>
    </row>
    <row r="26" customFormat="false" ht="15.75" hidden="false" customHeight="true" outlineLevel="0" collapsed="false">
      <c r="A26" s="55" t="s">
        <v>2472</v>
      </c>
      <c r="B26" s="55" t="s">
        <v>242</v>
      </c>
      <c r="C26" s="56" t="s">
        <v>243</v>
      </c>
      <c r="D26" s="55" t="s">
        <v>46</v>
      </c>
      <c r="E26" s="56" t="s">
        <v>117</v>
      </c>
      <c r="F26" s="55" t="s">
        <v>54</v>
      </c>
      <c r="G26" s="55" t="s">
        <v>107</v>
      </c>
      <c r="H26" s="57" t="n">
        <v>75000</v>
      </c>
      <c r="I26" s="57" t="n">
        <v>5000</v>
      </c>
      <c r="J26" s="55" t="n">
        <f aca="false">H26+I26</f>
        <v>80000</v>
      </c>
      <c r="K26" s="57" t="n">
        <v>80000</v>
      </c>
      <c r="L26" s="55" t="n">
        <f aca="false">J26-K26</f>
        <v>0</v>
      </c>
      <c r="M26" s="54" t="s">
        <v>57</v>
      </c>
      <c r="N26" s="54" t="s">
        <v>62</v>
      </c>
    </row>
    <row r="27" customFormat="false" ht="15.75" hidden="false" customHeight="true" outlineLevel="0" collapsed="false">
      <c r="A27" s="51" t="s">
        <v>2473</v>
      </c>
      <c r="B27" s="51" t="s">
        <v>247</v>
      </c>
      <c r="C27" s="52" t="s">
        <v>248</v>
      </c>
      <c r="D27" s="51" t="s">
        <v>156</v>
      </c>
      <c r="E27" s="52" t="s">
        <v>73</v>
      </c>
      <c r="F27" s="51" t="s">
        <v>54</v>
      </c>
      <c r="G27" s="51" t="s">
        <v>123</v>
      </c>
      <c r="H27" s="53" t="n">
        <v>65000</v>
      </c>
      <c r="I27" s="53" t="n">
        <v>5000</v>
      </c>
      <c r="J27" s="51" t="n">
        <f aca="false">H27+I27</f>
        <v>70000</v>
      </c>
      <c r="K27" s="53" t="n">
        <v>35000</v>
      </c>
      <c r="L27" s="51" t="n">
        <f aca="false">J27-K27</f>
        <v>35000</v>
      </c>
      <c r="M27" s="58" t="s">
        <v>124</v>
      </c>
      <c r="N27" s="58" t="s">
        <v>62</v>
      </c>
    </row>
    <row r="28" customFormat="false" ht="15.75" hidden="false" customHeight="true" outlineLevel="0" collapsed="false">
      <c r="A28" s="55" t="s">
        <v>2474</v>
      </c>
      <c r="B28" s="55" t="s">
        <v>253</v>
      </c>
      <c r="C28" s="56" t="s">
        <v>254</v>
      </c>
      <c r="D28" s="55" t="s">
        <v>46</v>
      </c>
      <c r="E28" s="56" t="s">
        <v>48</v>
      </c>
      <c r="F28" s="55" t="s">
        <v>54</v>
      </c>
      <c r="G28" s="55" t="s">
        <v>78</v>
      </c>
      <c r="H28" s="57" t="n">
        <v>75000</v>
      </c>
      <c r="I28" s="57" t="n">
        <v>5000</v>
      </c>
      <c r="J28" s="55" t="n">
        <f aca="false">H28+I28</f>
        <v>80000</v>
      </c>
      <c r="K28" s="57" t="n">
        <v>80000</v>
      </c>
      <c r="L28" s="55" t="n">
        <f aca="false">J28-K28</f>
        <v>0</v>
      </c>
      <c r="M28" s="54" t="s">
        <v>57</v>
      </c>
      <c r="N28" s="54" t="s">
        <v>62</v>
      </c>
    </row>
    <row r="29" customFormat="false" ht="15.75" hidden="false" customHeight="true" outlineLevel="0" collapsed="false">
      <c r="A29" s="51" t="s">
        <v>2475</v>
      </c>
      <c r="B29" s="51" t="s">
        <v>258</v>
      </c>
      <c r="C29" s="52" t="s">
        <v>259</v>
      </c>
      <c r="D29" s="51" t="s">
        <v>46</v>
      </c>
      <c r="E29" s="52" t="s">
        <v>48</v>
      </c>
      <c r="F29" s="51" t="s">
        <v>54</v>
      </c>
      <c r="G29" s="51" t="s">
        <v>123</v>
      </c>
      <c r="H29" s="53" t="n">
        <v>75000</v>
      </c>
      <c r="I29" s="53" t="n">
        <v>5000</v>
      </c>
      <c r="J29" s="51" t="n">
        <f aca="false">H29+I29</f>
        <v>80000</v>
      </c>
      <c r="K29" s="61" t="n">
        <v>5000</v>
      </c>
      <c r="L29" s="62" t="n">
        <f aca="false">J29-K29</f>
        <v>75000</v>
      </c>
      <c r="M29" s="62" t="s">
        <v>2476</v>
      </c>
      <c r="N29" s="62" t="s">
        <v>62</v>
      </c>
    </row>
    <row r="30" customFormat="false" ht="15.75" hidden="false" customHeight="true" outlineLevel="0" collapsed="false">
      <c r="A30" s="55" t="s">
        <v>2477</v>
      </c>
      <c r="B30" s="55" t="s">
        <v>264</v>
      </c>
      <c r="C30" s="56" t="s">
        <v>265</v>
      </c>
      <c r="D30" s="55" t="s">
        <v>273</v>
      </c>
      <c r="E30" s="56" t="s">
        <v>48</v>
      </c>
      <c r="F30" s="55" t="s">
        <v>272</v>
      </c>
      <c r="G30" s="55" t="s">
        <v>78</v>
      </c>
      <c r="H30" s="57" t="n">
        <v>90000</v>
      </c>
      <c r="I30" s="57" t="n">
        <v>5000</v>
      </c>
      <c r="J30" s="55" t="n">
        <f aca="false">H30+I30</f>
        <v>95000</v>
      </c>
      <c r="K30" s="57" t="n">
        <v>95000</v>
      </c>
      <c r="L30" s="55" t="n">
        <f aca="false">J30-K30</f>
        <v>0</v>
      </c>
      <c r="M30" s="54" t="s">
        <v>57</v>
      </c>
      <c r="N30" s="54" t="s">
        <v>62</v>
      </c>
    </row>
    <row r="31" customFormat="false" ht="15.75" hidden="false" customHeight="true" outlineLevel="0" collapsed="false">
      <c r="A31" s="51" t="s">
        <v>2478</v>
      </c>
      <c r="B31" s="51" t="s">
        <v>281</v>
      </c>
      <c r="C31" s="52" t="s">
        <v>282</v>
      </c>
      <c r="D31" s="51" t="s">
        <v>289</v>
      </c>
      <c r="E31" s="52" t="s">
        <v>73</v>
      </c>
      <c r="F31" s="51" t="s">
        <v>272</v>
      </c>
      <c r="G31" s="51" t="s">
        <v>123</v>
      </c>
      <c r="H31" s="53" t="n">
        <v>110000</v>
      </c>
      <c r="I31" s="53" t="n">
        <v>5000</v>
      </c>
      <c r="J31" s="51" t="n">
        <f aca="false">H31+I31</f>
        <v>115000</v>
      </c>
      <c r="K31" s="53" t="n">
        <v>115000</v>
      </c>
      <c r="L31" s="51" t="n">
        <f aca="false">J31-K31</f>
        <v>0</v>
      </c>
      <c r="M31" s="54" t="s">
        <v>57</v>
      </c>
      <c r="N31" s="54" t="s">
        <v>62</v>
      </c>
    </row>
    <row r="32" customFormat="false" ht="15.75" hidden="false" customHeight="true" outlineLevel="0" collapsed="false">
      <c r="A32" s="55" t="s">
        <v>2479</v>
      </c>
      <c r="B32" s="55" t="s">
        <v>296</v>
      </c>
      <c r="C32" s="56" t="s">
        <v>297</v>
      </c>
      <c r="D32" s="55" t="s">
        <v>302</v>
      </c>
      <c r="E32" s="56" t="s">
        <v>73</v>
      </c>
      <c r="F32" s="55" t="s">
        <v>272</v>
      </c>
      <c r="G32" s="55" t="s">
        <v>107</v>
      </c>
      <c r="H32" s="57" t="n">
        <v>85000</v>
      </c>
      <c r="I32" s="57" t="n">
        <v>5000</v>
      </c>
      <c r="J32" s="55" t="n">
        <f aca="false">H32+I32</f>
        <v>90000</v>
      </c>
      <c r="K32" s="57" t="n">
        <v>90000</v>
      </c>
      <c r="L32" s="55" t="n">
        <f aca="false">J32-K32</f>
        <v>0</v>
      </c>
      <c r="M32" s="54" t="s">
        <v>57</v>
      </c>
      <c r="N32" s="54" t="s">
        <v>62</v>
      </c>
    </row>
    <row r="33" customFormat="false" ht="15.75" hidden="false" customHeight="true" outlineLevel="0" collapsed="false">
      <c r="A33" s="51" t="s">
        <v>2480</v>
      </c>
      <c r="B33" s="51" t="s">
        <v>309</v>
      </c>
      <c r="C33" s="52" t="s">
        <v>310</v>
      </c>
      <c r="D33" s="51" t="s">
        <v>273</v>
      </c>
      <c r="E33" s="52" t="s">
        <v>117</v>
      </c>
      <c r="F33" s="51" t="s">
        <v>272</v>
      </c>
      <c r="G33" s="51" t="s">
        <v>123</v>
      </c>
      <c r="H33" s="53" t="n">
        <v>90000</v>
      </c>
      <c r="I33" s="53" t="n">
        <v>5000</v>
      </c>
      <c r="J33" s="51" t="n">
        <f aca="false">H33+I33</f>
        <v>95000</v>
      </c>
      <c r="K33" s="53" t="n">
        <v>60000</v>
      </c>
      <c r="L33" s="51" t="n">
        <f aca="false">J33-K33</f>
        <v>35000</v>
      </c>
      <c r="M33" s="58" t="s">
        <v>124</v>
      </c>
      <c r="N33" s="58" t="s">
        <v>62</v>
      </c>
    </row>
    <row r="34" customFormat="false" ht="15.75" hidden="false" customHeight="true" outlineLevel="0" collapsed="false">
      <c r="A34" s="55" t="s">
        <v>2481</v>
      </c>
      <c r="B34" s="55" t="s">
        <v>319</v>
      </c>
      <c r="C34" s="56" t="s">
        <v>320</v>
      </c>
      <c r="D34" s="55" t="s">
        <v>302</v>
      </c>
      <c r="E34" s="56" t="s">
        <v>204</v>
      </c>
      <c r="F34" s="55" t="s">
        <v>272</v>
      </c>
      <c r="G34" s="55" t="s">
        <v>78</v>
      </c>
      <c r="H34" s="57" t="n">
        <v>85000</v>
      </c>
      <c r="I34" s="57" t="n">
        <v>5000</v>
      </c>
      <c r="J34" s="55" t="n">
        <f aca="false">H34+I34</f>
        <v>90000</v>
      </c>
      <c r="K34" s="57" t="n">
        <v>90000</v>
      </c>
      <c r="L34" s="55" t="n">
        <f aca="false">J34-K34</f>
        <v>0</v>
      </c>
      <c r="M34" s="54" t="s">
        <v>57</v>
      </c>
      <c r="N34" s="54" t="s">
        <v>62</v>
      </c>
    </row>
    <row r="35" customFormat="false" ht="15.75" hidden="false" customHeight="true" outlineLevel="0" collapsed="false">
      <c r="A35" s="51" t="s">
        <v>2482</v>
      </c>
      <c r="B35" s="51" t="s">
        <v>328</v>
      </c>
      <c r="C35" s="52" t="s">
        <v>329</v>
      </c>
      <c r="D35" s="51" t="s">
        <v>289</v>
      </c>
      <c r="E35" s="52" t="s">
        <v>73</v>
      </c>
      <c r="F35" s="51" t="s">
        <v>272</v>
      </c>
      <c r="G35" s="51" t="s">
        <v>123</v>
      </c>
      <c r="H35" s="53" t="n">
        <v>110000</v>
      </c>
      <c r="I35" s="53" t="n">
        <v>5000</v>
      </c>
      <c r="J35" s="51" t="n">
        <f aca="false">H35+I35</f>
        <v>115000</v>
      </c>
      <c r="K35" s="53" t="n">
        <v>115000</v>
      </c>
      <c r="L35" s="51" t="n">
        <f aca="false">J35-K35</f>
        <v>0</v>
      </c>
      <c r="M35" s="54" t="s">
        <v>57</v>
      </c>
      <c r="N35" s="54" t="s">
        <v>62</v>
      </c>
    </row>
    <row r="36" customFormat="false" ht="15.75" hidden="false" customHeight="true" outlineLevel="0" collapsed="false">
      <c r="A36" s="55" t="s">
        <v>2483</v>
      </c>
      <c r="B36" s="55" t="s">
        <v>337</v>
      </c>
      <c r="C36" s="56" t="s">
        <v>338</v>
      </c>
      <c r="D36" s="55" t="s">
        <v>342</v>
      </c>
      <c r="E36" s="56" t="s">
        <v>117</v>
      </c>
      <c r="F36" s="55" t="s">
        <v>272</v>
      </c>
      <c r="G36" s="55" t="s">
        <v>345</v>
      </c>
      <c r="H36" s="57" t="n">
        <v>80000</v>
      </c>
      <c r="I36" s="57" t="n">
        <v>5000</v>
      </c>
      <c r="J36" s="55" t="n">
        <f aca="false">H36+I36</f>
        <v>85000</v>
      </c>
      <c r="K36" s="57" t="n">
        <v>85000</v>
      </c>
      <c r="L36" s="55" t="n">
        <f aca="false">J36-K36</f>
        <v>0</v>
      </c>
      <c r="M36" s="54" t="s">
        <v>57</v>
      </c>
      <c r="N36" s="54" t="s">
        <v>62</v>
      </c>
    </row>
    <row r="37" customFormat="false" ht="15.75" hidden="false" customHeight="true" outlineLevel="0" collapsed="false">
      <c r="A37" s="51" t="s">
        <v>2484</v>
      </c>
      <c r="B37" s="51" t="s">
        <v>354</v>
      </c>
      <c r="C37" s="52" t="s">
        <v>355</v>
      </c>
      <c r="D37" s="51" t="s">
        <v>342</v>
      </c>
      <c r="E37" s="52" t="s">
        <v>48</v>
      </c>
      <c r="F37" s="51" t="s">
        <v>272</v>
      </c>
      <c r="G37" s="51" t="s">
        <v>361</v>
      </c>
      <c r="H37" s="53" t="n">
        <v>80000</v>
      </c>
      <c r="I37" s="53" t="n">
        <v>5000</v>
      </c>
      <c r="J37" s="51" t="n">
        <f aca="false">H37+I37</f>
        <v>85000</v>
      </c>
      <c r="K37" s="53" t="n">
        <v>85000</v>
      </c>
      <c r="L37" s="51" t="n">
        <f aca="false">J37-K37</f>
        <v>0</v>
      </c>
      <c r="M37" s="54" t="s">
        <v>57</v>
      </c>
      <c r="N37" s="54" t="s">
        <v>62</v>
      </c>
    </row>
    <row r="38" customFormat="false" ht="15.75" hidden="false" customHeight="true" outlineLevel="0" collapsed="false">
      <c r="A38" s="55" t="s">
        <v>2485</v>
      </c>
      <c r="B38" s="55" t="s">
        <v>370</v>
      </c>
      <c r="C38" s="56" t="s">
        <v>371</v>
      </c>
      <c r="D38" s="55" t="s">
        <v>375</v>
      </c>
      <c r="E38" s="56" t="s">
        <v>134</v>
      </c>
      <c r="F38" s="55" t="s">
        <v>272</v>
      </c>
      <c r="G38" s="55" t="s">
        <v>345</v>
      </c>
      <c r="H38" s="57" t="n">
        <v>75000</v>
      </c>
      <c r="I38" s="57" t="n">
        <v>5000</v>
      </c>
      <c r="J38" s="55" t="n">
        <f aca="false">H38+I38</f>
        <v>80000</v>
      </c>
      <c r="K38" s="57" t="n">
        <v>80000</v>
      </c>
      <c r="L38" s="55" t="n">
        <f aca="false">J38-K38</f>
        <v>0</v>
      </c>
      <c r="M38" s="54" t="s">
        <v>57</v>
      </c>
      <c r="N38" s="54" t="s">
        <v>62</v>
      </c>
    </row>
    <row r="39" customFormat="false" ht="15.75" hidden="false" customHeight="true" outlineLevel="0" collapsed="false">
      <c r="A39" s="51" t="s">
        <v>2486</v>
      </c>
      <c r="B39" s="51" t="s">
        <v>383</v>
      </c>
      <c r="C39" s="52" t="s">
        <v>384</v>
      </c>
      <c r="D39" s="51" t="s">
        <v>342</v>
      </c>
      <c r="E39" s="52" t="s">
        <v>85</v>
      </c>
      <c r="F39" s="51" t="s">
        <v>272</v>
      </c>
      <c r="G39" s="51" t="s">
        <v>361</v>
      </c>
      <c r="H39" s="53" t="n">
        <v>80000</v>
      </c>
      <c r="I39" s="53" t="n">
        <v>5000</v>
      </c>
      <c r="J39" s="51" t="n">
        <f aca="false">H39+I39</f>
        <v>85000</v>
      </c>
      <c r="K39" s="53" t="n">
        <v>0</v>
      </c>
      <c r="L39" s="51" t="n">
        <f aca="false">J39-K39</f>
        <v>85000</v>
      </c>
      <c r="M39" s="59" t="s">
        <v>160</v>
      </c>
      <c r="N39" s="59" t="s">
        <v>62</v>
      </c>
    </row>
    <row r="40" customFormat="false" ht="15.75" hidden="false" customHeight="true" outlineLevel="0" collapsed="false">
      <c r="A40" s="55" t="s">
        <v>2487</v>
      </c>
      <c r="B40" s="55" t="s">
        <v>398</v>
      </c>
      <c r="C40" s="56" t="s">
        <v>399</v>
      </c>
      <c r="D40" s="55" t="s">
        <v>342</v>
      </c>
      <c r="E40" s="56" t="s">
        <v>102</v>
      </c>
      <c r="F40" s="55" t="s">
        <v>272</v>
      </c>
      <c r="G40" s="55" t="s">
        <v>107</v>
      </c>
      <c r="H40" s="57" t="n">
        <v>80000</v>
      </c>
      <c r="I40" s="57" t="n">
        <v>5000</v>
      </c>
      <c r="J40" s="55" t="n">
        <f aca="false">H40+I40</f>
        <v>85000</v>
      </c>
      <c r="K40" s="57" t="n">
        <v>85000</v>
      </c>
      <c r="L40" s="55" t="n">
        <f aca="false">J40-K40</f>
        <v>0</v>
      </c>
      <c r="M40" s="54" t="s">
        <v>57</v>
      </c>
      <c r="N40" s="54" t="s">
        <v>62</v>
      </c>
    </row>
    <row r="41" customFormat="false" ht="15.75" hidden="false" customHeight="true" outlineLevel="0" collapsed="false">
      <c r="A41" s="51" t="s">
        <v>2488</v>
      </c>
      <c r="B41" s="51" t="s">
        <v>412</v>
      </c>
      <c r="C41" s="52" t="s">
        <v>413</v>
      </c>
      <c r="D41" s="51" t="s">
        <v>342</v>
      </c>
      <c r="E41" s="52" t="s">
        <v>48</v>
      </c>
      <c r="F41" s="51" t="s">
        <v>272</v>
      </c>
      <c r="G41" s="51" t="s">
        <v>418</v>
      </c>
      <c r="H41" s="53" t="n">
        <v>80000</v>
      </c>
      <c r="I41" s="53" t="n">
        <v>5000</v>
      </c>
      <c r="J41" s="51" t="n">
        <f aca="false">H41+I41</f>
        <v>85000</v>
      </c>
      <c r="K41" s="53" t="n">
        <v>85000</v>
      </c>
      <c r="L41" s="51" t="n">
        <f aca="false">J41-K41</f>
        <v>0</v>
      </c>
      <c r="M41" s="54" t="s">
        <v>57</v>
      </c>
      <c r="N41" s="54" t="s">
        <v>62</v>
      </c>
    </row>
    <row r="42" customFormat="false" ht="18" hidden="false" customHeight="true" outlineLevel="0" collapsed="false">
      <c r="A42" s="1" t="s">
        <v>2489</v>
      </c>
      <c r="B42" s="1" t="s">
        <v>425</v>
      </c>
      <c r="C42" s="1" t="s">
        <v>426</v>
      </c>
      <c r="D42" s="1" t="s">
        <v>2490</v>
      </c>
      <c r="E42" s="1" t="s">
        <v>48</v>
      </c>
      <c r="F42" s="1" t="s">
        <v>272</v>
      </c>
      <c r="G42" s="1" t="s">
        <v>345</v>
      </c>
      <c r="H42" s="1" t="n">
        <v>180000</v>
      </c>
      <c r="I42" s="1" t="n">
        <v>5000</v>
      </c>
      <c r="J42" s="1" t="n">
        <v>185000</v>
      </c>
      <c r="K42" s="1" t="n">
        <v>185000</v>
      </c>
      <c r="L42" s="1" t="n">
        <v>0</v>
      </c>
      <c r="M42" s="1" t="s">
        <v>57</v>
      </c>
      <c r="N42" s="1" t="s">
        <v>62</v>
      </c>
    </row>
    <row r="43" customFormat="false" ht="15" hidden="false" customHeight="true" outlineLevel="0" collapsed="false">
      <c r="A43" s="1" t="s">
        <v>2491</v>
      </c>
      <c r="B43" s="1" t="s">
        <v>438</v>
      </c>
      <c r="C43" s="1" t="s">
        <v>439</v>
      </c>
      <c r="D43" s="1" t="s">
        <v>2490</v>
      </c>
      <c r="E43" s="1" t="s">
        <v>102</v>
      </c>
      <c r="F43" s="1" t="s">
        <v>272</v>
      </c>
      <c r="G43" s="1" t="s">
        <v>443</v>
      </c>
      <c r="H43" s="1" t="n">
        <v>180000</v>
      </c>
      <c r="I43" s="1" t="n">
        <v>5000</v>
      </c>
      <c r="J43" s="1" t="n">
        <v>185000</v>
      </c>
      <c r="K43" s="1" t="n">
        <v>185000</v>
      </c>
      <c r="L43" s="1" t="n">
        <v>0</v>
      </c>
      <c r="M43" s="1" t="s">
        <v>57</v>
      </c>
      <c r="N43" s="1" t="s">
        <v>62</v>
      </c>
    </row>
    <row r="44" customFormat="false" ht="15" hidden="false" customHeight="true" outlineLevel="0" collapsed="false">
      <c r="A44" s="1" t="s">
        <v>2492</v>
      </c>
      <c r="B44" s="1" t="s">
        <v>451</v>
      </c>
      <c r="C44" s="1" t="s">
        <v>452</v>
      </c>
      <c r="D44" s="1" t="s">
        <v>2490</v>
      </c>
      <c r="E44" s="1" t="s">
        <v>73</v>
      </c>
      <c r="F44" s="1" t="s">
        <v>272</v>
      </c>
      <c r="G44" s="1" t="s">
        <v>418</v>
      </c>
      <c r="H44" s="1" t="n">
        <v>180000</v>
      </c>
      <c r="I44" s="1" t="n">
        <v>5000</v>
      </c>
      <c r="J44" s="1" t="n">
        <v>185000</v>
      </c>
      <c r="K44" s="1" t="n">
        <v>185000</v>
      </c>
      <c r="L44" s="1" t="n">
        <v>0</v>
      </c>
      <c r="M44" s="1" t="s">
        <v>57</v>
      </c>
      <c r="N44" s="1" t="s">
        <v>62</v>
      </c>
    </row>
    <row r="45" customFormat="false" ht="15" hidden="false" customHeight="true" outlineLevel="0" collapsed="false">
      <c r="A45" s="1" t="s">
        <v>2493</v>
      </c>
      <c r="B45" s="1" t="s">
        <v>464</v>
      </c>
      <c r="C45" s="1" t="s">
        <v>465</v>
      </c>
      <c r="D45" s="1" t="s">
        <v>2490</v>
      </c>
      <c r="E45" s="1" t="s">
        <v>117</v>
      </c>
      <c r="F45" s="1" t="s">
        <v>272</v>
      </c>
      <c r="G45" s="1" t="s">
        <v>361</v>
      </c>
      <c r="H45" s="1" t="n">
        <v>180000</v>
      </c>
      <c r="I45" s="1" t="n">
        <v>5000</v>
      </c>
      <c r="J45" s="1" t="n">
        <v>185000</v>
      </c>
      <c r="K45" s="1" t="n">
        <v>185000</v>
      </c>
      <c r="L45" s="1" t="n">
        <v>0</v>
      </c>
      <c r="M45" s="1" t="s">
        <v>57</v>
      </c>
      <c r="N45" s="1" t="s">
        <v>62</v>
      </c>
    </row>
    <row r="46" customFormat="false" ht="15" hidden="false" customHeight="true" outlineLevel="0" collapsed="false">
      <c r="A46" s="51" t="s">
        <v>2494</v>
      </c>
      <c r="B46" s="51" t="s">
        <v>476</v>
      </c>
      <c r="C46" s="52" t="s">
        <v>477</v>
      </c>
      <c r="D46" s="51" t="s">
        <v>46</v>
      </c>
      <c r="E46" s="52" t="s">
        <v>481</v>
      </c>
      <c r="F46" s="51" t="s">
        <v>54</v>
      </c>
      <c r="G46" s="51" t="s">
        <v>56</v>
      </c>
      <c r="H46" s="53" t="n">
        <v>75000</v>
      </c>
      <c r="I46" s="53" t="n">
        <v>5000</v>
      </c>
      <c r="J46" s="51" t="n">
        <f aca="false">H46+I46</f>
        <v>80000</v>
      </c>
      <c r="K46" s="53" t="n">
        <v>80000</v>
      </c>
      <c r="L46" s="51" t="n">
        <f aca="false">J46-K46</f>
        <v>0</v>
      </c>
      <c r="M46" s="54" t="s">
        <v>57</v>
      </c>
      <c r="N46" s="54" t="s">
        <v>484</v>
      </c>
    </row>
    <row r="47" customFormat="false" ht="15" hidden="false" customHeight="true" outlineLevel="0" collapsed="false">
      <c r="A47" s="51" t="s">
        <v>2495</v>
      </c>
      <c r="B47" s="51" t="s">
        <v>485</v>
      </c>
      <c r="C47" s="52" t="s">
        <v>486</v>
      </c>
      <c r="D47" s="51" t="s">
        <v>46</v>
      </c>
      <c r="E47" s="52" t="s">
        <v>491</v>
      </c>
      <c r="F47" s="51" t="s">
        <v>54</v>
      </c>
      <c r="G47" s="51" t="s">
        <v>78</v>
      </c>
      <c r="H47" s="53" t="n">
        <v>75000</v>
      </c>
      <c r="I47" s="53" t="n">
        <v>5000</v>
      </c>
      <c r="J47" s="51" t="n">
        <f aca="false">H47+I47</f>
        <v>80000</v>
      </c>
      <c r="K47" s="53" t="n">
        <v>80000</v>
      </c>
      <c r="L47" s="51" t="n">
        <f aca="false">J47-K47</f>
        <v>0</v>
      </c>
      <c r="M47" s="54" t="s">
        <v>57</v>
      </c>
      <c r="N47" s="54" t="s">
        <v>484</v>
      </c>
    </row>
    <row r="48" customFormat="false" ht="15" hidden="false" customHeight="true" outlineLevel="0" collapsed="false">
      <c r="A48" s="51" t="s">
        <v>2496</v>
      </c>
      <c r="B48" s="51" t="s">
        <v>494</v>
      </c>
      <c r="C48" s="52" t="s">
        <v>495</v>
      </c>
      <c r="D48" s="51" t="s">
        <v>46</v>
      </c>
      <c r="E48" s="52" t="s">
        <v>499</v>
      </c>
      <c r="F48" s="51" t="s">
        <v>54</v>
      </c>
      <c r="G48" s="51" t="s">
        <v>91</v>
      </c>
      <c r="H48" s="53" t="n">
        <v>75000</v>
      </c>
      <c r="I48" s="53" t="n">
        <v>5000</v>
      </c>
      <c r="J48" s="51" t="n">
        <f aca="false">H48+I48</f>
        <v>80000</v>
      </c>
      <c r="K48" s="53" t="n">
        <v>80000</v>
      </c>
      <c r="L48" s="51" t="n">
        <f aca="false">J48-K48</f>
        <v>0</v>
      </c>
      <c r="M48" s="54" t="s">
        <v>57</v>
      </c>
      <c r="N48" s="54" t="s">
        <v>484</v>
      </c>
    </row>
    <row r="49" customFormat="false" ht="15" hidden="false" customHeight="true" outlineLevel="0" collapsed="false">
      <c r="A49" s="51" t="s">
        <v>2497</v>
      </c>
      <c r="B49" s="51" t="s">
        <v>504</v>
      </c>
      <c r="C49" s="52" t="s">
        <v>505</v>
      </c>
      <c r="D49" s="51" t="s">
        <v>46</v>
      </c>
      <c r="E49" s="52" t="s">
        <v>509</v>
      </c>
      <c r="F49" s="51" t="s">
        <v>54</v>
      </c>
      <c r="G49" s="51" t="s">
        <v>107</v>
      </c>
      <c r="H49" s="53" t="n">
        <v>75000</v>
      </c>
      <c r="I49" s="53" t="n">
        <v>5000</v>
      </c>
      <c r="J49" s="51" t="n">
        <f aca="false">H49+I49</f>
        <v>80000</v>
      </c>
      <c r="K49" s="53" t="n">
        <v>80000</v>
      </c>
      <c r="L49" s="51" t="n">
        <f aca="false">J49-K49</f>
        <v>0</v>
      </c>
      <c r="M49" s="54" t="s">
        <v>108</v>
      </c>
      <c r="N49" s="54" t="s">
        <v>484</v>
      </c>
    </row>
    <row r="50" customFormat="false" ht="15" hidden="false" customHeight="true" outlineLevel="0" collapsed="false">
      <c r="A50" s="51" t="s">
        <v>2498</v>
      </c>
      <c r="B50" s="51" t="s">
        <v>512</v>
      </c>
      <c r="C50" s="52" t="s">
        <v>513</v>
      </c>
      <c r="D50" s="51" t="s">
        <v>46</v>
      </c>
      <c r="E50" s="52" t="s">
        <v>499</v>
      </c>
      <c r="F50" s="51" t="s">
        <v>54</v>
      </c>
      <c r="G50" s="51" t="s">
        <v>123</v>
      </c>
      <c r="H50" s="53" t="n">
        <v>75000</v>
      </c>
      <c r="I50" s="53" t="n">
        <v>5000</v>
      </c>
      <c r="J50" s="51" t="n">
        <f aca="false">H50+I50</f>
        <v>80000</v>
      </c>
      <c r="K50" s="53" t="n">
        <v>41250</v>
      </c>
      <c r="L50" s="51" t="n">
        <f aca="false">J50-K50</f>
        <v>38750</v>
      </c>
      <c r="M50" s="54" t="s">
        <v>124</v>
      </c>
      <c r="N50" s="54" t="s">
        <v>484</v>
      </c>
    </row>
    <row r="51" customFormat="false" ht="15" hidden="false" customHeight="true" outlineLevel="0" collapsed="false">
      <c r="A51" s="51" t="s">
        <v>2499</v>
      </c>
      <c r="B51" s="51" t="s">
        <v>520</v>
      </c>
      <c r="C51" s="52" t="s">
        <v>521</v>
      </c>
      <c r="D51" s="51" t="s">
        <v>46</v>
      </c>
      <c r="E51" s="52" t="s">
        <v>481</v>
      </c>
      <c r="F51" s="51" t="s">
        <v>54</v>
      </c>
      <c r="G51" s="51" t="s">
        <v>56</v>
      </c>
      <c r="H51" s="53" t="n">
        <v>75000</v>
      </c>
      <c r="I51" s="53" t="n">
        <v>5000</v>
      </c>
      <c r="J51" s="51" t="n">
        <f aca="false">H51+I51</f>
        <v>80000</v>
      </c>
      <c r="K51" s="53" t="n">
        <v>80000</v>
      </c>
      <c r="L51" s="51" t="n">
        <f aca="false">J51-K51</f>
        <v>0</v>
      </c>
      <c r="M51" s="54" t="s">
        <v>57</v>
      </c>
      <c r="N51" s="54" t="s">
        <v>484</v>
      </c>
    </row>
    <row r="52" customFormat="false" ht="15" hidden="false" customHeight="true" outlineLevel="0" collapsed="false">
      <c r="A52" s="51" t="s">
        <v>2500</v>
      </c>
      <c r="B52" s="51" t="s">
        <v>526</v>
      </c>
      <c r="C52" s="52" t="s">
        <v>527</v>
      </c>
      <c r="D52" s="51" t="s">
        <v>46</v>
      </c>
      <c r="E52" s="52" t="s">
        <v>532</v>
      </c>
      <c r="F52" s="51" t="s">
        <v>54</v>
      </c>
      <c r="G52" s="51" t="s">
        <v>78</v>
      </c>
      <c r="H52" s="53" t="n">
        <v>75000</v>
      </c>
      <c r="I52" s="53" t="n">
        <v>5000</v>
      </c>
      <c r="J52" s="51" t="n">
        <f aca="false">H52+I52</f>
        <v>80000</v>
      </c>
      <c r="K52" s="53" t="n">
        <v>80000</v>
      </c>
      <c r="L52" s="51" t="n">
        <f aca="false">J52-K52</f>
        <v>0</v>
      </c>
      <c r="M52" s="54" t="s">
        <v>57</v>
      </c>
      <c r="N52" s="54" t="s">
        <v>484</v>
      </c>
    </row>
    <row r="53" customFormat="false" ht="15" hidden="false" customHeight="true" outlineLevel="0" collapsed="false">
      <c r="A53" s="51" t="s">
        <v>2501</v>
      </c>
      <c r="B53" s="51" t="s">
        <v>534</v>
      </c>
      <c r="C53" s="52" t="s">
        <v>535</v>
      </c>
      <c r="D53" s="51" t="s">
        <v>46</v>
      </c>
      <c r="E53" s="52" t="s">
        <v>491</v>
      </c>
      <c r="F53" s="51" t="s">
        <v>54</v>
      </c>
      <c r="G53" s="51" t="s">
        <v>91</v>
      </c>
      <c r="H53" s="53" t="n">
        <v>75000</v>
      </c>
      <c r="I53" s="53" t="n">
        <v>5000</v>
      </c>
      <c r="J53" s="51" t="n">
        <f aca="false">H53+I53</f>
        <v>80000</v>
      </c>
      <c r="K53" s="53" t="n">
        <v>80000</v>
      </c>
      <c r="L53" s="51" t="n">
        <f aca="false">J53-K53</f>
        <v>0</v>
      </c>
      <c r="M53" s="54" t="s">
        <v>57</v>
      </c>
      <c r="N53" s="54" t="s">
        <v>484</v>
      </c>
    </row>
    <row r="54" customFormat="false" ht="15" hidden="false" customHeight="true" outlineLevel="0" collapsed="false">
      <c r="A54" s="51" t="s">
        <v>2502</v>
      </c>
      <c r="B54" s="51" t="s">
        <v>540</v>
      </c>
      <c r="C54" s="52" t="s">
        <v>541</v>
      </c>
      <c r="D54" s="51" t="s">
        <v>46</v>
      </c>
      <c r="E54" s="52" t="s">
        <v>509</v>
      </c>
      <c r="F54" s="51" t="s">
        <v>54</v>
      </c>
      <c r="G54" s="51" t="s">
        <v>56</v>
      </c>
      <c r="H54" s="53" t="n">
        <v>75000</v>
      </c>
      <c r="I54" s="53" t="n">
        <v>5000</v>
      </c>
      <c r="J54" s="51" t="n">
        <f aca="false">H54+I54</f>
        <v>80000</v>
      </c>
      <c r="K54" s="53" t="n">
        <v>0</v>
      </c>
      <c r="L54" s="51" t="n">
        <f aca="false">J54-K54</f>
        <v>80000</v>
      </c>
      <c r="M54" s="54" t="s">
        <v>160</v>
      </c>
      <c r="N54" s="54" t="s">
        <v>484</v>
      </c>
    </row>
    <row r="55" customFormat="false" ht="15" hidden="false" customHeight="true" outlineLevel="0" collapsed="false">
      <c r="A55" s="51" t="s">
        <v>2503</v>
      </c>
      <c r="B55" s="51" t="s">
        <v>546</v>
      </c>
      <c r="C55" s="52" t="s">
        <v>547</v>
      </c>
      <c r="D55" s="51" t="s">
        <v>46</v>
      </c>
      <c r="E55" s="52" t="s">
        <v>499</v>
      </c>
      <c r="F55" s="51" t="s">
        <v>54</v>
      </c>
      <c r="G55" s="51" t="s">
        <v>123</v>
      </c>
      <c r="H55" s="53" t="n">
        <v>75000</v>
      </c>
      <c r="I55" s="53" t="n">
        <v>5000</v>
      </c>
      <c r="J55" s="51" t="n">
        <f aca="false">H55+I55</f>
        <v>80000</v>
      </c>
      <c r="K55" s="53" t="n">
        <v>80000</v>
      </c>
      <c r="L55" s="51" t="n">
        <f aca="false">J55-K55</f>
        <v>0</v>
      </c>
      <c r="M55" s="54" t="s">
        <v>57</v>
      </c>
      <c r="N55" s="54" t="s">
        <v>484</v>
      </c>
    </row>
    <row r="56" customFormat="false" ht="15" hidden="false" customHeight="true" outlineLevel="0" collapsed="false">
      <c r="A56" s="51" t="s">
        <v>2504</v>
      </c>
      <c r="B56" s="51" t="s">
        <v>552</v>
      </c>
      <c r="C56" s="52" t="s">
        <v>553</v>
      </c>
      <c r="D56" s="51" t="s">
        <v>46</v>
      </c>
      <c r="E56" s="52" t="s">
        <v>481</v>
      </c>
      <c r="F56" s="51" t="s">
        <v>54</v>
      </c>
      <c r="G56" s="51" t="s">
        <v>78</v>
      </c>
      <c r="H56" s="53" t="n">
        <v>75000</v>
      </c>
      <c r="I56" s="53" t="n">
        <v>5000</v>
      </c>
      <c r="J56" s="51" t="n">
        <f aca="false">H56+I56</f>
        <v>80000</v>
      </c>
      <c r="K56" s="53" t="n">
        <v>80000</v>
      </c>
      <c r="L56" s="51" t="n">
        <f aca="false">J56-K56</f>
        <v>0</v>
      </c>
      <c r="M56" s="54" t="s">
        <v>57</v>
      </c>
      <c r="N56" s="54" t="s">
        <v>484</v>
      </c>
    </row>
    <row r="57" customFormat="false" ht="15" hidden="false" customHeight="true" outlineLevel="0" collapsed="false">
      <c r="A57" s="51" t="s">
        <v>2505</v>
      </c>
      <c r="B57" s="51" t="s">
        <v>559</v>
      </c>
      <c r="C57" s="52" t="s">
        <v>560</v>
      </c>
      <c r="D57" s="51" t="s">
        <v>46</v>
      </c>
      <c r="E57" s="52" t="s">
        <v>491</v>
      </c>
      <c r="F57" s="51" t="s">
        <v>54</v>
      </c>
      <c r="G57" s="51" t="s">
        <v>107</v>
      </c>
      <c r="H57" s="53" t="n">
        <v>75000</v>
      </c>
      <c r="I57" s="53" t="n">
        <v>5000</v>
      </c>
      <c r="J57" s="51" t="n">
        <f aca="false">H57+I57</f>
        <v>80000</v>
      </c>
      <c r="K57" s="53" t="n">
        <v>80000</v>
      </c>
      <c r="L57" s="51" t="n">
        <f aca="false">J57-K57</f>
        <v>0</v>
      </c>
      <c r="M57" s="54" t="s">
        <v>108</v>
      </c>
      <c r="N57" s="54" t="s">
        <v>484</v>
      </c>
    </row>
    <row r="58" customFormat="false" ht="15" hidden="false" customHeight="true" outlineLevel="0" collapsed="false">
      <c r="A58" s="51" t="s">
        <v>2506</v>
      </c>
      <c r="B58" s="51" t="s">
        <v>565</v>
      </c>
      <c r="C58" s="52" t="s">
        <v>566</v>
      </c>
      <c r="D58" s="51" t="s">
        <v>46</v>
      </c>
      <c r="E58" s="52" t="s">
        <v>499</v>
      </c>
      <c r="F58" s="51" t="s">
        <v>54</v>
      </c>
      <c r="G58" s="51" t="s">
        <v>56</v>
      </c>
      <c r="H58" s="53" t="n">
        <v>75000</v>
      </c>
      <c r="I58" s="53" t="n">
        <v>5000</v>
      </c>
      <c r="J58" s="51" t="n">
        <f aca="false">H58+I58</f>
        <v>80000</v>
      </c>
      <c r="K58" s="53" t="n">
        <v>80000</v>
      </c>
      <c r="L58" s="51" t="n">
        <f aca="false">J58-K58</f>
        <v>0</v>
      </c>
      <c r="M58" s="54" t="s">
        <v>57</v>
      </c>
      <c r="N58" s="54" t="s">
        <v>484</v>
      </c>
    </row>
    <row r="59" customFormat="false" ht="15" hidden="false" customHeight="true" outlineLevel="0" collapsed="false">
      <c r="A59" s="51" t="s">
        <v>2507</v>
      </c>
      <c r="B59" s="51" t="s">
        <v>571</v>
      </c>
      <c r="C59" s="52" t="s">
        <v>572</v>
      </c>
      <c r="D59" s="51" t="s">
        <v>46</v>
      </c>
      <c r="E59" s="52" t="s">
        <v>532</v>
      </c>
      <c r="F59" s="51" t="s">
        <v>54</v>
      </c>
      <c r="G59" s="51" t="s">
        <v>91</v>
      </c>
      <c r="H59" s="53" t="n">
        <v>75000</v>
      </c>
      <c r="I59" s="53" t="n">
        <v>5000</v>
      </c>
      <c r="J59" s="51" t="n">
        <f aca="false">H59+I59</f>
        <v>80000</v>
      </c>
      <c r="K59" s="53" t="n">
        <v>10000</v>
      </c>
      <c r="L59" s="51" t="n">
        <f aca="false">J59-K59</f>
        <v>70000</v>
      </c>
      <c r="M59" s="54" t="s">
        <v>197</v>
      </c>
      <c r="N59" s="54" t="s">
        <v>484</v>
      </c>
    </row>
    <row r="60" customFormat="false" ht="15" hidden="false" customHeight="true" outlineLevel="0" collapsed="false">
      <c r="A60" s="51" t="s">
        <v>2508</v>
      </c>
      <c r="B60" s="51" t="s">
        <v>576</v>
      </c>
      <c r="C60" s="52" t="s">
        <v>577</v>
      </c>
      <c r="D60" s="51" t="s">
        <v>46</v>
      </c>
      <c r="E60" s="52" t="s">
        <v>509</v>
      </c>
      <c r="F60" s="51" t="s">
        <v>54</v>
      </c>
      <c r="G60" s="51" t="s">
        <v>123</v>
      </c>
      <c r="H60" s="53" t="n">
        <v>75000</v>
      </c>
      <c r="I60" s="53" t="n">
        <v>5000</v>
      </c>
      <c r="J60" s="51" t="n">
        <f aca="false">H60+I60</f>
        <v>80000</v>
      </c>
      <c r="K60" s="53" t="n">
        <v>80000</v>
      </c>
      <c r="L60" s="51" t="n">
        <f aca="false">J60-K60</f>
        <v>0</v>
      </c>
      <c r="M60" s="54" t="s">
        <v>57</v>
      </c>
      <c r="N60" s="54" t="s">
        <v>484</v>
      </c>
    </row>
    <row r="61" customFormat="false" ht="15" hidden="false" customHeight="true" outlineLevel="0" collapsed="false">
      <c r="A61" s="51" t="s">
        <v>2509</v>
      </c>
      <c r="B61" s="51" t="s">
        <v>581</v>
      </c>
      <c r="C61" s="52" t="s">
        <v>582</v>
      </c>
      <c r="D61" s="51" t="s">
        <v>46</v>
      </c>
      <c r="E61" s="52" t="s">
        <v>481</v>
      </c>
      <c r="F61" s="51" t="s">
        <v>54</v>
      </c>
      <c r="G61" s="51" t="s">
        <v>56</v>
      </c>
      <c r="H61" s="53" t="n">
        <v>75000</v>
      </c>
      <c r="I61" s="53" t="n">
        <v>5000</v>
      </c>
      <c r="J61" s="51" t="n">
        <f aca="false">H61+I61</f>
        <v>80000</v>
      </c>
      <c r="K61" s="53" t="n">
        <v>80000</v>
      </c>
      <c r="L61" s="51" t="n">
        <f aca="false">J61-K61</f>
        <v>0</v>
      </c>
      <c r="M61" s="54" t="s">
        <v>57</v>
      </c>
      <c r="N61" s="54" t="s">
        <v>484</v>
      </c>
    </row>
    <row r="62" customFormat="false" ht="15" hidden="false" customHeight="true" outlineLevel="0" collapsed="false">
      <c r="A62" s="51" t="s">
        <v>2510</v>
      </c>
      <c r="B62" s="51" t="s">
        <v>586</v>
      </c>
      <c r="C62" s="52" t="s">
        <v>587</v>
      </c>
      <c r="D62" s="51" t="s">
        <v>46</v>
      </c>
      <c r="E62" s="52" t="s">
        <v>499</v>
      </c>
      <c r="F62" s="51" t="s">
        <v>54</v>
      </c>
      <c r="G62" s="51" t="s">
        <v>78</v>
      </c>
      <c r="H62" s="53" t="n">
        <v>75000</v>
      </c>
      <c r="I62" s="53" t="n">
        <v>5000</v>
      </c>
      <c r="J62" s="51" t="n">
        <f aca="false">H62+I62</f>
        <v>80000</v>
      </c>
      <c r="K62" s="53" t="n">
        <v>80000</v>
      </c>
      <c r="L62" s="51" t="n">
        <f aca="false">J62-K62</f>
        <v>0</v>
      </c>
      <c r="M62" s="54" t="s">
        <v>57</v>
      </c>
      <c r="N62" s="54" t="s">
        <v>484</v>
      </c>
    </row>
    <row r="63" customFormat="false" ht="15" hidden="false" customHeight="true" outlineLevel="0" collapsed="false">
      <c r="A63" s="51" t="s">
        <v>2511</v>
      </c>
      <c r="B63" s="51" t="s">
        <v>591</v>
      </c>
      <c r="C63" s="52" t="s">
        <v>592</v>
      </c>
      <c r="D63" s="51" t="s">
        <v>46</v>
      </c>
      <c r="E63" s="52" t="s">
        <v>491</v>
      </c>
      <c r="F63" s="51" t="s">
        <v>54</v>
      </c>
      <c r="G63" s="51" t="s">
        <v>91</v>
      </c>
      <c r="H63" s="53" t="n">
        <v>75000</v>
      </c>
      <c r="I63" s="53" t="n">
        <v>5000</v>
      </c>
      <c r="J63" s="51" t="n">
        <f aca="false">H63+I63</f>
        <v>80000</v>
      </c>
      <c r="K63" s="53" t="n">
        <v>80000</v>
      </c>
      <c r="L63" s="51" t="n">
        <f aca="false">J63-K63</f>
        <v>0</v>
      </c>
      <c r="M63" s="54" t="s">
        <v>57</v>
      </c>
      <c r="N63" s="54" t="s">
        <v>484</v>
      </c>
    </row>
    <row r="64" customFormat="false" ht="15" hidden="false" customHeight="true" outlineLevel="0" collapsed="false">
      <c r="A64" s="51" t="s">
        <v>2512</v>
      </c>
      <c r="B64" s="51" t="s">
        <v>598</v>
      </c>
      <c r="C64" s="52" t="s">
        <v>599</v>
      </c>
      <c r="D64" s="51" t="s">
        <v>46</v>
      </c>
      <c r="E64" s="52" t="s">
        <v>532</v>
      </c>
      <c r="F64" s="51" t="s">
        <v>54</v>
      </c>
      <c r="G64" s="51" t="s">
        <v>56</v>
      </c>
      <c r="H64" s="53" t="n">
        <v>75000</v>
      </c>
      <c r="I64" s="53" t="n">
        <v>5000</v>
      </c>
      <c r="J64" s="51" t="n">
        <f aca="false">H64+I64</f>
        <v>80000</v>
      </c>
      <c r="K64" s="53" t="n">
        <v>80000</v>
      </c>
      <c r="L64" s="51" t="n">
        <f aca="false">J64-K64</f>
        <v>0</v>
      </c>
      <c r="M64" s="54" t="s">
        <v>57</v>
      </c>
      <c r="N64" s="54" t="s">
        <v>484</v>
      </c>
    </row>
    <row r="65" customFormat="false" ht="15" hidden="false" customHeight="true" outlineLevel="0" collapsed="false">
      <c r="A65" s="51" t="s">
        <v>2513</v>
      </c>
      <c r="B65" s="51" t="s">
        <v>604</v>
      </c>
      <c r="C65" s="52" t="s">
        <v>605</v>
      </c>
      <c r="D65" s="51" t="s">
        <v>46</v>
      </c>
      <c r="E65" s="52" t="s">
        <v>481</v>
      </c>
      <c r="F65" s="51" t="s">
        <v>54</v>
      </c>
      <c r="G65" s="51" t="s">
        <v>123</v>
      </c>
      <c r="H65" s="53" t="n">
        <v>75000</v>
      </c>
      <c r="I65" s="53" t="n">
        <v>5000</v>
      </c>
      <c r="J65" s="51" t="n">
        <f aca="false">H65+I65</f>
        <v>80000</v>
      </c>
      <c r="K65" s="53" t="n">
        <v>41250</v>
      </c>
      <c r="L65" s="51" t="n">
        <f aca="false">J65-K65</f>
        <v>38750</v>
      </c>
      <c r="M65" s="54" t="s">
        <v>124</v>
      </c>
      <c r="N65" s="54" t="s">
        <v>484</v>
      </c>
    </row>
    <row r="66" customFormat="false" ht="15" hidden="false" customHeight="true" outlineLevel="0" collapsed="false">
      <c r="A66" s="51" t="s">
        <v>2514</v>
      </c>
      <c r="B66" s="51" t="s">
        <v>610</v>
      </c>
      <c r="C66" s="52" t="s">
        <v>611</v>
      </c>
      <c r="D66" s="51" t="s">
        <v>46</v>
      </c>
      <c r="E66" s="52" t="s">
        <v>499</v>
      </c>
      <c r="F66" s="51" t="s">
        <v>54</v>
      </c>
      <c r="G66" s="51" t="s">
        <v>78</v>
      </c>
      <c r="H66" s="53" t="n">
        <v>75000</v>
      </c>
      <c r="I66" s="53" t="n">
        <v>5000</v>
      </c>
      <c r="J66" s="51" t="n">
        <f aca="false">H66+I66</f>
        <v>80000</v>
      </c>
      <c r="K66" s="53" t="n">
        <v>80000</v>
      </c>
      <c r="L66" s="51" t="n">
        <f aca="false">J66-K66</f>
        <v>0</v>
      </c>
      <c r="M66" s="54" t="s">
        <v>57</v>
      </c>
      <c r="N66" s="54" t="s">
        <v>484</v>
      </c>
    </row>
    <row r="67" customFormat="false" ht="15" hidden="false" customHeight="true" outlineLevel="0" collapsed="false">
      <c r="A67" s="51" t="s">
        <v>2515</v>
      </c>
      <c r="B67" s="51" t="s">
        <v>616</v>
      </c>
      <c r="C67" s="52" t="s">
        <v>617</v>
      </c>
      <c r="D67" s="51" t="s">
        <v>46</v>
      </c>
      <c r="E67" s="52" t="s">
        <v>509</v>
      </c>
      <c r="F67" s="51" t="s">
        <v>54</v>
      </c>
      <c r="G67" s="51" t="s">
        <v>91</v>
      </c>
      <c r="H67" s="53" t="n">
        <v>75000</v>
      </c>
      <c r="I67" s="53" t="n">
        <v>5000</v>
      </c>
      <c r="J67" s="51" t="n">
        <f aca="false">H67+I67</f>
        <v>80000</v>
      </c>
      <c r="K67" s="53" t="n">
        <v>80000</v>
      </c>
      <c r="L67" s="51" t="n">
        <f aca="false">J67-K67</f>
        <v>0</v>
      </c>
      <c r="M67" s="54" t="s">
        <v>57</v>
      </c>
      <c r="N67" s="54" t="s">
        <v>484</v>
      </c>
    </row>
    <row r="68" customFormat="false" ht="15" hidden="false" customHeight="true" outlineLevel="0" collapsed="false">
      <c r="A68" s="51" t="s">
        <v>2516</v>
      </c>
      <c r="B68" s="51" t="s">
        <v>622</v>
      </c>
      <c r="C68" s="52" t="s">
        <v>623</v>
      </c>
      <c r="D68" s="51" t="s">
        <v>46</v>
      </c>
      <c r="E68" s="52" t="s">
        <v>491</v>
      </c>
      <c r="F68" s="51" t="s">
        <v>54</v>
      </c>
      <c r="G68" s="51" t="s">
        <v>56</v>
      </c>
      <c r="H68" s="53" t="n">
        <v>75000</v>
      </c>
      <c r="I68" s="53" t="n">
        <v>5000</v>
      </c>
      <c r="J68" s="51" t="n">
        <f aca="false">H68+I68</f>
        <v>80000</v>
      </c>
      <c r="K68" s="53" t="n">
        <v>0</v>
      </c>
      <c r="L68" s="51" t="n">
        <f aca="false">J68-K68</f>
        <v>80000</v>
      </c>
      <c r="M68" s="54" t="s">
        <v>160</v>
      </c>
      <c r="N68" s="54" t="s">
        <v>484</v>
      </c>
    </row>
    <row r="69" customFormat="false" ht="15" hidden="false" customHeight="true" outlineLevel="0" collapsed="false">
      <c r="A69" s="51" t="s">
        <v>2517</v>
      </c>
      <c r="B69" s="51" t="s">
        <v>627</v>
      </c>
      <c r="C69" s="52" t="s">
        <v>628</v>
      </c>
      <c r="D69" s="51" t="s">
        <v>46</v>
      </c>
      <c r="E69" s="52" t="s">
        <v>499</v>
      </c>
      <c r="F69" s="51" t="s">
        <v>54</v>
      </c>
      <c r="G69" s="51" t="s">
        <v>78</v>
      </c>
      <c r="H69" s="53" t="n">
        <v>75000</v>
      </c>
      <c r="I69" s="53" t="n">
        <v>5000</v>
      </c>
      <c r="J69" s="51" t="n">
        <f aca="false">H69+I69</f>
        <v>80000</v>
      </c>
      <c r="K69" s="53" t="n">
        <v>80000</v>
      </c>
      <c r="L69" s="51" t="n">
        <f aca="false">J69-K69</f>
        <v>0</v>
      </c>
      <c r="M69" s="54" t="s">
        <v>57</v>
      </c>
      <c r="N69" s="54" t="s">
        <v>484</v>
      </c>
    </row>
    <row r="70" customFormat="false" ht="15" hidden="false" customHeight="true" outlineLevel="0" collapsed="false">
      <c r="A70" s="51" t="s">
        <v>2518</v>
      </c>
      <c r="B70" s="51" t="s">
        <v>632</v>
      </c>
      <c r="C70" s="52" t="s">
        <v>633</v>
      </c>
      <c r="D70" s="51" t="s">
        <v>46</v>
      </c>
      <c r="E70" s="52" t="s">
        <v>481</v>
      </c>
      <c r="F70" s="51" t="s">
        <v>54</v>
      </c>
      <c r="G70" s="51" t="s">
        <v>123</v>
      </c>
      <c r="H70" s="53" t="n">
        <v>75000</v>
      </c>
      <c r="I70" s="53" t="n">
        <v>5000</v>
      </c>
      <c r="J70" s="51" t="n">
        <f aca="false">H70+I70</f>
        <v>80000</v>
      </c>
      <c r="K70" s="53" t="n">
        <v>80000</v>
      </c>
      <c r="L70" s="51" t="n">
        <f aca="false">J70-K70</f>
        <v>0</v>
      </c>
      <c r="M70" s="54" t="s">
        <v>57</v>
      </c>
      <c r="N70" s="54" t="s">
        <v>484</v>
      </c>
    </row>
    <row r="71" customFormat="false" ht="15" hidden="false" customHeight="true" outlineLevel="0" collapsed="false">
      <c r="A71" s="51" t="s">
        <v>2519</v>
      </c>
      <c r="B71" s="51" t="s">
        <v>637</v>
      </c>
      <c r="C71" s="52" t="s">
        <v>638</v>
      </c>
      <c r="D71" s="51" t="s">
        <v>273</v>
      </c>
      <c r="E71" s="52" t="s">
        <v>509</v>
      </c>
      <c r="F71" s="51" t="s">
        <v>272</v>
      </c>
      <c r="G71" s="51" t="s">
        <v>78</v>
      </c>
      <c r="H71" s="53" t="n">
        <v>90000</v>
      </c>
      <c r="I71" s="53" t="n">
        <v>5000</v>
      </c>
      <c r="J71" s="51" t="n">
        <f aca="false">H71+I71</f>
        <v>95000</v>
      </c>
      <c r="K71" s="53" t="n">
        <v>95000</v>
      </c>
      <c r="L71" s="51" t="n">
        <f aca="false">J71-K71</f>
        <v>0</v>
      </c>
      <c r="M71" s="54" t="s">
        <v>57</v>
      </c>
      <c r="N71" s="54" t="s">
        <v>484</v>
      </c>
    </row>
    <row r="72" customFormat="false" ht="15" hidden="false" customHeight="true" outlineLevel="0" collapsed="false">
      <c r="A72" s="51" t="s">
        <v>2520</v>
      </c>
      <c r="B72" s="51" t="s">
        <v>645</v>
      </c>
      <c r="C72" s="52" t="s">
        <v>646</v>
      </c>
      <c r="D72" s="51" t="s">
        <v>289</v>
      </c>
      <c r="E72" s="52" t="s">
        <v>532</v>
      </c>
      <c r="F72" s="51" t="s">
        <v>272</v>
      </c>
      <c r="G72" s="51" t="s">
        <v>123</v>
      </c>
      <c r="H72" s="53" t="n">
        <v>110000</v>
      </c>
      <c r="I72" s="53" t="n">
        <v>5000</v>
      </c>
      <c r="J72" s="51" t="n">
        <f aca="false">H72+I72</f>
        <v>115000</v>
      </c>
      <c r="K72" s="53" t="n">
        <v>115000</v>
      </c>
      <c r="L72" s="51" t="n">
        <f aca="false">J72-K72</f>
        <v>0</v>
      </c>
      <c r="M72" s="54" t="s">
        <v>57</v>
      </c>
      <c r="N72" s="54" t="s">
        <v>484</v>
      </c>
    </row>
    <row r="73" customFormat="false" ht="15" hidden="false" customHeight="true" outlineLevel="0" collapsed="false">
      <c r="A73" s="51" t="s">
        <v>2521</v>
      </c>
      <c r="B73" s="51" t="s">
        <v>653</v>
      </c>
      <c r="C73" s="52" t="s">
        <v>654</v>
      </c>
      <c r="D73" s="51" t="s">
        <v>273</v>
      </c>
      <c r="E73" s="52" t="s">
        <v>499</v>
      </c>
      <c r="F73" s="51" t="s">
        <v>272</v>
      </c>
      <c r="G73" s="51" t="s">
        <v>107</v>
      </c>
      <c r="H73" s="53" t="n">
        <v>90000</v>
      </c>
      <c r="I73" s="53" t="n">
        <v>5000</v>
      </c>
      <c r="J73" s="51" t="n">
        <f aca="false">H73+I73</f>
        <v>95000</v>
      </c>
      <c r="K73" s="53" t="n">
        <v>95000</v>
      </c>
      <c r="L73" s="51" t="n">
        <f aca="false">J73-K73</f>
        <v>0</v>
      </c>
      <c r="M73" s="54" t="s">
        <v>108</v>
      </c>
      <c r="N73" s="54" t="s">
        <v>484</v>
      </c>
    </row>
    <row r="74" customFormat="false" ht="15" hidden="false" customHeight="true" outlineLevel="0" collapsed="false">
      <c r="A74" s="51" t="s">
        <v>2522</v>
      </c>
      <c r="B74" s="51" t="s">
        <v>661</v>
      </c>
      <c r="C74" s="52" t="s">
        <v>662</v>
      </c>
      <c r="D74" s="51" t="s">
        <v>273</v>
      </c>
      <c r="E74" s="52" t="s">
        <v>491</v>
      </c>
      <c r="F74" s="51" t="s">
        <v>272</v>
      </c>
      <c r="G74" s="51" t="s">
        <v>123</v>
      </c>
      <c r="H74" s="53" t="n">
        <v>90000</v>
      </c>
      <c r="I74" s="53" t="n">
        <v>5000</v>
      </c>
      <c r="J74" s="51" t="n">
        <f aca="false">H74+I74</f>
        <v>95000</v>
      </c>
      <c r="K74" s="53" t="n">
        <v>49500</v>
      </c>
      <c r="L74" s="51" t="n">
        <f aca="false">J74-K74</f>
        <v>45500</v>
      </c>
      <c r="M74" s="54" t="s">
        <v>124</v>
      </c>
      <c r="N74" s="54" t="s">
        <v>484</v>
      </c>
    </row>
    <row r="75" customFormat="false" ht="15" hidden="false" customHeight="true" outlineLevel="0" collapsed="false">
      <c r="A75" s="51" t="s">
        <v>2523</v>
      </c>
      <c r="B75" s="51" t="s">
        <v>670</v>
      </c>
      <c r="C75" s="52" t="s">
        <v>671</v>
      </c>
      <c r="D75" s="51" t="s">
        <v>273</v>
      </c>
      <c r="E75" s="52" t="s">
        <v>509</v>
      </c>
      <c r="F75" s="51" t="s">
        <v>272</v>
      </c>
      <c r="G75" s="51" t="s">
        <v>78</v>
      </c>
      <c r="H75" s="53" t="n">
        <v>90000</v>
      </c>
      <c r="I75" s="53" t="n">
        <v>5000</v>
      </c>
      <c r="J75" s="51" t="n">
        <f aca="false">H75+I75</f>
        <v>95000</v>
      </c>
      <c r="K75" s="53" t="n">
        <v>95000</v>
      </c>
      <c r="L75" s="51" t="n">
        <f aca="false">J75-K75</f>
        <v>0</v>
      </c>
      <c r="M75" s="54" t="s">
        <v>57</v>
      </c>
      <c r="N75" s="54" t="s">
        <v>484</v>
      </c>
    </row>
    <row r="76" customFormat="false" ht="15" hidden="false" customHeight="true" outlineLevel="0" collapsed="false">
      <c r="A76" s="51" t="s">
        <v>2524</v>
      </c>
      <c r="B76" s="51" t="s">
        <v>678</v>
      </c>
      <c r="C76" s="52" t="s">
        <v>679</v>
      </c>
      <c r="D76" s="51" t="s">
        <v>289</v>
      </c>
      <c r="E76" s="52" t="s">
        <v>532</v>
      </c>
      <c r="F76" s="51" t="s">
        <v>272</v>
      </c>
      <c r="G76" s="51" t="s">
        <v>123</v>
      </c>
      <c r="H76" s="53" t="n">
        <v>110000</v>
      </c>
      <c r="I76" s="53" t="n">
        <v>5000</v>
      </c>
      <c r="J76" s="51" t="n">
        <f aca="false">H76+I76</f>
        <v>115000</v>
      </c>
      <c r="K76" s="53" t="n">
        <v>115000</v>
      </c>
      <c r="L76" s="51" t="n">
        <f aca="false">J76-K76</f>
        <v>0</v>
      </c>
      <c r="M76" s="54" t="s">
        <v>57</v>
      </c>
      <c r="N76" s="54" t="s">
        <v>484</v>
      </c>
    </row>
    <row r="77" customFormat="false" ht="15" hidden="false" customHeight="true" outlineLevel="0" collapsed="false">
      <c r="A77" s="51" t="s">
        <v>2525</v>
      </c>
      <c r="B77" s="51" t="s">
        <v>685</v>
      </c>
      <c r="C77" s="52" t="s">
        <v>686</v>
      </c>
      <c r="D77" s="51" t="s">
        <v>342</v>
      </c>
      <c r="E77" s="52" t="s">
        <v>509</v>
      </c>
      <c r="F77" s="51" t="s">
        <v>272</v>
      </c>
      <c r="G77" s="51" t="s">
        <v>345</v>
      </c>
      <c r="H77" s="53" t="n">
        <v>80000</v>
      </c>
      <c r="I77" s="53" t="n">
        <v>5000</v>
      </c>
      <c r="J77" s="51" t="n">
        <f aca="false">H77+I77</f>
        <v>85000</v>
      </c>
      <c r="K77" s="53" t="n">
        <v>85000</v>
      </c>
      <c r="L77" s="51" t="n">
        <f aca="false">J77-K77</f>
        <v>0</v>
      </c>
      <c r="M77" s="54" t="s">
        <v>57</v>
      </c>
      <c r="N77" s="54" t="s">
        <v>484</v>
      </c>
    </row>
    <row r="78" customFormat="false" ht="15" hidden="false" customHeight="true" outlineLevel="0" collapsed="false">
      <c r="A78" s="51" t="s">
        <v>2526</v>
      </c>
      <c r="B78" s="51" t="s">
        <v>697</v>
      </c>
      <c r="C78" s="52" t="s">
        <v>698</v>
      </c>
      <c r="D78" s="51" t="s">
        <v>342</v>
      </c>
      <c r="E78" s="52" t="s">
        <v>481</v>
      </c>
      <c r="F78" s="51" t="s">
        <v>272</v>
      </c>
      <c r="G78" s="51" t="s">
        <v>361</v>
      </c>
      <c r="H78" s="53" t="n">
        <v>80000</v>
      </c>
      <c r="I78" s="53" t="n">
        <v>5000</v>
      </c>
      <c r="J78" s="51" t="n">
        <f aca="false">H78+I78</f>
        <v>85000</v>
      </c>
      <c r="K78" s="53" t="n">
        <v>85000</v>
      </c>
      <c r="L78" s="51" t="n">
        <f aca="false">J78-K78</f>
        <v>0</v>
      </c>
      <c r="M78" s="54" t="s">
        <v>57</v>
      </c>
      <c r="N78" s="54" t="s">
        <v>484</v>
      </c>
    </row>
    <row r="79" customFormat="false" ht="15" hidden="false" customHeight="true" outlineLevel="0" collapsed="false">
      <c r="A79" s="51" t="s">
        <v>2527</v>
      </c>
      <c r="B79" s="51" t="s">
        <v>708</v>
      </c>
      <c r="C79" s="52" t="s">
        <v>709</v>
      </c>
      <c r="D79" s="51" t="s">
        <v>375</v>
      </c>
      <c r="E79" s="52" t="s">
        <v>499</v>
      </c>
      <c r="F79" s="51" t="s">
        <v>272</v>
      </c>
      <c r="G79" s="51" t="s">
        <v>345</v>
      </c>
      <c r="H79" s="53" t="n">
        <v>75000</v>
      </c>
      <c r="I79" s="53" t="n">
        <v>5000</v>
      </c>
      <c r="J79" s="51" t="n">
        <f aca="false">H79+I79</f>
        <v>80000</v>
      </c>
      <c r="K79" s="53" t="n">
        <v>80000</v>
      </c>
      <c r="L79" s="51" t="n">
        <f aca="false">J79-K79</f>
        <v>0</v>
      </c>
      <c r="M79" s="54" t="s">
        <v>57</v>
      </c>
      <c r="N79" s="54" t="s">
        <v>484</v>
      </c>
    </row>
    <row r="80" customFormat="false" ht="15" hidden="false" customHeight="true" outlineLevel="0" collapsed="false">
      <c r="A80" s="51" t="s">
        <v>2528</v>
      </c>
      <c r="B80" s="51" t="s">
        <v>718</v>
      </c>
      <c r="C80" s="52" t="s">
        <v>719</v>
      </c>
      <c r="D80" s="51" t="s">
        <v>342</v>
      </c>
      <c r="E80" s="52" t="s">
        <v>499</v>
      </c>
      <c r="F80" s="51" t="s">
        <v>272</v>
      </c>
      <c r="G80" s="51" t="s">
        <v>361</v>
      </c>
      <c r="H80" s="53" t="n">
        <v>80000</v>
      </c>
      <c r="I80" s="53" t="n">
        <v>5000</v>
      </c>
      <c r="J80" s="51" t="n">
        <f aca="false">H80+I80</f>
        <v>85000</v>
      </c>
      <c r="K80" s="53" t="n">
        <v>0</v>
      </c>
      <c r="L80" s="51" t="n">
        <f aca="false">J80-K80</f>
        <v>85000</v>
      </c>
      <c r="M80" s="54" t="s">
        <v>160</v>
      </c>
      <c r="N80" s="54" t="s">
        <v>484</v>
      </c>
    </row>
    <row r="81" customFormat="false" ht="15" hidden="false" customHeight="true" outlineLevel="0" collapsed="false">
      <c r="A81" s="51" t="s">
        <v>2529</v>
      </c>
      <c r="B81" s="51" t="s">
        <v>725</v>
      </c>
      <c r="C81" s="52" t="s">
        <v>726</v>
      </c>
      <c r="D81" s="51" t="s">
        <v>342</v>
      </c>
      <c r="E81" s="52" t="s">
        <v>509</v>
      </c>
      <c r="F81" s="51" t="s">
        <v>272</v>
      </c>
      <c r="G81" s="51" t="s">
        <v>107</v>
      </c>
      <c r="H81" s="53" t="n">
        <v>80000</v>
      </c>
      <c r="I81" s="53" t="n">
        <v>5000</v>
      </c>
      <c r="J81" s="51" t="n">
        <f aca="false">H81+I81</f>
        <v>85000</v>
      </c>
      <c r="K81" s="53" t="n">
        <v>85000</v>
      </c>
      <c r="L81" s="51" t="n">
        <f aca="false">J81-K81</f>
        <v>0</v>
      </c>
      <c r="M81" s="54" t="s">
        <v>108</v>
      </c>
      <c r="N81" s="54" t="s">
        <v>484</v>
      </c>
    </row>
    <row r="82" customFormat="false" ht="15" hidden="false" customHeight="true" outlineLevel="0" collapsed="false">
      <c r="A82" s="51" t="s">
        <v>2530</v>
      </c>
      <c r="B82" s="51" t="s">
        <v>734</v>
      </c>
      <c r="C82" s="52" t="s">
        <v>735</v>
      </c>
      <c r="D82" s="51" t="s">
        <v>342</v>
      </c>
      <c r="E82" s="52" t="s">
        <v>481</v>
      </c>
      <c r="F82" s="51" t="s">
        <v>272</v>
      </c>
      <c r="G82" s="51" t="s">
        <v>418</v>
      </c>
      <c r="H82" s="53" t="n">
        <v>80000</v>
      </c>
      <c r="I82" s="53" t="n">
        <v>5000</v>
      </c>
      <c r="J82" s="51" t="n">
        <f aca="false">H82+I82</f>
        <v>85000</v>
      </c>
      <c r="K82" s="53" t="n">
        <v>85000</v>
      </c>
      <c r="L82" s="51" t="n">
        <f aca="false">J82-K82</f>
        <v>0</v>
      </c>
      <c r="M82" s="54" t="s">
        <v>57</v>
      </c>
      <c r="N82" s="54" t="s">
        <v>484</v>
      </c>
    </row>
    <row r="83" customFormat="false" ht="15" hidden="false" customHeight="true" outlineLevel="0" collapsed="false">
      <c r="A83" s="51" t="s">
        <v>2531</v>
      </c>
      <c r="B83" s="51" t="s">
        <v>742</v>
      </c>
      <c r="C83" s="52" t="s">
        <v>743</v>
      </c>
      <c r="D83" s="51" t="s">
        <v>430</v>
      </c>
      <c r="E83" s="52" t="s">
        <v>481</v>
      </c>
      <c r="F83" s="51" t="s">
        <v>272</v>
      </c>
      <c r="G83" s="51" t="s">
        <v>345</v>
      </c>
      <c r="H83" s="53" t="n">
        <v>180000</v>
      </c>
      <c r="I83" s="53" t="n">
        <v>5000</v>
      </c>
      <c r="J83" s="51" t="n">
        <f aca="false">H83+I83</f>
        <v>185000</v>
      </c>
      <c r="K83" s="53" t="n">
        <v>185000</v>
      </c>
      <c r="L83" s="51" t="n">
        <f aca="false">J83-K83</f>
        <v>0</v>
      </c>
      <c r="M83" s="54" t="s">
        <v>57</v>
      </c>
      <c r="N83" s="54" t="s">
        <v>484</v>
      </c>
    </row>
    <row r="84" customFormat="false" ht="15" hidden="false" customHeight="true" outlineLevel="0" collapsed="false">
      <c r="A84" s="51" t="s">
        <v>2532</v>
      </c>
      <c r="B84" s="51" t="s">
        <v>753</v>
      </c>
      <c r="C84" s="52" t="s">
        <v>754</v>
      </c>
      <c r="D84" s="51" t="s">
        <v>430</v>
      </c>
      <c r="E84" s="52" t="s">
        <v>509</v>
      </c>
      <c r="F84" s="51" t="s">
        <v>272</v>
      </c>
      <c r="G84" s="51" t="s">
        <v>443</v>
      </c>
      <c r="H84" s="53" t="n">
        <v>180000</v>
      </c>
      <c r="I84" s="53" t="n">
        <v>5000</v>
      </c>
      <c r="J84" s="51" t="n">
        <f aca="false">H84+I84</f>
        <v>185000</v>
      </c>
      <c r="K84" s="53" t="n">
        <v>185000</v>
      </c>
      <c r="L84" s="51" t="n">
        <f aca="false">J84-K84</f>
        <v>0</v>
      </c>
      <c r="M84" s="54" t="s">
        <v>57</v>
      </c>
      <c r="N84" s="54" t="s">
        <v>484</v>
      </c>
    </row>
    <row r="85" customFormat="false" ht="15" hidden="false" customHeight="true" outlineLevel="0" collapsed="false">
      <c r="A85" s="51" t="s">
        <v>2533</v>
      </c>
      <c r="B85" s="51" t="s">
        <v>763</v>
      </c>
      <c r="C85" s="52" t="s">
        <v>764</v>
      </c>
      <c r="D85" s="51" t="s">
        <v>430</v>
      </c>
      <c r="E85" s="52" t="s">
        <v>499</v>
      </c>
      <c r="F85" s="51" t="s">
        <v>272</v>
      </c>
      <c r="G85" s="51" t="s">
        <v>418</v>
      </c>
      <c r="H85" s="53" t="n">
        <v>180000</v>
      </c>
      <c r="I85" s="53" t="n">
        <v>5000</v>
      </c>
      <c r="J85" s="51" t="n">
        <f aca="false">H85+I85</f>
        <v>185000</v>
      </c>
      <c r="K85" s="53" t="n">
        <v>185000</v>
      </c>
      <c r="L85" s="51" t="n">
        <f aca="false">J85-K85</f>
        <v>0</v>
      </c>
      <c r="M85" s="54" t="s">
        <v>57</v>
      </c>
      <c r="N85" s="54" t="s">
        <v>484</v>
      </c>
    </row>
    <row r="86" customFormat="false" ht="15" hidden="false" customHeight="true" outlineLevel="0" collapsed="false">
      <c r="A86" s="51" t="s">
        <v>2534</v>
      </c>
      <c r="B86" s="51" t="s">
        <v>773</v>
      </c>
      <c r="C86" s="52" t="s">
        <v>774</v>
      </c>
      <c r="D86" s="51" t="s">
        <v>430</v>
      </c>
      <c r="E86" s="52" t="s">
        <v>491</v>
      </c>
      <c r="F86" s="51" t="s">
        <v>272</v>
      </c>
      <c r="G86" s="51" t="s">
        <v>361</v>
      </c>
      <c r="H86" s="53" t="n">
        <v>180000</v>
      </c>
      <c r="I86" s="53" t="n">
        <v>5000</v>
      </c>
      <c r="J86" s="51" t="n">
        <f aca="false">H86+I86</f>
        <v>185000</v>
      </c>
      <c r="K86" s="53" t="n">
        <v>185000</v>
      </c>
      <c r="L86" s="51" t="n">
        <f aca="false">J86-K86</f>
        <v>0</v>
      </c>
      <c r="M86" s="54" t="s">
        <v>57</v>
      </c>
      <c r="N86" s="54" t="s">
        <v>484</v>
      </c>
    </row>
    <row r="87" customFormat="false" ht="15" hidden="false" customHeight="true" outlineLevel="0" collapsed="false">
      <c r="A87" s="51" t="s">
        <v>2535</v>
      </c>
      <c r="B87" s="51" t="s">
        <v>782</v>
      </c>
      <c r="C87" s="52" t="s">
        <v>783</v>
      </c>
      <c r="D87" s="51" t="s">
        <v>132</v>
      </c>
      <c r="E87" s="52" t="s">
        <v>134</v>
      </c>
      <c r="F87" s="51" t="s">
        <v>54</v>
      </c>
      <c r="G87" s="51" t="s">
        <v>56</v>
      </c>
      <c r="H87" s="53" t="n">
        <v>60000</v>
      </c>
      <c r="I87" s="53" t="n">
        <v>5000</v>
      </c>
      <c r="J87" s="51" t="n">
        <f aca="false">H87+I87</f>
        <v>65000</v>
      </c>
      <c r="K87" s="53" t="n">
        <v>65000</v>
      </c>
      <c r="L87" s="51" t="n">
        <f aca="false">J87-K87</f>
        <v>0</v>
      </c>
      <c r="M87" s="54" t="s">
        <v>57</v>
      </c>
      <c r="N87" s="54" t="s">
        <v>786</v>
      </c>
    </row>
    <row r="88" customFormat="false" ht="15" hidden="false" customHeight="true" outlineLevel="0" collapsed="false">
      <c r="A88" s="51" t="s">
        <v>2536</v>
      </c>
      <c r="B88" s="51" t="s">
        <v>787</v>
      </c>
      <c r="C88" s="52" t="s">
        <v>788</v>
      </c>
      <c r="D88" s="51" t="s">
        <v>791</v>
      </c>
      <c r="E88" s="52" t="s">
        <v>793</v>
      </c>
      <c r="F88" s="51" t="s">
        <v>54</v>
      </c>
      <c r="G88" s="51" t="s">
        <v>78</v>
      </c>
      <c r="H88" s="53" t="n">
        <v>65000</v>
      </c>
      <c r="I88" s="53" t="n">
        <v>5000</v>
      </c>
      <c r="J88" s="51" t="n">
        <f aca="false">H88+I88</f>
        <v>70000</v>
      </c>
      <c r="K88" s="53" t="n">
        <v>70000</v>
      </c>
      <c r="L88" s="51" t="n">
        <f aca="false">J88-K88</f>
        <v>0</v>
      </c>
      <c r="M88" s="54" t="s">
        <v>57</v>
      </c>
      <c r="N88" s="54" t="s">
        <v>786</v>
      </c>
    </row>
    <row r="89" customFormat="false" ht="15" hidden="false" customHeight="true" outlineLevel="0" collapsed="false">
      <c r="A89" s="51" t="s">
        <v>2537</v>
      </c>
      <c r="B89" s="51" t="s">
        <v>794</v>
      </c>
      <c r="C89" s="52" t="s">
        <v>795</v>
      </c>
      <c r="D89" s="51" t="s">
        <v>71</v>
      </c>
      <c r="E89" s="52" t="s">
        <v>800</v>
      </c>
      <c r="F89" s="51" t="s">
        <v>54</v>
      </c>
      <c r="G89" s="51" t="s">
        <v>91</v>
      </c>
      <c r="H89" s="53" t="n">
        <v>65000</v>
      </c>
      <c r="I89" s="53" t="n">
        <v>5000</v>
      </c>
      <c r="J89" s="51" t="n">
        <f aca="false">H89+I89</f>
        <v>70000</v>
      </c>
      <c r="K89" s="53" t="n">
        <v>70000</v>
      </c>
      <c r="L89" s="51" t="n">
        <f aca="false">J89-K89</f>
        <v>0</v>
      </c>
      <c r="M89" s="54" t="s">
        <v>57</v>
      </c>
      <c r="N89" s="54" t="s">
        <v>786</v>
      </c>
    </row>
    <row r="90" customFormat="false" ht="15" hidden="false" customHeight="true" outlineLevel="0" collapsed="false">
      <c r="A90" s="51" t="s">
        <v>2538</v>
      </c>
      <c r="B90" s="51" t="s">
        <v>803</v>
      </c>
      <c r="C90" s="52" t="s">
        <v>804</v>
      </c>
      <c r="D90" s="51" t="s">
        <v>46</v>
      </c>
      <c r="E90" s="52" t="s">
        <v>808</v>
      </c>
      <c r="F90" s="51" t="s">
        <v>54</v>
      </c>
      <c r="G90" s="51" t="s">
        <v>107</v>
      </c>
      <c r="H90" s="53" t="n">
        <v>75000</v>
      </c>
      <c r="I90" s="53" t="n">
        <v>5000</v>
      </c>
      <c r="J90" s="51" t="n">
        <f aca="false">H90+I90</f>
        <v>80000</v>
      </c>
      <c r="K90" s="53" t="n">
        <v>80000</v>
      </c>
      <c r="L90" s="51" t="n">
        <f aca="false">J90-K90</f>
        <v>0</v>
      </c>
      <c r="M90" s="54" t="s">
        <v>108</v>
      </c>
      <c r="N90" s="54" t="s">
        <v>786</v>
      </c>
    </row>
    <row r="91" customFormat="false" ht="15" hidden="false" customHeight="true" outlineLevel="0" collapsed="false">
      <c r="A91" s="51" t="s">
        <v>2539</v>
      </c>
      <c r="B91" s="51" t="s">
        <v>809</v>
      </c>
      <c r="C91" s="52" t="s">
        <v>810</v>
      </c>
      <c r="D91" s="51" t="s">
        <v>71</v>
      </c>
      <c r="E91" s="52" t="s">
        <v>813</v>
      </c>
      <c r="F91" s="51" t="s">
        <v>54</v>
      </c>
      <c r="G91" s="51" t="s">
        <v>123</v>
      </c>
      <c r="H91" s="53" t="n">
        <v>65000</v>
      </c>
      <c r="I91" s="53" t="n">
        <v>5000</v>
      </c>
      <c r="J91" s="51" t="n">
        <f aca="false">H91+I91</f>
        <v>70000</v>
      </c>
      <c r="K91" s="53" t="n">
        <v>35750</v>
      </c>
      <c r="L91" s="51" t="n">
        <f aca="false">J91-K91</f>
        <v>34250</v>
      </c>
      <c r="M91" s="54" t="s">
        <v>124</v>
      </c>
      <c r="N91" s="54" t="s">
        <v>786</v>
      </c>
    </row>
    <row r="92" customFormat="false" ht="15" hidden="false" customHeight="true" outlineLevel="0" collapsed="false">
      <c r="A92" s="51" t="s">
        <v>2540</v>
      </c>
      <c r="B92" s="51" t="s">
        <v>814</v>
      </c>
      <c r="C92" s="52" t="s">
        <v>815</v>
      </c>
      <c r="D92" s="51" t="s">
        <v>46</v>
      </c>
      <c r="E92" s="52" t="s">
        <v>819</v>
      </c>
      <c r="F92" s="51" t="s">
        <v>54</v>
      </c>
      <c r="G92" s="51" t="s">
        <v>56</v>
      </c>
      <c r="H92" s="53" t="n">
        <v>75000</v>
      </c>
      <c r="I92" s="53" t="n">
        <v>5000</v>
      </c>
      <c r="J92" s="51" t="n">
        <f aca="false">H92+I92</f>
        <v>80000</v>
      </c>
      <c r="K92" s="53" t="n">
        <v>80000</v>
      </c>
      <c r="L92" s="51" t="n">
        <f aca="false">J92-K92</f>
        <v>0</v>
      </c>
      <c r="M92" s="54" t="s">
        <v>57</v>
      </c>
      <c r="N92" s="54" t="s">
        <v>786</v>
      </c>
    </row>
    <row r="93" customFormat="false" ht="15" hidden="false" customHeight="true" outlineLevel="0" collapsed="false">
      <c r="A93" s="51" t="s">
        <v>2541</v>
      </c>
      <c r="B93" s="51" t="s">
        <v>820</v>
      </c>
      <c r="C93" s="52" t="s">
        <v>821</v>
      </c>
      <c r="D93" s="51" t="s">
        <v>791</v>
      </c>
      <c r="E93" s="52" t="s">
        <v>793</v>
      </c>
      <c r="F93" s="51" t="s">
        <v>54</v>
      </c>
      <c r="G93" s="51" t="s">
        <v>78</v>
      </c>
      <c r="H93" s="53" t="n">
        <v>65000</v>
      </c>
      <c r="I93" s="53" t="n">
        <v>5000</v>
      </c>
      <c r="J93" s="51" t="n">
        <f aca="false">H93+I93</f>
        <v>70000</v>
      </c>
      <c r="K93" s="53" t="n">
        <v>70000</v>
      </c>
      <c r="L93" s="51" t="n">
        <f aca="false">J93-K93</f>
        <v>0</v>
      </c>
      <c r="M93" s="54" t="s">
        <v>57</v>
      </c>
      <c r="N93" s="54" t="s">
        <v>786</v>
      </c>
    </row>
    <row r="94" customFormat="false" ht="15" hidden="false" customHeight="true" outlineLevel="0" collapsed="false">
      <c r="A94" s="51" t="s">
        <v>2542</v>
      </c>
      <c r="B94" s="51" t="s">
        <v>824</v>
      </c>
      <c r="C94" s="52" t="s">
        <v>825</v>
      </c>
      <c r="D94" s="51" t="s">
        <v>132</v>
      </c>
      <c r="E94" s="52" t="s">
        <v>134</v>
      </c>
      <c r="F94" s="51" t="s">
        <v>54</v>
      </c>
      <c r="G94" s="51" t="s">
        <v>91</v>
      </c>
      <c r="H94" s="53" t="n">
        <v>60000</v>
      </c>
      <c r="I94" s="53" t="n">
        <v>5000</v>
      </c>
      <c r="J94" s="51" t="n">
        <f aca="false">H94+I94</f>
        <v>65000</v>
      </c>
      <c r="K94" s="53" t="n">
        <v>65000</v>
      </c>
      <c r="L94" s="51" t="n">
        <f aca="false">J94-K94</f>
        <v>0</v>
      </c>
      <c r="M94" s="54" t="s">
        <v>57</v>
      </c>
      <c r="N94" s="54" t="s">
        <v>786</v>
      </c>
    </row>
    <row r="95" customFormat="false" ht="15" hidden="false" customHeight="true" outlineLevel="0" collapsed="false">
      <c r="A95" s="51" t="s">
        <v>2543</v>
      </c>
      <c r="B95" s="51" t="s">
        <v>830</v>
      </c>
      <c r="C95" s="52" t="s">
        <v>831</v>
      </c>
      <c r="D95" s="51" t="s">
        <v>46</v>
      </c>
      <c r="E95" s="52" t="s">
        <v>819</v>
      </c>
      <c r="F95" s="51" t="s">
        <v>54</v>
      </c>
      <c r="G95" s="51" t="s">
        <v>56</v>
      </c>
      <c r="H95" s="53" t="n">
        <v>75000</v>
      </c>
      <c r="I95" s="53" t="n">
        <v>5000</v>
      </c>
      <c r="J95" s="51" t="n">
        <f aca="false">H95+I95</f>
        <v>80000</v>
      </c>
      <c r="K95" s="53" t="n">
        <v>0</v>
      </c>
      <c r="L95" s="51" t="n">
        <f aca="false">J95-K95</f>
        <v>80000</v>
      </c>
      <c r="M95" s="54" t="s">
        <v>160</v>
      </c>
      <c r="N95" s="54" t="s">
        <v>786</v>
      </c>
    </row>
    <row r="96" customFormat="false" ht="15" hidden="false" customHeight="true" outlineLevel="0" collapsed="false">
      <c r="A96" s="51" t="s">
        <v>2544</v>
      </c>
      <c r="B96" s="51" t="s">
        <v>834</v>
      </c>
      <c r="C96" s="52" t="s">
        <v>835</v>
      </c>
      <c r="D96" s="51" t="s">
        <v>71</v>
      </c>
      <c r="E96" s="52" t="s">
        <v>800</v>
      </c>
      <c r="F96" s="51" t="s">
        <v>54</v>
      </c>
      <c r="G96" s="51" t="s">
        <v>123</v>
      </c>
      <c r="H96" s="53" t="n">
        <v>65000</v>
      </c>
      <c r="I96" s="53" t="n">
        <v>5000</v>
      </c>
      <c r="J96" s="51" t="n">
        <f aca="false">H96+I96</f>
        <v>70000</v>
      </c>
      <c r="K96" s="53" t="n">
        <v>70000</v>
      </c>
      <c r="L96" s="51" t="n">
        <f aca="false">J96-K96</f>
        <v>0</v>
      </c>
      <c r="M96" s="54" t="s">
        <v>57</v>
      </c>
      <c r="N96" s="54" t="s">
        <v>786</v>
      </c>
    </row>
    <row r="97" customFormat="false" ht="15" hidden="false" customHeight="true" outlineLevel="0" collapsed="false">
      <c r="A97" s="51" t="s">
        <v>2545</v>
      </c>
      <c r="B97" s="51" t="s">
        <v>838</v>
      </c>
      <c r="C97" s="52" t="s">
        <v>839</v>
      </c>
      <c r="D97" s="51" t="s">
        <v>46</v>
      </c>
      <c r="E97" s="52" t="s">
        <v>808</v>
      </c>
      <c r="F97" s="51" t="s">
        <v>54</v>
      </c>
      <c r="G97" s="51" t="s">
        <v>78</v>
      </c>
      <c r="H97" s="53" t="n">
        <v>75000</v>
      </c>
      <c r="I97" s="53" t="n">
        <v>5000</v>
      </c>
      <c r="J97" s="51" t="n">
        <f aca="false">H97+I97</f>
        <v>80000</v>
      </c>
      <c r="K97" s="53" t="n">
        <v>80000</v>
      </c>
      <c r="L97" s="51" t="n">
        <f aca="false">J97-K97</f>
        <v>0</v>
      </c>
      <c r="M97" s="54" t="s">
        <v>57</v>
      </c>
      <c r="N97" s="54" t="s">
        <v>786</v>
      </c>
    </row>
    <row r="98" customFormat="false" ht="15" hidden="false" customHeight="true" outlineLevel="0" collapsed="false">
      <c r="A98" s="51" t="s">
        <v>2546</v>
      </c>
      <c r="B98" s="51" t="s">
        <v>842</v>
      </c>
      <c r="C98" s="52" t="s">
        <v>843</v>
      </c>
      <c r="D98" s="51" t="s">
        <v>132</v>
      </c>
      <c r="E98" s="52" t="s">
        <v>134</v>
      </c>
      <c r="F98" s="51" t="s">
        <v>54</v>
      </c>
      <c r="G98" s="51" t="s">
        <v>107</v>
      </c>
      <c r="H98" s="53" t="n">
        <v>60000</v>
      </c>
      <c r="I98" s="53" t="n">
        <v>5000</v>
      </c>
      <c r="J98" s="51" t="n">
        <f aca="false">H98+I98</f>
        <v>65000</v>
      </c>
      <c r="K98" s="53" t="n">
        <v>65000</v>
      </c>
      <c r="L98" s="51" t="n">
        <f aca="false">J98-K98</f>
        <v>0</v>
      </c>
      <c r="M98" s="54" t="s">
        <v>108</v>
      </c>
      <c r="N98" s="54" t="s">
        <v>786</v>
      </c>
    </row>
    <row r="99" customFormat="false" ht="15" hidden="false" customHeight="true" outlineLevel="0" collapsed="false">
      <c r="A99" s="51" t="s">
        <v>2547</v>
      </c>
      <c r="B99" s="51" t="s">
        <v>848</v>
      </c>
      <c r="C99" s="52" t="s">
        <v>849</v>
      </c>
      <c r="D99" s="51" t="s">
        <v>71</v>
      </c>
      <c r="E99" s="52" t="s">
        <v>813</v>
      </c>
      <c r="F99" s="51" t="s">
        <v>54</v>
      </c>
      <c r="G99" s="51" t="s">
        <v>56</v>
      </c>
      <c r="H99" s="53" t="n">
        <v>65000</v>
      </c>
      <c r="I99" s="53" t="n">
        <v>5000</v>
      </c>
      <c r="J99" s="51" t="n">
        <f aca="false">H99+I99</f>
        <v>70000</v>
      </c>
      <c r="K99" s="53" t="n">
        <v>70000</v>
      </c>
      <c r="L99" s="51" t="n">
        <f aca="false">J99-K99</f>
        <v>0</v>
      </c>
      <c r="M99" s="54" t="s">
        <v>57</v>
      </c>
      <c r="N99" s="54" t="s">
        <v>786</v>
      </c>
    </row>
    <row r="100" customFormat="false" ht="15" hidden="false" customHeight="true" outlineLevel="0" collapsed="false">
      <c r="A100" s="51" t="s">
        <v>2548</v>
      </c>
      <c r="B100" s="51" t="s">
        <v>852</v>
      </c>
      <c r="C100" s="52" t="s">
        <v>853</v>
      </c>
      <c r="D100" s="51" t="s">
        <v>46</v>
      </c>
      <c r="E100" s="52" t="s">
        <v>819</v>
      </c>
      <c r="F100" s="51" t="s">
        <v>54</v>
      </c>
      <c r="G100" s="51" t="s">
        <v>91</v>
      </c>
      <c r="H100" s="53" t="n">
        <v>75000</v>
      </c>
      <c r="I100" s="53" t="n">
        <v>5000</v>
      </c>
      <c r="J100" s="51" t="n">
        <f aca="false">H100+I100</f>
        <v>80000</v>
      </c>
      <c r="K100" s="53" t="n">
        <v>10000</v>
      </c>
      <c r="L100" s="51" t="n">
        <f aca="false">J100-K100</f>
        <v>70000</v>
      </c>
      <c r="M100" s="54" t="s">
        <v>197</v>
      </c>
      <c r="N100" s="54" t="s">
        <v>786</v>
      </c>
    </row>
    <row r="101" customFormat="false" ht="15" hidden="false" customHeight="true" outlineLevel="0" collapsed="false">
      <c r="A101" s="51" t="s">
        <v>2549</v>
      </c>
      <c r="B101" s="51" t="s">
        <v>857</v>
      </c>
      <c r="C101" s="52" t="s">
        <v>858</v>
      </c>
      <c r="D101" s="51" t="s">
        <v>46</v>
      </c>
      <c r="E101" s="52" t="s">
        <v>808</v>
      </c>
      <c r="F101" s="51" t="s">
        <v>54</v>
      </c>
      <c r="G101" s="51" t="s">
        <v>123</v>
      </c>
      <c r="H101" s="53" t="n">
        <v>75000</v>
      </c>
      <c r="I101" s="53" t="n">
        <v>5000</v>
      </c>
      <c r="J101" s="51" t="n">
        <f aca="false">H101+I101</f>
        <v>80000</v>
      </c>
      <c r="K101" s="53" t="n">
        <v>80000</v>
      </c>
      <c r="L101" s="51" t="n">
        <f aca="false">J101-K101</f>
        <v>0</v>
      </c>
      <c r="M101" s="54" t="s">
        <v>57</v>
      </c>
      <c r="N101" s="54" t="s">
        <v>786</v>
      </c>
    </row>
    <row r="102" customFormat="false" ht="15" hidden="false" customHeight="true" outlineLevel="0" collapsed="false">
      <c r="A102" s="51" t="s">
        <v>2550</v>
      </c>
      <c r="B102" s="51" t="s">
        <v>862</v>
      </c>
      <c r="C102" s="52" t="s">
        <v>863</v>
      </c>
      <c r="D102" s="51" t="s">
        <v>791</v>
      </c>
      <c r="E102" s="52" t="s">
        <v>793</v>
      </c>
      <c r="F102" s="51" t="s">
        <v>54</v>
      </c>
      <c r="G102" s="51" t="s">
        <v>56</v>
      </c>
      <c r="H102" s="53" t="n">
        <v>65000</v>
      </c>
      <c r="I102" s="53" t="n">
        <v>5000</v>
      </c>
      <c r="J102" s="51" t="n">
        <f aca="false">H102+I102</f>
        <v>70000</v>
      </c>
      <c r="K102" s="53" t="n">
        <v>70000</v>
      </c>
      <c r="L102" s="51" t="n">
        <f aca="false">J102-K102</f>
        <v>0</v>
      </c>
      <c r="M102" s="54" t="s">
        <v>57</v>
      </c>
      <c r="N102" s="54" t="s">
        <v>786</v>
      </c>
    </row>
    <row r="103" customFormat="false" ht="15" hidden="false" customHeight="true" outlineLevel="0" collapsed="false">
      <c r="A103" s="51" t="s">
        <v>2551</v>
      </c>
      <c r="B103" s="51" t="s">
        <v>867</v>
      </c>
      <c r="C103" s="52" t="s">
        <v>868</v>
      </c>
      <c r="D103" s="51" t="s">
        <v>46</v>
      </c>
      <c r="E103" s="52" t="s">
        <v>808</v>
      </c>
      <c r="F103" s="51" t="s">
        <v>54</v>
      </c>
      <c r="G103" s="51" t="s">
        <v>78</v>
      </c>
      <c r="H103" s="53" t="n">
        <v>75000</v>
      </c>
      <c r="I103" s="53" t="n">
        <v>5000</v>
      </c>
      <c r="J103" s="51" t="n">
        <f aca="false">H103+I103</f>
        <v>80000</v>
      </c>
      <c r="K103" s="53" t="n">
        <v>80000</v>
      </c>
      <c r="L103" s="51" t="n">
        <f aca="false">J103-K103</f>
        <v>0</v>
      </c>
      <c r="M103" s="54" t="s">
        <v>57</v>
      </c>
      <c r="N103" s="54" t="s">
        <v>786</v>
      </c>
    </row>
    <row r="104" customFormat="false" ht="15" hidden="false" customHeight="true" outlineLevel="0" collapsed="false">
      <c r="A104" s="51" t="s">
        <v>2552</v>
      </c>
      <c r="B104" s="51" t="s">
        <v>874</v>
      </c>
      <c r="C104" s="52" t="s">
        <v>875</v>
      </c>
      <c r="D104" s="51" t="s">
        <v>71</v>
      </c>
      <c r="E104" s="52" t="s">
        <v>813</v>
      </c>
      <c r="F104" s="51" t="s">
        <v>54</v>
      </c>
      <c r="G104" s="51" t="s">
        <v>91</v>
      </c>
      <c r="H104" s="53" t="n">
        <v>65000</v>
      </c>
      <c r="I104" s="53" t="n">
        <v>5000</v>
      </c>
      <c r="J104" s="51" t="n">
        <f aca="false">H104+I104</f>
        <v>70000</v>
      </c>
      <c r="K104" s="53" t="n">
        <v>70000</v>
      </c>
      <c r="L104" s="51" t="n">
        <f aca="false">J104-K104</f>
        <v>0</v>
      </c>
      <c r="M104" s="54" t="s">
        <v>57</v>
      </c>
      <c r="N104" s="54" t="s">
        <v>786</v>
      </c>
    </row>
    <row r="105" customFormat="false" ht="15" hidden="false" customHeight="true" outlineLevel="0" collapsed="false">
      <c r="A105" s="51" t="s">
        <v>2553</v>
      </c>
      <c r="B105" s="51" t="s">
        <v>879</v>
      </c>
      <c r="C105" s="52" t="s">
        <v>880</v>
      </c>
      <c r="D105" s="51" t="s">
        <v>132</v>
      </c>
      <c r="E105" s="52" t="s">
        <v>134</v>
      </c>
      <c r="F105" s="51" t="s">
        <v>54</v>
      </c>
      <c r="G105" s="51" t="s">
        <v>56</v>
      </c>
      <c r="H105" s="53" t="n">
        <v>60000</v>
      </c>
      <c r="I105" s="53" t="n">
        <v>5000</v>
      </c>
      <c r="J105" s="51" t="n">
        <f aca="false">H105+I105</f>
        <v>65000</v>
      </c>
      <c r="K105" s="53" t="n">
        <v>65000</v>
      </c>
      <c r="L105" s="51" t="n">
        <f aca="false">J105-K105</f>
        <v>0</v>
      </c>
      <c r="M105" s="54" t="s">
        <v>57</v>
      </c>
      <c r="N105" s="54" t="s">
        <v>786</v>
      </c>
    </row>
    <row r="106" customFormat="false" ht="15" hidden="false" customHeight="true" outlineLevel="0" collapsed="false">
      <c r="A106" s="51" t="s">
        <v>2554</v>
      </c>
      <c r="B106" s="51" t="s">
        <v>884</v>
      </c>
      <c r="C106" s="52" t="s">
        <v>885</v>
      </c>
      <c r="D106" s="51" t="s">
        <v>46</v>
      </c>
      <c r="E106" s="52" t="s">
        <v>819</v>
      </c>
      <c r="F106" s="51" t="s">
        <v>54</v>
      </c>
      <c r="G106" s="51" t="s">
        <v>123</v>
      </c>
      <c r="H106" s="53" t="n">
        <v>75000</v>
      </c>
      <c r="I106" s="53" t="n">
        <v>5000</v>
      </c>
      <c r="J106" s="51" t="n">
        <f aca="false">H106+I106</f>
        <v>80000</v>
      </c>
      <c r="K106" s="53" t="n">
        <v>41250</v>
      </c>
      <c r="L106" s="51" t="n">
        <f aca="false">J106-K106</f>
        <v>38750</v>
      </c>
      <c r="M106" s="54" t="s">
        <v>124</v>
      </c>
      <c r="N106" s="54" t="s">
        <v>786</v>
      </c>
    </row>
    <row r="107" customFormat="false" ht="15" hidden="false" customHeight="true" outlineLevel="0" collapsed="false">
      <c r="A107" s="51" t="s">
        <v>2555</v>
      </c>
      <c r="B107" s="51" t="s">
        <v>890</v>
      </c>
      <c r="C107" s="52" t="s">
        <v>891</v>
      </c>
      <c r="D107" s="51" t="s">
        <v>71</v>
      </c>
      <c r="E107" s="52" t="s">
        <v>800</v>
      </c>
      <c r="F107" s="51" t="s">
        <v>54</v>
      </c>
      <c r="G107" s="51" t="s">
        <v>78</v>
      </c>
      <c r="H107" s="53" t="n">
        <v>65000</v>
      </c>
      <c r="I107" s="53" t="n">
        <v>5000</v>
      </c>
      <c r="J107" s="51" t="n">
        <f aca="false">H107+I107</f>
        <v>70000</v>
      </c>
      <c r="K107" s="53" t="n">
        <v>70000</v>
      </c>
      <c r="L107" s="51" t="n">
        <f aca="false">J107-K107</f>
        <v>0</v>
      </c>
      <c r="M107" s="54" t="s">
        <v>57</v>
      </c>
      <c r="N107" s="54" t="s">
        <v>786</v>
      </c>
    </row>
    <row r="108" customFormat="false" ht="15" hidden="false" customHeight="true" outlineLevel="0" collapsed="false">
      <c r="A108" s="51" t="s">
        <v>2556</v>
      </c>
      <c r="B108" s="51" t="s">
        <v>896</v>
      </c>
      <c r="C108" s="52" t="s">
        <v>897</v>
      </c>
      <c r="D108" s="51" t="s">
        <v>46</v>
      </c>
      <c r="E108" s="52" t="s">
        <v>808</v>
      </c>
      <c r="F108" s="51" t="s">
        <v>54</v>
      </c>
      <c r="G108" s="51" t="s">
        <v>91</v>
      </c>
      <c r="H108" s="53" t="n">
        <v>75000</v>
      </c>
      <c r="I108" s="53" t="n">
        <v>5000</v>
      </c>
      <c r="J108" s="51" t="n">
        <f aca="false">H108+I108</f>
        <v>80000</v>
      </c>
      <c r="K108" s="53" t="n">
        <v>80000</v>
      </c>
      <c r="L108" s="51" t="n">
        <f aca="false">J108-K108</f>
        <v>0</v>
      </c>
      <c r="M108" s="54" t="s">
        <v>57</v>
      </c>
      <c r="N108" s="54" t="s">
        <v>786</v>
      </c>
    </row>
    <row r="109" customFormat="false" ht="15" hidden="false" customHeight="true" outlineLevel="0" collapsed="false">
      <c r="A109" s="51" t="s">
        <v>2557</v>
      </c>
      <c r="B109" s="51" t="s">
        <v>900</v>
      </c>
      <c r="C109" s="52" t="s">
        <v>901</v>
      </c>
      <c r="D109" s="51" t="s">
        <v>791</v>
      </c>
      <c r="E109" s="52" t="s">
        <v>793</v>
      </c>
      <c r="F109" s="51" t="s">
        <v>54</v>
      </c>
      <c r="G109" s="51" t="s">
        <v>56</v>
      </c>
      <c r="H109" s="53" t="n">
        <v>65000</v>
      </c>
      <c r="I109" s="53" t="n">
        <v>5000</v>
      </c>
      <c r="J109" s="51" t="n">
        <f aca="false">H109+I109</f>
        <v>70000</v>
      </c>
      <c r="K109" s="53" t="n">
        <v>0</v>
      </c>
      <c r="L109" s="51" t="n">
        <f aca="false">J109-K109</f>
        <v>70000</v>
      </c>
      <c r="M109" s="54" t="s">
        <v>160</v>
      </c>
      <c r="N109" s="54" t="s">
        <v>786</v>
      </c>
    </row>
    <row r="110" customFormat="false" ht="15" hidden="false" customHeight="true" outlineLevel="0" collapsed="false">
      <c r="A110" s="51" t="s">
        <v>2558</v>
      </c>
      <c r="B110" s="51" t="s">
        <v>904</v>
      </c>
      <c r="C110" s="52" t="s">
        <v>905</v>
      </c>
      <c r="D110" s="51" t="s">
        <v>46</v>
      </c>
      <c r="E110" s="52" t="s">
        <v>819</v>
      </c>
      <c r="F110" s="51" t="s">
        <v>54</v>
      </c>
      <c r="G110" s="51" t="s">
        <v>78</v>
      </c>
      <c r="H110" s="53" t="n">
        <v>75000</v>
      </c>
      <c r="I110" s="53" t="n">
        <v>5000</v>
      </c>
      <c r="J110" s="51" t="n">
        <f aca="false">H110+I110</f>
        <v>80000</v>
      </c>
      <c r="K110" s="53" t="n">
        <v>80000</v>
      </c>
      <c r="L110" s="51" t="n">
        <f aca="false">J110-K110</f>
        <v>0</v>
      </c>
      <c r="M110" s="54" t="s">
        <v>57</v>
      </c>
      <c r="N110" s="54" t="s">
        <v>786</v>
      </c>
    </row>
    <row r="111" customFormat="false" ht="15" hidden="false" customHeight="true" outlineLevel="0" collapsed="false">
      <c r="A111" s="51" t="s">
        <v>2559</v>
      </c>
      <c r="B111" s="51" t="s">
        <v>909</v>
      </c>
      <c r="C111" s="52" t="s">
        <v>910</v>
      </c>
      <c r="D111" s="51" t="s">
        <v>71</v>
      </c>
      <c r="E111" s="52" t="s">
        <v>800</v>
      </c>
      <c r="F111" s="51" t="s">
        <v>54</v>
      </c>
      <c r="G111" s="51" t="s">
        <v>123</v>
      </c>
      <c r="H111" s="53" t="n">
        <v>65000</v>
      </c>
      <c r="I111" s="53" t="n">
        <v>5000</v>
      </c>
      <c r="J111" s="51" t="n">
        <f aca="false">H111+I111</f>
        <v>70000</v>
      </c>
      <c r="K111" s="53" t="n">
        <v>70000</v>
      </c>
      <c r="L111" s="51" t="n">
        <f aca="false">J111-K111</f>
        <v>0</v>
      </c>
      <c r="M111" s="54" t="s">
        <v>57</v>
      </c>
      <c r="N111" s="54" t="s">
        <v>786</v>
      </c>
    </row>
    <row r="112" customFormat="false" ht="15" hidden="false" customHeight="true" outlineLevel="0" collapsed="false">
      <c r="A112" s="51" t="s">
        <v>2560</v>
      </c>
      <c r="B112" s="51" t="s">
        <v>913</v>
      </c>
      <c r="C112" s="52" t="s">
        <v>914</v>
      </c>
      <c r="D112" s="51" t="s">
        <v>920</v>
      </c>
      <c r="E112" s="52" t="s">
        <v>134</v>
      </c>
      <c r="F112" s="51" t="s">
        <v>272</v>
      </c>
      <c r="G112" s="51" t="s">
        <v>78</v>
      </c>
      <c r="H112" s="53" t="n">
        <v>85000</v>
      </c>
      <c r="I112" s="53" t="n">
        <v>5000</v>
      </c>
      <c r="J112" s="51" t="n">
        <f aca="false">H112+I112</f>
        <v>90000</v>
      </c>
      <c r="K112" s="53" t="n">
        <v>90000</v>
      </c>
      <c r="L112" s="51" t="n">
        <f aca="false">J112-K112</f>
        <v>0</v>
      </c>
      <c r="M112" s="54" t="s">
        <v>57</v>
      </c>
      <c r="N112" s="54" t="s">
        <v>786</v>
      </c>
    </row>
    <row r="113" customFormat="false" ht="15" hidden="false" customHeight="true" outlineLevel="0" collapsed="false">
      <c r="A113" s="51" t="s">
        <v>2561</v>
      </c>
      <c r="B113" s="51" t="s">
        <v>923</v>
      </c>
      <c r="C113" s="52" t="s">
        <v>924</v>
      </c>
      <c r="D113" s="51" t="s">
        <v>289</v>
      </c>
      <c r="E113" s="52" t="s">
        <v>793</v>
      </c>
      <c r="F113" s="51" t="s">
        <v>272</v>
      </c>
      <c r="G113" s="51" t="s">
        <v>123</v>
      </c>
      <c r="H113" s="53" t="n">
        <v>110000</v>
      </c>
      <c r="I113" s="53" t="n">
        <v>5000</v>
      </c>
      <c r="J113" s="51" t="n">
        <f aca="false">H113+I113</f>
        <v>115000</v>
      </c>
      <c r="K113" s="53" t="n">
        <v>115000</v>
      </c>
      <c r="L113" s="51" t="n">
        <f aca="false">J113-K113</f>
        <v>0</v>
      </c>
      <c r="M113" s="54" t="s">
        <v>57</v>
      </c>
      <c r="N113" s="54" t="s">
        <v>786</v>
      </c>
    </row>
    <row r="114" customFormat="false" ht="15" hidden="false" customHeight="true" outlineLevel="0" collapsed="false">
      <c r="A114" s="51" t="s">
        <v>2562</v>
      </c>
      <c r="B114" s="51" t="s">
        <v>930</v>
      </c>
      <c r="C114" s="52" t="s">
        <v>931</v>
      </c>
      <c r="D114" s="51" t="s">
        <v>302</v>
      </c>
      <c r="E114" s="52" t="s">
        <v>800</v>
      </c>
      <c r="F114" s="51" t="s">
        <v>272</v>
      </c>
      <c r="G114" s="51" t="s">
        <v>107</v>
      </c>
      <c r="H114" s="53" t="n">
        <v>85000</v>
      </c>
      <c r="I114" s="53" t="n">
        <v>5000</v>
      </c>
      <c r="J114" s="51" t="n">
        <f aca="false">H114+I114</f>
        <v>90000</v>
      </c>
      <c r="K114" s="53" t="n">
        <v>90000</v>
      </c>
      <c r="L114" s="51" t="n">
        <f aca="false">J114-K114</f>
        <v>0</v>
      </c>
      <c r="M114" s="54" t="s">
        <v>108</v>
      </c>
      <c r="N114" s="54" t="s">
        <v>786</v>
      </c>
    </row>
    <row r="115" customFormat="false" ht="15" hidden="false" customHeight="true" outlineLevel="0" collapsed="false">
      <c r="A115" s="51" t="s">
        <v>2563</v>
      </c>
      <c r="B115" s="51" t="s">
        <v>937</v>
      </c>
      <c r="C115" s="52" t="s">
        <v>938</v>
      </c>
      <c r="D115" s="51" t="s">
        <v>273</v>
      </c>
      <c r="E115" s="52" t="s">
        <v>808</v>
      </c>
      <c r="F115" s="51" t="s">
        <v>272</v>
      </c>
      <c r="G115" s="51" t="s">
        <v>123</v>
      </c>
      <c r="H115" s="53" t="n">
        <v>90000</v>
      </c>
      <c r="I115" s="53" t="n">
        <v>5000</v>
      </c>
      <c r="J115" s="51" t="n">
        <f aca="false">H115+I115</f>
        <v>95000</v>
      </c>
      <c r="K115" s="53" t="n">
        <v>49500</v>
      </c>
      <c r="L115" s="51" t="n">
        <f aca="false">J115-K115</f>
        <v>45500</v>
      </c>
      <c r="M115" s="54" t="s">
        <v>124</v>
      </c>
      <c r="N115" s="54" t="s">
        <v>786</v>
      </c>
    </row>
    <row r="116" customFormat="false" ht="15" hidden="false" customHeight="true" outlineLevel="0" collapsed="false">
      <c r="A116" s="51" t="s">
        <v>2564</v>
      </c>
      <c r="B116" s="51" t="s">
        <v>945</v>
      </c>
      <c r="C116" s="52" t="s">
        <v>946</v>
      </c>
      <c r="D116" s="51" t="s">
        <v>273</v>
      </c>
      <c r="E116" s="52" t="s">
        <v>819</v>
      </c>
      <c r="F116" s="51" t="s">
        <v>272</v>
      </c>
      <c r="G116" s="51" t="s">
        <v>78</v>
      </c>
      <c r="H116" s="53" t="n">
        <v>90000</v>
      </c>
      <c r="I116" s="53" t="n">
        <v>5000</v>
      </c>
      <c r="J116" s="51" t="n">
        <f aca="false">H116+I116</f>
        <v>95000</v>
      </c>
      <c r="K116" s="53" t="n">
        <v>95000</v>
      </c>
      <c r="L116" s="51" t="n">
        <f aca="false">J116-K116</f>
        <v>0</v>
      </c>
      <c r="M116" s="54" t="s">
        <v>57</v>
      </c>
      <c r="N116" s="54" t="s">
        <v>786</v>
      </c>
    </row>
    <row r="117" customFormat="false" ht="15" hidden="false" customHeight="true" outlineLevel="0" collapsed="false">
      <c r="A117" s="51" t="s">
        <v>2565</v>
      </c>
      <c r="B117" s="51" t="s">
        <v>952</v>
      </c>
      <c r="C117" s="52" t="s">
        <v>953</v>
      </c>
      <c r="D117" s="51" t="s">
        <v>289</v>
      </c>
      <c r="E117" s="52" t="s">
        <v>793</v>
      </c>
      <c r="F117" s="51" t="s">
        <v>272</v>
      </c>
      <c r="G117" s="51" t="s">
        <v>123</v>
      </c>
      <c r="H117" s="53" t="n">
        <v>110000</v>
      </c>
      <c r="I117" s="53" t="n">
        <v>5000</v>
      </c>
      <c r="J117" s="51" t="n">
        <f aca="false">H117+I117</f>
        <v>115000</v>
      </c>
      <c r="K117" s="53" t="n">
        <v>115000</v>
      </c>
      <c r="L117" s="51" t="n">
        <f aca="false">J117-K117</f>
        <v>0</v>
      </c>
      <c r="M117" s="54" t="s">
        <v>57</v>
      </c>
      <c r="N117" s="54" t="s">
        <v>786</v>
      </c>
    </row>
    <row r="118" customFormat="false" ht="15" hidden="false" customHeight="true" outlineLevel="0" collapsed="false">
      <c r="A118" s="51" t="s">
        <v>2566</v>
      </c>
      <c r="B118" s="51" t="s">
        <v>958</v>
      </c>
      <c r="C118" s="52" t="s">
        <v>959</v>
      </c>
      <c r="D118" s="51" t="s">
        <v>342</v>
      </c>
      <c r="E118" s="52" t="s">
        <v>819</v>
      </c>
      <c r="F118" s="51" t="s">
        <v>272</v>
      </c>
      <c r="G118" s="51" t="s">
        <v>345</v>
      </c>
      <c r="H118" s="53" t="n">
        <v>80000</v>
      </c>
      <c r="I118" s="53" t="n">
        <v>5000</v>
      </c>
      <c r="J118" s="51" t="n">
        <f aca="false">H118+I118</f>
        <v>85000</v>
      </c>
      <c r="K118" s="53" t="n">
        <v>85000</v>
      </c>
      <c r="L118" s="51" t="n">
        <f aca="false">J118-K118</f>
        <v>0</v>
      </c>
      <c r="M118" s="54" t="s">
        <v>57</v>
      </c>
      <c r="N118" s="54" t="s">
        <v>786</v>
      </c>
    </row>
    <row r="119" customFormat="false" ht="15" hidden="false" customHeight="true" outlineLevel="0" collapsed="false">
      <c r="A119" s="51" t="s">
        <v>2567</v>
      </c>
      <c r="B119" s="51" t="s">
        <v>966</v>
      </c>
      <c r="C119" s="52" t="s">
        <v>967</v>
      </c>
      <c r="D119" s="51" t="s">
        <v>342</v>
      </c>
      <c r="E119" s="52" t="s">
        <v>808</v>
      </c>
      <c r="F119" s="51" t="s">
        <v>272</v>
      </c>
      <c r="G119" s="51" t="s">
        <v>361</v>
      </c>
      <c r="H119" s="53" t="n">
        <v>80000</v>
      </c>
      <c r="I119" s="53" t="n">
        <v>5000</v>
      </c>
      <c r="J119" s="51" t="n">
        <f aca="false">H119+I119</f>
        <v>85000</v>
      </c>
      <c r="K119" s="53" t="n">
        <v>85000</v>
      </c>
      <c r="L119" s="51" t="n">
        <f aca="false">J119-K119</f>
        <v>0</v>
      </c>
      <c r="M119" s="54" t="s">
        <v>57</v>
      </c>
      <c r="N119" s="54" t="s">
        <v>786</v>
      </c>
    </row>
    <row r="120" customFormat="false" ht="15" hidden="false" customHeight="true" outlineLevel="0" collapsed="false">
      <c r="A120" s="51" t="s">
        <v>2568</v>
      </c>
      <c r="B120" s="51" t="s">
        <v>975</v>
      </c>
      <c r="C120" s="52" t="s">
        <v>976</v>
      </c>
      <c r="D120" s="51" t="s">
        <v>375</v>
      </c>
      <c r="E120" s="52" t="s">
        <v>134</v>
      </c>
      <c r="F120" s="51" t="s">
        <v>272</v>
      </c>
      <c r="G120" s="51" t="s">
        <v>345</v>
      </c>
      <c r="H120" s="53" t="n">
        <v>75000</v>
      </c>
      <c r="I120" s="53" t="n">
        <v>5000</v>
      </c>
      <c r="J120" s="51" t="n">
        <f aca="false">H120+I120</f>
        <v>80000</v>
      </c>
      <c r="K120" s="53" t="n">
        <v>80000</v>
      </c>
      <c r="L120" s="51" t="n">
        <f aca="false">J120-K120</f>
        <v>0</v>
      </c>
      <c r="M120" s="54" t="s">
        <v>57</v>
      </c>
      <c r="N120" s="54" t="s">
        <v>786</v>
      </c>
    </row>
    <row r="121" customFormat="false" ht="15" hidden="false" customHeight="true" outlineLevel="0" collapsed="false">
      <c r="A121" s="51" t="s">
        <v>2569</v>
      </c>
      <c r="B121" s="51" t="s">
        <v>983</v>
      </c>
      <c r="C121" s="52" t="s">
        <v>984</v>
      </c>
      <c r="D121" s="51" t="s">
        <v>342</v>
      </c>
      <c r="E121" s="52" t="s">
        <v>819</v>
      </c>
      <c r="F121" s="51" t="s">
        <v>272</v>
      </c>
      <c r="G121" s="51" t="s">
        <v>361</v>
      </c>
      <c r="H121" s="53" t="n">
        <v>80000</v>
      </c>
      <c r="I121" s="53" t="n">
        <v>5000</v>
      </c>
      <c r="J121" s="51" t="n">
        <f aca="false">H121+I121</f>
        <v>85000</v>
      </c>
      <c r="K121" s="53" t="n">
        <v>0</v>
      </c>
      <c r="L121" s="51" t="n">
        <f aca="false">J121-K121</f>
        <v>85000</v>
      </c>
      <c r="M121" s="54" t="s">
        <v>160</v>
      </c>
      <c r="N121" s="54" t="s">
        <v>786</v>
      </c>
    </row>
    <row r="122" customFormat="false" ht="15" hidden="false" customHeight="true" outlineLevel="0" collapsed="false">
      <c r="A122" s="51" t="s">
        <v>2570</v>
      </c>
      <c r="B122" s="51" t="s">
        <v>990</v>
      </c>
      <c r="C122" s="52" t="s">
        <v>991</v>
      </c>
      <c r="D122" s="51" t="s">
        <v>375</v>
      </c>
      <c r="E122" s="52" t="s">
        <v>800</v>
      </c>
      <c r="F122" s="51" t="s">
        <v>272</v>
      </c>
      <c r="G122" s="51" t="s">
        <v>107</v>
      </c>
      <c r="H122" s="53" t="n">
        <v>75000</v>
      </c>
      <c r="I122" s="53" t="n">
        <v>5000</v>
      </c>
      <c r="J122" s="51" t="n">
        <f aca="false">H122+I122</f>
        <v>80000</v>
      </c>
      <c r="K122" s="53" t="n">
        <v>80000</v>
      </c>
      <c r="L122" s="51" t="n">
        <f aca="false">J122-K122</f>
        <v>0</v>
      </c>
      <c r="M122" s="54" t="s">
        <v>108</v>
      </c>
      <c r="N122" s="54" t="s">
        <v>786</v>
      </c>
    </row>
    <row r="123" customFormat="false" ht="15" hidden="false" customHeight="true" outlineLevel="0" collapsed="false">
      <c r="A123" s="51" t="s">
        <v>2571</v>
      </c>
      <c r="B123" s="51" t="s">
        <v>997</v>
      </c>
      <c r="C123" s="52" t="s">
        <v>998</v>
      </c>
      <c r="D123" s="51" t="s">
        <v>342</v>
      </c>
      <c r="E123" s="52" t="s">
        <v>808</v>
      </c>
      <c r="F123" s="51" t="s">
        <v>272</v>
      </c>
      <c r="G123" s="51" t="s">
        <v>418</v>
      </c>
      <c r="H123" s="53" t="n">
        <v>80000</v>
      </c>
      <c r="I123" s="53" t="n">
        <v>5000</v>
      </c>
      <c r="J123" s="51" t="n">
        <f aca="false">H123+I123</f>
        <v>85000</v>
      </c>
      <c r="K123" s="53" t="n">
        <v>85000</v>
      </c>
      <c r="L123" s="51" t="n">
        <f aca="false">J123-K123</f>
        <v>0</v>
      </c>
      <c r="M123" s="54" t="s">
        <v>57</v>
      </c>
      <c r="N123" s="54" t="s">
        <v>786</v>
      </c>
    </row>
    <row r="124" customFormat="false" ht="15" hidden="false" customHeight="true" outlineLevel="0" collapsed="false">
      <c r="A124" s="51" t="s">
        <v>2572</v>
      </c>
      <c r="B124" s="51" t="s">
        <v>1003</v>
      </c>
      <c r="C124" s="52" t="s">
        <v>1004</v>
      </c>
      <c r="D124" s="51" t="s">
        <v>430</v>
      </c>
      <c r="E124" s="52" t="s">
        <v>134</v>
      </c>
      <c r="F124" s="51" t="s">
        <v>272</v>
      </c>
      <c r="G124" s="51" t="s">
        <v>345</v>
      </c>
      <c r="H124" s="53" t="n">
        <v>180000</v>
      </c>
      <c r="I124" s="53" t="n">
        <v>5000</v>
      </c>
      <c r="J124" s="51" t="n">
        <f aca="false">H124+I124</f>
        <v>185000</v>
      </c>
      <c r="K124" s="53" t="n">
        <v>185000</v>
      </c>
      <c r="L124" s="51" t="n">
        <f aca="false">J124-K124</f>
        <v>0</v>
      </c>
      <c r="M124" s="54" t="s">
        <v>57</v>
      </c>
      <c r="N124" s="54" t="s">
        <v>786</v>
      </c>
    </row>
    <row r="125" customFormat="false" ht="15" hidden="false" customHeight="true" outlineLevel="0" collapsed="false">
      <c r="A125" s="51" t="s">
        <v>2573</v>
      </c>
      <c r="B125" s="51" t="s">
        <v>1012</v>
      </c>
      <c r="C125" s="52" t="s">
        <v>1013</v>
      </c>
      <c r="D125" s="51" t="s">
        <v>430</v>
      </c>
      <c r="E125" s="52" t="s">
        <v>819</v>
      </c>
      <c r="F125" s="51" t="s">
        <v>272</v>
      </c>
      <c r="G125" s="51" t="s">
        <v>443</v>
      </c>
      <c r="H125" s="53" t="n">
        <v>180000</v>
      </c>
      <c r="I125" s="53" t="n">
        <v>5000</v>
      </c>
      <c r="J125" s="51" t="n">
        <f aca="false">H125+I125</f>
        <v>185000</v>
      </c>
      <c r="K125" s="53" t="n">
        <v>185000</v>
      </c>
      <c r="L125" s="51" t="n">
        <f aca="false">J125-K125</f>
        <v>0</v>
      </c>
      <c r="M125" s="54" t="s">
        <v>57</v>
      </c>
      <c r="N125" s="54" t="s">
        <v>786</v>
      </c>
    </row>
    <row r="126" customFormat="false" ht="15" hidden="false" customHeight="true" outlineLevel="0" collapsed="false">
      <c r="A126" s="51" t="s">
        <v>2574</v>
      </c>
      <c r="B126" s="51" t="s">
        <v>1020</v>
      </c>
      <c r="C126" s="52" t="s">
        <v>1021</v>
      </c>
      <c r="D126" s="51" t="s">
        <v>430</v>
      </c>
      <c r="E126" s="52" t="s">
        <v>793</v>
      </c>
      <c r="F126" s="51" t="s">
        <v>272</v>
      </c>
      <c r="G126" s="51" t="s">
        <v>418</v>
      </c>
      <c r="H126" s="53" t="n">
        <v>180000</v>
      </c>
      <c r="I126" s="53" t="n">
        <v>5000</v>
      </c>
      <c r="J126" s="51" t="n">
        <f aca="false">H126+I126</f>
        <v>185000</v>
      </c>
      <c r="K126" s="53" t="n">
        <v>185000</v>
      </c>
      <c r="L126" s="51" t="n">
        <f aca="false">J126-K126</f>
        <v>0</v>
      </c>
      <c r="M126" s="54" t="s">
        <v>57</v>
      </c>
      <c r="N126" s="54" t="s">
        <v>786</v>
      </c>
    </row>
    <row r="127" customFormat="false" ht="15" hidden="false" customHeight="true" outlineLevel="0" collapsed="false">
      <c r="A127" s="51" t="s">
        <v>2575</v>
      </c>
      <c r="B127" s="51" t="s">
        <v>1028</v>
      </c>
      <c r="C127" s="52" t="s">
        <v>1029</v>
      </c>
      <c r="D127" s="51" t="s">
        <v>430</v>
      </c>
      <c r="E127" s="52" t="s">
        <v>808</v>
      </c>
      <c r="F127" s="51" t="s">
        <v>272</v>
      </c>
      <c r="G127" s="51" t="s">
        <v>361</v>
      </c>
      <c r="H127" s="53" t="n">
        <v>180000</v>
      </c>
      <c r="I127" s="53" t="n">
        <v>5000</v>
      </c>
      <c r="J127" s="51" t="n">
        <f aca="false">H127+I127</f>
        <v>185000</v>
      </c>
      <c r="K127" s="53" t="n">
        <v>185000</v>
      </c>
      <c r="L127" s="51" t="n">
        <f aca="false">J127-K127</f>
        <v>0</v>
      </c>
      <c r="M127" s="54" t="s">
        <v>57</v>
      </c>
      <c r="N127" s="54" t="s">
        <v>786</v>
      </c>
    </row>
    <row r="128" customFormat="false" ht="15" hidden="false" customHeight="true" outlineLevel="0" collapsed="false">
      <c r="A128" s="51" t="s">
        <v>2576</v>
      </c>
      <c r="B128" s="51" t="s">
        <v>1035</v>
      </c>
      <c r="C128" s="52" t="s">
        <v>1036</v>
      </c>
      <c r="D128" s="51" t="s">
        <v>46</v>
      </c>
      <c r="E128" s="52" t="s">
        <v>48</v>
      </c>
      <c r="F128" s="51" t="s">
        <v>54</v>
      </c>
      <c r="G128" s="51" t="s">
        <v>78</v>
      </c>
      <c r="H128" s="53" t="n">
        <v>75000</v>
      </c>
      <c r="I128" s="53" t="n">
        <v>5000</v>
      </c>
      <c r="J128" s="51" t="n">
        <f aca="false">H128+I128</f>
        <v>80000</v>
      </c>
      <c r="K128" s="53" t="n">
        <v>80000</v>
      </c>
      <c r="L128" s="51" t="n">
        <f aca="false">J128-K128</f>
        <v>0</v>
      </c>
      <c r="M128" s="54" t="s">
        <v>57</v>
      </c>
      <c r="N128" s="54" t="s">
        <v>62</v>
      </c>
    </row>
    <row r="129" customFormat="false" ht="15" hidden="false" customHeight="true" outlineLevel="0" collapsed="false">
      <c r="A129" s="51" t="s">
        <v>2577</v>
      </c>
      <c r="B129" s="51" t="s">
        <v>1040</v>
      </c>
      <c r="C129" s="52" t="s">
        <v>1041</v>
      </c>
      <c r="D129" s="51" t="s">
        <v>273</v>
      </c>
      <c r="E129" s="52" t="s">
        <v>48</v>
      </c>
      <c r="F129" s="51" t="s">
        <v>272</v>
      </c>
      <c r="G129" s="51" t="s">
        <v>123</v>
      </c>
      <c r="H129" s="53" t="n">
        <v>90000</v>
      </c>
      <c r="I129" s="53" t="n">
        <v>5000</v>
      </c>
      <c r="J129" s="51" t="n">
        <f aca="false">H129+I129</f>
        <v>95000</v>
      </c>
      <c r="K129" s="53" t="n">
        <v>95000</v>
      </c>
      <c r="L129" s="51" t="n">
        <f aca="false">J129-K129</f>
        <v>0</v>
      </c>
      <c r="M129" s="54" t="s">
        <v>57</v>
      </c>
      <c r="N129" s="54" t="s">
        <v>62</v>
      </c>
    </row>
    <row r="130" customFormat="false" ht="15" hidden="false" customHeight="true" outlineLevel="0" collapsed="false">
      <c r="A130" s="51" t="s">
        <v>2578</v>
      </c>
      <c r="B130" s="51" t="s">
        <v>1048</v>
      </c>
      <c r="C130" s="52" t="s">
        <v>1049</v>
      </c>
      <c r="D130" s="51" t="s">
        <v>430</v>
      </c>
      <c r="E130" s="52" t="s">
        <v>48</v>
      </c>
      <c r="F130" s="51" t="s">
        <v>272</v>
      </c>
      <c r="G130" s="51" t="s">
        <v>418</v>
      </c>
      <c r="H130" s="53" t="n">
        <v>180000</v>
      </c>
      <c r="I130" s="53" t="n">
        <v>5000</v>
      </c>
      <c r="J130" s="51" t="n">
        <f aca="false">H130+I130</f>
        <v>185000</v>
      </c>
      <c r="K130" s="53" t="n">
        <v>185000</v>
      </c>
      <c r="L130" s="51" t="n">
        <f aca="false">J130-K130</f>
        <v>0</v>
      </c>
      <c r="M130" s="54" t="s">
        <v>57</v>
      </c>
      <c r="N130" s="54" t="s">
        <v>62</v>
      </c>
    </row>
    <row r="131" customFormat="false" ht="15" hidden="false" customHeight="true" outlineLevel="0" collapsed="false">
      <c r="A131" s="51" t="s">
        <v>2579</v>
      </c>
      <c r="B131" s="51" t="s">
        <v>1057</v>
      </c>
      <c r="C131" s="52" t="s">
        <v>1036</v>
      </c>
      <c r="D131" s="51" t="s">
        <v>46</v>
      </c>
      <c r="E131" s="52" t="s">
        <v>481</v>
      </c>
      <c r="F131" s="51" t="s">
        <v>54</v>
      </c>
      <c r="G131" s="51" t="s">
        <v>78</v>
      </c>
      <c r="H131" s="53" t="n">
        <v>75000</v>
      </c>
      <c r="I131" s="53" t="n">
        <v>5000</v>
      </c>
      <c r="J131" s="51" t="n">
        <f aca="false">H131+I131</f>
        <v>80000</v>
      </c>
      <c r="K131" s="53" t="n">
        <v>80000</v>
      </c>
      <c r="L131" s="51" t="n">
        <f aca="false">J131-K131</f>
        <v>0</v>
      </c>
      <c r="M131" s="54" t="s">
        <v>57</v>
      </c>
      <c r="N131" s="54" t="s">
        <v>484</v>
      </c>
    </row>
    <row r="132" customFormat="false" ht="15" hidden="false" customHeight="true" outlineLevel="0" collapsed="false">
      <c r="A132" s="51" t="s">
        <v>2580</v>
      </c>
      <c r="B132" s="51" t="s">
        <v>1060</v>
      </c>
      <c r="C132" s="52" t="s">
        <v>1041</v>
      </c>
      <c r="D132" s="51" t="s">
        <v>273</v>
      </c>
      <c r="E132" s="52" t="s">
        <v>481</v>
      </c>
      <c r="F132" s="51" t="s">
        <v>272</v>
      </c>
      <c r="G132" s="51" t="s">
        <v>123</v>
      </c>
      <c r="H132" s="53" t="n">
        <v>90000</v>
      </c>
      <c r="I132" s="53" t="n">
        <v>5000</v>
      </c>
      <c r="J132" s="51" t="n">
        <f aca="false">H132+I132</f>
        <v>95000</v>
      </c>
      <c r="K132" s="53" t="n">
        <v>95000</v>
      </c>
      <c r="L132" s="51" t="n">
        <f aca="false">J132-K132</f>
        <v>0</v>
      </c>
      <c r="M132" s="54" t="s">
        <v>57</v>
      </c>
      <c r="N132" s="54" t="s">
        <v>484</v>
      </c>
    </row>
    <row r="133" customFormat="false" ht="15" hidden="false" customHeight="true" outlineLevel="0" collapsed="false">
      <c r="A133" s="51" t="s">
        <v>2581</v>
      </c>
      <c r="B133" s="51" t="s">
        <v>1063</v>
      </c>
      <c r="C133" s="52" t="s">
        <v>1049</v>
      </c>
      <c r="D133" s="51" t="s">
        <v>430</v>
      </c>
      <c r="E133" s="52" t="s">
        <v>481</v>
      </c>
      <c r="F133" s="51" t="s">
        <v>272</v>
      </c>
      <c r="G133" s="51" t="s">
        <v>418</v>
      </c>
      <c r="H133" s="53" t="n">
        <v>180000</v>
      </c>
      <c r="I133" s="53" t="n">
        <v>5000</v>
      </c>
      <c r="J133" s="51" t="n">
        <f aca="false">H133+I133</f>
        <v>185000</v>
      </c>
      <c r="K133" s="53" t="n">
        <v>185000</v>
      </c>
      <c r="L133" s="51" t="n">
        <f aca="false">J133-K133</f>
        <v>0</v>
      </c>
      <c r="M133" s="54" t="s">
        <v>57</v>
      </c>
      <c r="N133" s="54" t="s">
        <v>484</v>
      </c>
    </row>
    <row r="134" customFormat="false" ht="15" hidden="false" customHeight="true" outlineLevel="0" collapsed="false">
      <c r="A134" s="51" t="s">
        <v>2582</v>
      </c>
      <c r="B134" s="51" t="s">
        <v>1066</v>
      </c>
      <c r="C134" s="52" t="s">
        <v>1036</v>
      </c>
      <c r="D134" s="51" t="s">
        <v>46</v>
      </c>
      <c r="E134" s="52" t="s">
        <v>808</v>
      </c>
      <c r="F134" s="51" t="s">
        <v>54</v>
      </c>
      <c r="G134" s="51" t="s">
        <v>78</v>
      </c>
      <c r="H134" s="53" t="n">
        <v>75000</v>
      </c>
      <c r="I134" s="53" t="n">
        <v>5000</v>
      </c>
      <c r="J134" s="51" t="n">
        <f aca="false">H134+I134</f>
        <v>80000</v>
      </c>
      <c r="K134" s="53" t="n">
        <v>80000</v>
      </c>
      <c r="L134" s="51" t="n">
        <f aca="false">J134-K134</f>
        <v>0</v>
      </c>
      <c r="M134" s="54" t="s">
        <v>57</v>
      </c>
      <c r="N134" s="54" t="s">
        <v>786</v>
      </c>
    </row>
    <row r="135" customFormat="false" ht="15" hidden="false" customHeight="true" outlineLevel="0" collapsed="false">
      <c r="A135" s="51" t="s">
        <v>2583</v>
      </c>
      <c r="B135" s="51" t="s">
        <v>1068</v>
      </c>
      <c r="C135" s="52" t="s">
        <v>1041</v>
      </c>
      <c r="D135" s="51" t="s">
        <v>273</v>
      </c>
      <c r="E135" s="52" t="s">
        <v>808</v>
      </c>
      <c r="F135" s="51" t="s">
        <v>272</v>
      </c>
      <c r="G135" s="51" t="s">
        <v>123</v>
      </c>
      <c r="H135" s="53" t="n">
        <v>90000</v>
      </c>
      <c r="I135" s="53" t="n">
        <v>5000</v>
      </c>
      <c r="J135" s="51" t="n">
        <f aca="false">H135+I135</f>
        <v>95000</v>
      </c>
      <c r="K135" s="53" t="n">
        <v>95000</v>
      </c>
      <c r="L135" s="51" t="n">
        <f aca="false">J135-K135</f>
        <v>0</v>
      </c>
      <c r="M135" s="54" t="s">
        <v>57</v>
      </c>
      <c r="N135" s="54" t="s">
        <v>786</v>
      </c>
    </row>
    <row r="136" customFormat="false" ht="15" hidden="false" customHeight="true" outlineLevel="0" collapsed="false">
      <c r="A136" s="51" t="s">
        <v>2584</v>
      </c>
      <c r="B136" s="51" t="s">
        <v>1070</v>
      </c>
      <c r="C136" s="52" t="s">
        <v>1049</v>
      </c>
      <c r="D136" s="51" t="s">
        <v>430</v>
      </c>
      <c r="E136" s="52" t="s">
        <v>808</v>
      </c>
      <c r="F136" s="51" t="s">
        <v>272</v>
      </c>
      <c r="G136" s="51" t="s">
        <v>418</v>
      </c>
      <c r="H136" s="53" t="n">
        <v>180000</v>
      </c>
      <c r="I136" s="53" t="n">
        <v>5000</v>
      </c>
      <c r="J136" s="51" t="n">
        <f aca="false">H136+I136</f>
        <v>185000</v>
      </c>
      <c r="K136" s="53" t="n">
        <v>185000</v>
      </c>
      <c r="L136" s="51" t="n">
        <f aca="false">J136-K136</f>
        <v>0</v>
      </c>
      <c r="M136" s="54" t="s">
        <v>57</v>
      </c>
      <c r="N136" s="54" t="s">
        <v>786</v>
      </c>
    </row>
    <row r="137" customFormat="false" ht="15" hidden="false" customHeight="true" outlineLevel="0" collapsed="false">
      <c r="A137" s="52" t="s">
        <v>2585</v>
      </c>
      <c r="B137" s="52" t="s">
        <v>1072</v>
      </c>
      <c r="C137" s="52" t="s">
        <v>1073</v>
      </c>
      <c r="D137" s="52" t="s">
        <v>46</v>
      </c>
      <c r="E137" s="52" t="s">
        <v>48</v>
      </c>
      <c r="F137" s="51" t="s">
        <v>54</v>
      </c>
      <c r="G137" s="51" t="s">
        <v>78</v>
      </c>
      <c r="H137" s="53" t="n">
        <v>75000</v>
      </c>
      <c r="I137" s="53" t="n">
        <v>5000</v>
      </c>
      <c r="J137" s="51" t="n">
        <f aca="false">H137+I137</f>
        <v>80000</v>
      </c>
      <c r="K137" s="53" t="n">
        <v>80000</v>
      </c>
      <c r="L137" s="51" t="n">
        <f aca="false">J137-K137</f>
        <v>0</v>
      </c>
      <c r="M137" s="51" t="s">
        <v>57</v>
      </c>
      <c r="N137" s="52" t="s">
        <v>62</v>
      </c>
    </row>
    <row r="138" customFormat="false" ht="15" hidden="false" customHeight="true" outlineLevel="0" collapsed="false">
      <c r="A138" s="52" t="s">
        <v>2586</v>
      </c>
      <c r="B138" s="52" t="s">
        <v>1078</v>
      </c>
      <c r="C138" s="52" t="s">
        <v>1079</v>
      </c>
      <c r="D138" s="52" t="s">
        <v>71</v>
      </c>
      <c r="E138" s="52" t="s">
        <v>73</v>
      </c>
      <c r="F138" s="51" t="s">
        <v>54</v>
      </c>
      <c r="G138" s="51" t="s">
        <v>56</v>
      </c>
      <c r="H138" s="53" t="n">
        <v>65000</v>
      </c>
      <c r="I138" s="53" t="n">
        <v>5000</v>
      </c>
      <c r="J138" s="51" t="n">
        <f aca="false">H138+I138</f>
        <v>70000</v>
      </c>
      <c r="K138" s="53" t="n">
        <v>5000</v>
      </c>
      <c r="L138" s="51" t="n">
        <f aca="false">J138-K138</f>
        <v>65000</v>
      </c>
      <c r="M138" s="51" t="s">
        <v>124</v>
      </c>
      <c r="N138" s="52" t="s">
        <v>62</v>
      </c>
    </row>
    <row r="139" customFormat="false" ht="15" hidden="false" customHeight="true" outlineLevel="0" collapsed="false">
      <c r="A139" s="52" t="s">
        <v>2587</v>
      </c>
      <c r="B139" s="52" t="s">
        <v>1082</v>
      </c>
      <c r="C139" s="52" t="s">
        <v>1083</v>
      </c>
      <c r="D139" s="52" t="s">
        <v>46</v>
      </c>
      <c r="E139" s="52" t="s">
        <v>102</v>
      </c>
      <c r="F139" s="51" t="s">
        <v>54</v>
      </c>
      <c r="G139" s="51" t="s">
        <v>123</v>
      </c>
      <c r="H139" s="53" t="n">
        <v>75000</v>
      </c>
      <c r="I139" s="53" t="n">
        <v>5000</v>
      </c>
      <c r="J139" s="51" t="n">
        <f aca="false">H139+I139</f>
        <v>80000</v>
      </c>
      <c r="K139" s="53" t="n">
        <v>80000</v>
      </c>
      <c r="L139" s="51" t="n">
        <f aca="false">J139-K139</f>
        <v>0</v>
      </c>
      <c r="M139" s="51" t="s">
        <v>57</v>
      </c>
      <c r="N139" s="52" t="s">
        <v>62</v>
      </c>
    </row>
    <row r="140" customFormat="false" ht="15" hidden="false" customHeight="true" outlineLevel="0" collapsed="false">
      <c r="A140" s="52" t="s">
        <v>2588</v>
      </c>
      <c r="B140" s="52" t="s">
        <v>1089</v>
      </c>
      <c r="C140" s="52" t="s">
        <v>1090</v>
      </c>
      <c r="D140" s="52" t="s">
        <v>147</v>
      </c>
      <c r="E140" s="52" t="s">
        <v>149</v>
      </c>
      <c r="F140" s="51" t="s">
        <v>54</v>
      </c>
      <c r="G140" s="51" t="s">
        <v>91</v>
      </c>
      <c r="H140" s="53" t="n">
        <v>70000</v>
      </c>
      <c r="I140" s="53" t="n">
        <v>5000</v>
      </c>
      <c r="J140" s="51" t="n">
        <f aca="false">H140+I140</f>
        <v>75000</v>
      </c>
      <c r="K140" s="53" t="n">
        <v>75000</v>
      </c>
      <c r="L140" s="51" t="n">
        <f aca="false">J140-K140</f>
        <v>0</v>
      </c>
      <c r="M140" s="51" t="s">
        <v>57</v>
      </c>
      <c r="N140" s="52" t="s">
        <v>62</v>
      </c>
    </row>
    <row r="141" customFormat="false" ht="15" hidden="false" customHeight="true" outlineLevel="0" collapsed="false">
      <c r="A141" s="52" t="s">
        <v>2589</v>
      </c>
      <c r="B141" s="52" t="s">
        <v>1094</v>
      </c>
      <c r="C141" s="52" t="s">
        <v>1095</v>
      </c>
      <c r="D141" s="52" t="s">
        <v>132</v>
      </c>
      <c r="E141" s="52" t="s">
        <v>134</v>
      </c>
      <c r="F141" s="51" t="s">
        <v>54</v>
      </c>
      <c r="G141" s="51" t="s">
        <v>78</v>
      </c>
      <c r="H141" s="53" t="n">
        <v>60000</v>
      </c>
      <c r="I141" s="53" t="n">
        <v>5000</v>
      </c>
      <c r="J141" s="51" t="n">
        <f aca="false">H141+I141</f>
        <v>65000</v>
      </c>
      <c r="K141" s="53" t="n">
        <v>65000</v>
      </c>
      <c r="L141" s="51" t="n">
        <f aca="false">J141-K141</f>
        <v>0</v>
      </c>
      <c r="M141" s="51" t="s">
        <v>57</v>
      </c>
      <c r="N141" s="52" t="s">
        <v>62</v>
      </c>
    </row>
    <row r="142" customFormat="false" ht="15" hidden="false" customHeight="true" outlineLevel="0" collapsed="false">
      <c r="A142" s="52" t="s">
        <v>2590</v>
      </c>
      <c r="B142" s="52" t="s">
        <v>1099</v>
      </c>
      <c r="C142" s="52" t="s">
        <v>1100</v>
      </c>
      <c r="D142" s="52" t="s">
        <v>156</v>
      </c>
      <c r="E142" s="52" t="s">
        <v>73</v>
      </c>
      <c r="F142" s="51" t="s">
        <v>54</v>
      </c>
      <c r="G142" s="51" t="s">
        <v>91</v>
      </c>
      <c r="H142" s="53" t="n">
        <v>65000</v>
      </c>
      <c r="I142" s="53" t="n">
        <v>5000</v>
      </c>
      <c r="J142" s="51" t="n">
        <f aca="false">H142+I142</f>
        <v>70000</v>
      </c>
      <c r="K142" s="53" t="n">
        <v>20000</v>
      </c>
      <c r="L142" s="51" t="n">
        <f aca="false">J142-K142</f>
        <v>50000</v>
      </c>
      <c r="M142" s="51" t="s">
        <v>263</v>
      </c>
      <c r="N142" s="52" t="s">
        <v>62</v>
      </c>
    </row>
    <row r="143" customFormat="false" ht="15" hidden="false" customHeight="true" outlineLevel="0" collapsed="false">
      <c r="A143" s="52" t="s">
        <v>2591</v>
      </c>
      <c r="B143" s="52" t="s">
        <v>1104</v>
      </c>
      <c r="C143" s="52" t="s">
        <v>1105</v>
      </c>
      <c r="D143" s="52" t="s">
        <v>46</v>
      </c>
      <c r="E143" s="52" t="s">
        <v>85</v>
      </c>
      <c r="F143" s="51" t="s">
        <v>54</v>
      </c>
      <c r="G143" s="51" t="s">
        <v>56</v>
      </c>
      <c r="H143" s="53" t="n">
        <v>75000</v>
      </c>
      <c r="I143" s="53" t="n">
        <v>5000</v>
      </c>
      <c r="J143" s="51" t="n">
        <f aca="false">H143+I143</f>
        <v>80000</v>
      </c>
      <c r="K143" s="53" t="n">
        <v>80000</v>
      </c>
      <c r="L143" s="51" t="n">
        <f aca="false">J143-K143</f>
        <v>0</v>
      </c>
      <c r="M143" s="51" t="s">
        <v>57</v>
      </c>
      <c r="N143" s="52" t="s">
        <v>62</v>
      </c>
    </row>
    <row r="144" customFormat="false" ht="15" hidden="false" customHeight="true" outlineLevel="0" collapsed="false">
      <c r="A144" s="52" t="s">
        <v>2592</v>
      </c>
      <c r="B144" s="52" t="s">
        <v>1110</v>
      </c>
      <c r="C144" s="52" t="s">
        <v>1111</v>
      </c>
      <c r="D144" s="52" t="s">
        <v>46</v>
      </c>
      <c r="E144" s="52" t="s">
        <v>48</v>
      </c>
      <c r="F144" s="51" t="s">
        <v>54</v>
      </c>
      <c r="G144" s="51" t="s">
        <v>123</v>
      </c>
      <c r="H144" s="53" t="n">
        <v>75000</v>
      </c>
      <c r="I144" s="53" t="n">
        <v>5000</v>
      </c>
      <c r="J144" s="51" t="n">
        <f aca="false">H144+I144</f>
        <v>80000</v>
      </c>
      <c r="K144" s="53" t="n">
        <v>5000</v>
      </c>
      <c r="L144" s="51" t="n">
        <f aca="false">J144-K144</f>
        <v>75000</v>
      </c>
      <c r="M144" s="51" t="s">
        <v>124</v>
      </c>
      <c r="N144" s="52" t="s">
        <v>62</v>
      </c>
    </row>
    <row r="145" customFormat="false" ht="15" hidden="false" customHeight="true" outlineLevel="0" collapsed="false">
      <c r="A145" s="52" t="s">
        <v>2593</v>
      </c>
      <c r="B145" s="52" t="s">
        <v>1115</v>
      </c>
      <c r="C145" s="52" t="s">
        <v>1116</v>
      </c>
      <c r="D145" s="52" t="s">
        <v>193</v>
      </c>
      <c r="E145" s="52" t="s">
        <v>102</v>
      </c>
      <c r="F145" s="51" t="s">
        <v>54</v>
      </c>
      <c r="G145" s="51" t="s">
        <v>107</v>
      </c>
      <c r="H145" s="53" t="n">
        <v>80000</v>
      </c>
      <c r="I145" s="53" t="n">
        <v>5000</v>
      </c>
      <c r="J145" s="51" t="n">
        <f aca="false">H145+I145</f>
        <v>85000</v>
      </c>
      <c r="K145" s="53" t="n">
        <v>85000</v>
      </c>
      <c r="L145" s="51" t="n">
        <f aca="false">J145-K145</f>
        <v>0</v>
      </c>
      <c r="M145" s="51" t="s">
        <v>108</v>
      </c>
      <c r="N145" s="52" t="s">
        <v>62</v>
      </c>
    </row>
    <row r="146" customFormat="false" ht="15" hidden="false" customHeight="true" outlineLevel="0" collapsed="false">
      <c r="A146" s="52" t="s">
        <v>2594</v>
      </c>
      <c r="B146" s="52" t="s">
        <v>1120</v>
      </c>
      <c r="C146" s="52" t="s">
        <v>1121</v>
      </c>
      <c r="D146" s="52" t="s">
        <v>46</v>
      </c>
      <c r="E146" s="52" t="s">
        <v>117</v>
      </c>
      <c r="F146" s="51" t="s">
        <v>54</v>
      </c>
      <c r="G146" s="51" t="s">
        <v>78</v>
      </c>
      <c r="H146" s="53" t="n">
        <v>75000</v>
      </c>
      <c r="I146" s="53" t="n">
        <v>5000</v>
      </c>
      <c r="J146" s="51" t="n">
        <f aca="false">H146+I146</f>
        <v>80000</v>
      </c>
      <c r="K146" s="53" t="n">
        <v>80000</v>
      </c>
      <c r="L146" s="51" t="n">
        <f aca="false">J146-K146</f>
        <v>0</v>
      </c>
      <c r="M146" s="51" t="s">
        <v>57</v>
      </c>
      <c r="N146" s="52" t="s">
        <v>62</v>
      </c>
    </row>
    <row r="147" customFormat="false" ht="15" hidden="false" customHeight="true" outlineLevel="0" collapsed="false">
      <c r="A147" s="52" t="s">
        <v>2595</v>
      </c>
      <c r="B147" s="52" t="s">
        <v>1125</v>
      </c>
      <c r="C147" s="52" t="s">
        <v>1126</v>
      </c>
      <c r="D147" s="52" t="s">
        <v>71</v>
      </c>
      <c r="E147" s="52" t="s">
        <v>187</v>
      </c>
      <c r="F147" s="51" t="s">
        <v>54</v>
      </c>
      <c r="G147" s="51" t="s">
        <v>56</v>
      </c>
      <c r="H147" s="53" t="n">
        <v>65000</v>
      </c>
      <c r="I147" s="53" t="n">
        <v>5000</v>
      </c>
      <c r="J147" s="51" t="n">
        <f aca="false">H147+I147</f>
        <v>70000</v>
      </c>
      <c r="K147" s="53" t="n">
        <v>70000</v>
      </c>
      <c r="L147" s="51" t="n">
        <f aca="false">J147-K147</f>
        <v>0</v>
      </c>
      <c r="M147" s="51" t="s">
        <v>57</v>
      </c>
      <c r="N147" s="52" t="s">
        <v>62</v>
      </c>
    </row>
    <row r="148" customFormat="false" ht="15" hidden="false" customHeight="true" outlineLevel="0" collapsed="false">
      <c r="A148" s="52" t="s">
        <v>2596</v>
      </c>
      <c r="B148" s="52" t="s">
        <v>1130</v>
      </c>
      <c r="C148" s="52" t="s">
        <v>1131</v>
      </c>
      <c r="D148" s="52" t="s">
        <v>46</v>
      </c>
      <c r="E148" s="52" t="s">
        <v>117</v>
      </c>
      <c r="F148" s="51" t="s">
        <v>54</v>
      </c>
      <c r="G148" s="51" t="s">
        <v>123</v>
      </c>
      <c r="H148" s="53" t="n">
        <v>75000</v>
      </c>
      <c r="I148" s="53" t="n">
        <v>5000</v>
      </c>
      <c r="J148" s="51" t="n">
        <f aca="false">H148+I148</f>
        <v>80000</v>
      </c>
      <c r="K148" s="53" t="n">
        <v>0</v>
      </c>
      <c r="L148" s="51" t="n">
        <f aca="false">J148-K148</f>
        <v>80000</v>
      </c>
      <c r="M148" s="51" t="s">
        <v>197</v>
      </c>
      <c r="N148" s="52" t="s">
        <v>62</v>
      </c>
    </row>
    <row r="149" customFormat="false" ht="15" hidden="false" customHeight="true" outlineLevel="0" collapsed="false">
      <c r="A149" s="52" t="s">
        <v>2597</v>
      </c>
      <c r="B149" s="52" t="s">
        <v>1135</v>
      </c>
      <c r="C149" s="52" t="s">
        <v>1136</v>
      </c>
      <c r="D149" s="52" t="s">
        <v>46</v>
      </c>
      <c r="E149" s="52" t="s">
        <v>117</v>
      </c>
      <c r="F149" s="51" t="s">
        <v>54</v>
      </c>
      <c r="G149" s="51" t="s">
        <v>78</v>
      </c>
      <c r="H149" s="53" t="n">
        <v>75000</v>
      </c>
      <c r="I149" s="53" t="n">
        <v>5000</v>
      </c>
      <c r="J149" s="51" t="n">
        <f aca="false">H149+I149</f>
        <v>80000</v>
      </c>
      <c r="K149" s="53" t="n">
        <v>80000</v>
      </c>
      <c r="L149" s="51" t="n">
        <f aca="false">J149-K149</f>
        <v>0</v>
      </c>
      <c r="M149" s="51" t="s">
        <v>57</v>
      </c>
      <c r="N149" s="52" t="s">
        <v>62</v>
      </c>
    </row>
    <row r="150" customFormat="false" ht="15" hidden="false" customHeight="true" outlineLevel="0" collapsed="false">
      <c r="A150" s="52" t="s">
        <v>2598</v>
      </c>
      <c r="B150" s="52" t="s">
        <v>1140</v>
      </c>
      <c r="C150" s="52" t="s">
        <v>1141</v>
      </c>
      <c r="D150" s="52" t="s">
        <v>71</v>
      </c>
      <c r="E150" s="52" t="s">
        <v>187</v>
      </c>
      <c r="F150" s="51" t="s">
        <v>54</v>
      </c>
      <c r="G150" s="51" t="s">
        <v>91</v>
      </c>
      <c r="H150" s="53" t="n">
        <v>65000</v>
      </c>
      <c r="I150" s="53" t="n">
        <v>5000</v>
      </c>
      <c r="J150" s="51" t="n">
        <f aca="false">H150+I150</f>
        <v>70000</v>
      </c>
      <c r="K150" s="53" t="n">
        <v>70000</v>
      </c>
      <c r="L150" s="51" t="n">
        <f aca="false">J150-K150</f>
        <v>0</v>
      </c>
      <c r="M150" s="51" t="s">
        <v>57</v>
      </c>
      <c r="N150" s="52" t="s">
        <v>62</v>
      </c>
    </row>
    <row r="151" customFormat="false" ht="15" hidden="false" customHeight="true" outlineLevel="0" collapsed="false">
      <c r="A151" s="52" t="s">
        <v>2599</v>
      </c>
      <c r="B151" s="52" t="s">
        <v>1145</v>
      </c>
      <c r="C151" s="52" t="s">
        <v>1146</v>
      </c>
      <c r="D151" s="52" t="s">
        <v>46</v>
      </c>
      <c r="E151" s="52" t="s">
        <v>117</v>
      </c>
      <c r="F151" s="51" t="s">
        <v>54</v>
      </c>
      <c r="G151" s="51" t="s">
        <v>78</v>
      </c>
      <c r="H151" s="53" t="n">
        <v>75000</v>
      </c>
      <c r="I151" s="53" t="n">
        <v>5000</v>
      </c>
      <c r="J151" s="51" t="n">
        <f aca="false">H151+I151</f>
        <v>80000</v>
      </c>
      <c r="K151" s="53" t="n">
        <v>5000</v>
      </c>
      <c r="L151" s="51" t="n">
        <f aca="false">J151-K151</f>
        <v>75000</v>
      </c>
      <c r="M151" s="51" t="s">
        <v>124</v>
      </c>
      <c r="N151" s="52" t="s">
        <v>62</v>
      </c>
    </row>
    <row r="152" customFormat="false" ht="15" hidden="false" customHeight="true" outlineLevel="0" collapsed="false">
      <c r="A152" s="52" t="s">
        <v>2600</v>
      </c>
      <c r="B152" s="52" t="s">
        <v>1150</v>
      </c>
      <c r="C152" s="52" t="s">
        <v>1151</v>
      </c>
      <c r="D152" s="52" t="s">
        <v>156</v>
      </c>
      <c r="E152" s="52" t="s">
        <v>73</v>
      </c>
      <c r="F152" s="51" t="s">
        <v>54</v>
      </c>
      <c r="G152" s="51" t="s">
        <v>56</v>
      </c>
      <c r="H152" s="53" t="n">
        <v>65000</v>
      </c>
      <c r="I152" s="53" t="n">
        <v>5000</v>
      </c>
      <c r="J152" s="51" t="n">
        <f aca="false">H152+I152</f>
        <v>70000</v>
      </c>
      <c r="K152" s="53" t="n">
        <v>70000</v>
      </c>
      <c r="L152" s="51" t="n">
        <f aca="false">J152-K152</f>
        <v>0</v>
      </c>
      <c r="M152" s="51" t="s">
        <v>57</v>
      </c>
      <c r="N152" s="52" t="s">
        <v>62</v>
      </c>
    </row>
    <row r="153" customFormat="false" ht="15" hidden="false" customHeight="true" outlineLevel="0" collapsed="false">
      <c r="A153" s="52" t="s">
        <v>2601</v>
      </c>
      <c r="B153" s="52" t="s">
        <v>1155</v>
      </c>
      <c r="C153" s="52" t="s">
        <v>1156</v>
      </c>
      <c r="D153" s="52" t="s">
        <v>46</v>
      </c>
      <c r="E153" s="52" t="s">
        <v>85</v>
      </c>
      <c r="F153" s="51" t="s">
        <v>54</v>
      </c>
      <c r="G153" s="51" t="s">
        <v>123</v>
      </c>
      <c r="H153" s="53" t="n">
        <v>75000</v>
      </c>
      <c r="I153" s="53" t="n">
        <v>5000</v>
      </c>
      <c r="J153" s="51" t="n">
        <f aca="false">H153+I153</f>
        <v>80000</v>
      </c>
      <c r="K153" s="53" t="n">
        <v>80000</v>
      </c>
      <c r="L153" s="51" t="n">
        <f aca="false">J153-K153</f>
        <v>0</v>
      </c>
      <c r="M153" s="51" t="s">
        <v>57</v>
      </c>
      <c r="N153" s="52" t="s">
        <v>62</v>
      </c>
    </row>
    <row r="154" customFormat="false" ht="15" hidden="false" customHeight="true" outlineLevel="0" collapsed="false">
      <c r="A154" s="52" t="s">
        <v>2602</v>
      </c>
      <c r="B154" s="52" t="s">
        <v>1160</v>
      </c>
      <c r="C154" s="52" t="s">
        <v>1161</v>
      </c>
      <c r="D154" s="52" t="s">
        <v>71</v>
      </c>
      <c r="E154" s="52" t="s">
        <v>204</v>
      </c>
      <c r="F154" s="51" t="s">
        <v>54</v>
      </c>
      <c r="G154" s="51" t="s">
        <v>91</v>
      </c>
      <c r="H154" s="53" t="n">
        <v>65000</v>
      </c>
      <c r="I154" s="53" t="n">
        <v>5000</v>
      </c>
      <c r="J154" s="51" t="n">
        <f aca="false">H154+I154</f>
        <v>70000</v>
      </c>
      <c r="K154" s="53" t="n">
        <v>0</v>
      </c>
      <c r="L154" s="51" t="n">
        <f aca="false">J154-K154</f>
        <v>70000</v>
      </c>
      <c r="M154" s="51" t="s">
        <v>160</v>
      </c>
      <c r="N154" s="52" t="s">
        <v>62</v>
      </c>
    </row>
    <row r="155" customFormat="false" ht="15" hidden="false" customHeight="true" outlineLevel="0" collapsed="false">
      <c r="A155" s="52" t="s">
        <v>2603</v>
      </c>
      <c r="B155" s="52" t="s">
        <v>1165</v>
      </c>
      <c r="C155" s="52" t="s">
        <v>1166</v>
      </c>
      <c r="D155" s="52" t="s">
        <v>46</v>
      </c>
      <c r="E155" s="52" t="s">
        <v>102</v>
      </c>
      <c r="F155" s="51" t="s">
        <v>54</v>
      </c>
      <c r="G155" s="51" t="s">
        <v>78</v>
      </c>
      <c r="H155" s="53" t="n">
        <v>75000</v>
      </c>
      <c r="I155" s="53" t="n">
        <v>5000</v>
      </c>
      <c r="J155" s="51" t="n">
        <f aca="false">H155+I155</f>
        <v>80000</v>
      </c>
      <c r="K155" s="53" t="n">
        <v>80000</v>
      </c>
      <c r="L155" s="51" t="n">
        <f aca="false">J155-K155</f>
        <v>0</v>
      </c>
      <c r="M155" s="51" t="s">
        <v>57</v>
      </c>
      <c r="N155" s="52" t="s">
        <v>62</v>
      </c>
    </row>
    <row r="156" customFormat="false" ht="15" hidden="false" customHeight="true" outlineLevel="0" collapsed="false">
      <c r="A156" s="52" t="s">
        <v>2604</v>
      </c>
      <c r="B156" s="52" t="s">
        <v>1170</v>
      </c>
      <c r="C156" s="52" t="s">
        <v>1171</v>
      </c>
      <c r="D156" s="52" t="s">
        <v>46</v>
      </c>
      <c r="E156" s="52" t="s">
        <v>48</v>
      </c>
      <c r="F156" s="51" t="s">
        <v>54</v>
      </c>
      <c r="G156" s="51" t="s">
        <v>78</v>
      </c>
      <c r="H156" s="53" t="n">
        <v>75000</v>
      </c>
      <c r="I156" s="53" t="n">
        <v>5000</v>
      </c>
      <c r="J156" s="51" t="n">
        <f aca="false">H156+I156</f>
        <v>80000</v>
      </c>
      <c r="K156" s="53" t="n">
        <v>0</v>
      </c>
      <c r="L156" s="51" t="n">
        <f aca="false">J156-K156</f>
        <v>80000</v>
      </c>
      <c r="M156" s="51" t="s">
        <v>197</v>
      </c>
      <c r="N156" s="52" t="s">
        <v>62</v>
      </c>
    </row>
    <row r="157" customFormat="false" ht="15" hidden="false" customHeight="true" outlineLevel="0" collapsed="false">
      <c r="A157" s="52" t="s">
        <v>2605</v>
      </c>
      <c r="B157" s="52" t="s">
        <v>1175</v>
      </c>
      <c r="C157" s="52" t="s">
        <v>1176</v>
      </c>
      <c r="D157" s="52" t="s">
        <v>46</v>
      </c>
      <c r="E157" s="52" t="s">
        <v>48</v>
      </c>
      <c r="F157" s="51" t="s">
        <v>54</v>
      </c>
      <c r="G157" s="51" t="s">
        <v>56</v>
      </c>
      <c r="H157" s="53" t="n">
        <v>75000</v>
      </c>
      <c r="I157" s="53" t="n">
        <v>5000</v>
      </c>
      <c r="J157" s="51" t="n">
        <f aca="false">H157+I157</f>
        <v>80000</v>
      </c>
      <c r="K157" s="53" t="n">
        <v>80000</v>
      </c>
      <c r="L157" s="51" t="n">
        <f aca="false">J157-K157</f>
        <v>0</v>
      </c>
      <c r="M157" s="51" t="s">
        <v>57</v>
      </c>
      <c r="N157" s="52" t="s">
        <v>62</v>
      </c>
    </row>
    <row r="158" customFormat="false" ht="15" hidden="false" customHeight="true" outlineLevel="0" collapsed="false">
      <c r="A158" s="52" t="s">
        <v>2606</v>
      </c>
      <c r="B158" s="52" t="s">
        <v>1180</v>
      </c>
      <c r="C158" s="52" t="s">
        <v>1181</v>
      </c>
      <c r="D158" s="52" t="s">
        <v>71</v>
      </c>
      <c r="E158" s="52" t="s">
        <v>187</v>
      </c>
      <c r="F158" s="51" t="s">
        <v>54</v>
      </c>
      <c r="G158" s="51" t="s">
        <v>78</v>
      </c>
      <c r="H158" s="53" t="n">
        <v>65000</v>
      </c>
      <c r="I158" s="53" t="n">
        <v>5000</v>
      </c>
      <c r="J158" s="51" t="n">
        <f aca="false">H158+I158</f>
        <v>70000</v>
      </c>
      <c r="K158" s="53" t="n">
        <v>70000</v>
      </c>
      <c r="L158" s="51" t="n">
        <f aca="false">J158-K158</f>
        <v>0</v>
      </c>
      <c r="M158" s="51" t="s">
        <v>57</v>
      </c>
      <c r="N158" s="52" t="s">
        <v>62</v>
      </c>
    </row>
    <row r="159" customFormat="false" ht="15" hidden="false" customHeight="true" outlineLevel="0" collapsed="false">
      <c r="A159" s="52" t="s">
        <v>2607</v>
      </c>
      <c r="B159" s="52" t="s">
        <v>1186</v>
      </c>
      <c r="C159" s="52" t="s">
        <v>1187</v>
      </c>
      <c r="D159" s="52" t="s">
        <v>156</v>
      </c>
      <c r="E159" s="52" t="s">
        <v>73</v>
      </c>
      <c r="F159" s="51" t="s">
        <v>54</v>
      </c>
      <c r="G159" s="51" t="s">
        <v>91</v>
      </c>
      <c r="H159" s="53" t="n">
        <v>65000</v>
      </c>
      <c r="I159" s="53" t="n">
        <v>5000</v>
      </c>
      <c r="J159" s="51" t="n">
        <f aca="false">H159+I159</f>
        <v>70000</v>
      </c>
      <c r="K159" s="53" t="n">
        <v>5000</v>
      </c>
      <c r="L159" s="51" t="n">
        <f aca="false">J159-K159</f>
        <v>65000</v>
      </c>
      <c r="M159" s="51" t="s">
        <v>124</v>
      </c>
      <c r="N159" s="52" t="s">
        <v>62</v>
      </c>
    </row>
    <row r="160" customFormat="false" ht="15" hidden="false" customHeight="true" outlineLevel="0" collapsed="false">
      <c r="A160" s="52" t="s">
        <v>2608</v>
      </c>
      <c r="B160" s="52" t="s">
        <v>1191</v>
      </c>
      <c r="C160" s="52" t="s">
        <v>1192</v>
      </c>
      <c r="D160" s="52" t="s">
        <v>46</v>
      </c>
      <c r="E160" s="52" t="s">
        <v>102</v>
      </c>
      <c r="F160" s="51" t="s">
        <v>54</v>
      </c>
      <c r="G160" s="51" t="s">
        <v>123</v>
      </c>
      <c r="H160" s="53" t="n">
        <v>75000</v>
      </c>
      <c r="I160" s="53" t="n">
        <v>5000</v>
      </c>
      <c r="J160" s="51" t="n">
        <f aca="false">H160+I160</f>
        <v>80000</v>
      </c>
      <c r="K160" s="53" t="n">
        <v>80000</v>
      </c>
      <c r="L160" s="51" t="n">
        <f aca="false">J160-K160</f>
        <v>0</v>
      </c>
      <c r="M160" s="51" t="s">
        <v>57</v>
      </c>
      <c r="N160" s="52" t="s">
        <v>62</v>
      </c>
    </row>
    <row r="161" customFormat="false" ht="15" hidden="false" customHeight="true" outlineLevel="0" collapsed="false">
      <c r="A161" s="52" t="s">
        <v>2609</v>
      </c>
      <c r="B161" s="52" t="s">
        <v>1196</v>
      </c>
      <c r="C161" s="52" t="s">
        <v>1197</v>
      </c>
      <c r="D161" s="52" t="s">
        <v>147</v>
      </c>
      <c r="E161" s="52" t="s">
        <v>149</v>
      </c>
      <c r="F161" s="51" t="s">
        <v>54</v>
      </c>
      <c r="G161" s="51" t="s">
        <v>56</v>
      </c>
      <c r="H161" s="53" t="n">
        <v>70000</v>
      </c>
      <c r="I161" s="53" t="n">
        <v>5000</v>
      </c>
      <c r="J161" s="51" t="n">
        <f aca="false">H161+I161</f>
        <v>75000</v>
      </c>
      <c r="K161" s="53" t="n">
        <v>0</v>
      </c>
      <c r="L161" s="51" t="n">
        <f aca="false">J161-K161</f>
        <v>75000</v>
      </c>
      <c r="M161" s="51" t="s">
        <v>197</v>
      </c>
      <c r="N161" s="52" t="s">
        <v>62</v>
      </c>
    </row>
    <row r="162" customFormat="false" ht="15" hidden="false" customHeight="true" outlineLevel="0" collapsed="false">
      <c r="A162" s="52" t="s">
        <v>2610</v>
      </c>
      <c r="B162" s="52" t="s">
        <v>1201</v>
      </c>
      <c r="C162" s="52" t="s">
        <v>1202</v>
      </c>
      <c r="D162" s="52" t="s">
        <v>132</v>
      </c>
      <c r="E162" s="52" t="s">
        <v>134</v>
      </c>
      <c r="F162" s="51" t="s">
        <v>54</v>
      </c>
      <c r="G162" s="51" t="s">
        <v>78</v>
      </c>
      <c r="H162" s="53" t="n">
        <v>60000</v>
      </c>
      <c r="I162" s="53" t="n">
        <v>5000</v>
      </c>
      <c r="J162" s="51" t="n">
        <f aca="false">H162+I162</f>
        <v>65000</v>
      </c>
      <c r="K162" s="53" t="n">
        <v>65000</v>
      </c>
      <c r="L162" s="51" t="n">
        <f aca="false">J162-K162</f>
        <v>0</v>
      </c>
      <c r="M162" s="51" t="s">
        <v>57</v>
      </c>
      <c r="N162" s="52" t="s">
        <v>62</v>
      </c>
    </row>
    <row r="163" customFormat="false" ht="15" hidden="false" customHeight="true" outlineLevel="0" collapsed="false">
      <c r="A163" s="52" t="s">
        <v>2611</v>
      </c>
      <c r="B163" s="52" t="s">
        <v>1206</v>
      </c>
      <c r="C163" s="52" t="s">
        <v>1207</v>
      </c>
      <c r="D163" s="52" t="s">
        <v>46</v>
      </c>
      <c r="E163" s="52" t="s">
        <v>85</v>
      </c>
      <c r="F163" s="51" t="s">
        <v>54</v>
      </c>
      <c r="G163" s="51" t="s">
        <v>91</v>
      </c>
      <c r="H163" s="53" t="n">
        <v>75000</v>
      </c>
      <c r="I163" s="53" t="n">
        <v>5000</v>
      </c>
      <c r="J163" s="51" t="n">
        <f aca="false">H163+I163</f>
        <v>80000</v>
      </c>
      <c r="K163" s="53" t="n">
        <v>80000</v>
      </c>
      <c r="L163" s="51" t="n">
        <f aca="false">J163-K163</f>
        <v>0</v>
      </c>
      <c r="M163" s="51" t="s">
        <v>57</v>
      </c>
      <c r="N163" s="52" t="s">
        <v>62</v>
      </c>
    </row>
    <row r="164" customFormat="false" ht="15" hidden="false" customHeight="true" outlineLevel="0" collapsed="false">
      <c r="A164" s="52" t="s">
        <v>2612</v>
      </c>
      <c r="B164" s="52" t="s">
        <v>1211</v>
      </c>
      <c r="C164" s="52" t="s">
        <v>1212</v>
      </c>
      <c r="D164" s="52" t="s">
        <v>46</v>
      </c>
      <c r="E164" s="52" t="s">
        <v>117</v>
      </c>
      <c r="F164" s="51" t="s">
        <v>54</v>
      </c>
      <c r="G164" s="51" t="s">
        <v>123</v>
      </c>
      <c r="H164" s="53" t="n">
        <v>75000</v>
      </c>
      <c r="I164" s="53" t="n">
        <v>5000</v>
      </c>
      <c r="J164" s="51" t="n">
        <f aca="false">H164+I164</f>
        <v>80000</v>
      </c>
      <c r="K164" s="53" t="n">
        <v>5000</v>
      </c>
      <c r="L164" s="51" t="n">
        <f aca="false">J164-K164</f>
        <v>75000</v>
      </c>
      <c r="M164" s="51" t="s">
        <v>124</v>
      </c>
      <c r="N164" s="52" t="s">
        <v>62</v>
      </c>
    </row>
    <row r="165" customFormat="false" ht="15" hidden="false" customHeight="true" outlineLevel="0" collapsed="false">
      <c r="A165" s="52" t="s">
        <v>2613</v>
      </c>
      <c r="B165" s="52" t="s">
        <v>1216</v>
      </c>
      <c r="C165" s="52" t="s">
        <v>1217</v>
      </c>
      <c r="D165" s="52" t="s">
        <v>156</v>
      </c>
      <c r="E165" s="52" t="s">
        <v>73</v>
      </c>
      <c r="F165" s="51" t="s">
        <v>54</v>
      </c>
      <c r="G165" s="51" t="s">
        <v>56</v>
      </c>
      <c r="H165" s="53" t="n">
        <v>65000</v>
      </c>
      <c r="I165" s="53" t="n">
        <v>5000</v>
      </c>
      <c r="J165" s="51" t="n">
        <f aca="false">H165+I165</f>
        <v>70000</v>
      </c>
      <c r="K165" s="53" t="n">
        <v>20000</v>
      </c>
      <c r="L165" s="51" t="n">
        <f aca="false">J165-K165</f>
        <v>50000</v>
      </c>
      <c r="M165" s="51" t="s">
        <v>263</v>
      </c>
      <c r="N165" s="52" t="s">
        <v>62</v>
      </c>
    </row>
    <row r="166" customFormat="false" ht="15" hidden="false" customHeight="true" outlineLevel="0" collapsed="false">
      <c r="A166" s="52" t="s">
        <v>2614</v>
      </c>
      <c r="B166" s="52" t="s">
        <v>1221</v>
      </c>
      <c r="C166" s="52" t="s">
        <v>1222</v>
      </c>
      <c r="D166" s="52" t="s">
        <v>193</v>
      </c>
      <c r="E166" s="52" t="s">
        <v>102</v>
      </c>
      <c r="F166" s="51" t="s">
        <v>54</v>
      </c>
      <c r="G166" s="51" t="s">
        <v>91</v>
      </c>
      <c r="H166" s="53" t="n">
        <v>80000</v>
      </c>
      <c r="I166" s="53" t="n">
        <v>5000</v>
      </c>
      <c r="J166" s="51" t="n">
        <f aca="false">H166+I166</f>
        <v>85000</v>
      </c>
      <c r="K166" s="53" t="n">
        <v>85000</v>
      </c>
      <c r="L166" s="51" t="n">
        <f aca="false">J166-K166</f>
        <v>0</v>
      </c>
      <c r="M166" s="51" t="s">
        <v>57</v>
      </c>
      <c r="N166" s="52" t="s">
        <v>62</v>
      </c>
    </row>
    <row r="167" customFormat="false" ht="15" hidden="false" customHeight="true" outlineLevel="0" collapsed="false">
      <c r="A167" s="52" t="s">
        <v>2615</v>
      </c>
      <c r="B167" s="52" t="s">
        <v>1228</v>
      </c>
      <c r="C167" s="52" t="s">
        <v>1229</v>
      </c>
      <c r="D167" s="52" t="s">
        <v>46</v>
      </c>
      <c r="E167" s="52" t="s">
        <v>117</v>
      </c>
      <c r="F167" s="51" t="s">
        <v>54</v>
      </c>
      <c r="G167" s="51" t="s">
        <v>78</v>
      </c>
      <c r="H167" s="53" t="n">
        <v>75000</v>
      </c>
      <c r="I167" s="53" t="n">
        <v>5000</v>
      </c>
      <c r="J167" s="51" t="n">
        <f aca="false">H167+I167</f>
        <v>80000</v>
      </c>
      <c r="K167" s="53" t="n">
        <v>80000</v>
      </c>
      <c r="L167" s="51" t="n">
        <f aca="false">J167-K167</f>
        <v>0</v>
      </c>
      <c r="M167" s="51" t="s">
        <v>57</v>
      </c>
      <c r="N167" s="52" t="s">
        <v>62</v>
      </c>
    </row>
    <row r="168" customFormat="false" ht="15" hidden="false" customHeight="true" outlineLevel="0" collapsed="false">
      <c r="A168" s="52" t="s">
        <v>2616</v>
      </c>
      <c r="B168" s="52" t="s">
        <v>1233</v>
      </c>
      <c r="C168" s="52" t="s">
        <v>1234</v>
      </c>
      <c r="D168" s="52" t="s">
        <v>71</v>
      </c>
      <c r="E168" s="52" t="s">
        <v>204</v>
      </c>
      <c r="F168" s="51" t="s">
        <v>54</v>
      </c>
      <c r="G168" s="51" t="s">
        <v>123</v>
      </c>
      <c r="H168" s="53" t="n">
        <v>65000</v>
      </c>
      <c r="I168" s="53" t="n">
        <v>5000</v>
      </c>
      <c r="J168" s="51" t="n">
        <f aca="false">H168+I168</f>
        <v>70000</v>
      </c>
      <c r="K168" s="53" t="n">
        <v>0</v>
      </c>
      <c r="L168" s="51" t="n">
        <f aca="false">J168-K168</f>
        <v>70000</v>
      </c>
      <c r="M168" s="51" t="s">
        <v>197</v>
      </c>
      <c r="N168" s="52" t="s">
        <v>62</v>
      </c>
    </row>
    <row r="169" customFormat="false" ht="15" hidden="false" customHeight="true" outlineLevel="0" collapsed="false">
      <c r="A169" s="52" t="s">
        <v>2617</v>
      </c>
      <c r="B169" s="52" t="s">
        <v>1238</v>
      </c>
      <c r="C169" s="52" t="s">
        <v>1239</v>
      </c>
      <c r="D169" s="52" t="s">
        <v>269</v>
      </c>
      <c r="E169" s="52" t="s">
        <v>48</v>
      </c>
      <c r="F169" s="51" t="s">
        <v>272</v>
      </c>
      <c r="G169" s="51" t="s">
        <v>123</v>
      </c>
      <c r="H169" s="53" t="n">
        <v>110000</v>
      </c>
      <c r="I169" s="53" t="n">
        <v>8000</v>
      </c>
      <c r="J169" s="51" t="n">
        <f aca="false">H169+I169</f>
        <v>118000</v>
      </c>
      <c r="K169" s="53" t="n">
        <v>118000</v>
      </c>
      <c r="L169" s="51" t="n">
        <f aca="false">J169-K169</f>
        <v>0</v>
      </c>
      <c r="M169" s="51" t="s">
        <v>57</v>
      </c>
      <c r="N169" s="52" t="s">
        <v>62</v>
      </c>
    </row>
    <row r="170" customFormat="false" ht="15" hidden="false" customHeight="true" outlineLevel="0" collapsed="false">
      <c r="A170" s="52" t="s">
        <v>2618</v>
      </c>
      <c r="B170" s="52" t="s">
        <v>1244</v>
      </c>
      <c r="C170" s="52" t="s">
        <v>1245</v>
      </c>
      <c r="D170" s="52" t="s">
        <v>286</v>
      </c>
      <c r="E170" s="52" t="s">
        <v>73</v>
      </c>
      <c r="F170" s="51" t="s">
        <v>272</v>
      </c>
      <c r="G170" s="51" t="s">
        <v>123</v>
      </c>
      <c r="H170" s="53" t="n">
        <v>160000</v>
      </c>
      <c r="I170" s="53" t="n">
        <v>10000</v>
      </c>
      <c r="J170" s="51" t="n">
        <f aca="false">H170+I170</f>
        <v>170000</v>
      </c>
      <c r="K170" s="53" t="n">
        <v>10000</v>
      </c>
      <c r="L170" s="51" t="n">
        <f aca="false">J170-K170</f>
        <v>160000</v>
      </c>
      <c r="M170" s="51" t="s">
        <v>124</v>
      </c>
      <c r="N170" s="52" t="s">
        <v>62</v>
      </c>
    </row>
    <row r="171" customFormat="false" ht="15" hidden="false" customHeight="true" outlineLevel="0" collapsed="false">
      <c r="A171" s="52" t="s">
        <v>2619</v>
      </c>
      <c r="B171" s="52" t="s">
        <v>1253</v>
      </c>
      <c r="C171" s="52" t="s">
        <v>1254</v>
      </c>
      <c r="D171" s="52" t="s">
        <v>918</v>
      </c>
      <c r="E171" s="52" t="s">
        <v>134</v>
      </c>
      <c r="F171" s="51" t="s">
        <v>272</v>
      </c>
      <c r="G171" s="51" t="s">
        <v>78</v>
      </c>
      <c r="H171" s="53" t="n">
        <v>90000</v>
      </c>
      <c r="I171" s="53" t="n">
        <v>7000</v>
      </c>
      <c r="J171" s="51" t="n">
        <f aca="false">H171+I171</f>
        <v>97000</v>
      </c>
      <c r="K171" s="53" t="n">
        <v>97000</v>
      </c>
      <c r="L171" s="51" t="n">
        <f aca="false">J171-K171</f>
        <v>0</v>
      </c>
      <c r="M171" s="51" t="s">
        <v>57</v>
      </c>
      <c r="N171" s="52" t="s">
        <v>62</v>
      </c>
    </row>
    <row r="172" customFormat="false" ht="15" hidden="false" customHeight="true" outlineLevel="0" collapsed="false">
      <c r="A172" s="52" t="s">
        <v>2620</v>
      </c>
      <c r="B172" s="52" t="s">
        <v>1260</v>
      </c>
      <c r="C172" s="52" t="s">
        <v>1261</v>
      </c>
      <c r="D172" s="52" t="s">
        <v>301</v>
      </c>
      <c r="E172" s="52" t="s">
        <v>187</v>
      </c>
      <c r="F172" s="51" t="s">
        <v>272</v>
      </c>
      <c r="G172" s="51" t="s">
        <v>361</v>
      </c>
      <c r="H172" s="53" t="n">
        <v>80000</v>
      </c>
      <c r="I172" s="53" t="n">
        <v>6000</v>
      </c>
      <c r="J172" s="51" t="n">
        <f aca="false">H172+I172</f>
        <v>86000</v>
      </c>
      <c r="K172" s="53" t="n">
        <v>86000</v>
      </c>
      <c r="L172" s="51" t="n">
        <f aca="false">J172-K172</f>
        <v>0</v>
      </c>
      <c r="M172" s="51" t="s">
        <v>57</v>
      </c>
      <c r="N172" s="52" t="s">
        <v>62</v>
      </c>
    </row>
    <row r="173" customFormat="false" ht="15" hidden="false" customHeight="true" outlineLevel="0" collapsed="false">
      <c r="A173" s="52" t="s">
        <v>2621</v>
      </c>
      <c r="B173" s="52" t="s">
        <v>1271</v>
      </c>
      <c r="C173" s="52" t="s">
        <v>1272</v>
      </c>
      <c r="D173" s="52" t="s">
        <v>269</v>
      </c>
      <c r="E173" s="52" t="s">
        <v>117</v>
      </c>
      <c r="F173" s="51" t="s">
        <v>272</v>
      </c>
      <c r="G173" s="51" t="s">
        <v>361</v>
      </c>
      <c r="H173" s="53" t="n">
        <v>85000</v>
      </c>
      <c r="I173" s="53" t="n">
        <v>6000</v>
      </c>
      <c r="J173" s="51" t="n">
        <f aca="false">H173+I173</f>
        <v>91000</v>
      </c>
      <c r="K173" s="53" t="n">
        <v>0</v>
      </c>
      <c r="L173" s="51" t="n">
        <f aca="false">J173-K173</f>
        <v>91000</v>
      </c>
      <c r="M173" s="51" t="s">
        <v>197</v>
      </c>
      <c r="N173" s="52" t="s">
        <v>62</v>
      </c>
    </row>
    <row r="174" customFormat="false" ht="15" hidden="false" customHeight="true" outlineLevel="0" collapsed="false">
      <c r="A174" s="52" t="s">
        <v>2622</v>
      </c>
      <c r="B174" s="52" t="s">
        <v>1282</v>
      </c>
      <c r="C174" s="52" t="s">
        <v>1283</v>
      </c>
      <c r="D174" s="52" t="s">
        <v>429</v>
      </c>
      <c r="E174" s="52" t="s">
        <v>48</v>
      </c>
      <c r="F174" s="51" t="s">
        <v>272</v>
      </c>
      <c r="G174" s="51" t="s">
        <v>361</v>
      </c>
      <c r="H174" s="53" t="n">
        <v>95000</v>
      </c>
      <c r="I174" s="53" t="n">
        <v>6000</v>
      </c>
      <c r="J174" s="51" t="n">
        <f aca="false">H174+I174</f>
        <v>101000</v>
      </c>
      <c r="K174" s="53" t="n">
        <v>101000</v>
      </c>
      <c r="L174" s="51" t="n">
        <f aca="false">J174-K174</f>
        <v>0</v>
      </c>
      <c r="M174" s="51" t="s">
        <v>57</v>
      </c>
      <c r="N174" s="52" t="s">
        <v>62</v>
      </c>
    </row>
    <row r="175" customFormat="false" ht="15" hidden="false" customHeight="true" outlineLevel="0" collapsed="false">
      <c r="A175" s="52" t="s">
        <v>2623</v>
      </c>
      <c r="B175" s="52" t="s">
        <v>1294</v>
      </c>
      <c r="C175" s="52" t="s">
        <v>1295</v>
      </c>
      <c r="D175" s="52" t="s">
        <v>429</v>
      </c>
      <c r="E175" s="52" t="s">
        <v>102</v>
      </c>
      <c r="F175" s="51" t="s">
        <v>272</v>
      </c>
      <c r="G175" s="51" t="s">
        <v>345</v>
      </c>
      <c r="H175" s="53" t="n">
        <v>95000</v>
      </c>
      <c r="I175" s="53" t="n">
        <v>6000</v>
      </c>
      <c r="J175" s="51" t="n">
        <f aca="false">H175+I175</f>
        <v>101000</v>
      </c>
      <c r="K175" s="53" t="n">
        <v>101000</v>
      </c>
      <c r="L175" s="51" t="n">
        <f aca="false">J175-K175</f>
        <v>0</v>
      </c>
      <c r="M175" s="51" t="s">
        <v>57</v>
      </c>
      <c r="N175" s="52" t="s">
        <v>62</v>
      </c>
    </row>
    <row r="176" customFormat="false" ht="15" hidden="false" customHeight="true" outlineLevel="0" collapsed="false">
      <c r="A176" s="52" t="s">
        <v>2624</v>
      </c>
      <c r="B176" s="52" t="s">
        <v>1305</v>
      </c>
      <c r="C176" s="52" t="s">
        <v>1306</v>
      </c>
      <c r="D176" s="52" t="s">
        <v>301</v>
      </c>
      <c r="E176" s="52" t="s">
        <v>73</v>
      </c>
      <c r="F176" s="51" t="s">
        <v>272</v>
      </c>
      <c r="G176" s="51" t="s">
        <v>123</v>
      </c>
      <c r="H176" s="53" t="n">
        <v>95000</v>
      </c>
      <c r="I176" s="53" t="n">
        <v>7000</v>
      </c>
      <c r="J176" s="51" t="n">
        <f aca="false">H176+I176</f>
        <v>102000</v>
      </c>
      <c r="K176" s="53" t="n">
        <v>20000</v>
      </c>
      <c r="L176" s="51" t="n">
        <f aca="false">J176-K176</f>
        <v>82000</v>
      </c>
      <c r="M176" s="51" t="s">
        <v>263</v>
      </c>
      <c r="N176" s="52" t="s">
        <v>62</v>
      </c>
    </row>
    <row r="177" customFormat="false" ht="15" hidden="false" customHeight="true" outlineLevel="0" collapsed="false">
      <c r="A177" s="51" t="s">
        <v>2625</v>
      </c>
      <c r="B177" s="51"/>
      <c r="C177" s="52"/>
      <c r="D177" s="51"/>
      <c r="E177" s="52"/>
      <c r="F177" s="51"/>
      <c r="G177" s="51"/>
      <c r="H177" s="53" t="n">
        <f aca="false">SUM(H5:H176)</f>
        <v>14775000</v>
      </c>
      <c r="I177" s="53" t="n">
        <f aca="false">SUM(I5:I176)</f>
        <v>876000</v>
      </c>
      <c r="J177" s="51" t="n">
        <f aca="false">SUM(J5:J176)</f>
        <v>15651000</v>
      </c>
      <c r="K177" s="53" t="n">
        <f aca="false">SUM(K5:K176)</f>
        <v>13146500</v>
      </c>
      <c r="L177" s="51" t="n">
        <f aca="false">SUM(L5:L176)</f>
        <v>2504500</v>
      </c>
      <c r="M177" s="54"/>
      <c r="N177" s="54"/>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18"/>
    <col collapsed="false" customWidth="true" hidden="false" outlineLevel="0" max="4" min="4" style="1" width="24"/>
    <col collapsed="false" customWidth="true" hidden="false" outlineLevel="0" max="5" min="5" style="1" width="14"/>
    <col collapsed="false" customWidth="true" hidden="false" outlineLevel="0" max="7" min="6" style="1" width="18"/>
    <col collapsed="false" customWidth="true" hidden="false" outlineLevel="0" max="8" min="8" style="1" width="16"/>
    <col collapsed="false" customWidth="true" hidden="false" outlineLevel="0" max="9" min="9" style="1" width="18"/>
    <col collapsed="false" customWidth="true" hidden="false" outlineLevel="0" max="10" min="10" style="1" width="20"/>
    <col collapsed="false" customWidth="true" hidden="false" outlineLevel="0" max="11" min="11" style="1" width="14"/>
    <col collapsed="false" customWidth="true" hidden="false" outlineLevel="0" max="12" min="12" style="1" width="12"/>
  </cols>
  <sheetData>
    <row r="1" customFormat="false" ht="25.5" hidden="false" customHeight="true" outlineLevel="0" collapsed="false">
      <c r="A1" s="48" t="s">
        <v>2626</v>
      </c>
      <c r="B1" s="48"/>
      <c r="C1" s="48"/>
      <c r="D1" s="48"/>
      <c r="E1" s="48"/>
      <c r="F1" s="48"/>
      <c r="G1" s="48"/>
      <c r="H1" s="48"/>
      <c r="I1" s="48"/>
      <c r="J1" s="48"/>
      <c r="K1" s="48"/>
    </row>
    <row r="2" customFormat="false" ht="15.75" hidden="false" customHeight="true" outlineLevel="0" collapsed="false">
      <c r="A2" s="49" t="s">
        <v>2439</v>
      </c>
      <c r="B2" s="49"/>
      <c r="C2" s="49"/>
      <c r="D2" s="49"/>
      <c r="E2" s="49"/>
      <c r="F2" s="49"/>
      <c r="G2" s="49"/>
      <c r="H2" s="49"/>
      <c r="I2" s="49"/>
      <c r="J2" s="49"/>
      <c r="K2" s="49"/>
    </row>
    <row r="4" customFormat="false" ht="18" hidden="false" customHeight="true" outlineLevel="0" collapsed="false">
      <c r="A4" s="50" t="s">
        <v>2627</v>
      </c>
      <c r="B4" s="50" t="s">
        <v>2440</v>
      </c>
      <c r="C4" s="50" t="s">
        <v>2441</v>
      </c>
      <c r="D4" s="50" t="s">
        <v>2442</v>
      </c>
      <c r="E4" s="50" t="s">
        <v>2628</v>
      </c>
      <c r="F4" s="50" t="s">
        <v>2629</v>
      </c>
      <c r="G4" s="50" t="s">
        <v>2630</v>
      </c>
      <c r="H4" s="50" t="s">
        <v>2631</v>
      </c>
      <c r="I4" s="50" t="s">
        <v>2632</v>
      </c>
      <c r="J4" s="50" t="s">
        <v>2633</v>
      </c>
      <c r="K4" s="50" t="s">
        <v>2634</v>
      </c>
      <c r="L4" s="50" t="s">
        <v>2635</v>
      </c>
      <c r="M4" s="50" t="s">
        <v>35</v>
      </c>
    </row>
    <row r="5" customFormat="false" ht="15.75" hidden="false" customHeight="true" outlineLevel="0" collapsed="false">
      <c r="A5" s="51" t="s">
        <v>2636</v>
      </c>
      <c r="B5" s="51" t="s">
        <v>2451</v>
      </c>
      <c r="C5" s="51" t="s">
        <v>40</v>
      </c>
      <c r="D5" s="52" t="s">
        <v>41</v>
      </c>
      <c r="E5" s="51" t="s">
        <v>2637</v>
      </c>
      <c r="F5" s="51" t="s">
        <v>2638</v>
      </c>
      <c r="G5" s="51" t="s">
        <v>2639</v>
      </c>
      <c r="H5" s="53" t="n">
        <v>80000</v>
      </c>
      <c r="I5" s="51" t="s">
        <v>2640</v>
      </c>
      <c r="J5" s="51" t="s">
        <v>2641</v>
      </c>
      <c r="K5" s="51" t="s">
        <v>2642</v>
      </c>
      <c r="L5" s="54" t="s">
        <v>2643</v>
      </c>
      <c r="M5" s="54" t="s">
        <v>62</v>
      </c>
    </row>
    <row r="6" customFormat="false" ht="15.75" hidden="false" customHeight="true" outlineLevel="0" collapsed="false">
      <c r="A6" s="55" t="s">
        <v>2644</v>
      </c>
      <c r="B6" s="55" t="s">
        <v>2452</v>
      </c>
      <c r="C6" s="55" t="s">
        <v>65</v>
      </c>
      <c r="D6" s="56" t="s">
        <v>66</v>
      </c>
      <c r="E6" s="55" t="s">
        <v>2645</v>
      </c>
      <c r="F6" s="55" t="s">
        <v>2638</v>
      </c>
      <c r="G6" s="55" t="s">
        <v>2646</v>
      </c>
      <c r="H6" s="57" t="n">
        <v>70000</v>
      </c>
      <c r="I6" s="55" t="s">
        <v>2640</v>
      </c>
      <c r="J6" s="55" t="s">
        <v>2647</v>
      </c>
      <c r="K6" s="55" t="s">
        <v>2648</v>
      </c>
      <c r="L6" s="54" t="s">
        <v>2643</v>
      </c>
      <c r="M6" s="54" t="s">
        <v>62</v>
      </c>
    </row>
    <row r="7" customFormat="false" ht="15.75" hidden="false" customHeight="true" outlineLevel="0" collapsed="false">
      <c r="A7" s="51" t="s">
        <v>2649</v>
      </c>
      <c r="B7" s="51" t="s">
        <v>2453</v>
      </c>
      <c r="C7" s="51" t="s">
        <v>79</v>
      </c>
      <c r="D7" s="52" t="s">
        <v>80</v>
      </c>
      <c r="E7" s="51" t="s">
        <v>120</v>
      </c>
      <c r="F7" s="51" t="s">
        <v>2650</v>
      </c>
      <c r="G7" s="51" t="s">
        <v>2651</v>
      </c>
      <c r="H7" s="53" t="n">
        <v>80000</v>
      </c>
      <c r="I7" s="51" t="s">
        <v>2640</v>
      </c>
      <c r="J7" s="51" t="s">
        <v>2641</v>
      </c>
      <c r="K7" s="51" t="s">
        <v>2652</v>
      </c>
      <c r="L7" s="54" t="s">
        <v>2643</v>
      </c>
      <c r="M7" s="54" t="s">
        <v>62</v>
      </c>
    </row>
    <row r="8" customFormat="false" ht="15.75" hidden="false" customHeight="true" outlineLevel="0" collapsed="false">
      <c r="A8" s="55" t="s">
        <v>2653</v>
      </c>
      <c r="B8" s="55" t="s">
        <v>2454</v>
      </c>
      <c r="C8" s="55" t="s">
        <v>96</v>
      </c>
      <c r="D8" s="56" t="s">
        <v>97</v>
      </c>
      <c r="E8" s="55" t="s">
        <v>2654</v>
      </c>
      <c r="F8" s="55" t="s">
        <v>2650</v>
      </c>
      <c r="G8" s="55" t="s">
        <v>2655</v>
      </c>
      <c r="H8" s="57" t="n">
        <v>80000</v>
      </c>
      <c r="I8" s="55" t="s">
        <v>2640</v>
      </c>
      <c r="J8" s="55" t="s">
        <v>2647</v>
      </c>
      <c r="K8" s="55" t="s">
        <v>2656</v>
      </c>
      <c r="L8" s="54" t="s">
        <v>2643</v>
      </c>
      <c r="M8" s="54" t="s">
        <v>62</v>
      </c>
    </row>
    <row r="9" customFormat="false" ht="15.75" hidden="false" customHeight="true" outlineLevel="0" collapsed="false">
      <c r="A9" s="51" t="s">
        <v>2657</v>
      </c>
      <c r="B9" s="51" t="s">
        <v>2455</v>
      </c>
      <c r="C9" s="51" t="s">
        <v>111</v>
      </c>
      <c r="D9" s="52" t="s">
        <v>112</v>
      </c>
      <c r="E9" s="51" t="s">
        <v>683</v>
      </c>
      <c r="F9" s="51" t="s">
        <v>2638</v>
      </c>
      <c r="G9" s="51" t="s">
        <v>2658</v>
      </c>
      <c r="H9" s="53" t="n">
        <v>45000</v>
      </c>
      <c r="I9" s="51" t="s">
        <v>2659</v>
      </c>
      <c r="J9" s="51" t="s">
        <v>2647</v>
      </c>
      <c r="K9" s="51" t="s">
        <v>2660</v>
      </c>
      <c r="L9" s="54" t="s">
        <v>2643</v>
      </c>
      <c r="M9" s="54" t="s">
        <v>62</v>
      </c>
    </row>
    <row r="10" customFormat="false" ht="15.75" hidden="false" customHeight="true" outlineLevel="0" collapsed="false">
      <c r="A10" s="55" t="s">
        <v>2661</v>
      </c>
      <c r="B10" s="55" t="s">
        <v>2456</v>
      </c>
      <c r="C10" s="55" t="s">
        <v>127</v>
      </c>
      <c r="D10" s="56" t="s">
        <v>128</v>
      </c>
      <c r="E10" s="55" t="s">
        <v>519</v>
      </c>
      <c r="F10" s="55" t="s">
        <v>2650</v>
      </c>
      <c r="G10" s="55" t="s">
        <v>2662</v>
      </c>
      <c r="H10" s="57" t="n">
        <v>65000</v>
      </c>
      <c r="I10" s="55" t="s">
        <v>2640</v>
      </c>
      <c r="J10" s="55" t="s">
        <v>2641</v>
      </c>
      <c r="K10" s="55" t="s">
        <v>2663</v>
      </c>
      <c r="L10" s="54" t="s">
        <v>2643</v>
      </c>
      <c r="M10" s="54" t="s">
        <v>62</v>
      </c>
    </row>
    <row r="11" customFormat="false" ht="15.75" hidden="false" customHeight="true" outlineLevel="0" collapsed="false">
      <c r="A11" s="51" t="s">
        <v>2664</v>
      </c>
      <c r="B11" s="51" t="s">
        <v>2457</v>
      </c>
      <c r="C11" s="51" t="s">
        <v>135</v>
      </c>
      <c r="D11" s="52" t="s">
        <v>136</v>
      </c>
      <c r="E11" s="51" t="s">
        <v>683</v>
      </c>
      <c r="F11" s="51" t="s">
        <v>2650</v>
      </c>
      <c r="G11" s="51" t="s">
        <v>2665</v>
      </c>
      <c r="H11" s="53" t="n">
        <v>80000</v>
      </c>
      <c r="I11" s="51" t="s">
        <v>2640</v>
      </c>
      <c r="J11" s="51" t="s">
        <v>2641</v>
      </c>
      <c r="K11" s="51" t="s">
        <v>2666</v>
      </c>
      <c r="L11" s="54" t="s">
        <v>2643</v>
      </c>
      <c r="M11" s="54" t="s">
        <v>62</v>
      </c>
    </row>
    <row r="12" customFormat="false" ht="15.75" hidden="false" customHeight="true" outlineLevel="0" collapsed="false">
      <c r="A12" s="55" t="s">
        <v>2667</v>
      </c>
      <c r="B12" s="55" t="s">
        <v>2458</v>
      </c>
      <c r="C12" s="55" t="s">
        <v>142</v>
      </c>
      <c r="D12" s="56" t="s">
        <v>143</v>
      </c>
      <c r="E12" s="55" t="s">
        <v>2668</v>
      </c>
      <c r="F12" s="55" t="s">
        <v>2638</v>
      </c>
      <c r="G12" s="55" t="s">
        <v>2669</v>
      </c>
      <c r="H12" s="57" t="n">
        <v>75000</v>
      </c>
      <c r="I12" s="55" t="s">
        <v>2640</v>
      </c>
      <c r="J12" s="55" t="s">
        <v>2647</v>
      </c>
      <c r="K12" s="55" t="s">
        <v>2670</v>
      </c>
      <c r="L12" s="54" t="s">
        <v>2643</v>
      </c>
      <c r="M12" s="54" t="s">
        <v>62</v>
      </c>
    </row>
    <row r="13" customFormat="false" ht="15.75" hidden="false" customHeight="true" outlineLevel="0" collapsed="false">
      <c r="A13" s="51" t="s">
        <v>2671</v>
      </c>
      <c r="B13" s="51" t="s">
        <v>2459</v>
      </c>
      <c r="C13" s="51" t="s">
        <v>151</v>
      </c>
      <c r="D13" s="52" t="s">
        <v>152</v>
      </c>
      <c r="E13" s="51" t="s">
        <v>683</v>
      </c>
      <c r="F13" s="51" t="s">
        <v>2672</v>
      </c>
      <c r="G13" s="51" t="s">
        <v>2672</v>
      </c>
      <c r="H13" s="53" t="n">
        <v>0</v>
      </c>
      <c r="I13" s="51" t="s">
        <v>2673</v>
      </c>
      <c r="J13" s="51" t="s">
        <v>2674</v>
      </c>
      <c r="K13" s="51" t="s">
        <v>2675</v>
      </c>
      <c r="L13" s="59" t="s">
        <v>160</v>
      </c>
      <c r="M13" s="59" t="s">
        <v>62</v>
      </c>
    </row>
    <row r="14" customFormat="false" ht="15.75" hidden="false" customHeight="true" outlineLevel="0" collapsed="false">
      <c r="A14" s="55" t="s">
        <v>2676</v>
      </c>
      <c r="B14" s="55" t="s">
        <v>2460</v>
      </c>
      <c r="C14" s="55" t="s">
        <v>161</v>
      </c>
      <c r="D14" s="56" t="s">
        <v>162</v>
      </c>
      <c r="E14" s="55" t="s">
        <v>120</v>
      </c>
      <c r="F14" s="55" t="s">
        <v>2650</v>
      </c>
      <c r="G14" s="55" t="s">
        <v>2677</v>
      </c>
      <c r="H14" s="57" t="n">
        <v>80000</v>
      </c>
      <c r="I14" s="55" t="s">
        <v>2640</v>
      </c>
      <c r="J14" s="55" t="s">
        <v>2641</v>
      </c>
      <c r="K14" s="55" t="s">
        <v>2678</v>
      </c>
      <c r="L14" s="54" t="s">
        <v>2643</v>
      </c>
      <c r="M14" s="54" t="s">
        <v>62</v>
      </c>
    </row>
    <row r="15" customFormat="false" ht="15.75" hidden="false" customHeight="true" outlineLevel="0" collapsed="false">
      <c r="A15" s="51" t="s">
        <v>2679</v>
      </c>
      <c r="B15" s="51" t="s">
        <v>2461</v>
      </c>
      <c r="C15" s="51" t="s">
        <v>168</v>
      </c>
      <c r="D15" s="52" t="s">
        <v>169</v>
      </c>
      <c r="E15" s="51" t="s">
        <v>2680</v>
      </c>
      <c r="F15" s="51" t="s">
        <v>2650</v>
      </c>
      <c r="G15" s="51" t="s">
        <v>2681</v>
      </c>
      <c r="H15" s="53" t="n">
        <v>80000</v>
      </c>
      <c r="I15" s="51" t="s">
        <v>2640</v>
      </c>
      <c r="J15" s="51" t="s">
        <v>2641</v>
      </c>
      <c r="K15" s="51" t="s">
        <v>2682</v>
      </c>
      <c r="L15" s="54" t="s">
        <v>2643</v>
      </c>
      <c r="M15" s="54" t="s">
        <v>62</v>
      </c>
    </row>
    <row r="16" customFormat="false" ht="15.75" hidden="false" customHeight="true" outlineLevel="0" collapsed="false">
      <c r="A16" s="55" t="s">
        <v>2683</v>
      </c>
      <c r="B16" s="55" t="s">
        <v>2462</v>
      </c>
      <c r="C16" s="55" t="s">
        <v>174</v>
      </c>
      <c r="D16" s="56" t="s">
        <v>175</v>
      </c>
      <c r="E16" s="55" t="s">
        <v>2645</v>
      </c>
      <c r="F16" s="55" t="s">
        <v>2650</v>
      </c>
      <c r="G16" s="55" t="s">
        <v>2684</v>
      </c>
      <c r="H16" s="57" t="n">
        <v>80000</v>
      </c>
      <c r="I16" s="55" t="s">
        <v>2640</v>
      </c>
      <c r="J16" s="55" t="s">
        <v>2641</v>
      </c>
      <c r="K16" s="55" t="s">
        <v>2685</v>
      </c>
      <c r="L16" s="54" t="s">
        <v>2643</v>
      </c>
      <c r="M16" s="54" t="s">
        <v>62</v>
      </c>
    </row>
    <row r="17" customFormat="false" ht="15.75" hidden="false" customHeight="true" outlineLevel="0" collapsed="false">
      <c r="A17" s="51" t="s">
        <v>2686</v>
      </c>
      <c r="B17" s="51" t="s">
        <v>2463</v>
      </c>
      <c r="C17" s="51" t="s">
        <v>181</v>
      </c>
      <c r="D17" s="52" t="s">
        <v>182</v>
      </c>
      <c r="E17" s="51" t="s">
        <v>2680</v>
      </c>
      <c r="F17" s="51" t="s">
        <v>2650</v>
      </c>
      <c r="G17" s="51" t="s">
        <v>2687</v>
      </c>
      <c r="H17" s="53" t="n">
        <v>70000</v>
      </c>
      <c r="I17" s="51" t="s">
        <v>2640</v>
      </c>
      <c r="J17" s="51" t="s">
        <v>2641</v>
      </c>
      <c r="K17" s="51" t="s">
        <v>2688</v>
      </c>
      <c r="L17" s="54" t="s">
        <v>2643</v>
      </c>
      <c r="M17" s="54" t="s">
        <v>62</v>
      </c>
    </row>
    <row r="18" customFormat="false" ht="15.75" hidden="false" customHeight="true" outlineLevel="0" collapsed="false">
      <c r="A18" s="55" t="s">
        <v>2689</v>
      </c>
      <c r="B18" s="55" t="s">
        <v>2464</v>
      </c>
      <c r="C18" s="55" t="s">
        <v>188</v>
      </c>
      <c r="D18" s="56" t="s">
        <v>189</v>
      </c>
      <c r="E18" s="55" t="s">
        <v>2690</v>
      </c>
      <c r="F18" s="55" t="s">
        <v>2638</v>
      </c>
      <c r="G18" s="55" t="s">
        <v>2691</v>
      </c>
      <c r="H18" s="57" t="n">
        <v>10000</v>
      </c>
      <c r="I18" s="55" t="s">
        <v>2659</v>
      </c>
      <c r="J18" s="55" t="s">
        <v>2647</v>
      </c>
      <c r="K18" s="55" t="s">
        <v>2692</v>
      </c>
      <c r="L18" s="54" t="s">
        <v>2643</v>
      </c>
      <c r="M18" s="54" t="s">
        <v>62</v>
      </c>
    </row>
    <row r="19" customFormat="false" ht="15.75" hidden="false" customHeight="true" outlineLevel="0" collapsed="false">
      <c r="A19" s="51" t="s">
        <v>2693</v>
      </c>
      <c r="B19" s="51" t="s">
        <v>2465</v>
      </c>
      <c r="C19" s="51" t="s">
        <v>198</v>
      </c>
      <c r="D19" s="52" t="s">
        <v>199</v>
      </c>
      <c r="E19" s="51" t="s">
        <v>2637</v>
      </c>
      <c r="F19" s="51" t="s">
        <v>2650</v>
      </c>
      <c r="G19" s="51" t="s">
        <v>2694</v>
      </c>
      <c r="H19" s="53" t="n">
        <v>70000</v>
      </c>
      <c r="I19" s="51" t="s">
        <v>2640</v>
      </c>
      <c r="J19" s="51" t="s">
        <v>2647</v>
      </c>
      <c r="K19" s="51" t="s">
        <v>2695</v>
      </c>
      <c r="L19" s="54" t="s">
        <v>2643</v>
      </c>
      <c r="M19" s="54" t="s">
        <v>62</v>
      </c>
    </row>
    <row r="20" customFormat="false" ht="15.75" hidden="false" customHeight="true" outlineLevel="0" collapsed="false">
      <c r="A20" s="55" t="s">
        <v>2696</v>
      </c>
      <c r="B20" s="55" t="s">
        <v>2466</v>
      </c>
      <c r="C20" s="55" t="s">
        <v>205</v>
      </c>
      <c r="D20" s="56" t="s">
        <v>206</v>
      </c>
      <c r="E20" s="55" t="s">
        <v>2697</v>
      </c>
      <c r="F20" s="55" t="s">
        <v>2638</v>
      </c>
      <c r="G20" s="55" t="s">
        <v>2698</v>
      </c>
      <c r="H20" s="57" t="n">
        <v>80000</v>
      </c>
      <c r="I20" s="55" t="s">
        <v>2640</v>
      </c>
      <c r="J20" s="55" t="s">
        <v>2641</v>
      </c>
      <c r="K20" s="55" t="s">
        <v>2699</v>
      </c>
      <c r="L20" s="54" t="s">
        <v>2643</v>
      </c>
      <c r="M20" s="54" t="s">
        <v>62</v>
      </c>
    </row>
    <row r="21" customFormat="false" ht="15.75" hidden="false" customHeight="true" outlineLevel="0" collapsed="false">
      <c r="A21" s="51" t="s">
        <v>2700</v>
      </c>
      <c r="B21" s="51" t="s">
        <v>2467</v>
      </c>
      <c r="C21" s="51" t="s">
        <v>213</v>
      </c>
      <c r="D21" s="52" t="s">
        <v>214</v>
      </c>
      <c r="E21" s="51" t="s">
        <v>2701</v>
      </c>
      <c r="F21" s="51" t="s">
        <v>2650</v>
      </c>
      <c r="G21" s="51" t="s">
        <v>2702</v>
      </c>
      <c r="H21" s="53" t="n">
        <v>80000</v>
      </c>
      <c r="I21" s="51" t="s">
        <v>2640</v>
      </c>
      <c r="J21" s="51" t="s">
        <v>2647</v>
      </c>
      <c r="K21" s="51" t="s">
        <v>2703</v>
      </c>
      <c r="L21" s="54" t="s">
        <v>2643</v>
      </c>
      <c r="M21" s="54" t="s">
        <v>62</v>
      </c>
    </row>
    <row r="22" customFormat="false" ht="15.75" hidden="false" customHeight="true" outlineLevel="0" collapsed="false">
      <c r="A22" s="55" t="s">
        <v>2704</v>
      </c>
      <c r="B22" s="55" t="s">
        <v>2468</v>
      </c>
      <c r="C22" s="55" t="s">
        <v>218</v>
      </c>
      <c r="D22" s="56" t="s">
        <v>219</v>
      </c>
      <c r="E22" s="55" t="s">
        <v>2645</v>
      </c>
      <c r="F22" s="55" t="s">
        <v>2650</v>
      </c>
      <c r="G22" s="55" t="s">
        <v>2705</v>
      </c>
      <c r="H22" s="57" t="n">
        <v>65000</v>
      </c>
      <c r="I22" s="55" t="s">
        <v>2640</v>
      </c>
      <c r="J22" s="55" t="s">
        <v>2647</v>
      </c>
      <c r="K22" s="55" t="s">
        <v>2706</v>
      </c>
      <c r="L22" s="54" t="s">
        <v>2643</v>
      </c>
      <c r="M22" s="54" t="s">
        <v>62</v>
      </c>
    </row>
    <row r="23" customFormat="false" ht="15.75" hidden="false" customHeight="true" outlineLevel="0" collapsed="false">
      <c r="A23" s="51" t="s">
        <v>2707</v>
      </c>
      <c r="B23" s="51" t="s">
        <v>2469</v>
      </c>
      <c r="C23" s="51" t="s">
        <v>225</v>
      </c>
      <c r="D23" s="52" t="s">
        <v>226</v>
      </c>
      <c r="E23" s="51" t="s">
        <v>2680</v>
      </c>
      <c r="F23" s="51" t="s">
        <v>2638</v>
      </c>
      <c r="G23" s="51" t="s">
        <v>2708</v>
      </c>
      <c r="H23" s="53" t="n">
        <v>80000</v>
      </c>
      <c r="I23" s="51" t="s">
        <v>2640</v>
      </c>
      <c r="J23" s="51" t="s">
        <v>2641</v>
      </c>
      <c r="K23" s="51" t="s">
        <v>2709</v>
      </c>
      <c r="L23" s="54" t="s">
        <v>2643</v>
      </c>
      <c r="M23" s="54" t="s">
        <v>62</v>
      </c>
    </row>
    <row r="24" customFormat="false" ht="15.75" hidden="false" customHeight="true" outlineLevel="0" collapsed="false">
      <c r="A24" s="55" t="s">
        <v>2710</v>
      </c>
      <c r="B24" s="55" t="s">
        <v>2470</v>
      </c>
      <c r="C24" s="55" t="s">
        <v>231</v>
      </c>
      <c r="D24" s="56" t="s">
        <v>232</v>
      </c>
      <c r="E24" s="55" t="s">
        <v>666</v>
      </c>
      <c r="F24" s="55" t="s">
        <v>2650</v>
      </c>
      <c r="G24" s="55" t="s">
        <v>2711</v>
      </c>
      <c r="H24" s="57" t="n">
        <v>75000</v>
      </c>
      <c r="I24" s="55" t="s">
        <v>2640</v>
      </c>
      <c r="J24" s="55" t="s">
        <v>2647</v>
      </c>
      <c r="K24" s="55" t="s">
        <v>2712</v>
      </c>
      <c r="L24" s="54" t="s">
        <v>2643</v>
      </c>
      <c r="M24" s="54" t="s">
        <v>62</v>
      </c>
    </row>
    <row r="25" customFormat="false" ht="15.75" hidden="false" customHeight="true" outlineLevel="0" collapsed="false">
      <c r="A25" s="51" t="s">
        <v>2713</v>
      </c>
      <c r="B25" s="51" t="s">
        <v>2471</v>
      </c>
      <c r="C25" s="51" t="s">
        <v>236</v>
      </c>
      <c r="D25" s="52" t="s">
        <v>237</v>
      </c>
      <c r="E25" s="51" t="s">
        <v>2714</v>
      </c>
      <c r="F25" s="51" t="s">
        <v>2672</v>
      </c>
      <c r="G25" s="51" t="s">
        <v>2672</v>
      </c>
      <c r="H25" s="53" t="n">
        <v>0</v>
      </c>
      <c r="I25" s="51" t="s">
        <v>2673</v>
      </c>
      <c r="J25" s="51" t="s">
        <v>2674</v>
      </c>
      <c r="K25" s="51" t="s">
        <v>2715</v>
      </c>
      <c r="L25" s="59" t="s">
        <v>160</v>
      </c>
      <c r="M25" s="59" t="s">
        <v>62</v>
      </c>
    </row>
    <row r="26" customFormat="false" ht="15.75" hidden="false" customHeight="true" outlineLevel="0" collapsed="false">
      <c r="A26" s="55" t="s">
        <v>2716</v>
      </c>
      <c r="B26" s="55" t="s">
        <v>2472</v>
      </c>
      <c r="C26" s="55" t="s">
        <v>242</v>
      </c>
      <c r="D26" s="56" t="s">
        <v>243</v>
      </c>
      <c r="E26" s="55" t="s">
        <v>2668</v>
      </c>
      <c r="F26" s="55" t="s">
        <v>2650</v>
      </c>
      <c r="G26" s="55" t="s">
        <v>2717</v>
      </c>
      <c r="H26" s="57" t="n">
        <v>80000</v>
      </c>
      <c r="I26" s="55" t="s">
        <v>2640</v>
      </c>
      <c r="J26" s="55" t="s">
        <v>2641</v>
      </c>
      <c r="K26" s="55" t="s">
        <v>2718</v>
      </c>
      <c r="L26" s="54" t="s">
        <v>2643</v>
      </c>
      <c r="M26" s="54" t="s">
        <v>62</v>
      </c>
    </row>
    <row r="27" customFormat="false" ht="15.75" hidden="false" customHeight="true" outlineLevel="0" collapsed="false">
      <c r="A27" s="51" t="s">
        <v>2719</v>
      </c>
      <c r="B27" s="51" t="s">
        <v>2473</v>
      </c>
      <c r="C27" s="51" t="s">
        <v>247</v>
      </c>
      <c r="D27" s="52" t="s">
        <v>248</v>
      </c>
      <c r="E27" s="51" t="s">
        <v>2714</v>
      </c>
      <c r="F27" s="51" t="s">
        <v>2638</v>
      </c>
      <c r="G27" s="51" t="s">
        <v>2720</v>
      </c>
      <c r="H27" s="53" t="n">
        <v>35000</v>
      </c>
      <c r="I27" s="51" t="s">
        <v>2659</v>
      </c>
      <c r="J27" s="51" t="s">
        <v>2647</v>
      </c>
      <c r="K27" s="51" t="s">
        <v>2721</v>
      </c>
      <c r="L27" s="54" t="s">
        <v>2643</v>
      </c>
      <c r="M27" s="54" t="s">
        <v>62</v>
      </c>
    </row>
    <row r="28" customFormat="false" ht="15.75" hidden="false" customHeight="true" outlineLevel="0" collapsed="false">
      <c r="A28" s="55" t="s">
        <v>2722</v>
      </c>
      <c r="B28" s="55" t="s">
        <v>2474</v>
      </c>
      <c r="C28" s="55" t="s">
        <v>253</v>
      </c>
      <c r="D28" s="56" t="s">
        <v>254</v>
      </c>
      <c r="E28" s="55" t="s">
        <v>519</v>
      </c>
      <c r="F28" s="55" t="s">
        <v>2650</v>
      </c>
      <c r="G28" s="55" t="s">
        <v>2723</v>
      </c>
      <c r="H28" s="57" t="n">
        <v>80000</v>
      </c>
      <c r="I28" s="55" t="s">
        <v>2640</v>
      </c>
      <c r="J28" s="55" t="s">
        <v>2647</v>
      </c>
      <c r="K28" s="55" t="s">
        <v>2724</v>
      </c>
      <c r="L28" s="54" t="s">
        <v>2643</v>
      </c>
      <c r="M28" s="54" t="s">
        <v>62</v>
      </c>
    </row>
    <row r="29" customFormat="false" ht="15.75" hidden="false" customHeight="true" outlineLevel="0" collapsed="false">
      <c r="A29" s="51" t="s">
        <v>2725</v>
      </c>
      <c r="B29" s="51" t="s">
        <v>2475</v>
      </c>
      <c r="C29" s="51" t="s">
        <v>258</v>
      </c>
      <c r="D29" s="52" t="s">
        <v>259</v>
      </c>
      <c r="E29" s="51" t="s">
        <v>666</v>
      </c>
      <c r="F29" s="51" t="s">
        <v>2650</v>
      </c>
      <c r="G29" s="51" t="s">
        <v>2726</v>
      </c>
      <c r="H29" s="61" t="n">
        <v>5000</v>
      </c>
      <c r="I29" s="51" t="s">
        <v>2727</v>
      </c>
      <c r="J29" s="51" t="s">
        <v>2647</v>
      </c>
      <c r="K29" s="51" t="s">
        <v>2728</v>
      </c>
      <c r="L29" s="62" t="s">
        <v>2729</v>
      </c>
      <c r="M29" s="62" t="s">
        <v>62</v>
      </c>
    </row>
    <row r="30" customFormat="false" ht="15.75" hidden="false" customHeight="true" outlineLevel="0" collapsed="false">
      <c r="A30" s="55" t="s">
        <v>2730</v>
      </c>
      <c r="B30" s="55" t="s">
        <v>2477</v>
      </c>
      <c r="C30" s="55" t="s">
        <v>264</v>
      </c>
      <c r="D30" s="56" t="s">
        <v>265</v>
      </c>
      <c r="E30" s="55" t="s">
        <v>768</v>
      </c>
      <c r="F30" s="55" t="s">
        <v>2650</v>
      </c>
      <c r="G30" s="55" t="s">
        <v>2731</v>
      </c>
      <c r="H30" s="57" t="n">
        <v>95000</v>
      </c>
      <c r="I30" s="55" t="s">
        <v>2640</v>
      </c>
      <c r="J30" s="55" t="s">
        <v>2647</v>
      </c>
      <c r="K30" s="55" t="s">
        <v>2732</v>
      </c>
      <c r="L30" s="54" t="s">
        <v>2643</v>
      </c>
      <c r="M30" s="54" t="s">
        <v>62</v>
      </c>
    </row>
    <row r="31" customFormat="false" ht="15.75" hidden="false" customHeight="true" outlineLevel="0" collapsed="false">
      <c r="A31" s="51" t="s">
        <v>2733</v>
      </c>
      <c r="B31" s="51" t="s">
        <v>2478</v>
      </c>
      <c r="C31" s="51" t="s">
        <v>281</v>
      </c>
      <c r="D31" s="52" t="s">
        <v>282</v>
      </c>
      <c r="E31" s="51" t="s">
        <v>2734</v>
      </c>
      <c r="F31" s="51" t="s">
        <v>2650</v>
      </c>
      <c r="G31" s="51" t="s">
        <v>2735</v>
      </c>
      <c r="H31" s="53" t="n">
        <v>115000</v>
      </c>
      <c r="I31" s="51" t="s">
        <v>2640</v>
      </c>
      <c r="J31" s="51" t="s">
        <v>2641</v>
      </c>
      <c r="K31" s="51" t="s">
        <v>2736</v>
      </c>
      <c r="L31" s="54" t="s">
        <v>2643</v>
      </c>
      <c r="M31" s="54" t="s">
        <v>62</v>
      </c>
    </row>
    <row r="32" customFormat="false" ht="15.75" hidden="false" customHeight="true" outlineLevel="0" collapsed="false">
      <c r="A32" s="55" t="s">
        <v>2737</v>
      </c>
      <c r="B32" s="55" t="s">
        <v>2479</v>
      </c>
      <c r="C32" s="55" t="s">
        <v>296</v>
      </c>
      <c r="D32" s="56" t="s">
        <v>297</v>
      </c>
      <c r="E32" s="55" t="s">
        <v>768</v>
      </c>
      <c r="F32" s="55" t="s">
        <v>2650</v>
      </c>
      <c r="G32" s="55" t="s">
        <v>2738</v>
      </c>
      <c r="H32" s="57" t="n">
        <v>90000</v>
      </c>
      <c r="I32" s="55" t="s">
        <v>2640</v>
      </c>
      <c r="J32" s="55" t="s">
        <v>2641</v>
      </c>
      <c r="K32" s="55" t="s">
        <v>2739</v>
      </c>
      <c r="L32" s="54" t="s">
        <v>2643</v>
      </c>
      <c r="M32" s="54" t="s">
        <v>62</v>
      </c>
    </row>
    <row r="33" customFormat="false" ht="15.75" hidden="false" customHeight="true" outlineLevel="0" collapsed="false">
      <c r="A33" s="51" t="s">
        <v>2740</v>
      </c>
      <c r="B33" s="51" t="s">
        <v>2480</v>
      </c>
      <c r="C33" s="51" t="s">
        <v>309</v>
      </c>
      <c r="D33" s="52" t="s">
        <v>310</v>
      </c>
      <c r="E33" s="51" t="s">
        <v>683</v>
      </c>
      <c r="F33" s="51" t="s">
        <v>2638</v>
      </c>
      <c r="G33" s="51" t="s">
        <v>2741</v>
      </c>
      <c r="H33" s="53" t="n">
        <v>60000</v>
      </c>
      <c r="I33" s="51" t="s">
        <v>2659</v>
      </c>
      <c r="J33" s="51" t="s">
        <v>2647</v>
      </c>
      <c r="K33" s="51" t="s">
        <v>2742</v>
      </c>
      <c r="L33" s="54" t="s">
        <v>2643</v>
      </c>
      <c r="M33" s="54" t="s">
        <v>62</v>
      </c>
    </row>
    <row r="34" customFormat="false" ht="15.75" hidden="false" customHeight="true" outlineLevel="0" collapsed="false">
      <c r="A34" s="55" t="s">
        <v>2743</v>
      </c>
      <c r="B34" s="55" t="s">
        <v>2481</v>
      </c>
      <c r="C34" s="55" t="s">
        <v>319</v>
      </c>
      <c r="D34" s="56" t="s">
        <v>320</v>
      </c>
      <c r="E34" s="55" t="s">
        <v>768</v>
      </c>
      <c r="F34" s="55" t="s">
        <v>2650</v>
      </c>
      <c r="G34" s="55" t="s">
        <v>2744</v>
      </c>
      <c r="H34" s="57" t="n">
        <v>90000</v>
      </c>
      <c r="I34" s="55" t="s">
        <v>2640</v>
      </c>
      <c r="J34" s="55" t="s">
        <v>2647</v>
      </c>
      <c r="K34" s="55" t="s">
        <v>2745</v>
      </c>
      <c r="L34" s="54" t="s">
        <v>2643</v>
      </c>
      <c r="M34" s="54" t="s">
        <v>62</v>
      </c>
    </row>
    <row r="35" customFormat="false" ht="15.75" hidden="false" customHeight="true" outlineLevel="0" collapsed="false">
      <c r="A35" s="51" t="s">
        <v>2746</v>
      </c>
      <c r="B35" s="51" t="s">
        <v>2482</v>
      </c>
      <c r="C35" s="51" t="s">
        <v>328</v>
      </c>
      <c r="D35" s="52" t="s">
        <v>329</v>
      </c>
      <c r="E35" s="51" t="s">
        <v>666</v>
      </c>
      <c r="F35" s="51" t="s">
        <v>2638</v>
      </c>
      <c r="G35" s="51" t="s">
        <v>2747</v>
      </c>
      <c r="H35" s="53" t="n">
        <v>115000</v>
      </c>
      <c r="I35" s="51" t="s">
        <v>2640</v>
      </c>
      <c r="J35" s="51" t="s">
        <v>2641</v>
      </c>
      <c r="K35" s="51" t="s">
        <v>2748</v>
      </c>
      <c r="L35" s="54" t="s">
        <v>2643</v>
      </c>
      <c r="M35" s="54" t="s">
        <v>62</v>
      </c>
    </row>
    <row r="36" customFormat="false" ht="15.75" hidden="false" customHeight="true" outlineLevel="0" collapsed="false">
      <c r="A36" s="55" t="s">
        <v>2749</v>
      </c>
      <c r="B36" s="55" t="s">
        <v>2483</v>
      </c>
      <c r="C36" s="55" t="s">
        <v>337</v>
      </c>
      <c r="D36" s="56" t="s">
        <v>338</v>
      </c>
      <c r="E36" s="55" t="s">
        <v>2645</v>
      </c>
      <c r="F36" s="55" t="s">
        <v>2638</v>
      </c>
      <c r="G36" s="55" t="s">
        <v>2750</v>
      </c>
      <c r="H36" s="57" t="n">
        <v>85000</v>
      </c>
      <c r="I36" s="55" t="s">
        <v>2640</v>
      </c>
      <c r="J36" s="55" t="s">
        <v>2647</v>
      </c>
      <c r="K36" s="55" t="s">
        <v>2751</v>
      </c>
      <c r="L36" s="54" t="s">
        <v>2643</v>
      </c>
      <c r="M36" s="54" t="s">
        <v>62</v>
      </c>
    </row>
    <row r="37" customFormat="false" ht="15.75" hidden="false" customHeight="true" outlineLevel="0" collapsed="false">
      <c r="A37" s="51" t="s">
        <v>2752</v>
      </c>
      <c r="B37" s="51" t="s">
        <v>2484</v>
      </c>
      <c r="C37" s="51" t="s">
        <v>354</v>
      </c>
      <c r="D37" s="52" t="s">
        <v>355</v>
      </c>
      <c r="E37" s="51" t="s">
        <v>2654</v>
      </c>
      <c r="F37" s="51" t="s">
        <v>2638</v>
      </c>
      <c r="G37" s="51" t="s">
        <v>2753</v>
      </c>
      <c r="H37" s="53" t="n">
        <v>85000</v>
      </c>
      <c r="I37" s="51" t="s">
        <v>2640</v>
      </c>
      <c r="J37" s="51" t="s">
        <v>2647</v>
      </c>
      <c r="K37" s="51" t="s">
        <v>2754</v>
      </c>
      <c r="L37" s="54" t="s">
        <v>2643</v>
      </c>
      <c r="M37" s="54" t="s">
        <v>62</v>
      </c>
    </row>
    <row r="38" customFormat="false" ht="15.75" hidden="false" customHeight="true" outlineLevel="0" collapsed="false">
      <c r="A38" s="55" t="s">
        <v>2755</v>
      </c>
      <c r="B38" s="55" t="s">
        <v>2485</v>
      </c>
      <c r="C38" s="55" t="s">
        <v>370</v>
      </c>
      <c r="D38" s="56" t="s">
        <v>371</v>
      </c>
      <c r="E38" s="55" t="s">
        <v>2645</v>
      </c>
      <c r="F38" s="55" t="s">
        <v>2650</v>
      </c>
      <c r="G38" s="55" t="s">
        <v>2756</v>
      </c>
      <c r="H38" s="57" t="n">
        <v>80000</v>
      </c>
      <c r="I38" s="55" t="s">
        <v>2640</v>
      </c>
      <c r="J38" s="55" t="s">
        <v>2647</v>
      </c>
      <c r="K38" s="55" t="s">
        <v>2757</v>
      </c>
      <c r="L38" s="54" t="s">
        <v>2643</v>
      </c>
      <c r="M38" s="54" t="s">
        <v>62</v>
      </c>
    </row>
    <row r="39" customFormat="false" ht="15.75" hidden="false" customHeight="true" outlineLevel="0" collapsed="false">
      <c r="A39" s="51" t="s">
        <v>2758</v>
      </c>
      <c r="B39" s="51" t="s">
        <v>2486</v>
      </c>
      <c r="C39" s="51" t="s">
        <v>383</v>
      </c>
      <c r="D39" s="52" t="s">
        <v>384</v>
      </c>
      <c r="E39" s="51" t="s">
        <v>683</v>
      </c>
      <c r="F39" s="51" t="s">
        <v>2672</v>
      </c>
      <c r="G39" s="51" t="s">
        <v>2672</v>
      </c>
      <c r="H39" s="53" t="n">
        <v>0</v>
      </c>
      <c r="I39" s="51" t="s">
        <v>2673</v>
      </c>
      <c r="J39" s="51" t="s">
        <v>2674</v>
      </c>
      <c r="K39" s="51" t="s">
        <v>2759</v>
      </c>
      <c r="L39" s="59" t="s">
        <v>160</v>
      </c>
      <c r="M39" s="59" t="s">
        <v>62</v>
      </c>
    </row>
    <row r="40" customFormat="false" ht="15.75" hidden="false" customHeight="true" outlineLevel="0" collapsed="false">
      <c r="A40" s="55" t="s">
        <v>2760</v>
      </c>
      <c r="B40" s="55" t="s">
        <v>2487</v>
      </c>
      <c r="C40" s="55" t="s">
        <v>398</v>
      </c>
      <c r="D40" s="56" t="s">
        <v>399</v>
      </c>
      <c r="E40" s="55" t="s">
        <v>120</v>
      </c>
      <c r="F40" s="55" t="s">
        <v>2638</v>
      </c>
      <c r="G40" s="55" t="s">
        <v>2761</v>
      </c>
      <c r="H40" s="57" t="n">
        <v>85000</v>
      </c>
      <c r="I40" s="55" t="s">
        <v>2640</v>
      </c>
      <c r="J40" s="55" t="s">
        <v>2641</v>
      </c>
      <c r="K40" s="55" t="s">
        <v>2762</v>
      </c>
      <c r="L40" s="54" t="s">
        <v>2643</v>
      </c>
      <c r="M40" s="54" t="s">
        <v>62</v>
      </c>
    </row>
    <row r="41" customFormat="false" ht="15.75" hidden="false" customHeight="true" outlineLevel="0" collapsed="false">
      <c r="A41" s="51" t="s">
        <v>2763</v>
      </c>
      <c r="B41" s="51" t="s">
        <v>2488</v>
      </c>
      <c r="C41" s="51" t="s">
        <v>412</v>
      </c>
      <c r="D41" s="52" t="s">
        <v>413</v>
      </c>
      <c r="E41" s="51" t="s">
        <v>683</v>
      </c>
      <c r="F41" s="51" t="s">
        <v>2650</v>
      </c>
      <c r="G41" s="51" t="s">
        <v>2764</v>
      </c>
      <c r="H41" s="53" t="n">
        <v>85000</v>
      </c>
      <c r="I41" s="51" t="s">
        <v>2640</v>
      </c>
      <c r="J41" s="51" t="s">
        <v>2647</v>
      </c>
      <c r="K41" s="51" t="s">
        <v>2765</v>
      </c>
      <c r="L41" s="54" t="s">
        <v>2643</v>
      </c>
      <c r="M41" s="54" t="s">
        <v>62</v>
      </c>
    </row>
    <row r="42" customFormat="false" ht="18" hidden="false" customHeight="true" outlineLevel="0" collapsed="false">
      <c r="A42" s="1" t="s">
        <v>2766</v>
      </c>
      <c r="B42" s="1" t="s">
        <v>2489</v>
      </c>
      <c r="C42" s="1" t="s">
        <v>425</v>
      </c>
      <c r="D42" s="1" t="s">
        <v>426</v>
      </c>
      <c r="E42" s="28" t="n">
        <v>45177</v>
      </c>
      <c r="F42" s="1" t="s">
        <v>2650</v>
      </c>
      <c r="G42" s="1" t="s">
        <v>2767</v>
      </c>
      <c r="H42" s="1" t="n">
        <v>185000</v>
      </c>
      <c r="I42" s="1" t="s">
        <v>2640</v>
      </c>
      <c r="J42" s="1" t="s">
        <v>2647</v>
      </c>
      <c r="K42" s="1" t="s">
        <v>2768</v>
      </c>
      <c r="L42" s="1" t="s">
        <v>2643</v>
      </c>
      <c r="M42" s="1" t="s">
        <v>62</v>
      </c>
    </row>
    <row r="43" customFormat="false" ht="15" hidden="false" customHeight="true" outlineLevel="0" collapsed="false">
      <c r="A43" s="1" t="s">
        <v>2769</v>
      </c>
      <c r="B43" s="1" t="s">
        <v>2491</v>
      </c>
      <c r="C43" s="1" t="s">
        <v>438</v>
      </c>
      <c r="D43" s="1" t="s">
        <v>439</v>
      </c>
      <c r="E43" s="28" t="n">
        <v>45179</v>
      </c>
      <c r="F43" s="1" t="s">
        <v>2638</v>
      </c>
      <c r="G43" s="1" t="s">
        <v>2770</v>
      </c>
      <c r="H43" s="1" t="n">
        <v>185000</v>
      </c>
      <c r="I43" s="1" t="s">
        <v>2640</v>
      </c>
      <c r="J43" s="1" t="s">
        <v>2641</v>
      </c>
      <c r="K43" s="1" t="s">
        <v>2771</v>
      </c>
      <c r="L43" s="1" t="s">
        <v>2643</v>
      </c>
      <c r="M43" s="1" t="s">
        <v>62</v>
      </c>
    </row>
    <row r="44" customFormat="false" ht="15" hidden="false" customHeight="true" outlineLevel="0" collapsed="false">
      <c r="A44" s="1" t="s">
        <v>2772</v>
      </c>
      <c r="B44" s="1" t="s">
        <v>2492</v>
      </c>
      <c r="C44" s="1" t="s">
        <v>451</v>
      </c>
      <c r="D44" s="1" t="s">
        <v>452</v>
      </c>
      <c r="E44" s="28" t="n">
        <v>45175</v>
      </c>
      <c r="F44" s="1" t="s">
        <v>2650</v>
      </c>
      <c r="G44" s="1" t="s">
        <v>2773</v>
      </c>
      <c r="H44" s="1" t="n">
        <v>185000</v>
      </c>
      <c r="I44" s="1" t="s">
        <v>2640</v>
      </c>
      <c r="J44" s="1" t="s">
        <v>2647</v>
      </c>
      <c r="K44" s="1" t="s">
        <v>2774</v>
      </c>
      <c r="L44" s="1" t="s">
        <v>2643</v>
      </c>
      <c r="M44" s="1" t="s">
        <v>62</v>
      </c>
    </row>
    <row r="45" customFormat="false" ht="15" hidden="false" customHeight="true" outlineLevel="0" collapsed="false">
      <c r="A45" s="1" t="s">
        <v>2775</v>
      </c>
      <c r="B45" s="1" t="s">
        <v>2493</v>
      </c>
      <c r="C45" s="1" t="s">
        <v>464</v>
      </c>
      <c r="D45" s="1" t="s">
        <v>465</v>
      </c>
      <c r="E45" s="28" t="n">
        <v>45542</v>
      </c>
      <c r="F45" s="1" t="s">
        <v>2650</v>
      </c>
      <c r="G45" s="1" t="s">
        <v>2776</v>
      </c>
      <c r="H45" s="1" t="n">
        <v>185000</v>
      </c>
      <c r="I45" s="1" t="s">
        <v>2640</v>
      </c>
      <c r="J45" s="1" t="s">
        <v>2647</v>
      </c>
      <c r="K45" s="1" t="s">
        <v>2777</v>
      </c>
      <c r="L45" s="1" t="s">
        <v>2643</v>
      </c>
      <c r="M45" s="1" t="s">
        <v>62</v>
      </c>
    </row>
    <row r="46" customFormat="false" ht="15" hidden="false" customHeight="true" outlineLevel="0" collapsed="false">
      <c r="A46" s="51" t="s">
        <v>2778</v>
      </c>
      <c r="B46" s="51" t="s">
        <v>2494</v>
      </c>
      <c r="C46" s="51" t="s">
        <v>476</v>
      </c>
      <c r="D46" s="52" t="s">
        <v>477</v>
      </c>
      <c r="E46" s="51" t="s">
        <v>2637</v>
      </c>
      <c r="F46" s="51" t="s">
        <v>2638</v>
      </c>
      <c r="G46" s="51" t="s">
        <v>2779</v>
      </c>
      <c r="H46" s="53" t="n">
        <v>80000</v>
      </c>
      <c r="I46" s="51" t="s">
        <v>2640</v>
      </c>
      <c r="J46" s="51" t="s">
        <v>2641</v>
      </c>
      <c r="K46" s="51" t="s">
        <v>2780</v>
      </c>
      <c r="L46" s="54" t="s">
        <v>2643</v>
      </c>
      <c r="M46" s="54" t="s">
        <v>484</v>
      </c>
    </row>
    <row r="47" customFormat="false" ht="15" hidden="false" customHeight="true" outlineLevel="0" collapsed="false">
      <c r="A47" s="51" t="s">
        <v>2781</v>
      </c>
      <c r="B47" s="51" t="s">
        <v>2495</v>
      </c>
      <c r="C47" s="51" t="s">
        <v>485</v>
      </c>
      <c r="D47" s="52" t="s">
        <v>486</v>
      </c>
      <c r="E47" s="51" t="s">
        <v>2637</v>
      </c>
      <c r="F47" s="51" t="s">
        <v>2650</v>
      </c>
      <c r="G47" s="51" t="s">
        <v>2782</v>
      </c>
      <c r="H47" s="53" t="n">
        <v>80000</v>
      </c>
      <c r="I47" s="51" t="s">
        <v>2640</v>
      </c>
      <c r="J47" s="51" t="s">
        <v>2647</v>
      </c>
      <c r="K47" s="51" t="s">
        <v>2783</v>
      </c>
      <c r="L47" s="54" t="s">
        <v>2643</v>
      </c>
      <c r="M47" s="54" t="s">
        <v>484</v>
      </c>
    </row>
    <row r="48" customFormat="false" ht="15" hidden="false" customHeight="true" outlineLevel="0" collapsed="false">
      <c r="A48" s="51" t="s">
        <v>2784</v>
      </c>
      <c r="B48" s="51" t="s">
        <v>2496</v>
      </c>
      <c r="C48" s="51" t="s">
        <v>494</v>
      </c>
      <c r="D48" s="52" t="s">
        <v>495</v>
      </c>
      <c r="E48" s="51" t="s">
        <v>2637</v>
      </c>
      <c r="F48" s="51" t="s">
        <v>2638</v>
      </c>
      <c r="G48" s="51" t="s">
        <v>2785</v>
      </c>
      <c r="H48" s="53" t="n">
        <v>80000</v>
      </c>
      <c r="I48" s="51" t="s">
        <v>2640</v>
      </c>
      <c r="J48" s="51" t="s">
        <v>2641</v>
      </c>
      <c r="K48" s="51" t="s">
        <v>2786</v>
      </c>
      <c r="L48" s="54" t="s">
        <v>2643</v>
      </c>
      <c r="M48" s="54" t="s">
        <v>484</v>
      </c>
    </row>
    <row r="49" customFormat="false" ht="15" hidden="false" customHeight="true" outlineLevel="0" collapsed="false">
      <c r="A49" s="51" t="s">
        <v>2787</v>
      </c>
      <c r="B49" s="51" t="s">
        <v>2497</v>
      </c>
      <c r="C49" s="51" t="s">
        <v>504</v>
      </c>
      <c r="D49" s="52" t="s">
        <v>505</v>
      </c>
      <c r="E49" s="51" t="s">
        <v>2637</v>
      </c>
      <c r="F49" s="51" t="s">
        <v>2650</v>
      </c>
      <c r="G49" s="51" t="s">
        <v>2788</v>
      </c>
      <c r="H49" s="53" t="n">
        <v>80000</v>
      </c>
      <c r="I49" s="51" t="s">
        <v>2640</v>
      </c>
      <c r="J49" s="51" t="s">
        <v>2647</v>
      </c>
      <c r="K49" s="51" t="s">
        <v>2789</v>
      </c>
      <c r="L49" s="54" t="s">
        <v>2643</v>
      </c>
      <c r="M49" s="54" t="s">
        <v>484</v>
      </c>
    </row>
    <row r="50" customFormat="false" ht="15" hidden="false" customHeight="true" outlineLevel="0" collapsed="false">
      <c r="A50" s="51" t="s">
        <v>2790</v>
      </c>
      <c r="B50" s="51" t="s">
        <v>2498</v>
      </c>
      <c r="C50" s="51" t="s">
        <v>512</v>
      </c>
      <c r="D50" s="52" t="s">
        <v>513</v>
      </c>
      <c r="E50" s="51" t="s">
        <v>2637</v>
      </c>
      <c r="F50" s="51" t="s">
        <v>2638</v>
      </c>
      <c r="G50" s="51" t="s">
        <v>2791</v>
      </c>
      <c r="H50" s="53" t="n">
        <v>41250</v>
      </c>
      <c r="I50" s="51" t="s">
        <v>2659</v>
      </c>
      <c r="J50" s="51" t="s">
        <v>2641</v>
      </c>
      <c r="K50" s="51" t="s">
        <v>2792</v>
      </c>
      <c r="L50" s="54" t="s">
        <v>2643</v>
      </c>
      <c r="M50" s="54" t="s">
        <v>484</v>
      </c>
    </row>
    <row r="51" customFormat="false" ht="15" hidden="false" customHeight="true" outlineLevel="0" collapsed="false">
      <c r="A51" s="51" t="s">
        <v>2793</v>
      </c>
      <c r="B51" s="51" t="s">
        <v>2499</v>
      </c>
      <c r="C51" s="51" t="s">
        <v>520</v>
      </c>
      <c r="D51" s="52" t="s">
        <v>521</v>
      </c>
      <c r="E51" s="51" t="s">
        <v>2637</v>
      </c>
      <c r="F51" s="51" t="s">
        <v>2650</v>
      </c>
      <c r="G51" s="51" t="s">
        <v>2794</v>
      </c>
      <c r="H51" s="53" t="n">
        <v>80000</v>
      </c>
      <c r="I51" s="51" t="s">
        <v>2640</v>
      </c>
      <c r="J51" s="51" t="s">
        <v>2647</v>
      </c>
      <c r="K51" s="51" t="s">
        <v>2795</v>
      </c>
      <c r="L51" s="54" t="s">
        <v>2643</v>
      </c>
      <c r="M51" s="54" t="s">
        <v>484</v>
      </c>
    </row>
    <row r="52" customFormat="false" ht="15" hidden="false" customHeight="true" outlineLevel="0" collapsed="false">
      <c r="A52" s="51" t="s">
        <v>2796</v>
      </c>
      <c r="B52" s="51" t="s">
        <v>2500</v>
      </c>
      <c r="C52" s="51" t="s">
        <v>526</v>
      </c>
      <c r="D52" s="52" t="s">
        <v>527</v>
      </c>
      <c r="E52" s="51" t="s">
        <v>2637</v>
      </c>
      <c r="F52" s="51" t="s">
        <v>2638</v>
      </c>
      <c r="G52" s="51" t="s">
        <v>2797</v>
      </c>
      <c r="H52" s="53" t="n">
        <v>80000</v>
      </c>
      <c r="I52" s="51" t="s">
        <v>2640</v>
      </c>
      <c r="J52" s="51" t="s">
        <v>2641</v>
      </c>
      <c r="K52" s="51" t="s">
        <v>2798</v>
      </c>
      <c r="L52" s="54" t="s">
        <v>2643</v>
      </c>
      <c r="M52" s="54" t="s">
        <v>484</v>
      </c>
    </row>
    <row r="53" customFormat="false" ht="15" hidden="false" customHeight="true" outlineLevel="0" collapsed="false">
      <c r="A53" s="51" t="s">
        <v>2799</v>
      </c>
      <c r="B53" s="51" t="s">
        <v>2501</v>
      </c>
      <c r="C53" s="51" t="s">
        <v>534</v>
      </c>
      <c r="D53" s="52" t="s">
        <v>535</v>
      </c>
      <c r="E53" s="51" t="s">
        <v>2637</v>
      </c>
      <c r="F53" s="51" t="s">
        <v>2650</v>
      </c>
      <c r="G53" s="51" t="s">
        <v>2800</v>
      </c>
      <c r="H53" s="53" t="n">
        <v>80000</v>
      </c>
      <c r="I53" s="51" t="s">
        <v>2640</v>
      </c>
      <c r="J53" s="51" t="s">
        <v>2647</v>
      </c>
      <c r="K53" s="51" t="s">
        <v>2801</v>
      </c>
      <c r="L53" s="54" t="s">
        <v>2643</v>
      </c>
      <c r="M53" s="54" t="s">
        <v>484</v>
      </c>
    </row>
    <row r="54" customFormat="false" ht="15" hidden="false" customHeight="true" outlineLevel="0" collapsed="false">
      <c r="A54" s="51" t="s">
        <v>2802</v>
      </c>
      <c r="B54" s="51" t="s">
        <v>2502</v>
      </c>
      <c r="C54" s="51" t="s">
        <v>540</v>
      </c>
      <c r="D54" s="52" t="s">
        <v>541</v>
      </c>
      <c r="E54" s="51" t="s">
        <v>2637</v>
      </c>
      <c r="F54" s="51" t="s">
        <v>2672</v>
      </c>
      <c r="G54" s="51" t="s">
        <v>2672</v>
      </c>
      <c r="H54" s="53" t="n">
        <v>0</v>
      </c>
      <c r="I54" s="51" t="s">
        <v>2673</v>
      </c>
      <c r="J54" s="51" t="s">
        <v>2674</v>
      </c>
      <c r="K54" s="51" t="s">
        <v>2803</v>
      </c>
      <c r="L54" s="54" t="s">
        <v>160</v>
      </c>
      <c r="M54" s="54" t="s">
        <v>484</v>
      </c>
    </row>
    <row r="55" customFormat="false" ht="15" hidden="false" customHeight="true" outlineLevel="0" collapsed="false">
      <c r="A55" s="51" t="s">
        <v>2804</v>
      </c>
      <c r="B55" s="51" t="s">
        <v>2503</v>
      </c>
      <c r="C55" s="51" t="s">
        <v>546</v>
      </c>
      <c r="D55" s="52" t="s">
        <v>547</v>
      </c>
      <c r="E55" s="51" t="s">
        <v>2637</v>
      </c>
      <c r="F55" s="51" t="s">
        <v>2650</v>
      </c>
      <c r="G55" s="51" t="s">
        <v>2805</v>
      </c>
      <c r="H55" s="53" t="n">
        <v>80000</v>
      </c>
      <c r="I55" s="51" t="s">
        <v>2640</v>
      </c>
      <c r="J55" s="51" t="s">
        <v>2647</v>
      </c>
      <c r="K55" s="51" t="s">
        <v>2806</v>
      </c>
      <c r="L55" s="54" t="s">
        <v>2643</v>
      </c>
      <c r="M55" s="54" t="s">
        <v>484</v>
      </c>
    </row>
    <row r="56" customFormat="false" ht="15" hidden="false" customHeight="true" outlineLevel="0" collapsed="false">
      <c r="A56" s="51" t="s">
        <v>2807</v>
      </c>
      <c r="B56" s="51" t="s">
        <v>2504</v>
      </c>
      <c r="C56" s="51" t="s">
        <v>552</v>
      </c>
      <c r="D56" s="52" t="s">
        <v>553</v>
      </c>
      <c r="E56" s="51" t="s">
        <v>2637</v>
      </c>
      <c r="F56" s="51" t="s">
        <v>2638</v>
      </c>
      <c r="G56" s="51" t="s">
        <v>2808</v>
      </c>
      <c r="H56" s="53" t="n">
        <v>80000</v>
      </c>
      <c r="I56" s="51" t="s">
        <v>2640</v>
      </c>
      <c r="J56" s="51" t="s">
        <v>2641</v>
      </c>
      <c r="K56" s="51" t="s">
        <v>2809</v>
      </c>
      <c r="L56" s="54" t="s">
        <v>2643</v>
      </c>
      <c r="M56" s="54" t="s">
        <v>484</v>
      </c>
    </row>
    <row r="57" customFormat="false" ht="15" hidden="false" customHeight="true" outlineLevel="0" collapsed="false">
      <c r="A57" s="51" t="s">
        <v>2810</v>
      </c>
      <c r="B57" s="51" t="s">
        <v>2505</v>
      </c>
      <c r="C57" s="51" t="s">
        <v>559</v>
      </c>
      <c r="D57" s="52" t="s">
        <v>560</v>
      </c>
      <c r="E57" s="51" t="s">
        <v>2637</v>
      </c>
      <c r="F57" s="51" t="s">
        <v>2650</v>
      </c>
      <c r="G57" s="51" t="s">
        <v>2811</v>
      </c>
      <c r="H57" s="53" t="n">
        <v>80000</v>
      </c>
      <c r="I57" s="51" t="s">
        <v>2640</v>
      </c>
      <c r="J57" s="51" t="s">
        <v>2647</v>
      </c>
      <c r="K57" s="51" t="s">
        <v>2812</v>
      </c>
      <c r="L57" s="54" t="s">
        <v>2643</v>
      </c>
      <c r="M57" s="54" t="s">
        <v>484</v>
      </c>
    </row>
    <row r="58" customFormat="false" ht="15" hidden="false" customHeight="true" outlineLevel="0" collapsed="false">
      <c r="A58" s="51" t="s">
        <v>2813</v>
      </c>
      <c r="B58" s="51" t="s">
        <v>2506</v>
      </c>
      <c r="C58" s="51" t="s">
        <v>565</v>
      </c>
      <c r="D58" s="52" t="s">
        <v>566</v>
      </c>
      <c r="E58" s="51" t="s">
        <v>2637</v>
      </c>
      <c r="F58" s="51" t="s">
        <v>2638</v>
      </c>
      <c r="G58" s="51" t="s">
        <v>2814</v>
      </c>
      <c r="H58" s="53" t="n">
        <v>80000</v>
      </c>
      <c r="I58" s="51" t="s">
        <v>2640</v>
      </c>
      <c r="J58" s="51" t="s">
        <v>2641</v>
      </c>
      <c r="K58" s="51" t="s">
        <v>2815</v>
      </c>
      <c r="L58" s="54" t="s">
        <v>2643</v>
      </c>
      <c r="M58" s="54" t="s">
        <v>484</v>
      </c>
    </row>
    <row r="59" customFormat="false" ht="15" hidden="false" customHeight="true" outlineLevel="0" collapsed="false">
      <c r="A59" s="51" t="s">
        <v>2816</v>
      </c>
      <c r="B59" s="51" t="s">
        <v>2507</v>
      </c>
      <c r="C59" s="51" t="s">
        <v>571</v>
      </c>
      <c r="D59" s="52" t="s">
        <v>572</v>
      </c>
      <c r="E59" s="51" t="s">
        <v>2637</v>
      </c>
      <c r="F59" s="51" t="s">
        <v>2650</v>
      </c>
      <c r="G59" s="51" t="s">
        <v>2817</v>
      </c>
      <c r="H59" s="53" t="n">
        <v>10000</v>
      </c>
      <c r="I59" s="51" t="s">
        <v>2818</v>
      </c>
      <c r="J59" s="51" t="s">
        <v>2647</v>
      </c>
      <c r="K59" s="51" t="s">
        <v>2819</v>
      </c>
      <c r="L59" s="54" t="s">
        <v>2643</v>
      </c>
      <c r="M59" s="54" t="s">
        <v>484</v>
      </c>
    </row>
    <row r="60" customFormat="false" ht="15" hidden="false" customHeight="true" outlineLevel="0" collapsed="false">
      <c r="A60" s="51" t="s">
        <v>2820</v>
      </c>
      <c r="B60" s="51" t="s">
        <v>2508</v>
      </c>
      <c r="C60" s="51" t="s">
        <v>576</v>
      </c>
      <c r="D60" s="52" t="s">
        <v>577</v>
      </c>
      <c r="E60" s="51" t="s">
        <v>2637</v>
      </c>
      <c r="F60" s="51" t="s">
        <v>2638</v>
      </c>
      <c r="G60" s="51" t="s">
        <v>2821</v>
      </c>
      <c r="H60" s="53" t="n">
        <v>80000</v>
      </c>
      <c r="I60" s="51" t="s">
        <v>2640</v>
      </c>
      <c r="J60" s="51" t="s">
        <v>2641</v>
      </c>
      <c r="K60" s="51" t="s">
        <v>2822</v>
      </c>
      <c r="L60" s="54" t="s">
        <v>2643</v>
      </c>
      <c r="M60" s="54" t="s">
        <v>484</v>
      </c>
    </row>
    <row r="61" customFormat="false" ht="15" hidden="false" customHeight="true" outlineLevel="0" collapsed="false">
      <c r="A61" s="51" t="s">
        <v>2823</v>
      </c>
      <c r="B61" s="51" t="s">
        <v>2509</v>
      </c>
      <c r="C61" s="51" t="s">
        <v>581</v>
      </c>
      <c r="D61" s="52" t="s">
        <v>582</v>
      </c>
      <c r="E61" s="51" t="s">
        <v>2637</v>
      </c>
      <c r="F61" s="51" t="s">
        <v>2650</v>
      </c>
      <c r="G61" s="51" t="s">
        <v>2824</v>
      </c>
      <c r="H61" s="53" t="n">
        <v>80000</v>
      </c>
      <c r="I61" s="51" t="s">
        <v>2640</v>
      </c>
      <c r="J61" s="51" t="s">
        <v>2647</v>
      </c>
      <c r="K61" s="51" t="s">
        <v>2825</v>
      </c>
      <c r="L61" s="54" t="s">
        <v>2643</v>
      </c>
      <c r="M61" s="54" t="s">
        <v>484</v>
      </c>
    </row>
    <row r="62" customFormat="false" ht="15" hidden="false" customHeight="true" outlineLevel="0" collapsed="false">
      <c r="A62" s="51" t="s">
        <v>2826</v>
      </c>
      <c r="B62" s="51" t="s">
        <v>2510</v>
      </c>
      <c r="C62" s="51" t="s">
        <v>586</v>
      </c>
      <c r="D62" s="52" t="s">
        <v>587</v>
      </c>
      <c r="E62" s="51" t="s">
        <v>2637</v>
      </c>
      <c r="F62" s="51" t="s">
        <v>2638</v>
      </c>
      <c r="G62" s="51" t="s">
        <v>2827</v>
      </c>
      <c r="H62" s="53" t="n">
        <v>80000</v>
      </c>
      <c r="I62" s="51" t="s">
        <v>2640</v>
      </c>
      <c r="J62" s="51" t="s">
        <v>2641</v>
      </c>
      <c r="K62" s="51" t="s">
        <v>2828</v>
      </c>
      <c r="L62" s="54" t="s">
        <v>2643</v>
      </c>
      <c r="M62" s="54" t="s">
        <v>484</v>
      </c>
    </row>
    <row r="63" customFormat="false" ht="15" hidden="false" customHeight="true" outlineLevel="0" collapsed="false">
      <c r="A63" s="51" t="s">
        <v>2829</v>
      </c>
      <c r="B63" s="51" t="s">
        <v>2511</v>
      </c>
      <c r="C63" s="51" t="s">
        <v>591</v>
      </c>
      <c r="D63" s="52" t="s">
        <v>592</v>
      </c>
      <c r="E63" s="51" t="s">
        <v>2637</v>
      </c>
      <c r="F63" s="51" t="s">
        <v>2650</v>
      </c>
      <c r="G63" s="51" t="s">
        <v>2830</v>
      </c>
      <c r="H63" s="53" t="n">
        <v>80000</v>
      </c>
      <c r="I63" s="51" t="s">
        <v>2640</v>
      </c>
      <c r="J63" s="51" t="s">
        <v>2647</v>
      </c>
      <c r="K63" s="51" t="s">
        <v>2831</v>
      </c>
      <c r="L63" s="54" t="s">
        <v>2643</v>
      </c>
      <c r="M63" s="54" t="s">
        <v>484</v>
      </c>
    </row>
    <row r="64" customFormat="false" ht="15" hidden="false" customHeight="true" outlineLevel="0" collapsed="false">
      <c r="A64" s="51" t="s">
        <v>2832</v>
      </c>
      <c r="B64" s="51" t="s">
        <v>2512</v>
      </c>
      <c r="C64" s="51" t="s">
        <v>598</v>
      </c>
      <c r="D64" s="52" t="s">
        <v>599</v>
      </c>
      <c r="E64" s="51" t="s">
        <v>2637</v>
      </c>
      <c r="F64" s="51" t="s">
        <v>2638</v>
      </c>
      <c r="G64" s="51" t="s">
        <v>2833</v>
      </c>
      <c r="H64" s="53" t="n">
        <v>80000</v>
      </c>
      <c r="I64" s="51" t="s">
        <v>2640</v>
      </c>
      <c r="J64" s="51" t="s">
        <v>2641</v>
      </c>
      <c r="K64" s="51" t="s">
        <v>2834</v>
      </c>
      <c r="L64" s="54" t="s">
        <v>2643</v>
      </c>
      <c r="M64" s="54" t="s">
        <v>484</v>
      </c>
    </row>
    <row r="65" customFormat="false" ht="15" hidden="false" customHeight="true" outlineLevel="0" collapsed="false">
      <c r="A65" s="51" t="s">
        <v>2835</v>
      </c>
      <c r="B65" s="51" t="s">
        <v>2513</v>
      </c>
      <c r="C65" s="51" t="s">
        <v>604</v>
      </c>
      <c r="D65" s="52" t="s">
        <v>605</v>
      </c>
      <c r="E65" s="51" t="s">
        <v>2637</v>
      </c>
      <c r="F65" s="51" t="s">
        <v>2650</v>
      </c>
      <c r="G65" s="51" t="s">
        <v>2836</v>
      </c>
      <c r="H65" s="53" t="n">
        <v>41250</v>
      </c>
      <c r="I65" s="51" t="s">
        <v>2659</v>
      </c>
      <c r="J65" s="51" t="s">
        <v>2647</v>
      </c>
      <c r="K65" s="51" t="s">
        <v>2837</v>
      </c>
      <c r="L65" s="54" t="s">
        <v>2643</v>
      </c>
      <c r="M65" s="54" t="s">
        <v>484</v>
      </c>
    </row>
    <row r="66" customFormat="false" ht="15" hidden="false" customHeight="true" outlineLevel="0" collapsed="false">
      <c r="A66" s="51" t="s">
        <v>2838</v>
      </c>
      <c r="B66" s="51" t="s">
        <v>2514</v>
      </c>
      <c r="C66" s="51" t="s">
        <v>610</v>
      </c>
      <c r="D66" s="52" t="s">
        <v>611</v>
      </c>
      <c r="E66" s="51" t="s">
        <v>2637</v>
      </c>
      <c r="F66" s="51" t="s">
        <v>2638</v>
      </c>
      <c r="G66" s="51" t="s">
        <v>2839</v>
      </c>
      <c r="H66" s="53" t="n">
        <v>80000</v>
      </c>
      <c r="I66" s="51" t="s">
        <v>2640</v>
      </c>
      <c r="J66" s="51" t="s">
        <v>2641</v>
      </c>
      <c r="K66" s="51" t="s">
        <v>2840</v>
      </c>
      <c r="L66" s="54" t="s">
        <v>2643</v>
      </c>
      <c r="M66" s="54" t="s">
        <v>484</v>
      </c>
    </row>
    <row r="67" customFormat="false" ht="15" hidden="false" customHeight="true" outlineLevel="0" collapsed="false">
      <c r="A67" s="51" t="s">
        <v>2841</v>
      </c>
      <c r="B67" s="51" t="s">
        <v>2515</v>
      </c>
      <c r="C67" s="51" t="s">
        <v>616</v>
      </c>
      <c r="D67" s="52" t="s">
        <v>617</v>
      </c>
      <c r="E67" s="51" t="s">
        <v>2637</v>
      </c>
      <c r="F67" s="51" t="s">
        <v>2650</v>
      </c>
      <c r="G67" s="51" t="s">
        <v>2842</v>
      </c>
      <c r="H67" s="53" t="n">
        <v>80000</v>
      </c>
      <c r="I67" s="51" t="s">
        <v>2640</v>
      </c>
      <c r="J67" s="51" t="s">
        <v>2647</v>
      </c>
      <c r="K67" s="51" t="s">
        <v>2843</v>
      </c>
      <c r="L67" s="54" t="s">
        <v>2643</v>
      </c>
      <c r="M67" s="54" t="s">
        <v>484</v>
      </c>
    </row>
    <row r="68" customFormat="false" ht="15" hidden="false" customHeight="true" outlineLevel="0" collapsed="false">
      <c r="A68" s="51" t="s">
        <v>2844</v>
      </c>
      <c r="B68" s="51" t="s">
        <v>2516</v>
      </c>
      <c r="C68" s="51" t="s">
        <v>622</v>
      </c>
      <c r="D68" s="52" t="s">
        <v>623</v>
      </c>
      <c r="E68" s="51" t="s">
        <v>2637</v>
      </c>
      <c r="F68" s="51" t="s">
        <v>2672</v>
      </c>
      <c r="G68" s="51" t="s">
        <v>2672</v>
      </c>
      <c r="H68" s="53" t="n">
        <v>0</v>
      </c>
      <c r="I68" s="51" t="s">
        <v>2673</v>
      </c>
      <c r="J68" s="51" t="s">
        <v>2674</v>
      </c>
      <c r="K68" s="51" t="s">
        <v>2845</v>
      </c>
      <c r="L68" s="54" t="s">
        <v>160</v>
      </c>
      <c r="M68" s="54" t="s">
        <v>484</v>
      </c>
    </row>
    <row r="69" customFormat="false" ht="15" hidden="false" customHeight="true" outlineLevel="0" collapsed="false">
      <c r="A69" s="51" t="s">
        <v>2846</v>
      </c>
      <c r="B69" s="51" t="s">
        <v>2517</v>
      </c>
      <c r="C69" s="51" t="s">
        <v>627</v>
      </c>
      <c r="D69" s="52" t="s">
        <v>628</v>
      </c>
      <c r="E69" s="51" t="s">
        <v>2637</v>
      </c>
      <c r="F69" s="51" t="s">
        <v>2650</v>
      </c>
      <c r="G69" s="51" t="s">
        <v>2847</v>
      </c>
      <c r="H69" s="53" t="n">
        <v>80000</v>
      </c>
      <c r="I69" s="51" t="s">
        <v>2640</v>
      </c>
      <c r="J69" s="51" t="s">
        <v>2647</v>
      </c>
      <c r="K69" s="51" t="s">
        <v>2848</v>
      </c>
      <c r="L69" s="54" t="s">
        <v>2643</v>
      </c>
      <c r="M69" s="54" t="s">
        <v>484</v>
      </c>
    </row>
    <row r="70" customFormat="false" ht="15" hidden="false" customHeight="true" outlineLevel="0" collapsed="false">
      <c r="A70" s="51" t="s">
        <v>2849</v>
      </c>
      <c r="B70" s="51" t="s">
        <v>2518</v>
      </c>
      <c r="C70" s="51" t="s">
        <v>632</v>
      </c>
      <c r="D70" s="52" t="s">
        <v>633</v>
      </c>
      <c r="E70" s="51" t="s">
        <v>2637</v>
      </c>
      <c r="F70" s="51" t="s">
        <v>2638</v>
      </c>
      <c r="G70" s="51" t="s">
        <v>2850</v>
      </c>
      <c r="H70" s="53" t="n">
        <v>80000</v>
      </c>
      <c r="I70" s="51" t="s">
        <v>2640</v>
      </c>
      <c r="J70" s="51" t="s">
        <v>2641</v>
      </c>
      <c r="K70" s="51" t="s">
        <v>2851</v>
      </c>
      <c r="L70" s="54" t="s">
        <v>2643</v>
      </c>
      <c r="M70" s="54" t="s">
        <v>484</v>
      </c>
    </row>
    <row r="71" customFormat="false" ht="15" hidden="false" customHeight="true" outlineLevel="0" collapsed="false">
      <c r="A71" s="51" t="s">
        <v>2852</v>
      </c>
      <c r="B71" s="51" t="s">
        <v>2519</v>
      </c>
      <c r="C71" s="51" t="s">
        <v>637</v>
      </c>
      <c r="D71" s="52" t="s">
        <v>638</v>
      </c>
      <c r="E71" s="51" t="s">
        <v>2637</v>
      </c>
      <c r="F71" s="51" t="s">
        <v>2650</v>
      </c>
      <c r="G71" s="51" t="s">
        <v>2853</v>
      </c>
      <c r="H71" s="53" t="n">
        <v>95000</v>
      </c>
      <c r="I71" s="51" t="s">
        <v>2640</v>
      </c>
      <c r="J71" s="51" t="s">
        <v>2647</v>
      </c>
      <c r="K71" s="51" t="s">
        <v>2854</v>
      </c>
      <c r="L71" s="54" t="s">
        <v>2643</v>
      </c>
      <c r="M71" s="54" t="s">
        <v>484</v>
      </c>
    </row>
    <row r="72" customFormat="false" ht="15" hidden="false" customHeight="true" outlineLevel="0" collapsed="false">
      <c r="A72" s="51" t="s">
        <v>2855</v>
      </c>
      <c r="B72" s="51" t="s">
        <v>2520</v>
      </c>
      <c r="C72" s="51" t="s">
        <v>645</v>
      </c>
      <c r="D72" s="52" t="s">
        <v>646</v>
      </c>
      <c r="E72" s="51" t="s">
        <v>2637</v>
      </c>
      <c r="F72" s="51" t="s">
        <v>2638</v>
      </c>
      <c r="G72" s="51" t="s">
        <v>2856</v>
      </c>
      <c r="H72" s="53" t="n">
        <v>115000</v>
      </c>
      <c r="I72" s="51" t="s">
        <v>2640</v>
      </c>
      <c r="J72" s="51" t="s">
        <v>2641</v>
      </c>
      <c r="K72" s="51" t="s">
        <v>2857</v>
      </c>
      <c r="L72" s="54" t="s">
        <v>2643</v>
      </c>
      <c r="M72" s="54" t="s">
        <v>484</v>
      </c>
    </row>
    <row r="73" customFormat="false" ht="15" hidden="false" customHeight="true" outlineLevel="0" collapsed="false">
      <c r="A73" s="51" t="s">
        <v>2858</v>
      </c>
      <c r="B73" s="51" t="s">
        <v>2521</v>
      </c>
      <c r="C73" s="51" t="s">
        <v>653</v>
      </c>
      <c r="D73" s="52" t="s">
        <v>654</v>
      </c>
      <c r="E73" s="51" t="s">
        <v>2637</v>
      </c>
      <c r="F73" s="51" t="s">
        <v>2650</v>
      </c>
      <c r="G73" s="51" t="s">
        <v>2859</v>
      </c>
      <c r="H73" s="53" t="n">
        <v>95000</v>
      </c>
      <c r="I73" s="51" t="s">
        <v>2640</v>
      </c>
      <c r="J73" s="51" t="s">
        <v>2647</v>
      </c>
      <c r="K73" s="51" t="s">
        <v>2860</v>
      </c>
      <c r="L73" s="54" t="s">
        <v>2643</v>
      </c>
      <c r="M73" s="54" t="s">
        <v>484</v>
      </c>
    </row>
    <row r="74" customFormat="false" ht="15" hidden="false" customHeight="true" outlineLevel="0" collapsed="false">
      <c r="A74" s="51" t="s">
        <v>2861</v>
      </c>
      <c r="B74" s="51" t="s">
        <v>2522</v>
      </c>
      <c r="C74" s="51" t="s">
        <v>661</v>
      </c>
      <c r="D74" s="52" t="s">
        <v>662</v>
      </c>
      <c r="E74" s="51" t="s">
        <v>2637</v>
      </c>
      <c r="F74" s="51" t="s">
        <v>2638</v>
      </c>
      <c r="G74" s="51" t="s">
        <v>2862</v>
      </c>
      <c r="H74" s="53" t="n">
        <v>49500</v>
      </c>
      <c r="I74" s="51" t="s">
        <v>2659</v>
      </c>
      <c r="J74" s="51" t="s">
        <v>2641</v>
      </c>
      <c r="K74" s="51" t="s">
        <v>2863</v>
      </c>
      <c r="L74" s="54" t="s">
        <v>2643</v>
      </c>
      <c r="M74" s="54" t="s">
        <v>484</v>
      </c>
    </row>
    <row r="75" customFormat="false" ht="15" hidden="false" customHeight="true" outlineLevel="0" collapsed="false">
      <c r="A75" s="51" t="s">
        <v>2864</v>
      </c>
      <c r="B75" s="51" t="s">
        <v>2523</v>
      </c>
      <c r="C75" s="51" t="s">
        <v>670</v>
      </c>
      <c r="D75" s="52" t="s">
        <v>671</v>
      </c>
      <c r="E75" s="51" t="s">
        <v>2637</v>
      </c>
      <c r="F75" s="51" t="s">
        <v>2650</v>
      </c>
      <c r="G75" s="51" t="s">
        <v>2865</v>
      </c>
      <c r="H75" s="53" t="n">
        <v>95000</v>
      </c>
      <c r="I75" s="51" t="s">
        <v>2640</v>
      </c>
      <c r="J75" s="51" t="s">
        <v>2647</v>
      </c>
      <c r="K75" s="51" t="s">
        <v>2866</v>
      </c>
      <c r="L75" s="54" t="s">
        <v>2643</v>
      </c>
      <c r="M75" s="54" t="s">
        <v>484</v>
      </c>
    </row>
    <row r="76" customFormat="false" ht="15" hidden="false" customHeight="true" outlineLevel="0" collapsed="false">
      <c r="A76" s="51" t="s">
        <v>2867</v>
      </c>
      <c r="B76" s="51" t="s">
        <v>2524</v>
      </c>
      <c r="C76" s="51" t="s">
        <v>678</v>
      </c>
      <c r="D76" s="52" t="s">
        <v>679</v>
      </c>
      <c r="E76" s="51" t="s">
        <v>2637</v>
      </c>
      <c r="F76" s="51" t="s">
        <v>2638</v>
      </c>
      <c r="G76" s="51" t="s">
        <v>2868</v>
      </c>
      <c r="H76" s="53" t="n">
        <v>115000</v>
      </c>
      <c r="I76" s="51" t="s">
        <v>2640</v>
      </c>
      <c r="J76" s="51" t="s">
        <v>2641</v>
      </c>
      <c r="K76" s="51" t="s">
        <v>2869</v>
      </c>
      <c r="L76" s="54" t="s">
        <v>2643</v>
      </c>
      <c r="M76" s="54" t="s">
        <v>484</v>
      </c>
    </row>
    <row r="77" customFormat="false" ht="15" hidden="false" customHeight="true" outlineLevel="0" collapsed="false">
      <c r="A77" s="51" t="s">
        <v>2870</v>
      </c>
      <c r="B77" s="51" t="s">
        <v>2525</v>
      </c>
      <c r="C77" s="51" t="s">
        <v>685</v>
      </c>
      <c r="D77" s="52" t="s">
        <v>686</v>
      </c>
      <c r="E77" s="51" t="s">
        <v>2637</v>
      </c>
      <c r="F77" s="51" t="s">
        <v>2650</v>
      </c>
      <c r="G77" s="51" t="s">
        <v>2871</v>
      </c>
      <c r="H77" s="53" t="n">
        <v>85000</v>
      </c>
      <c r="I77" s="51" t="s">
        <v>2640</v>
      </c>
      <c r="J77" s="51" t="s">
        <v>2647</v>
      </c>
      <c r="K77" s="51" t="s">
        <v>2872</v>
      </c>
      <c r="L77" s="54" t="s">
        <v>2643</v>
      </c>
      <c r="M77" s="54" t="s">
        <v>484</v>
      </c>
    </row>
    <row r="78" customFormat="false" ht="15" hidden="false" customHeight="true" outlineLevel="0" collapsed="false">
      <c r="A78" s="51" t="s">
        <v>2873</v>
      </c>
      <c r="B78" s="51" t="s">
        <v>2526</v>
      </c>
      <c r="C78" s="51" t="s">
        <v>697</v>
      </c>
      <c r="D78" s="52" t="s">
        <v>698</v>
      </c>
      <c r="E78" s="51" t="s">
        <v>2637</v>
      </c>
      <c r="F78" s="51" t="s">
        <v>2638</v>
      </c>
      <c r="G78" s="51" t="s">
        <v>2874</v>
      </c>
      <c r="H78" s="53" t="n">
        <v>85000</v>
      </c>
      <c r="I78" s="51" t="s">
        <v>2640</v>
      </c>
      <c r="J78" s="51" t="s">
        <v>2641</v>
      </c>
      <c r="K78" s="51" t="s">
        <v>2875</v>
      </c>
      <c r="L78" s="54" t="s">
        <v>2643</v>
      </c>
      <c r="M78" s="54" t="s">
        <v>484</v>
      </c>
    </row>
    <row r="79" customFormat="false" ht="15" hidden="false" customHeight="true" outlineLevel="0" collapsed="false">
      <c r="A79" s="51" t="s">
        <v>2876</v>
      </c>
      <c r="B79" s="51" t="s">
        <v>2527</v>
      </c>
      <c r="C79" s="51" t="s">
        <v>708</v>
      </c>
      <c r="D79" s="52" t="s">
        <v>709</v>
      </c>
      <c r="E79" s="51" t="s">
        <v>2637</v>
      </c>
      <c r="F79" s="51" t="s">
        <v>2650</v>
      </c>
      <c r="G79" s="51" t="s">
        <v>2877</v>
      </c>
      <c r="H79" s="53" t="n">
        <v>80000</v>
      </c>
      <c r="I79" s="51" t="s">
        <v>2640</v>
      </c>
      <c r="J79" s="51" t="s">
        <v>2647</v>
      </c>
      <c r="K79" s="51" t="s">
        <v>2878</v>
      </c>
      <c r="L79" s="54" t="s">
        <v>2643</v>
      </c>
      <c r="M79" s="54" t="s">
        <v>484</v>
      </c>
    </row>
    <row r="80" customFormat="false" ht="15" hidden="false" customHeight="true" outlineLevel="0" collapsed="false">
      <c r="A80" s="51" t="s">
        <v>2879</v>
      </c>
      <c r="B80" s="51" t="s">
        <v>2528</v>
      </c>
      <c r="C80" s="51" t="s">
        <v>718</v>
      </c>
      <c r="D80" s="52" t="s">
        <v>719</v>
      </c>
      <c r="E80" s="51" t="s">
        <v>2637</v>
      </c>
      <c r="F80" s="51" t="s">
        <v>2672</v>
      </c>
      <c r="G80" s="51" t="s">
        <v>2672</v>
      </c>
      <c r="H80" s="53" t="n">
        <v>0</v>
      </c>
      <c r="I80" s="51" t="s">
        <v>2673</v>
      </c>
      <c r="J80" s="51" t="s">
        <v>2674</v>
      </c>
      <c r="K80" s="51" t="s">
        <v>2880</v>
      </c>
      <c r="L80" s="54" t="s">
        <v>160</v>
      </c>
      <c r="M80" s="54" t="s">
        <v>484</v>
      </c>
    </row>
    <row r="81" customFormat="false" ht="15" hidden="false" customHeight="true" outlineLevel="0" collapsed="false">
      <c r="A81" s="51" t="s">
        <v>2881</v>
      </c>
      <c r="B81" s="51" t="s">
        <v>2529</v>
      </c>
      <c r="C81" s="51" t="s">
        <v>725</v>
      </c>
      <c r="D81" s="52" t="s">
        <v>726</v>
      </c>
      <c r="E81" s="51" t="s">
        <v>2637</v>
      </c>
      <c r="F81" s="51" t="s">
        <v>2650</v>
      </c>
      <c r="G81" s="51" t="s">
        <v>2882</v>
      </c>
      <c r="H81" s="53" t="n">
        <v>85000</v>
      </c>
      <c r="I81" s="51" t="s">
        <v>2640</v>
      </c>
      <c r="J81" s="51" t="s">
        <v>2647</v>
      </c>
      <c r="K81" s="51" t="s">
        <v>2883</v>
      </c>
      <c r="L81" s="54" t="s">
        <v>2643</v>
      </c>
      <c r="M81" s="54" t="s">
        <v>484</v>
      </c>
    </row>
    <row r="82" customFormat="false" ht="15" hidden="false" customHeight="true" outlineLevel="0" collapsed="false">
      <c r="A82" s="51" t="s">
        <v>2884</v>
      </c>
      <c r="B82" s="51" t="s">
        <v>2530</v>
      </c>
      <c r="C82" s="51" t="s">
        <v>734</v>
      </c>
      <c r="D82" s="52" t="s">
        <v>735</v>
      </c>
      <c r="E82" s="51" t="s">
        <v>2637</v>
      </c>
      <c r="F82" s="51" t="s">
        <v>2638</v>
      </c>
      <c r="G82" s="51" t="s">
        <v>2885</v>
      </c>
      <c r="H82" s="53" t="n">
        <v>85000</v>
      </c>
      <c r="I82" s="51" t="s">
        <v>2640</v>
      </c>
      <c r="J82" s="51" t="s">
        <v>2641</v>
      </c>
      <c r="K82" s="51" t="s">
        <v>2886</v>
      </c>
      <c r="L82" s="54" t="s">
        <v>2643</v>
      </c>
      <c r="M82" s="54" t="s">
        <v>484</v>
      </c>
    </row>
    <row r="83" customFormat="false" ht="15" hidden="false" customHeight="true" outlineLevel="0" collapsed="false">
      <c r="A83" s="51" t="s">
        <v>2887</v>
      </c>
      <c r="B83" s="51" t="s">
        <v>2531</v>
      </c>
      <c r="C83" s="51" t="s">
        <v>742</v>
      </c>
      <c r="D83" s="52" t="s">
        <v>743</v>
      </c>
      <c r="E83" s="51" t="s">
        <v>2637</v>
      </c>
      <c r="F83" s="51" t="s">
        <v>2650</v>
      </c>
      <c r="G83" s="51" t="s">
        <v>2888</v>
      </c>
      <c r="H83" s="53" t="n">
        <v>185000</v>
      </c>
      <c r="I83" s="51" t="s">
        <v>2640</v>
      </c>
      <c r="J83" s="51" t="s">
        <v>2647</v>
      </c>
      <c r="K83" s="51" t="s">
        <v>2889</v>
      </c>
      <c r="L83" s="54" t="s">
        <v>2643</v>
      </c>
      <c r="M83" s="54" t="s">
        <v>484</v>
      </c>
    </row>
    <row r="84" customFormat="false" ht="15" hidden="false" customHeight="true" outlineLevel="0" collapsed="false">
      <c r="A84" s="51" t="s">
        <v>2890</v>
      </c>
      <c r="B84" s="51" t="s">
        <v>2532</v>
      </c>
      <c r="C84" s="51" t="s">
        <v>753</v>
      </c>
      <c r="D84" s="52" t="s">
        <v>754</v>
      </c>
      <c r="E84" s="51" t="s">
        <v>2637</v>
      </c>
      <c r="F84" s="51" t="s">
        <v>2638</v>
      </c>
      <c r="G84" s="51" t="s">
        <v>2891</v>
      </c>
      <c r="H84" s="53" t="n">
        <v>185000</v>
      </c>
      <c r="I84" s="51" t="s">
        <v>2640</v>
      </c>
      <c r="J84" s="51" t="s">
        <v>2641</v>
      </c>
      <c r="K84" s="51" t="s">
        <v>2892</v>
      </c>
      <c r="L84" s="54" t="s">
        <v>2643</v>
      </c>
      <c r="M84" s="54" t="s">
        <v>484</v>
      </c>
    </row>
    <row r="85" customFormat="false" ht="15" hidden="false" customHeight="true" outlineLevel="0" collapsed="false">
      <c r="A85" s="51" t="s">
        <v>2893</v>
      </c>
      <c r="B85" s="51" t="s">
        <v>2533</v>
      </c>
      <c r="C85" s="51" t="s">
        <v>763</v>
      </c>
      <c r="D85" s="52" t="s">
        <v>764</v>
      </c>
      <c r="E85" s="51" t="s">
        <v>2637</v>
      </c>
      <c r="F85" s="51" t="s">
        <v>2650</v>
      </c>
      <c r="G85" s="51" t="s">
        <v>2894</v>
      </c>
      <c r="H85" s="53" t="n">
        <v>185000</v>
      </c>
      <c r="I85" s="51" t="s">
        <v>2640</v>
      </c>
      <c r="J85" s="51" t="s">
        <v>2647</v>
      </c>
      <c r="K85" s="51" t="s">
        <v>2895</v>
      </c>
      <c r="L85" s="54" t="s">
        <v>2643</v>
      </c>
      <c r="M85" s="54" t="s">
        <v>484</v>
      </c>
    </row>
    <row r="86" customFormat="false" ht="15" hidden="false" customHeight="true" outlineLevel="0" collapsed="false">
      <c r="A86" s="51" t="s">
        <v>2896</v>
      </c>
      <c r="B86" s="51" t="s">
        <v>2534</v>
      </c>
      <c r="C86" s="51" t="s">
        <v>773</v>
      </c>
      <c r="D86" s="52" t="s">
        <v>774</v>
      </c>
      <c r="E86" s="51" t="s">
        <v>2637</v>
      </c>
      <c r="F86" s="51" t="s">
        <v>2638</v>
      </c>
      <c r="G86" s="51" t="s">
        <v>2897</v>
      </c>
      <c r="H86" s="53" t="n">
        <v>185000</v>
      </c>
      <c r="I86" s="51" t="s">
        <v>2640</v>
      </c>
      <c r="J86" s="51" t="s">
        <v>2641</v>
      </c>
      <c r="K86" s="51" t="s">
        <v>2898</v>
      </c>
      <c r="L86" s="54" t="s">
        <v>2643</v>
      </c>
      <c r="M86" s="54" t="s">
        <v>484</v>
      </c>
    </row>
    <row r="87" customFormat="false" ht="15" hidden="false" customHeight="true" outlineLevel="0" collapsed="false">
      <c r="A87" s="51" t="s">
        <v>2899</v>
      </c>
      <c r="B87" s="51" t="s">
        <v>2535</v>
      </c>
      <c r="C87" s="51" t="s">
        <v>782</v>
      </c>
      <c r="D87" s="52" t="s">
        <v>783</v>
      </c>
      <c r="E87" s="51" t="s">
        <v>2637</v>
      </c>
      <c r="F87" s="51" t="s">
        <v>2638</v>
      </c>
      <c r="G87" s="51" t="s">
        <v>2900</v>
      </c>
      <c r="H87" s="53" t="n">
        <v>65000</v>
      </c>
      <c r="I87" s="51" t="s">
        <v>2640</v>
      </c>
      <c r="J87" s="51" t="s">
        <v>2641</v>
      </c>
      <c r="K87" s="51" t="s">
        <v>2901</v>
      </c>
      <c r="L87" s="54" t="s">
        <v>2643</v>
      </c>
      <c r="M87" s="54" t="s">
        <v>786</v>
      </c>
    </row>
    <row r="88" customFormat="false" ht="15" hidden="false" customHeight="true" outlineLevel="0" collapsed="false">
      <c r="A88" s="51" t="s">
        <v>2902</v>
      </c>
      <c r="B88" s="51" t="s">
        <v>2536</v>
      </c>
      <c r="C88" s="51" t="s">
        <v>787</v>
      </c>
      <c r="D88" s="52" t="s">
        <v>788</v>
      </c>
      <c r="E88" s="51" t="s">
        <v>2637</v>
      </c>
      <c r="F88" s="51" t="s">
        <v>2650</v>
      </c>
      <c r="G88" s="51" t="s">
        <v>2903</v>
      </c>
      <c r="H88" s="53" t="n">
        <v>70000</v>
      </c>
      <c r="I88" s="51" t="s">
        <v>2640</v>
      </c>
      <c r="J88" s="51" t="s">
        <v>2647</v>
      </c>
      <c r="K88" s="51" t="s">
        <v>2904</v>
      </c>
      <c r="L88" s="54" t="s">
        <v>2643</v>
      </c>
      <c r="M88" s="54" t="s">
        <v>786</v>
      </c>
    </row>
    <row r="89" customFormat="false" ht="15" hidden="false" customHeight="true" outlineLevel="0" collapsed="false">
      <c r="A89" s="51" t="s">
        <v>2905</v>
      </c>
      <c r="B89" s="51" t="s">
        <v>2537</v>
      </c>
      <c r="C89" s="51" t="s">
        <v>794</v>
      </c>
      <c r="D89" s="52" t="s">
        <v>795</v>
      </c>
      <c r="E89" s="51" t="s">
        <v>2637</v>
      </c>
      <c r="F89" s="51" t="s">
        <v>2638</v>
      </c>
      <c r="G89" s="51" t="s">
        <v>2906</v>
      </c>
      <c r="H89" s="53" t="n">
        <v>70000</v>
      </c>
      <c r="I89" s="51" t="s">
        <v>2640</v>
      </c>
      <c r="J89" s="51" t="s">
        <v>2641</v>
      </c>
      <c r="K89" s="51" t="s">
        <v>2907</v>
      </c>
      <c r="L89" s="54" t="s">
        <v>2643</v>
      </c>
      <c r="M89" s="54" t="s">
        <v>786</v>
      </c>
    </row>
    <row r="90" customFormat="false" ht="15" hidden="false" customHeight="true" outlineLevel="0" collapsed="false">
      <c r="A90" s="51" t="s">
        <v>2908</v>
      </c>
      <c r="B90" s="51" t="s">
        <v>2538</v>
      </c>
      <c r="C90" s="51" t="s">
        <v>803</v>
      </c>
      <c r="D90" s="52" t="s">
        <v>804</v>
      </c>
      <c r="E90" s="51" t="s">
        <v>2637</v>
      </c>
      <c r="F90" s="51" t="s">
        <v>2650</v>
      </c>
      <c r="G90" s="51" t="s">
        <v>2909</v>
      </c>
      <c r="H90" s="53" t="n">
        <v>80000</v>
      </c>
      <c r="I90" s="51" t="s">
        <v>2640</v>
      </c>
      <c r="J90" s="51" t="s">
        <v>2647</v>
      </c>
      <c r="K90" s="51" t="s">
        <v>2910</v>
      </c>
      <c r="L90" s="54" t="s">
        <v>2643</v>
      </c>
      <c r="M90" s="54" t="s">
        <v>786</v>
      </c>
    </row>
    <row r="91" customFormat="false" ht="15" hidden="false" customHeight="true" outlineLevel="0" collapsed="false">
      <c r="A91" s="51" t="s">
        <v>2911</v>
      </c>
      <c r="B91" s="51" t="s">
        <v>2539</v>
      </c>
      <c r="C91" s="51" t="s">
        <v>809</v>
      </c>
      <c r="D91" s="52" t="s">
        <v>810</v>
      </c>
      <c r="E91" s="51" t="s">
        <v>2637</v>
      </c>
      <c r="F91" s="51" t="s">
        <v>2638</v>
      </c>
      <c r="G91" s="51" t="s">
        <v>2912</v>
      </c>
      <c r="H91" s="53" t="n">
        <v>35750</v>
      </c>
      <c r="I91" s="51" t="s">
        <v>2659</v>
      </c>
      <c r="J91" s="51" t="s">
        <v>2641</v>
      </c>
      <c r="K91" s="51" t="s">
        <v>2913</v>
      </c>
      <c r="L91" s="54" t="s">
        <v>2643</v>
      </c>
      <c r="M91" s="54" t="s">
        <v>786</v>
      </c>
    </row>
    <row r="92" customFormat="false" ht="15" hidden="false" customHeight="true" outlineLevel="0" collapsed="false">
      <c r="A92" s="51" t="s">
        <v>2914</v>
      </c>
      <c r="B92" s="51" t="s">
        <v>2540</v>
      </c>
      <c r="C92" s="51" t="s">
        <v>814</v>
      </c>
      <c r="D92" s="52" t="s">
        <v>815</v>
      </c>
      <c r="E92" s="51" t="s">
        <v>2637</v>
      </c>
      <c r="F92" s="51" t="s">
        <v>2650</v>
      </c>
      <c r="G92" s="51" t="s">
        <v>2915</v>
      </c>
      <c r="H92" s="53" t="n">
        <v>80000</v>
      </c>
      <c r="I92" s="51" t="s">
        <v>2640</v>
      </c>
      <c r="J92" s="51" t="s">
        <v>2647</v>
      </c>
      <c r="K92" s="51" t="s">
        <v>2916</v>
      </c>
      <c r="L92" s="54" t="s">
        <v>2643</v>
      </c>
      <c r="M92" s="54" t="s">
        <v>786</v>
      </c>
    </row>
    <row r="93" customFormat="false" ht="15" hidden="false" customHeight="true" outlineLevel="0" collapsed="false">
      <c r="A93" s="51" t="s">
        <v>2917</v>
      </c>
      <c r="B93" s="51" t="s">
        <v>2541</v>
      </c>
      <c r="C93" s="51" t="s">
        <v>820</v>
      </c>
      <c r="D93" s="52" t="s">
        <v>821</v>
      </c>
      <c r="E93" s="51" t="s">
        <v>2637</v>
      </c>
      <c r="F93" s="51" t="s">
        <v>2638</v>
      </c>
      <c r="G93" s="51" t="s">
        <v>2918</v>
      </c>
      <c r="H93" s="53" t="n">
        <v>70000</v>
      </c>
      <c r="I93" s="51" t="s">
        <v>2640</v>
      </c>
      <c r="J93" s="51" t="s">
        <v>2641</v>
      </c>
      <c r="K93" s="51" t="s">
        <v>2919</v>
      </c>
      <c r="L93" s="54" t="s">
        <v>2643</v>
      </c>
      <c r="M93" s="54" t="s">
        <v>786</v>
      </c>
    </row>
    <row r="94" customFormat="false" ht="15" hidden="false" customHeight="true" outlineLevel="0" collapsed="false">
      <c r="A94" s="51" t="s">
        <v>2920</v>
      </c>
      <c r="B94" s="51" t="s">
        <v>2542</v>
      </c>
      <c r="C94" s="51" t="s">
        <v>824</v>
      </c>
      <c r="D94" s="52" t="s">
        <v>825</v>
      </c>
      <c r="E94" s="51" t="s">
        <v>2637</v>
      </c>
      <c r="F94" s="51" t="s">
        <v>2650</v>
      </c>
      <c r="G94" s="51" t="s">
        <v>2921</v>
      </c>
      <c r="H94" s="53" t="n">
        <v>65000</v>
      </c>
      <c r="I94" s="51" t="s">
        <v>2640</v>
      </c>
      <c r="J94" s="51" t="s">
        <v>2647</v>
      </c>
      <c r="K94" s="51" t="s">
        <v>2922</v>
      </c>
      <c r="L94" s="54" t="s">
        <v>2643</v>
      </c>
      <c r="M94" s="54" t="s">
        <v>786</v>
      </c>
    </row>
    <row r="95" customFormat="false" ht="15" hidden="false" customHeight="true" outlineLevel="0" collapsed="false">
      <c r="A95" s="51" t="s">
        <v>2923</v>
      </c>
      <c r="B95" s="51" t="s">
        <v>2543</v>
      </c>
      <c r="C95" s="51" t="s">
        <v>830</v>
      </c>
      <c r="D95" s="52" t="s">
        <v>831</v>
      </c>
      <c r="E95" s="51" t="s">
        <v>2637</v>
      </c>
      <c r="F95" s="51" t="s">
        <v>2672</v>
      </c>
      <c r="G95" s="51" t="s">
        <v>2672</v>
      </c>
      <c r="H95" s="53" t="n">
        <v>0</v>
      </c>
      <c r="I95" s="51" t="s">
        <v>2673</v>
      </c>
      <c r="J95" s="51" t="s">
        <v>2674</v>
      </c>
      <c r="K95" s="51" t="s">
        <v>2924</v>
      </c>
      <c r="L95" s="54" t="s">
        <v>160</v>
      </c>
      <c r="M95" s="54" t="s">
        <v>786</v>
      </c>
    </row>
    <row r="96" customFormat="false" ht="15" hidden="false" customHeight="true" outlineLevel="0" collapsed="false">
      <c r="A96" s="51" t="s">
        <v>2925</v>
      </c>
      <c r="B96" s="51" t="s">
        <v>2544</v>
      </c>
      <c r="C96" s="51" t="s">
        <v>834</v>
      </c>
      <c r="D96" s="52" t="s">
        <v>835</v>
      </c>
      <c r="E96" s="51" t="s">
        <v>2637</v>
      </c>
      <c r="F96" s="51" t="s">
        <v>2650</v>
      </c>
      <c r="G96" s="51" t="s">
        <v>2926</v>
      </c>
      <c r="H96" s="53" t="n">
        <v>70000</v>
      </c>
      <c r="I96" s="51" t="s">
        <v>2640</v>
      </c>
      <c r="J96" s="51" t="s">
        <v>2647</v>
      </c>
      <c r="K96" s="51" t="s">
        <v>2927</v>
      </c>
      <c r="L96" s="54" t="s">
        <v>2643</v>
      </c>
      <c r="M96" s="54" t="s">
        <v>786</v>
      </c>
    </row>
    <row r="97" customFormat="false" ht="15" hidden="false" customHeight="true" outlineLevel="0" collapsed="false">
      <c r="A97" s="51" t="s">
        <v>2928</v>
      </c>
      <c r="B97" s="51" t="s">
        <v>2545</v>
      </c>
      <c r="C97" s="51" t="s">
        <v>838</v>
      </c>
      <c r="D97" s="52" t="s">
        <v>839</v>
      </c>
      <c r="E97" s="51" t="s">
        <v>2637</v>
      </c>
      <c r="F97" s="51" t="s">
        <v>2638</v>
      </c>
      <c r="G97" s="51" t="s">
        <v>2929</v>
      </c>
      <c r="H97" s="53" t="n">
        <v>80000</v>
      </c>
      <c r="I97" s="51" t="s">
        <v>2640</v>
      </c>
      <c r="J97" s="51" t="s">
        <v>2641</v>
      </c>
      <c r="K97" s="51" t="s">
        <v>2930</v>
      </c>
      <c r="L97" s="54" t="s">
        <v>2643</v>
      </c>
      <c r="M97" s="54" t="s">
        <v>786</v>
      </c>
    </row>
    <row r="98" customFormat="false" ht="15" hidden="false" customHeight="true" outlineLevel="0" collapsed="false">
      <c r="A98" s="51" t="s">
        <v>2931</v>
      </c>
      <c r="B98" s="51" t="s">
        <v>2546</v>
      </c>
      <c r="C98" s="51" t="s">
        <v>842</v>
      </c>
      <c r="D98" s="52" t="s">
        <v>843</v>
      </c>
      <c r="E98" s="51" t="s">
        <v>2637</v>
      </c>
      <c r="F98" s="51" t="s">
        <v>2650</v>
      </c>
      <c r="G98" s="51" t="s">
        <v>2932</v>
      </c>
      <c r="H98" s="53" t="n">
        <v>65000</v>
      </c>
      <c r="I98" s="51" t="s">
        <v>2640</v>
      </c>
      <c r="J98" s="51" t="s">
        <v>2647</v>
      </c>
      <c r="K98" s="51" t="s">
        <v>2933</v>
      </c>
      <c r="L98" s="54" t="s">
        <v>2643</v>
      </c>
      <c r="M98" s="54" t="s">
        <v>786</v>
      </c>
    </row>
    <row r="99" customFormat="false" ht="15" hidden="false" customHeight="true" outlineLevel="0" collapsed="false">
      <c r="A99" s="51" t="s">
        <v>2934</v>
      </c>
      <c r="B99" s="51" t="s">
        <v>2547</v>
      </c>
      <c r="C99" s="51" t="s">
        <v>848</v>
      </c>
      <c r="D99" s="52" t="s">
        <v>849</v>
      </c>
      <c r="E99" s="51" t="s">
        <v>2637</v>
      </c>
      <c r="F99" s="51" t="s">
        <v>2638</v>
      </c>
      <c r="G99" s="51" t="s">
        <v>2935</v>
      </c>
      <c r="H99" s="53" t="n">
        <v>70000</v>
      </c>
      <c r="I99" s="51" t="s">
        <v>2640</v>
      </c>
      <c r="J99" s="51" t="s">
        <v>2641</v>
      </c>
      <c r="K99" s="51" t="s">
        <v>2936</v>
      </c>
      <c r="L99" s="54" t="s">
        <v>2643</v>
      </c>
      <c r="M99" s="54" t="s">
        <v>786</v>
      </c>
    </row>
    <row r="100" customFormat="false" ht="15" hidden="false" customHeight="true" outlineLevel="0" collapsed="false">
      <c r="A100" s="51" t="s">
        <v>2937</v>
      </c>
      <c r="B100" s="51" t="s">
        <v>2548</v>
      </c>
      <c r="C100" s="51" t="s">
        <v>852</v>
      </c>
      <c r="D100" s="52" t="s">
        <v>853</v>
      </c>
      <c r="E100" s="51" t="s">
        <v>2637</v>
      </c>
      <c r="F100" s="51" t="s">
        <v>2650</v>
      </c>
      <c r="G100" s="51" t="s">
        <v>2938</v>
      </c>
      <c r="H100" s="53" t="n">
        <v>10000</v>
      </c>
      <c r="I100" s="51" t="s">
        <v>2818</v>
      </c>
      <c r="J100" s="51" t="s">
        <v>2647</v>
      </c>
      <c r="K100" s="51" t="s">
        <v>2939</v>
      </c>
      <c r="L100" s="54" t="s">
        <v>2643</v>
      </c>
      <c r="M100" s="54" t="s">
        <v>786</v>
      </c>
    </row>
    <row r="101" customFormat="false" ht="15" hidden="false" customHeight="true" outlineLevel="0" collapsed="false">
      <c r="A101" s="51" t="s">
        <v>2940</v>
      </c>
      <c r="B101" s="51" t="s">
        <v>2549</v>
      </c>
      <c r="C101" s="51" t="s">
        <v>857</v>
      </c>
      <c r="D101" s="52" t="s">
        <v>858</v>
      </c>
      <c r="E101" s="51" t="s">
        <v>2637</v>
      </c>
      <c r="F101" s="51" t="s">
        <v>2638</v>
      </c>
      <c r="G101" s="51" t="s">
        <v>2941</v>
      </c>
      <c r="H101" s="53" t="n">
        <v>80000</v>
      </c>
      <c r="I101" s="51" t="s">
        <v>2640</v>
      </c>
      <c r="J101" s="51" t="s">
        <v>2641</v>
      </c>
      <c r="K101" s="51" t="s">
        <v>2942</v>
      </c>
      <c r="L101" s="54" t="s">
        <v>2643</v>
      </c>
      <c r="M101" s="54" t="s">
        <v>786</v>
      </c>
    </row>
    <row r="102" customFormat="false" ht="15" hidden="false" customHeight="true" outlineLevel="0" collapsed="false">
      <c r="A102" s="51" t="s">
        <v>2943</v>
      </c>
      <c r="B102" s="51" t="s">
        <v>2550</v>
      </c>
      <c r="C102" s="51" t="s">
        <v>862</v>
      </c>
      <c r="D102" s="52" t="s">
        <v>863</v>
      </c>
      <c r="E102" s="51" t="s">
        <v>2637</v>
      </c>
      <c r="F102" s="51" t="s">
        <v>2650</v>
      </c>
      <c r="G102" s="51" t="s">
        <v>2944</v>
      </c>
      <c r="H102" s="53" t="n">
        <v>70000</v>
      </c>
      <c r="I102" s="51" t="s">
        <v>2640</v>
      </c>
      <c r="J102" s="51" t="s">
        <v>2647</v>
      </c>
      <c r="K102" s="51" t="s">
        <v>2945</v>
      </c>
      <c r="L102" s="54" t="s">
        <v>2643</v>
      </c>
      <c r="M102" s="54" t="s">
        <v>786</v>
      </c>
    </row>
    <row r="103" customFormat="false" ht="15" hidden="false" customHeight="true" outlineLevel="0" collapsed="false">
      <c r="A103" s="51" t="s">
        <v>2946</v>
      </c>
      <c r="B103" s="51" t="s">
        <v>2551</v>
      </c>
      <c r="C103" s="51" t="s">
        <v>867</v>
      </c>
      <c r="D103" s="52" t="s">
        <v>868</v>
      </c>
      <c r="E103" s="51" t="s">
        <v>2637</v>
      </c>
      <c r="F103" s="51" t="s">
        <v>2638</v>
      </c>
      <c r="G103" s="51" t="s">
        <v>2947</v>
      </c>
      <c r="H103" s="53" t="n">
        <v>80000</v>
      </c>
      <c r="I103" s="51" t="s">
        <v>2640</v>
      </c>
      <c r="J103" s="51" t="s">
        <v>2641</v>
      </c>
      <c r="K103" s="51" t="s">
        <v>2948</v>
      </c>
      <c r="L103" s="54" t="s">
        <v>2643</v>
      </c>
      <c r="M103" s="54" t="s">
        <v>786</v>
      </c>
    </row>
    <row r="104" customFormat="false" ht="15" hidden="false" customHeight="true" outlineLevel="0" collapsed="false">
      <c r="A104" s="51" t="s">
        <v>2949</v>
      </c>
      <c r="B104" s="51" t="s">
        <v>2552</v>
      </c>
      <c r="C104" s="51" t="s">
        <v>874</v>
      </c>
      <c r="D104" s="52" t="s">
        <v>875</v>
      </c>
      <c r="E104" s="51" t="s">
        <v>2637</v>
      </c>
      <c r="F104" s="51" t="s">
        <v>2650</v>
      </c>
      <c r="G104" s="51" t="s">
        <v>2950</v>
      </c>
      <c r="H104" s="53" t="n">
        <v>70000</v>
      </c>
      <c r="I104" s="51" t="s">
        <v>2640</v>
      </c>
      <c r="J104" s="51" t="s">
        <v>2647</v>
      </c>
      <c r="K104" s="51" t="s">
        <v>2951</v>
      </c>
      <c r="L104" s="54" t="s">
        <v>2643</v>
      </c>
      <c r="M104" s="54" t="s">
        <v>786</v>
      </c>
    </row>
    <row r="105" customFormat="false" ht="15" hidden="false" customHeight="true" outlineLevel="0" collapsed="false">
      <c r="A105" s="51" t="s">
        <v>2952</v>
      </c>
      <c r="B105" s="51" t="s">
        <v>2553</v>
      </c>
      <c r="C105" s="51" t="s">
        <v>879</v>
      </c>
      <c r="D105" s="52" t="s">
        <v>880</v>
      </c>
      <c r="E105" s="51" t="s">
        <v>2637</v>
      </c>
      <c r="F105" s="51" t="s">
        <v>2638</v>
      </c>
      <c r="G105" s="51" t="s">
        <v>2953</v>
      </c>
      <c r="H105" s="53" t="n">
        <v>65000</v>
      </c>
      <c r="I105" s="51" t="s">
        <v>2640</v>
      </c>
      <c r="J105" s="51" t="s">
        <v>2641</v>
      </c>
      <c r="K105" s="51" t="s">
        <v>2954</v>
      </c>
      <c r="L105" s="54" t="s">
        <v>2643</v>
      </c>
      <c r="M105" s="54" t="s">
        <v>786</v>
      </c>
    </row>
    <row r="106" customFormat="false" ht="15" hidden="false" customHeight="true" outlineLevel="0" collapsed="false">
      <c r="A106" s="51" t="s">
        <v>2955</v>
      </c>
      <c r="B106" s="51" t="s">
        <v>2554</v>
      </c>
      <c r="C106" s="51" t="s">
        <v>884</v>
      </c>
      <c r="D106" s="52" t="s">
        <v>885</v>
      </c>
      <c r="E106" s="51" t="s">
        <v>2637</v>
      </c>
      <c r="F106" s="51" t="s">
        <v>2650</v>
      </c>
      <c r="G106" s="51" t="s">
        <v>2956</v>
      </c>
      <c r="H106" s="53" t="n">
        <v>41250</v>
      </c>
      <c r="I106" s="51" t="s">
        <v>2659</v>
      </c>
      <c r="J106" s="51" t="s">
        <v>2647</v>
      </c>
      <c r="K106" s="51" t="s">
        <v>2957</v>
      </c>
      <c r="L106" s="54" t="s">
        <v>2643</v>
      </c>
      <c r="M106" s="54" t="s">
        <v>786</v>
      </c>
    </row>
    <row r="107" customFormat="false" ht="15" hidden="false" customHeight="true" outlineLevel="0" collapsed="false">
      <c r="A107" s="51" t="s">
        <v>2958</v>
      </c>
      <c r="B107" s="51" t="s">
        <v>2555</v>
      </c>
      <c r="C107" s="51" t="s">
        <v>890</v>
      </c>
      <c r="D107" s="52" t="s">
        <v>891</v>
      </c>
      <c r="E107" s="51" t="s">
        <v>2637</v>
      </c>
      <c r="F107" s="51" t="s">
        <v>2638</v>
      </c>
      <c r="G107" s="51" t="s">
        <v>2959</v>
      </c>
      <c r="H107" s="53" t="n">
        <v>70000</v>
      </c>
      <c r="I107" s="51" t="s">
        <v>2640</v>
      </c>
      <c r="J107" s="51" t="s">
        <v>2641</v>
      </c>
      <c r="K107" s="51" t="s">
        <v>2960</v>
      </c>
      <c r="L107" s="54" t="s">
        <v>2643</v>
      </c>
      <c r="M107" s="54" t="s">
        <v>786</v>
      </c>
    </row>
    <row r="108" customFormat="false" ht="15" hidden="false" customHeight="true" outlineLevel="0" collapsed="false">
      <c r="A108" s="51" t="s">
        <v>2961</v>
      </c>
      <c r="B108" s="51" t="s">
        <v>2556</v>
      </c>
      <c r="C108" s="51" t="s">
        <v>896</v>
      </c>
      <c r="D108" s="52" t="s">
        <v>897</v>
      </c>
      <c r="E108" s="51" t="s">
        <v>2637</v>
      </c>
      <c r="F108" s="51" t="s">
        <v>2650</v>
      </c>
      <c r="G108" s="51" t="s">
        <v>2962</v>
      </c>
      <c r="H108" s="53" t="n">
        <v>80000</v>
      </c>
      <c r="I108" s="51" t="s">
        <v>2640</v>
      </c>
      <c r="J108" s="51" t="s">
        <v>2647</v>
      </c>
      <c r="K108" s="51" t="s">
        <v>2963</v>
      </c>
      <c r="L108" s="54" t="s">
        <v>2643</v>
      </c>
      <c r="M108" s="54" t="s">
        <v>786</v>
      </c>
    </row>
    <row r="109" customFormat="false" ht="15" hidden="false" customHeight="true" outlineLevel="0" collapsed="false">
      <c r="A109" s="51" t="s">
        <v>2964</v>
      </c>
      <c r="B109" s="51" t="s">
        <v>2557</v>
      </c>
      <c r="C109" s="51" t="s">
        <v>900</v>
      </c>
      <c r="D109" s="52" t="s">
        <v>901</v>
      </c>
      <c r="E109" s="51" t="s">
        <v>2637</v>
      </c>
      <c r="F109" s="51" t="s">
        <v>2672</v>
      </c>
      <c r="G109" s="51" t="s">
        <v>2672</v>
      </c>
      <c r="H109" s="53" t="n">
        <v>0</v>
      </c>
      <c r="I109" s="51" t="s">
        <v>2673</v>
      </c>
      <c r="J109" s="51" t="s">
        <v>2674</v>
      </c>
      <c r="K109" s="51" t="s">
        <v>2965</v>
      </c>
      <c r="L109" s="54" t="s">
        <v>160</v>
      </c>
      <c r="M109" s="54" t="s">
        <v>786</v>
      </c>
    </row>
    <row r="110" customFormat="false" ht="15" hidden="false" customHeight="true" outlineLevel="0" collapsed="false">
      <c r="A110" s="51" t="s">
        <v>2966</v>
      </c>
      <c r="B110" s="51" t="s">
        <v>2558</v>
      </c>
      <c r="C110" s="51" t="s">
        <v>904</v>
      </c>
      <c r="D110" s="52" t="s">
        <v>905</v>
      </c>
      <c r="E110" s="51" t="s">
        <v>2637</v>
      </c>
      <c r="F110" s="51" t="s">
        <v>2650</v>
      </c>
      <c r="G110" s="51" t="s">
        <v>2967</v>
      </c>
      <c r="H110" s="53" t="n">
        <v>80000</v>
      </c>
      <c r="I110" s="51" t="s">
        <v>2640</v>
      </c>
      <c r="J110" s="51" t="s">
        <v>2647</v>
      </c>
      <c r="K110" s="51" t="s">
        <v>2968</v>
      </c>
      <c r="L110" s="54" t="s">
        <v>2643</v>
      </c>
      <c r="M110" s="54" t="s">
        <v>786</v>
      </c>
    </row>
    <row r="111" customFormat="false" ht="15" hidden="false" customHeight="true" outlineLevel="0" collapsed="false">
      <c r="A111" s="51" t="s">
        <v>2969</v>
      </c>
      <c r="B111" s="51" t="s">
        <v>2559</v>
      </c>
      <c r="C111" s="51" t="s">
        <v>909</v>
      </c>
      <c r="D111" s="52" t="s">
        <v>910</v>
      </c>
      <c r="E111" s="51" t="s">
        <v>2637</v>
      </c>
      <c r="F111" s="51" t="s">
        <v>2638</v>
      </c>
      <c r="G111" s="51" t="s">
        <v>2970</v>
      </c>
      <c r="H111" s="53" t="n">
        <v>70000</v>
      </c>
      <c r="I111" s="51" t="s">
        <v>2640</v>
      </c>
      <c r="J111" s="51" t="s">
        <v>2641</v>
      </c>
      <c r="K111" s="51" t="s">
        <v>2971</v>
      </c>
      <c r="L111" s="54" t="s">
        <v>2643</v>
      </c>
      <c r="M111" s="54" t="s">
        <v>786</v>
      </c>
    </row>
    <row r="112" customFormat="false" ht="15" hidden="false" customHeight="true" outlineLevel="0" collapsed="false">
      <c r="A112" s="51" t="s">
        <v>2972</v>
      </c>
      <c r="B112" s="51" t="s">
        <v>2560</v>
      </c>
      <c r="C112" s="51" t="s">
        <v>913</v>
      </c>
      <c r="D112" s="52" t="s">
        <v>914</v>
      </c>
      <c r="E112" s="51" t="s">
        <v>2637</v>
      </c>
      <c r="F112" s="51" t="s">
        <v>2650</v>
      </c>
      <c r="G112" s="51" t="s">
        <v>2973</v>
      </c>
      <c r="H112" s="53" t="n">
        <v>90000</v>
      </c>
      <c r="I112" s="51" t="s">
        <v>2640</v>
      </c>
      <c r="J112" s="51" t="s">
        <v>2647</v>
      </c>
      <c r="K112" s="51" t="s">
        <v>2974</v>
      </c>
      <c r="L112" s="54" t="s">
        <v>2643</v>
      </c>
      <c r="M112" s="54" t="s">
        <v>786</v>
      </c>
    </row>
    <row r="113" customFormat="false" ht="15" hidden="false" customHeight="true" outlineLevel="0" collapsed="false">
      <c r="A113" s="51" t="s">
        <v>2975</v>
      </c>
      <c r="B113" s="51" t="s">
        <v>2561</v>
      </c>
      <c r="C113" s="51" t="s">
        <v>923</v>
      </c>
      <c r="D113" s="52" t="s">
        <v>924</v>
      </c>
      <c r="E113" s="51" t="s">
        <v>2637</v>
      </c>
      <c r="F113" s="51" t="s">
        <v>2638</v>
      </c>
      <c r="G113" s="51" t="s">
        <v>2976</v>
      </c>
      <c r="H113" s="53" t="n">
        <v>115000</v>
      </c>
      <c r="I113" s="51" t="s">
        <v>2640</v>
      </c>
      <c r="J113" s="51" t="s">
        <v>2641</v>
      </c>
      <c r="K113" s="51" t="s">
        <v>2977</v>
      </c>
      <c r="L113" s="54" t="s">
        <v>2643</v>
      </c>
      <c r="M113" s="54" t="s">
        <v>786</v>
      </c>
    </row>
    <row r="114" customFormat="false" ht="15" hidden="false" customHeight="true" outlineLevel="0" collapsed="false">
      <c r="A114" s="51" t="s">
        <v>2978</v>
      </c>
      <c r="B114" s="51" t="s">
        <v>2562</v>
      </c>
      <c r="C114" s="51" t="s">
        <v>930</v>
      </c>
      <c r="D114" s="52" t="s">
        <v>931</v>
      </c>
      <c r="E114" s="51" t="s">
        <v>2637</v>
      </c>
      <c r="F114" s="51" t="s">
        <v>2650</v>
      </c>
      <c r="G114" s="51" t="s">
        <v>2979</v>
      </c>
      <c r="H114" s="53" t="n">
        <v>90000</v>
      </c>
      <c r="I114" s="51" t="s">
        <v>2640</v>
      </c>
      <c r="J114" s="51" t="s">
        <v>2647</v>
      </c>
      <c r="K114" s="51" t="s">
        <v>2980</v>
      </c>
      <c r="L114" s="54" t="s">
        <v>2643</v>
      </c>
      <c r="M114" s="54" t="s">
        <v>786</v>
      </c>
    </row>
    <row r="115" customFormat="false" ht="15" hidden="false" customHeight="true" outlineLevel="0" collapsed="false">
      <c r="A115" s="51" t="s">
        <v>2981</v>
      </c>
      <c r="B115" s="51" t="s">
        <v>2563</v>
      </c>
      <c r="C115" s="51" t="s">
        <v>937</v>
      </c>
      <c r="D115" s="52" t="s">
        <v>938</v>
      </c>
      <c r="E115" s="51" t="s">
        <v>2637</v>
      </c>
      <c r="F115" s="51" t="s">
        <v>2638</v>
      </c>
      <c r="G115" s="51" t="s">
        <v>2982</v>
      </c>
      <c r="H115" s="53" t="n">
        <v>49500</v>
      </c>
      <c r="I115" s="51" t="s">
        <v>2659</v>
      </c>
      <c r="J115" s="51" t="s">
        <v>2641</v>
      </c>
      <c r="K115" s="51" t="s">
        <v>2983</v>
      </c>
      <c r="L115" s="54" t="s">
        <v>2643</v>
      </c>
      <c r="M115" s="54" t="s">
        <v>786</v>
      </c>
    </row>
    <row r="116" customFormat="false" ht="15" hidden="false" customHeight="true" outlineLevel="0" collapsed="false">
      <c r="A116" s="51" t="s">
        <v>2984</v>
      </c>
      <c r="B116" s="51" t="s">
        <v>2564</v>
      </c>
      <c r="C116" s="51" t="s">
        <v>945</v>
      </c>
      <c r="D116" s="52" t="s">
        <v>946</v>
      </c>
      <c r="E116" s="51" t="s">
        <v>2637</v>
      </c>
      <c r="F116" s="51" t="s">
        <v>2650</v>
      </c>
      <c r="G116" s="51" t="s">
        <v>2985</v>
      </c>
      <c r="H116" s="53" t="n">
        <v>95000</v>
      </c>
      <c r="I116" s="51" t="s">
        <v>2640</v>
      </c>
      <c r="J116" s="51" t="s">
        <v>2647</v>
      </c>
      <c r="K116" s="51" t="s">
        <v>2986</v>
      </c>
      <c r="L116" s="54" t="s">
        <v>2643</v>
      </c>
      <c r="M116" s="54" t="s">
        <v>786</v>
      </c>
    </row>
    <row r="117" customFormat="false" ht="15" hidden="false" customHeight="true" outlineLevel="0" collapsed="false">
      <c r="A117" s="51" t="s">
        <v>2987</v>
      </c>
      <c r="B117" s="51" t="s">
        <v>2565</v>
      </c>
      <c r="C117" s="51" t="s">
        <v>952</v>
      </c>
      <c r="D117" s="52" t="s">
        <v>953</v>
      </c>
      <c r="E117" s="51" t="s">
        <v>2637</v>
      </c>
      <c r="F117" s="51" t="s">
        <v>2638</v>
      </c>
      <c r="G117" s="51" t="s">
        <v>2988</v>
      </c>
      <c r="H117" s="53" t="n">
        <v>115000</v>
      </c>
      <c r="I117" s="51" t="s">
        <v>2640</v>
      </c>
      <c r="J117" s="51" t="s">
        <v>2641</v>
      </c>
      <c r="K117" s="51" t="s">
        <v>2989</v>
      </c>
      <c r="L117" s="54" t="s">
        <v>2643</v>
      </c>
      <c r="M117" s="54" t="s">
        <v>786</v>
      </c>
    </row>
    <row r="118" customFormat="false" ht="15" hidden="false" customHeight="true" outlineLevel="0" collapsed="false">
      <c r="A118" s="51" t="s">
        <v>2990</v>
      </c>
      <c r="B118" s="51" t="s">
        <v>2566</v>
      </c>
      <c r="C118" s="51" t="s">
        <v>958</v>
      </c>
      <c r="D118" s="52" t="s">
        <v>959</v>
      </c>
      <c r="E118" s="51" t="s">
        <v>2637</v>
      </c>
      <c r="F118" s="51" t="s">
        <v>2650</v>
      </c>
      <c r="G118" s="51" t="s">
        <v>2991</v>
      </c>
      <c r="H118" s="53" t="n">
        <v>85000</v>
      </c>
      <c r="I118" s="51" t="s">
        <v>2640</v>
      </c>
      <c r="J118" s="51" t="s">
        <v>2647</v>
      </c>
      <c r="K118" s="51" t="s">
        <v>2992</v>
      </c>
      <c r="L118" s="54" t="s">
        <v>2643</v>
      </c>
      <c r="M118" s="54" t="s">
        <v>786</v>
      </c>
    </row>
    <row r="119" customFormat="false" ht="15" hidden="false" customHeight="true" outlineLevel="0" collapsed="false">
      <c r="A119" s="51" t="s">
        <v>2993</v>
      </c>
      <c r="B119" s="51" t="s">
        <v>2567</v>
      </c>
      <c r="C119" s="51" t="s">
        <v>966</v>
      </c>
      <c r="D119" s="52" t="s">
        <v>967</v>
      </c>
      <c r="E119" s="51" t="s">
        <v>2637</v>
      </c>
      <c r="F119" s="51" t="s">
        <v>2638</v>
      </c>
      <c r="G119" s="51" t="s">
        <v>2994</v>
      </c>
      <c r="H119" s="53" t="n">
        <v>85000</v>
      </c>
      <c r="I119" s="51" t="s">
        <v>2640</v>
      </c>
      <c r="J119" s="51" t="s">
        <v>2641</v>
      </c>
      <c r="K119" s="51" t="s">
        <v>2995</v>
      </c>
      <c r="L119" s="54" t="s">
        <v>2643</v>
      </c>
      <c r="M119" s="54" t="s">
        <v>786</v>
      </c>
    </row>
    <row r="120" customFormat="false" ht="15" hidden="false" customHeight="true" outlineLevel="0" collapsed="false">
      <c r="A120" s="51" t="s">
        <v>2996</v>
      </c>
      <c r="B120" s="51" t="s">
        <v>2568</v>
      </c>
      <c r="C120" s="51" t="s">
        <v>975</v>
      </c>
      <c r="D120" s="52" t="s">
        <v>976</v>
      </c>
      <c r="E120" s="51" t="s">
        <v>2637</v>
      </c>
      <c r="F120" s="51" t="s">
        <v>2650</v>
      </c>
      <c r="G120" s="51" t="s">
        <v>2997</v>
      </c>
      <c r="H120" s="53" t="n">
        <v>80000</v>
      </c>
      <c r="I120" s="51" t="s">
        <v>2640</v>
      </c>
      <c r="J120" s="51" t="s">
        <v>2647</v>
      </c>
      <c r="K120" s="51" t="s">
        <v>2998</v>
      </c>
      <c r="L120" s="54" t="s">
        <v>2643</v>
      </c>
      <c r="M120" s="54" t="s">
        <v>786</v>
      </c>
    </row>
    <row r="121" customFormat="false" ht="15" hidden="false" customHeight="true" outlineLevel="0" collapsed="false">
      <c r="A121" s="51" t="s">
        <v>2999</v>
      </c>
      <c r="B121" s="51" t="s">
        <v>2569</v>
      </c>
      <c r="C121" s="51" t="s">
        <v>983</v>
      </c>
      <c r="D121" s="52" t="s">
        <v>984</v>
      </c>
      <c r="E121" s="51" t="s">
        <v>2637</v>
      </c>
      <c r="F121" s="51" t="s">
        <v>2672</v>
      </c>
      <c r="G121" s="51" t="s">
        <v>2672</v>
      </c>
      <c r="H121" s="53" t="n">
        <v>0</v>
      </c>
      <c r="I121" s="51" t="s">
        <v>2673</v>
      </c>
      <c r="J121" s="51" t="s">
        <v>2674</v>
      </c>
      <c r="K121" s="51" t="s">
        <v>3000</v>
      </c>
      <c r="L121" s="54" t="s">
        <v>160</v>
      </c>
      <c r="M121" s="54" t="s">
        <v>786</v>
      </c>
    </row>
    <row r="122" customFormat="false" ht="15" hidden="false" customHeight="true" outlineLevel="0" collapsed="false">
      <c r="A122" s="51" t="s">
        <v>3001</v>
      </c>
      <c r="B122" s="51" t="s">
        <v>2570</v>
      </c>
      <c r="C122" s="51" t="s">
        <v>990</v>
      </c>
      <c r="D122" s="52" t="s">
        <v>991</v>
      </c>
      <c r="E122" s="51" t="s">
        <v>2637</v>
      </c>
      <c r="F122" s="51" t="s">
        <v>2650</v>
      </c>
      <c r="G122" s="51" t="s">
        <v>3002</v>
      </c>
      <c r="H122" s="53" t="n">
        <v>80000</v>
      </c>
      <c r="I122" s="51" t="s">
        <v>2640</v>
      </c>
      <c r="J122" s="51" t="s">
        <v>2647</v>
      </c>
      <c r="K122" s="51" t="s">
        <v>3003</v>
      </c>
      <c r="L122" s="54" t="s">
        <v>2643</v>
      </c>
      <c r="M122" s="54" t="s">
        <v>786</v>
      </c>
    </row>
    <row r="123" customFormat="false" ht="15" hidden="false" customHeight="true" outlineLevel="0" collapsed="false">
      <c r="A123" s="51" t="s">
        <v>3004</v>
      </c>
      <c r="B123" s="51" t="s">
        <v>2571</v>
      </c>
      <c r="C123" s="51" t="s">
        <v>997</v>
      </c>
      <c r="D123" s="52" t="s">
        <v>998</v>
      </c>
      <c r="E123" s="51" t="s">
        <v>2637</v>
      </c>
      <c r="F123" s="51" t="s">
        <v>2638</v>
      </c>
      <c r="G123" s="51" t="s">
        <v>3005</v>
      </c>
      <c r="H123" s="53" t="n">
        <v>85000</v>
      </c>
      <c r="I123" s="51" t="s">
        <v>2640</v>
      </c>
      <c r="J123" s="51" t="s">
        <v>2641</v>
      </c>
      <c r="K123" s="51" t="s">
        <v>3006</v>
      </c>
      <c r="L123" s="54" t="s">
        <v>2643</v>
      </c>
      <c r="M123" s="54" t="s">
        <v>786</v>
      </c>
    </row>
    <row r="124" customFormat="false" ht="15" hidden="false" customHeight="true" outlineLevel="0" collapsed="false">
      <c r="A124" s="51" t="s">
        <v>3007</v>
      </c>
      <c r="B124" s="51" t="s">
        <v>2572</v>
      </c>
      <c r="C124" s="51" t="s">
        <v>1003</v>
      </c>
      <c r="D124" s="52" t="s">
        <v>1004</v>
      </c>
      <c r="E124" s="51" t="s">
        <v>2637</v>
      </c>
      <c r="F124" s="51" t="s">
        <v>2650</v>
      </c>
      <c r="G124" s="51" t="s">
        <v>3008</v>
      </c>
      <c r="H124" s="53" t="n">
        <v>185000</v>
      </c>
      <c r="I124" s="51" t="s">
        <v>2640</v>
      </c>
      <c r="J124" s="51" t="s">
        <v>2647</v>
      </c>
      <c r="K124" s="51" t="s">
        <v>3009</v>
      </c>
      <c r="L124" s="54" t="s">
        <v>2643</v>
      </c>
      <c r="M124" s="54" t="s">
        <v>786</v>
      </c>
    </row>
    <row r="125" customFormat="false" ht="15" hidden="false" customHeight="true" outlineLevel="0" collapsed="false">
      <c r="A125" s="51" t="s">
        <v>3010</v>
      </c>
      <c r="B125" s="51" t="s">
        <v>2573</v>
      </c>
      <c r="C125" s="51" t="s">
        <v>1012</v>
      </c>
      <c r="D125" s="52" t="s">
        <v>1013</v>
      </c>
      <c r="E125" s="51" t="s">
        <v>2637</v>
      </c>
      <c r="F125" s="51" t="s">
        <v>2638</v>
      </c>
      <c r="G125" s="51" t="s">
        <v>3011</v>
      </c>
      <c r="H125" s="53" t="n">
        <v>185000</v>
      </c>
      <c r="I125" s="51" t="s">
        <v>2640</v>
      </c>
      <c r="J125" s="51" t="s">
        <v>2641</v>
      </c>
      <c r="K125" s="51" t="s">
        <v>3012</v>
      </c>
      <c r="L125" s="54" t="s">
        <v>2643</v>
      </c>
      <c r="M125" s="54" t="s">
        <v>786</v>
      </c>
    </row>
    <row r="126" customFormat="false" ht="15" hidden="false" customHeight="true" outlineLevel="0" collapsed="false">
      <c r="A126" s="51" t="s">
        <v>3013</v>
      </c>
      <c r="B126" s="51" t="s">
        <v>2574</v>
      </c>
      <c r="C126" s="51" t="s">
        <v>1020</v>
      </c>
      <c r="D126" s="52" t="s">
        <v>1021</v>
      </c>
      <c r="E126" s="51" t="s">
        <v>2637</v>
      </c>
      <c r="F126" s="51" t="s">
        <v>2650</v>
      </c>
      <c r="G126" s="51" t="s">
        <v>3014</v>
      </c>
      <c r="H126" s="53" t="n">
        <v>185000</v>
      </c>
      <c r="I126" s="51" t="s">
        <v>2640</v>
      </c>
      <c r="J126" s="51" t="s">
        <v>2647</v>
      </c>
      <c r="K126" s="51" t="s">
        <v>3015</v>
      </c>
      <c r="L126" s="54" t="s">
        <v>2643</v>
      </c>
      <c r="M126" s="54" t="s">
        <v>786</v>
      </c>
    </row>
    <row r="127" customFormat="false" ht="15" hidden="false" customHeight="true" outlineLevel="0" collapsed="false">
      <c r="A127" s="51" t="s">
        <v>3016</v>
      </c>
      <c r="B127" s="51" t="s">
        <v>2575</v>
      </c>
      <c r="C127" s="51" t="s">
        <v>1028</v>
      </c>
      <c r="D127" s="52" t="s">
        <v>1029</v>
      </c>
      <c r="E127" s="51" t="s">
        <v>2637</v>
      </c>
      <c r="F127" s="51" t="s">
        <v>2638</v>
      </c>
      <c r="G127" s="51" t="s">
        <v>3017</v>
      </c>
      <c r="H127" s="53" t="n">
        <v>185000</v>
      </c>
      <c r="I127" s="51" t="s">
        <v>2640</v>
      </c>
      <c r="J127" s="51" t="s">
        <v>2641</v>
      </c>
      <c r="K127" s="51" t="s">
        <v>3018</v>
      </c>
      <c r="L127" s="54" t="s">
        <v>2643</v>
      </c>
      <c r="M127" s="54" t="s">
        <v>786</v>
      </c>
    </row>
    <row r="128" customFormat="false" ht="15" hidden="false" customHeight="true" outlineLevel="0" collapsed="false">
      <c r="A128" s="51" t="s">
        <v>3019</v>
      </c>
      <c r="B128" s="51" t="s">
        <v>2576</v>
      </c>
      <c r="C128" s="51" t="s">
        <v>1035</v>
      </c>
      <c r="D128" s="52" t="s">
        <v>1036</v>
      </c>
      <c r="E128" s="51" t="s">
        <v>2637</v>
      </c>
      <c r="F128" s="51" t="s">
        <v>2650</v>
      </c>
      <c r="G128" s="51" t="s">
        <v>3020</v>
      </c>
      <c r="H128" s="53" t="n">
        <v>80000</v>
      </c>
      <c r="I128" s="51" t="s">
        <v>2640</v>
      </c>
      <c r="J128" s="51" t="s">
        <v>2641</v>
      </c>
      <c r="K128" s="51" t="s">
        <v>3021</v>
      </c>
      <c r="L128" s="54" t="s">
        <v>2643</v>
      </c>
      <c r="M128" s="54" t="s">
        <v>62</v>
      </c>
    </row>
    <row r="129" customFormat="false" ht="15" hidden="false" customHeight="true" outlineLevel="0" collapsed="false">
      <c r="A129" s="51" t="s">
        <v>3022</v>
      </c>
      <c r="B129" s="51" t="s">
        <v>2577</v>
      </c>
      <c r="C129" s="51" t="s">
        <v>1040</v>
      </c>
      <c r="D129" s="52" t="s">
        <v>1041</v>
      </c>
      <c r="E129" s="51" t="s">
        <v>2637</v>
      </c>
      <c r="F129" s="51" t="s">
        <v>2650</v>
      </c>
      <c r="G129" s="51" t="s">
        <v>3023</v>
      </c>
      <c r="H129" s="53" t="n">
        <v>95000</v>
      </c>
      <c r="I129" s="51" t="s">
        <v>2640</v>
      </c>
      <c r="J129" s="51" t="s">
        <v>2641</v>
      </c>
      <c r="K129" s="51" t="s">
        <v>3024</v>
      </c>
      <c r="L129" s="54" t="s">
        <v>2643</v>
      </c>
      <c r="M129" s="54" t="s">
        <v>62</v>
      </c>
    </row>
    <row r="130" customFormat="false" ht="15" hidden="false" customHeight="true" outlineLevel="0" collapsed="false">
      <c r="A130" s="51" t="s">
        <v>3025</v>
      </c>
      <c r="B130" s="51" t="s">
        <v>2578</v>
      </c>
      <c r="C130" s="51" t="s">
        <v>1048</v>
      </c>
      <c r="D130" s="52" t="s">
        <v>1049</v>
      </c>
      <c r="E130" s="51" t="s">
        <v>2637</v>
      </c>
      <c r="F130" s="51" t="s">
        <v>2650</v>
      </c>
      <c r="G130" s="51" t="s">
        <v>3026</v>
      </c>
      <c r="H130" s="53" t="n">
        <v>185000</v>
      </c>
      <c r="I130" s="51" t="s">
        <v>2640</v>
      </c>
      <c r="J130" s="51" t="s">
        <v>2641</v>
      </c>
      <c r="K130" s="51" t="s">
        <v>3027</v>
      </c>
      <c r="L130" s="54" t="s">
        <v>2643</v>
      </c>
      <c r="M130" s="54" t="s">
        <v>62</v>
      </c>
    </row>
    <row r="131" customFormat="false" ht="15" hidden="false" customHeight="true" outlineLevel="0" collapsed="false">
      <c r="A131" s="51" t="s">
        <v>3028</v>
      </c>
      <c r="B131" s="51" t="s">
        <v>2579</v>
      </c>
      <c r="C131" s="51" t="s">
        <v>1057</v>
      </c>
      <c r="D131" s="52" t="s">
        <v>1036</v>
      </c>
      <c r="E131" s="51" t="s">
        <v>2637</v>
      </c>
      <c r="F131" s="51" t="s">
        <v>2650</v>
      </c>
      <c r="G131" s="51" t="s">
        <v>3029</v>
      </c>
      <c r="H131" s="53" t="n">
        <v>80000</v>
      </c>
      <c r="I131" s="51" t="s">
        <v>2640</v>
      </c>
      <c r="J131" s="51" t="s">
        <v>2641</v>
      </c>
      <c r="K131" s="51" t="s">
        <v>3030</v>
      </c>
      <c r="L131" s="54" t="s">
        <v>2643</v>
      </c>
      <c r="M131" s="54" t="s">
        <v>484</v>
      </c>
    </row>
    <row r="132" customFormat="false" ht="15" hidden="false" customHeight="true" outlineLevel="0" collapsed="false">
      <c r="A132" s="51" t="s">
        <v>3031</v>
      </c>
      <c r="B132" s="51" t="s">
        <v>2580</v>
      </c>
      <c r="C132" s="51" t="s">
        <v>1060</v>
      </c>
      <c r="D132" s="52" t="s">
        <v>1041</v>
      </c>
      <c r="E132" s="51" t="s">
        <v>2637</v>
      </c>
      <c r="F132" s="51" t="s">
        <v>2650</v>
      </c>
      <c r="G132" s="51" t="s">
        <v>3032</v>
      </c>
      <c r="H132" s="53" t="n">
        <v>95000</v>
      </c>
      <c r="I132" s="51" t="s">
        <v>2640</v>
      </c>
      <c r="J132" s="51" t="s">
        <v>2641</v>
      </c>
      <c r="K132" s="51" t="s">
        <v>3033</v>
      </c>
      <c r="L132" s="54" t="s">
        <v>2643</v>
      </c>
      <c r="M132" s="54" t="s">
        <v>484</v>
      </c>
    </row>
    <row r="133" customFormat="false" ht="15" hidden="false" customHeight="true" outlineLevel="0" collapsed="false">
      <c r="A133" s="51" t="s">
        <v>3034</v>
      </c>
      <c r="B133" s="51" t="s">
        <v>2581</v>
      </c>
      <c r="C133" s="51" t="s">
        <v>1063</v>
      </c>
      <c r="D133" s="52" t="s">
        <v>1049</v>
      </c>
      <c r="E133" s="51" t="s">
        <v>2637</v>
      </c>
      <c r="F133" s="51" t="s">
        <v>2650</v>
      </c>
      <c r="G133" s="51" t="s">
        <v>3035</v>
      </c>
      <c r="H133" s="53" t="n">
        <v>185000</v>
      </c>
      <c r="I133" s="51" t="s">
        <v>2640</v>
      </c>
      <c r="J133" s="51" t="s">
        <v>2641</v>
      </c>
      <c r="K133" s="51" t="s">
        <v>3036</v>
      </c>
      <c r="L133" s="54" t="s">
        <v>2643</v>
      </c>
      <c r="M133" s="54" t="s">
        <v>484</v>
      </c>
    </row>
    <row r="134" customFormat="false" ht="15" hidden="false" customHeight="true" outlineLevel="0" collapsed="false">
      <c r="A134" s="51" t="s">
        <v>3037</v>
      </c>
      <c r="B134" s="51" t="s">
        <v>2582</v>
      </c>
      <c r="C134" s="51" t="s">
        <v>1066</v>
      </c>
      <c r="D134" s="52" t="s">
        <v>1036</v>
      </c>
      <c r="E134" s="51" t="s">
        <v>2637</v>
      </c>
      <c r="F134" s="51" t="s">
        <v>2650</v>
      </c>
      <c r="G134" s="51" t="s">
        <v>3038</v>
      </c>
      <c r="H134" s="53" t="n">
        <v>80000</v>
      </c>
      <c r="I134" s="51" t="s">
        <v>2640</v>
      </c>
      <c r="J134" s="51" t="s">
        <v>2641</v>
      </c>
      <c r="K134" s="51" t="s">
        <v>3039</v>
      </c>
      <c r="L134" s="54" t="s">
        <v>2643</v>
      </c>
      <c r="M134" s="54" t="s">
        <v>786</v>
      </c>
    </row>
    <row r="135" customFormat="false" ht="15" hidden="false" customHeight="true" outlineLevel="0" collapsed="false">
      <c r="A135" s="51" t="s">
        <v>3040</v>
      </c>
      <c r="B135" s="51" t="s">
        <v>2583</v>
      </c>
      <c r="C135" s="51" t="s">
        <v>1068</v>
      </c>
      <c r="D135" s="52" t="s">
        <v>1041</v>
      </c>
      <c r="E135" s="51" t="s">
        <v>2637</v>
      </c>
      <c r="F135" s="51" t="s">
        <v>2650</v>
      </c>
      <c r="G135" s="51" t="s">
        <v>3041</v>
      </c>
      <c r="H135" s="53" t="n">
        <v>95000</v>
      </c>
      <c r="I135" s="51" t="s">
        <v>2640</v>
      </c>
      <c r="J135" s="51" t="s">
        <v>2641</v>
      </c>
      <c r="K135" s="51" t="s">
        <v>3042</v>
      </c>
      <c r="L135" s="54" t="s">
        <v>2643</v>
      </c>
      <c r="M135" s="54" t="s">
        <v>786</v>
      </c>
    </row>
    <row r="136" customFormat="false" ht="15" hidden="false" customHeight="true" outlineLevel="0" collapsed="false">
      <c r="A136" s="51" t="s">
        <v>3043</v>
      </c>
      <c r="B136" s="51" t="s">
        <v>2584</v>
      </c>
      <c r="C136" s="51" t="s">
        <v>1070</v>
      </c>
      <c r="D136" s="52" t="s">
        <v>1049</v>
      </c>
      <c r="E136" s="51" t="s">
        <v>2637</v>
      </c>
      <c r="F136" s="51" t="s">
        <v>2650</v>
      </c>
      <c r="G136" s="51" t="s">
        <v>3044</v>
      </c>
      <c r="H136" s="53" t="n">
        <v>185000</v>
      </c>
      <c r="I136" s="51" t="s">
        <v>2640</v>
      </c>
      <c r="J136" s="51" t="s">
        <v>2641</v>
      </c>
      <c r="K136" s="51" t="s">
        <v>3045</v>
      </c>
      <c r="L136" s="54" t="s">
        <v>2643</v>
      </c>
      <c r="M136" s="54" t="s">
        <v>786</v>
      </c>
    </row>
    <row r="137" customFormat="false" ht="15" hidden="false" customHeight="true" outlineLevel="0" collapsed="false">
      <c r="A137" s="52" t="s">
        <v>3046</v>
      </c>
      <c r="B137" s="52" t="s">
        <v>2585</v>
      </c>
      <c r="C137" s="52" t="s">
        <v>1072</v>
      </c>
      <c r="D137" s="52" t="s">
        <v>1073</v>
      </c>
      <c r="E137" s="51" t="s">
        <v>3047</v>
      </c>
      <c r="F137" s="51" t="s">
        <v>2650</v>
      </c>
      <c r="G137" s="51" t="s">
        <v>3048</v>
      </c>
      <c r="H137" s="53" t="n">
        <v>80000</v>
      </c>
      <c r="I137" s="52" t="s">
        <v>3049</v>
      </c>
      <c r="J137" s="52" t="s">
        <v>3050</v>
      </c>
      <c r="K137" s="51" t="s">
        <v>3051</v>
      </c>
      <c r="L137" s="52" t="s">
        <v>2643</v>
      </c>
      <c r="M137" s="52" t="s">
        <v>62</v>
      </c>
    </row>
    <row r="138" customFormat="false" ht="15" hidden="false" customHeight="true" outlineLevel="0" collapsed="false">
      <c r="A138" s="52" t="s">
        <v>3052</v>
      </c>
      <c r="B138" s="52" t="s">
        <v>2586</v>
      </c>
      <c r="C138" s="52" t="s">
        <v>1078</v>
      </c>
      <c r="D138" s="52" t="s">
        <v>1079</v>
      </c>
      <c r="E138" s="51" t="s">
        <v>3053</v>
      </c>
      <c r="F138" s="51" t="s">
        <v>2650</v>
      </c>
      <c r="G138" s="51" t="s">
        <v>3054</v>
      </c>
      <c r="H138" s="53" t="n">
        <v>5000</v>
      </c>
      <c r="I138" s="52" t="s">
        <v>3055</v>
      </c>
      <c r="J138" s="52" t="s">
        <v>3050</v>
      </c>
      <c r="K138" s="51" t="s">
        <v>3056</v>
      </c>
      <c r="L138" s="52" t="s">
        <v>3057</v>
      </c>
      <c r="M138" s="52" t="s">
        <v>62</v>
      </c>
    </row>
    <row r="139" customFormat="false" ht="15" hidden="false" customHeight="true" outlineLevel="0" collapsed="false">
      <c r="A139" s="52" t="s">
        <v>3058</v>
      </c>
      <c r="B139" s="52" t="s">
        <v>2587</v>
      </c>
      <c r="C139" s="52" t="s">
        <v>1082</v>
      </c>
      <c r="D139" s="52" t="s">
        <v>1083</v>
      </c>
      <c r="E139" s="51" t="s">
        <v>3059</v>
      </c>
      <c r="F139" s="51" t="s">
        <v>2650</v>
      </c>
      <c r="G139" s="51" t="s">
        <v>3060</v>
      </c>
      <c r="H139" s="53" t="n">
        <v>80000</v>
      </c>
      <c r="I139" s="52" t="s">
        <v>3049</v>
      </c>
      <c r="J139" s="52" t="s">
        <v>3050</v>
      </c>
      <c r="K139" s="51" t="s">
        <v>3061</v>
      </c>
      <c r="L139" s="52" t="s">
        <v>2643</v>
      </c>
      <c r="M139" s="52" t="s">
        <v>62</v>
      </c>
    </row>
    <row r="140" customFormat="false" ht="15" hidden="false" customHeight="true" outlineLevel="0" collapsed="false">
      <c r="A140" s="52" t="s">
        <v>3062</v>
      </c>
      <c r="B140" s="52" t="s">
        <v>2588</v>
      </c>
      <c r="C140" s="52" t="s">
        <v>1089</v>
      </c>
      <c r="D140" s="52" t="s">
        <v>1090</v>
      </c>
      <c r="E140" s="51" t="s">
        <v>3063</v>
      </c>
      <c r="F140" s="51" t="s">
        <v>2650</v>
      </c>
      <c r="G140" s="51" t="s">
        <v>3064</v>
      </c>
      <c r="H140" s="53" t="n">
        <v>75000</v>
      </c>
      <c r="I140" s="52" t="s">
        <v>3049</v>
      </c>
      <c r="J140" s="52" t="s">
        <v>3050</v>
      </c>
      <c r="K140" s="51" t="s">
        <v>3065</v>
      </c>
      <c r="L140" s="52" t="s">
        <v>2643</v>
      </c>
      <c r="M140" s="52" t="s">
        <v>62</v>
      </c>
    </row>
    <row r="141" customFormat="false" ht="15" hidden="false" customHeight="true" outlineLevel="0" collapsed="false">
      <c r="A141" s="52" t="s">
        <v>3066</v>
      </c>
      <c r="B141" s="52" t="s">
        <v>2589</v>
      </c>
      <c r="C141" s="52" t="s">
        <v>1094</v>
      </c>
      <c r="D141" s="52" t="s">
        <v>1095</v>
      </c>
      <c r="E141" s="51" t="s">
        <v>3067</v>
      </c>
      <c r="F141" s="51" t="s">
        <v>2650</v>
      </c>
      <c r="G141" s="51" t="s">
        <v>3068</v>
      </c>
      <c r="H141" s="53" t="n">
        <v>65000</v>
      </c>
      <c r="I141" s="52" t="s">
        <v>3049</v>
      </c>
      <c r="J141" s="52" t="s">
        <v>3050</v>
      </c>
      <c r="K141" s="51" t="s">
        <v>3069</v>
      </c>
      <c r="L141" s="52" t="s">
        <v>2643</v>
      </c>
      <c r="M141" s="52" t="s">
        <v>62</v>
      </c>
    </row>
    <row r="142" customFormat="false" ht="15" hidden="false" customHeight="true" outlineLevel="0" collapsed="false">
      <c r="A142" s="52" t="s">
        <v>3070</v>
      </c>
      <c r="B142" s="52" t="s">
        <v>2590</v>
      </c>
      <c r="C142" s="52" t="s">
        <v>1099</v>
      </c>
      <c r="D142" s="52" t="s">
        <v>1100</v>
      </c>
      <c r="E142" s="51" t="s">
        <v>3071</v>
      </c>
      <c r="F142" s="51" t="s">
        <v>2638</v>
      </c>
      <c r="G142" s="51" t="s">
        <v>3072</v>
      </c>
      <c r="H142" s="53" t="n">
        <v>20000</v>
      </c>
      <c r="I142" s="52" t="s">
        <v>3073</v>
      </c>
      <c r="J142" s="52" t="s">
        <v>2641</v>
      </c>
      <c r="K142" s="51" t="s">
        <v>3074</v>
      </c>
      <c r="L142" s="52" t="s">
        <v>3075</v>
      </c>
      <c r="M142" s="52" t="s">
        <v>62</v>
      </c>
    </row>
    <row r="143" customFormat="false" ht="15" hidden="false" customHeight="true" outlineLevel="0" collapsed="false">
      <c r="A143" s="52" t="s">
        <v>3076</v>
      </c>
      <c r="B143" s="52" t="s">
        <v>2591</v>
      </c>
      <c r="C143" s="52" t="s">
        <v>1104</v>
      </c>
      <c r="D143" s="52" t="s">
        <v>1105</v>
      </c>
      <c r="E143" s="51" t="s">
        <v>3077</v>
      </c>
      <c r="F143" s="51" t="s">
        <v>2650</v>
      </c>
      <c r="G143" s="51" t="s">
        <v>3078</v>
      </c>
      <c r="H143" s="53" t="n">
        <v>80000</v>
      </c>
      <c r="I143" s="52" t="s">
        <v>3049</v>
      </c>
      <c r="J143" s="52" t="s">
        <v>3050</v>
      </c>
      <c r="K143" s="51" t="s">
        <v>3079</v>
      </c>
      <c r="L143" s="52" t="s">
        <v>2643</v>
      </c>
      <c r="M143" s="52" t="s">
        <v>62</v>
      </c>
    </row>
    <row r="144" customFormat="false" ht="15" hidden="false" customHeight="true" outlineLevel="0" collapsed="false">
      <c r="A144" s="52" t="s">
        <v>3080</v>
      </c>
      <c r="B144" s="52" t="s">
        <v>2592</v>
      </c>
      <c r="C144" s="52" t="s">
        <v>1110</v>
      </c>
      <c r="D144" s="52" t="s">
        <v>1111</v>
      </c>
      <c r="E144" s="51" t="s">
        <v>3081</v>
      </c>
      <c r="F144" s="51" t="s">
        <v>2650</v>
      </c>
      <c r="G144" s="51" t="s">
        <v>3082</v>
      </c>
      <c r="H144" s="53" t="n">
        <v>5000</v>
      </c>
      <c r="I144" s="52" t="s">
        <v>3055</v>
      </c>
      <c r="J144" s="52" t="s">
        <v>3050</v>
      </c>
      <c r="K144" s="51" t="s">
        <v>3083</v>
      </c>
      <c r="L144" s="52" t="s">
        <v>3084</v>
      </c>
      <c r="M144" s="52" t="s">
        <v>62</v>
      </c>
    </row>
    <row r="145" customFormat="false" ht="15" hidden="false" customHeight="true" outlineLevel="0" collapsed="false">
      <c r="A145" s="52" t="s">
        <v>3085</v>
      </c>
      <c r="B145" s="52" t="s">
        <v>2593</v>
      </c>
      <c r="C145" s="52" t="s">
        <v>1115</v>
      </c>
      <c r="D145" s="52" t="s">
        <v>1116</v>
      </c>
      <c r="E145" s="51" t="s">
        <v>3086</v>
      </c>
      <c r="F145" s="51" t="s">
        <v>2650</v>
      </c>
      <c r="G145" s="51" t="s">
        <v>3087</v>
      </c>
      <c r="H145" s="53" t="n">
        <v>85000</v>
      </c>
      <c r="I145" s="52" t="s">
        <v>3049</v>
      </c>
      <c r="J145" s="52" t="s">
        <v>3050</v>
      </c>
      <c r="K145" s="51" t="s">
        <v>3088</v>
      </c>
      <c r="L145" s="52" t="s">
        <v>2643</v>
      </c>
      <c r="M145" s="52" t="s">
        <v>62</v>
      </c>
    </row>
    <row r="146" customFormat="false" ht="15" hidden="false" customHeight="true" outlineLevel="0" collapsed="false">
      <c r="A146" s="52" t="s">
        <v>3089</v>
      </c>
      <c r="B146" s="52" t="s">
        <v>2594</v>
      </c>
      <c r="C146" s="52" t="s">
        <v>1120</v>
      </c>
      <c r="D146" s="52" t="s">
        <v>1121</v>
      </c>
      <c r="E146" s="51" t="s">
        <v>3090</v>
      </c>
      <c r="F146" s="51" t="s">
        <v>2650</v>
      </c>
      <c r="G146" s="51" t="s">
        <v>3091</v>
      </c>
      <c r="H146" s="53" t="n">
        <v>80000</v>
      </c>
      <c r="I146" s="52" t="s">
        <v>3049</v>
      </c>
      <c r="J146" s="52" t="s">
        <v>3050</v>
      </c>
      <c r="K146" s="51" t="s">
        <v>3092</v>
      </c>
      <c r="L146" s="52" t="s">
        <v>2643</v>
      </c>
      <c r="M146" s="52" t="s">
        <v>62</v>
      </c>
    </row>
    <row r="147" customFormat="false" ht="15" hidden="false" customHeight="true" outlineLevel="0" collapsed="false">
      <c r="A147" s="52" t="s">
        <v>3093</v>
      </c>
      <c r="B147" s="52" t="s">
        <v>2595</v>
      </c>
      <c r="C147" s="52" t="s">
        <v>1125</v>
      </c>
      <c r="D147" s="52" t="s">
        <v>1126</v>
      </c>
      <c r="E147" s="51" t="s">
        <v>3094</v>
      </c>
      <c r="F147" s="51" t="s">
        <v>2650</v>
      </c>
      <c r="G147" s="51" t="s">
        <v>3095</v>
      </c>
      <c r="H147" s="53" t="n">
        <v>70000</v>
      </c>
      <c r="I147" s="52" t="s">
        <v>3049</v>
      </c>
      <c r="J147" s="52" t="s">
        <v>3050</v>
      </c>
      <c r="K147" s="51" t="s">
        <v>3096</v>
      </c>
      <c r="L147" s="52" t="s">
        <v>2643</v>
      </c>
      <c r="M147" s="52" t="s">
        <v>62</v>
      </c>
    </row>
    <row r="148" customFormat="false" ht="15" hidden="false" customHeight="true" outlineLevel="0" collapsed="false">
      <c r="A148" s="52" t="s">
        <v>3097</v>
      </c>
      <c r="B148" s="52" t="s">
        <v>2596</v>
      </c>
      <c r="C148" s="52" t="s">
        <v>1130</v>
      </c>
      <c r="D148" s="52" t="s">
        <v>1131</v>
      </c>
      <c r="E148" s="51" t="s">
        <v>3098</v>
      </c>
      <c r="F148" s="51" t="s">
        <v>2672</v>
      </c>
      <c r="G148" s="51" t="s">
        <v>2672</v>
      </c>
      <c r="H148" s="53" t="n">
        <v>0</v>
      </c>
      <c r="I148" s="52" t="s">
        <v>3099</v>
      </c>
      <c r="J148" s="52" t="s">
        <v>3050</v>
      </c>
      <c r="K148" s="51" t="s">
        <v>3100</v>
      </c>
      <c r="L148" s="52" t="s">
        <v>3101</v>
      </c>
      <c r="M148" s="52" t="s">
        <v>62</v>
      </c>
    </row>
    <row r="149" customFormat="false" ht="15" hidden="false" customHeight="true" outlineLevel="0" collapsed="false">
      <c r="A149" s="52" t="s">
        <v>3102</v>
      </c>
      <c r="B149" s="52" t="s">
        <v>2597</v>
      </c>
      <c r="C149" s="52" t="s">
        <v>1135</v>
      </c>
      <c r="D149" s="52" t="s">
        <v>1136</v>
      </c>
      <c r="E149" s="51" t="s">
        <v>3103</v>
      </c>
      <c r="F149" s="51" t="s">
        <v>2650</v>
      </c>
      <c r="G149" s="51" t="s">
        <v>3104</v>
      </c>
      <c r="H149" s="53" t="n">
        <v>80000</v>
      </c>
      <c r="I149" s="52" t="s">
        <v>3049</v>
      </c>
      <c r="J149" s="52" t="s">
        <v>3050</v>
      </c>
      <c r="K149" s="51" t="s">
        <v>3105</v>
      </c>
      <c r="L149" s="52" t="s">
        <v>2643</v>
      </c>
      <c r="M149" s="52" t="s">
        <v>62</v>
      </c>
    </row>
    <row r="150" customFormat="false" ht="15" hidden="false" customHeight="true" outlineLevel="0" collapsed="false">
      <c r="A150" s="52" t="s">
        <v>3106</v>
      </c>
      <c r="B150" s="52" t="s">
        <v>2598</v>
      </c>
      <c r="C150" s="52" t="s">
        <v>1140</v>
      </c>
      <c r="D150" s="52" t="s">
        <v>1141</v>
      </c>
      <c r="E150" s="51" t="s">
        <v>558</v>
      </c>
      <c r="F150" s="51" t="s">
        <v>2650</v>
      </c>
      <c r="G150" s="51" t="s">
        <v>3107</v>
      </c>
      <c r="H150" s="53" t="n">
        <v>70000</v>
      </c>
      <c r="I150" s="52" t="s">
        <v>3049</v>
      </c>
      <c r="J150" s="52" t="s">
        <v>3050</v>
      </c>
      <c r="K150" s="51" t="s">
        <v>3108</v>
      </c>
      <c r="L150" s="52" t="s">
        <v>2643</v>
      </c>
      <c r="M150" s="52" t="s">
        <v>62</v>
      </c>
    </row>
    <row r="151" customFormat="false" ht="15" hidden="false" customHeight="true" outlineLevel="0" collapsed="false">
      <c r="A151" s="52" t="s">
        <v>3109</v>
      </c>
      <c r="B151" s="52" t="s">
        <v>2599</v>
      </c>
      <c r="C151" s="52" t="s">
        <v>1145</v>
      </c>
      <c r="D151" s="52" t="s">
        <v>1146</v>
      </c>
      <c r="E151" s="51" t="s">
        <v>3110</v>
      </c>
      <c r="F151" s="51" t="s">
        <v>2650</v>
      </c>
      <c r="G151" s="51" t="s">
        <v>3111</v>
      </c>
      <c r="H151" s="53" t="n">
        <v>5000</v>
      </c>
      <c r="I151" s="52" t="s">
        <v>3055</v>
      </c>
      <c r="J151" s="52" t="s">
        <v>3050</v>
      </c>
      <c r="K151" s="51" t="s">
        <v>3112</v>
      </c>
      <c r="L151" s="52" t="s">
        <v>3084</v>
      </c>
      <c r="M151" s="52" t="s">
        <v>62</v>
      </c>
    </row>
    <row r="152" customFormat="false" ht="15" hidden="false" customHeight="true" outlineLevel="0" collapsed="false">
      <c r="A152" s="52" t="s">
        <v>3113</v>
      </c>
      <c r="B152" s="52" t="s">
        <v>2600</v>
      </c>
      <c r="C152" s="52" t="s">
        <v>1150</v>
      </c>
      <c r="D152" s="52" t="s">
        <v>1151</v>
      </c>
      <c r="E152" s="51" t="s">
        <v>120</v>
      </c>
      <c r="F152" s="51" t="s">
        <v>2650</v>
      </c>
      <c r="G152" s="51" t="s">
        <v>3114</v>
      </c>
      <c r="H152" s="53" t="n">
        <v>70000</v>
      </c>
      <c r="I152" s="52" t="s">
        <v>3049</v>
      </c>
      <c r="J152" s="52" t="s">
        <v>3050</v>
      </c>
      <c r="K152" s="51" t="s">
        <v>3115</v>
      </c>
      <c r="L152" s="52" t="s">
        <v>2643</v>
      </c>
      <c r="M152" s="52" t="s">
        <v>62</v>
      </c>
    </row>
    <row r="153" customFormat="false" ht="15" hidden="false" customHeight="true" outlineLevel="0" collapsed="false">
      <c r="A153" s="52" t="s">
        <v>3116</v>
      </c>
      <c r="B153" s="52" t="s">
        <v>2601</v>
      </c>
      <c r="C153" s="52" t="s">
        <v>1155</v>
      </c>
      <c r="D153" s="52" t="s">
        <v>1156</v>
      </c>
      <c r="E153" s="51" t="s">
        <v>1086</v>
      </c>
      <c r="F153" s="51" t="s">
        <v>2650</v>
      </c>
      <c r="G153" s="51" t="s">
        <v>3117</v>
      </c>
      <c r="H153" s="53" t="n">
        <v>80000</v>
      </c>
      <c r="I153" s="52" t="s">
        <v>3049</v>
      </c>
      <c r="J153" s="52" t="s">
        <v>3050</v>
      </c>
      <c r="K153" s="51" t="s">
        <v>3118</v>
      </c>
      <c r="L153" s="52" t="s">
        <v>2643</v>
      </c>
      <c r="M153" s="52" t="s">
        <v>62</v>
      </c>
    </row>
    <row r="154" customFormat="false" ht="15" hidden="false" customHeight="true" outlineLevel="0" collapsed="false">
      <c r="A154" s="52" t="s">
        <v>3119</v>
      </c>
      <c r="B154" s="52" t="s">
        <v>2602</v>
      </c>
      <c r="C154" s="52" t="s">
        <v>1160</v>
      </c>
      <c r="D154" s="52" t="s">
        <v>1161</v>
      </c>
      <c r="E154" s="51" t="s">
        <v>141</v>
      </c>
      <c r="F154" s="51" t="s">
        <v>2672</v>
      </c>
      <c r="G154" s="51" t="s">
        <v>2672</v>
      </c>
      <c r="H154" s="53" t="n">
        <v>0</v>
      </c>
      <c r="I154" s="52" t="s">
        <v>2673</v>
      </c>
      <c r="J154" s="52" t="s">
        <v>2674</v>
      </c>
      <c r="K154" s="51" t="s">
        <v>3120</v>
      </c>
      <c r="L154" s="52" t="s">
        <v>160</v>
      </c>
      <c r="M154" s="52" t="s">
        <v>62</v>
      </c>
    </row>
    <row r="155" customFormat="false" ht="15" hidden="false" customHeight="true" outlineLevel="0" collapsed="false">
      <c r="A155" s="52" t="s">
        <v>3121</v>
      </c>
      <c r="B155" s="52" t="s">
        <v>2603</v>
      </c>
      <c r="C155" s="52" t="s">
        <v>1165</v>
      </c>
      <c r="D155" s="52" t="s">
        <v>1166</v>
      </c>
      <c r="E155" s="51" t="s">
        <v>3122</v>
      </c>
      <c r="F155" s="51" t="s">
        <v>2650</v>
      </c>
      <c r="G155" s="51" t="s">
        <v>3123</v>
      </c>
      <c r="H155" s="53" t="n">
        <v>80000</v>
      </c>
      <c r="I155" s="52" t="s">
        <v>3049</v>
      </c>
      <c r="J155" s="52" t="s">
        <v>3050</v>
      </c>
      <c r="K155" s="51" t="s">
        <v>3124</v>
      </c>
      <c r="L155" s="52" t="s">
        <v>2643</v>
      </c>
      <c r="M155" s="52" t="s">
        <v>62</v>
      </c>
    </row>
    <row r="156" customFormat="false" ht="15" hidden="false" customHeight="true" outlineLevel="0" collapsed="false">
      <c r="A156" s="52" t="s">
        <v>3125</v>
      </c>
      <c r="B156" s="52" t="s">
        <v>2604</v>
      </c>
      <c r="C156" s="52" t="s">
        <v>1170</v>
      </c>
      <c r="D156" s="52" t="s">
        <v>1171</v>
      </c>
      <c r="E156" s="51" t="s">
        <v>3126</v>
      </c>
      <c r="F156" s="51" t="s">
        <v>2672</v>
      </c>
      <c r="G156" s="51" t="s">
        <v>2672</v>
      </c>
      <c r="H156" s="53" t="n">
        <v>0</v>
      </c>
      <c r="I156" s="52" t="s">
        <v>3099</v>
      </c>
      <c r="J156" s="52" t="s">
        <v>3050</v>
      </c>
      <c r="K156" s="51" t="s">
        <v>3127</v>
      </c>
      <c r="L156" s="52" t="s">
        <v>3101</v>
      </c>
      <c r="M156" s="52" t="s">
        <v>62</v>
      </c>
    </row>
    <row r="157" customFormat="false" ht="15" hidden="false" customHeight="true" outlineLevel="0" collapsed="false">
      <c r="A157" s="52" t="s">
        <v>3128</v>
      </c>
      <c r="B157" s="52" t="s">
        <v>2605</v>
      </c>
      <c r="C157" s="52" t="s">
        <v>1175</v>
      </c>
      <c r="D157" s="52" t="s">
        <v>1176</v>
      </c>
      <c r="E157" s="51" t="s">
        <v>2697</v>
      </c>
      <c r="F157" s="51" t="s">
        <v>2650</v>
      </c>
      <c r="G157" s="51" t="s">
        <v>3129</v>
      </c>
      <c r="H157" s="53" t="n">
        <v>80000</v>
      </c>
      <c r="I157" s="52" t="s">
        <v>3049</v>
      </c>
      <c r="J157" s="52" t="s">
        <v>3050</v>
      </c>
      <c r="K157" s="51" t="s">
        <v>3130</v>
      </c>
      <c r="L157" s="52" t="s">
        <v>2643</v>
      </c>
      <c r="M157" s="52" t="s">
        <v>62</v>
      </c>
    </row>
    <row r="158" customFormat="false" ht="15" hidden="false" customHeight="true" outlineLevel="0" collapsed="false">
      <c r="A158" s="52" t="s">
        <v>3131</v>
      </c>
      <c r="B158" s="52" t="s">
        <v>2606</v>
      </c>
      <c r="C158" s="52" t="s">
        <v>1180</v>
      </c>
      <c r="D158" s="52" t="s">
        <v>1181</v>
      </c>
      <c r="E158" s="51" t="s">
        <v>3132</v>
      </c>
      <c r="F158" s="51" t="s">
        <v>2650</v>
      </c>
      <c r="G158" s="51" t="s">
        <v>3133</v>
      </c>
      <c r="H158" s="53" t="n">
        <v>70000</v>
      </c>
      <c r="I158" s="52" t="s">
        <v>3049</v>
      </c>
      <c r="J158" s="52" t="s">
        <v>3050</v>
      </c>
      <c r="K158" s="51" t="s">
        <v>3134</v>
      </c>
      <c r="L158" s="52" t="s">
        <v>2643</v>
      </c>
      <c r="M158" s="52" t="s">
        <v>62</v>
      </c>
    </row>
    <row r="159" customFormat="false" ht="15" hidden="false" customHeight="true" outlineLevel="0" collapsed="false">
      <c r="A159" s="52" t="s">
        <v>3135</v>
      </c>
      <c r="B159" s="52" t="s">
        <v>2607</v>
      </c>
      <c r="C159" s="52" t="s">
        <v>1186</v>
      </c>
      <c r="D159" s="52" t="s">
        <v>1187</v>
      </c>
      <c r="E159" s="51" t="s">
        <v>3136</v>
      </c>
      <c r="F159" s="51" t="s">
        <v>2650</v>
      </c>
      <c r="G159" s="51" t="s">
        <v>3137</v>
      </c>
      <c r="H159" s="53" t="n">
        <v>5000</v>
      </c>
      <c r="I159" s="52" t="s">
        <v>3055</v>
      </c>
      <c r="J159" s="52" t="s">
        <v>3050</v>
      </c>
      <c r="K159" s="51" t="s">
        <v>3138</v>
      </c>
      <c r="L159" s="52" t="s">
        <v>3057</v>
      </c>
      <c r="M159" s="52" t="s">
        <v>62</v>
      </c>
    </row>
    <row r="160" customFormat="false" ht="15" hidden="false" customHeight="true" outlineLevel="0" collapsed="false">
      <c r="A160" s="52" t="s">
        <v>3139</v>
      </c>
      <c r="B160" s="52" t="s">
        <v>2608</v>
      </c>
      <c r="C160" s="52" t="s">
        <v>1191</v>
      </c>
      <c r="D160" s="52" t="s">
        <v>1192</v>
      </c>
      <c r="E160" s="51" t="s">
        <v>3140</v>
      </c>
      <c r="F160" s="51" t="s">
        <v>2650</v>
      </c>
      <c r="G160" s="51" t="s">
        <v>3141</v>
      </c>
      <c r="H160" s="53" t="n">
        <v>80000</v>
      </c>
      <c r="I160" s="52" t="s">
        <v>3049</v>
      </c>
      <c r="J160" s="52" t="s">
        <v>3050</v>
      </c>
      <c r="K160" s="51" t="s">
        <v>3142</v>
      </c>
      <c r="L160" s="52" t="s">
        <v>2643</v>
      </c>
      <c r="M160" s="52" t="s">
        <v>62</v>
      </c>
    </row>
    <row r="161" customFormat="false" ht="15" hidden="false" customHeight="true" outlineLevel="0" collapsed="false">
      <c r="A161" s="52" t="s">
        <v>3143</v>
      </c>
      <c r="B161" s="52" t="s">
        <v>2609</v>
      </c>
      <c r="C161" s="52" t="s">
        <v>1196</v>
      </c>
      <c r="D161" s="52" t="s">
        <v>1197</v>
      </c>
      <c r="E161" s="51" t="s">
        <v>2654</v>
      </c>
      <c r="F161" s="51" t="s">
        <v>2672</v>
      </c>
      <c r="G161" s="51" t="s">
        <v>2672</v>
      </c>
      <c r="H161" s="53" t="n">
        <v>0</v>
      </c>
      <c r="I161" s="52" t="s">
        <v>3099</v>
      </c>
      <c r="J161" s="52" t="s">
        <v>3050</v>
      </c>
      <c r="K161" s="51" t="s">
        <v>3144</v>
      </c>
      <c r="L161" s="52" t="s">
        <v>3145</v>
      </c>
      <c r="M161" s="52" t="s">
        <v>62</v>
      </c>
    </row>
    <row r="162" customFormat="false" ht="15" hidden="false" customHeight="true" outlineLevel="0" collapsed="false">
      <c r="A162" s="52" t="s">
        <v>3146</v>
      </c>
      <c r="B162" s="52" t="s">
        <v>2610</v>
      </c>
      <c r="C162" s="52" t="s">
        <v>1201</v>
      </c>
      <c r="D162" s="52" t="s">
        <v>1202</v>
      </c>
      <c r="E162" s="51" t="s">
        <v>3147</v>
      </c>
      <c r="F162" s="51" t="s">
        <v>2650</v>
      </c>
      <c r="G162" s="51" t="s">
        <v>3148</v>
      </c>
      <c r="H162" s="53" t="n">
        <v>65000</v>
      </c>
      <c r="I162" s="52" t="s">
        <v>3049</v>
      </c>
      <c r="J162" s="52" t="s">
        <v>3050</v>
      </c>
      <c r="K162" s="51" t="s">
        <v>3149</v>
      </c>
      <c r="L162" s="52" t="s">
        <v>2643</v>
      </c>
      <c r="M162" s="52" t="s">
        <v>62</v>
      </c>
    </row>
    <row r="163" customFormat="false" ht="15" hidden="false" customHeight="true" outlineLevel="0" collapsed="false">
      <c r="A163" s="52" t="s">
        <v>3150</v>
      </c>
      <c r="B163" s="52" t="s">
        <v>2611</v>
      </c>
      <c r="C163" s="52" t="s">
        <v>1206</v>
      </c>
      <c r="D163" s="52" t="s">
        <v>1207</v>
      </c>
      <c r="E163" s="51" t="s">
        <v>3151</v>
      </c>
      <c r="F163" s="51" t="s">
        <v>2650</v>
      </c>
      <c r="G163" s="51" t="s">
        <v>3152</v>
      </c>
      <c r="H163" s="53" t="n">
        <v>80000</v>
      </c>
      <c r="I163" s="52" t="s">
        <v>3049</v>
      </c>
      <c r="J163" s="52" t="s">
        <v>3050</v>
      </c>
      <c r="K163" s="51" t="s">
        <v>3153</v>
      </c>
      <c r="L163" s="52" t="s">
        <v>2643</v>
      </c>
      <c r="M163" s="52" t="s">
        <v>62</v>
      </c>
    </row>
    <row r="164" customFormat="false" ht="15" hidden="false" customHeight="true" outlineLevel="0" collapsed="false">
      <c r="A164" s="52" t="s">
        <v>3154</v>
      </c>
      <c r="B164" s="52" t="s">
        <v>2612</v>
      </c>
      <c r="C164" s="52" t="s">
        <v>1211</v>
      </c>
      <c r="D164" s="52" t="s">
        <v>1212</v>
      </c>
      <c r="E164" s="51" t="s">
        <v>3155</v>
      </c>
      <c r="F164" s="51" t="s">
        <v>2650</v>
      </c>
      <c r="G164" s="51" t="s">
        <v>3156</v>
      </c>
      <c r="H164" s="53" t="n">
        <v>5000</v>
      </c>
      <c r="I164" s="52" t="s">
        <v>3055</v>
      </c>
      <c r="J164" s="52" t="s">
        <v>3050</v>
      </c>
      <c r="K164" s="51" t="s">
        <v>3157</v>
      </c>
      <c r="L164" s="52" t="s">
        <v>3084</v>
      </c>
      <c r="M164" s="52" t="s">
        <v>62</v>
      </c>
    </row>
    <row r="165" customFormat="false" ht="15" hidden="false" customHeight="true" outlineLevel="0" collapsed="false">
      <c r="A165" s="52" t="s">
        <v>3158</v>
      </c>
      <c r="B165" s="52" t="s">
        <v>2613</v>
      </c>
      <c r="C165" s="52" t="s">
        <v>1216</v>
      </c>
      <c r="D165" s="52" t="s">
        <v>1217</v>
      </c>
      <c r="E165" s="51" t="s">
        <v>3053</v>
      </c>
      <c r="F165" s="51" t="s">
        <v>2638</v>
      </c>
      <c r="G165" s="51" t="s">
        <v>3159</v>
      </c>
      <c r="H165" s="53" t="n">
        <v>20000</v>
      </c>
      <c r="I165" s="52" t="s">
        <v>3073</v>
      </c>
      <c r="J165" s="52" t="s">
        <v>2641</v>
      </c>
      <c r="K165" s="51" t="s">
        <v>3160</v>
      </c>
      <c r="L165" s="52" t="s">
        <v>3075</v>
      </c>
      <c r="M165" s="52" t="s">
        <v>62</v>
      </c>
    </row>
    <row r="166" customFormat="false" ht="15" hidden="false" customHeight="true" outlineLevel="0" collapsed="false">
      <c r="A166" s="52" t="s">
        <v>3161</v>
      </c>
      <c r="B166" s="52" t="s">
        <v>2614</v>
      </c>
      <c r="C166" s="52" t="s">
        <v>1221</v>
      </c>
      <c r="D166" s="52" t="s">
        <v>1222</v>
      </c>
      <c r="E166" s="51" t="s">
        <v>3162</v>
      </c>
      <c r="F166" s="51" t="s">
        <v>2650</v>
      </c>
      <c r="G166" s="51" t="s">
        <v>3163</v>
      </c>
      <c r="H166" s="53" t="n">
        <v>85000</v>
      </c>
      <c r="I166" s="52" t="s">
        <v>3049</v>
      </c>
      <c r="J166" s="52" t="s">
        <v>3050</v>
      </c>
      <c r="K166" s="51" t="s">
        <v>3164</v>
      </c>
      <c r="L166" s="52" t="s">
        <v>2643</v>
      </c>
      <c r="M166" s="52" t="s">
        <v>62</v>
      </c>
    </row>
    <row r="167" customFormat="false" ht="15" hidden="false" customHeight="true" outlineLevel="0" collapsed="false">
      <c r="A167" s="52" t="s">
        <v>3165</v>
      </c>
      <c r="B167" s="52" t="s">
        <v>2615</v>
      </c>
      <c r="C167" s="52" t="s">
        <v>1228</v>
      </c>
      <c r="D167" s="52" t="s">
        <v>1229</v>
      </c>
      <c r="E167" s="51" t="s">
        <v>3166</v>
      </c>
      <c r="F167" s="51" t="s">
        <v>2650</v>
      </c>
      <c r="G167" s="51" t="s">
        <v>3167</v>
      </c>
      <c r="H167" s="53" t="n">
        <v>80000</v>
      </c>
      <c r="I167" s="52" t="s">
        <v>3049</v>
      </c>
      <c r="J167" s="52" t="s">
        <v>3050</v>
      </c>
      <c r="K167" s="51" t="s">
        <v>3168</v>
      </c>
      <c r="L167" s="52" t="s">
        <v>2643</v>
      </c>
      <c r="M167" s="52" t="s">
        <v>62</v>
      </c>
    </row>
    <row r="168" customFormat="false" ht="15" hidden="false" customHeight="true" outlineLevel="0" collapsed="false">
      <c r="A168" s="52" t="s">
        <v>3169</v>
      </c>
      <c r="B168" s="52" t="s">
        <v>2616</v>
      </c>
      <c r="C168" s="52" t="s">
        <v>1233</v>
      </c>
      <c r="D168" s="52" t="s">
        <v>1234</v>
      </c>
      <c r="E168" s="51" t="s">
        <v>3170</v>
      </c>
      <c r="F168" s="51" t="s">
        <v>2672</v>
      </c>
      <c r="G168" s="51" t="s">
        <v>2672</v>
      </c>
      <c r="H168" s="53" t="n">
        <v>0</v>
      </c>
      <c r="I168" s="52" t="s">
        <v>3099</v>
      </c>
      <c r="J168" s="52" t="s">
        <v>3050</v>
      </c>
      <c r="K168" s="51" t="s">
        <v>3171</v>
      </c>
      <c r="L168" s="52" t="s">
        <v>3172</v>
      </c>
      <c r="M168" s="52" t="s">
        <v>62</v>
      </c>
    </row>
    <row r="169" customFormat="false" ht="15" hidden="false" customHeight="true" outlineLevel="0" collapsed="false">
      <c r="A169" s="52" t="s">
        <v>3173</v>
      </c>
      <c r="B169" s="52" t="s">
        <v>2617</v>
      </c>
      <c r="C169" s="52" t="s">
        <v>1238</v>
      </c>
      <c r="D169" s="52" t="s">
        <v>1239</v>
      </c>
      <c r="E169" s="51" t="s">
        <v>3174</v>
      </c>
      <c r="F169" s="51" t="s">
        <v>2650</v>
      </c>
      <c r="G169" s="51" t="s">
        <v>3175</v>
      </c>
      <c r="H169" s="53" t="n">
        <v>118000</v>
      </c>
      <c r="I169" s="52" t="s">
        <v>3049</v>
      </c>
      <c r="J169" s="52" t="s">
        <v>3050</v>
      </c>
      <c r="K169" s="51" t="s">
        <v>3176</v>
      </c>
      <c r="L169" s="52" t="s">
        <v>2643</v>
      </c>
      <c r="M169" s="52" t="s">
        <v>62</v>
      </c>
    </row>
    <row r="170" customFormat="false" ht="15" hidden="false" customHeight="true" outlineLevel="0" collapsed="false">
      <c r="A170" s="52" t="s">
        <v>3177</v>
      </c>
      <c r="B170" s="52" t="s">
        <v>2618</v>
      </c>
      <c r="C170" s="52" t="s">
        <v>1244</v>
      </c>
      <c r="D170" s="52" t="s">
        <v>1245</v>
      </c>
      <c r="E170" s="51" t="s">
        <v>3178</v>
      </c>
      <c r="F170" s="51" t="s">
        <v>2650</v>
      </c>
      <c r="G170" s="51" t="s">
        <v>3179</v>
      </c>
      <c r="H170" s="53" t="n">
        <v>10000</v>
      </c>
      <c r="I170" s="52" t="s">
        <v>3055</v>
      </c>
      <c r="J170" s="52" t="s">
        <v>3050</v>
      </c>
      <c r="K170" s="51" t="s">
        <v>3180</v>
      </c>
      <c r="L170" s="52" t="s">
        <v>3181</v>
      </c>
      <c r="M170" s="52" t="s">
        <v>62</v>
      </c>
    </row>
    <row r="171" customFormat="false" ht="15" hidden="false" customHeight="true" outlineLevel="0" collapsed="false">
      <c r="A171" s="52" t="s">
        <v>3182</v>
      </c>
      <c r="B171" s="52" t="s">
        <v>2619</v>
      </c>
      <c r="C171" s="52" t="s">
        <v>1253</v>
      </c>
      <c r="D171" s="52" t="s">
        <v>1254</v>
      </c>
      <c r="E171" s="51" t="s">
        <v>3183</v>
      </c>
      <c r="F171" s="51" t="s">
        <v>2650</v>
      </c>
      <c r="G171" s="51" t="s">
        <v>3184</v>
      </c>
      <c r="H171" s="53" t="n">
        <v>97000</v>
      </c>
      <c r="I171" s="52" t="s">
        <v>3049</v>
      </c>
      <c r="J171" s="52" t="s">
        <v>3050</v>
      </c>
      <c r="K171" s="51" t="s">
        <v>3185</v>
      </c>
      <c r="L171" s="52" t="s">
        <v>2643</v>
      </c>
      <c r="M171" s="52" t="s">
        <v>62</v>
      </c>
    </row>
    <row r="172" customFormat="false" ht="15" hidden="false" customHeight="true" outlineLevel="0" collapsed="false">
      <c r="A172" s="52" t="s">
        <v>3186</v>
      </c>
      <c r="B172" s="52" t="s">
        <v>2620</v>
      </c>
      <c r="C172" s="52" t="s">
        <v>1260</v>
      </c>
      <c r="D172" s="52" t="s">
        <v>1261</v>
      </c>
      <c r="E172" s="51" t="s">
        <v>3187</v>
      </c>
      <c r="F172" s="51" t="s">
        <v>2650</v>
      </c>
      <c r="G172" s="51" t="s">
        <v>3188</v>
      </c>
      <c r="H172" s="53" t="n">
        <v>86000</v>
      </c>
      <c r="I172" s="52" t="s">
        <v>3049</v>
      </c>
      <c r="J172" s="52" t="s">
        <v>3050</v>
      </c>
      <c r="K172" s="51" t="s">
        <v>3189</v>
      </c>
      <c r="L172" s="52" t="s">
        <v>2643</v>
      </c>
      <c r="M172" s="52" t="s">
        <v>62</v>
      </c>
    </row>
    <row r="173" customFormat="false" ht="15" hidden="false" customHeight="true" outlineLevel="0" collapsed="false">
      <c r="A173" s="52" t="s">
        <v>3190</v>
      </c>
      <c r="B173" s="52" t="s">
        <v>2621</v>
      </c>
      <c r="C173" s="52" t="s">
        <v>1271</v>
      </c>
      <c r="D173" s="52" t="s">
        <v>1272</v>
      </c>
      <c r="E173" s="51" t="s">
        <v>3090</v>
      </c>
      <c r="F173" s="51" t="s">
        <v>2672</v>
      </c>
      <c r="G173" s="51" t="s">
        <v>2672</v>
      </c>
      <c r="H173" s="53" t="n">
        <v>0</v>
      </c>
      <c r="I173" s="52" t="s">
        <v>3099</v>
      </c>
      <c r="J173" s="52" t="s">
        <v>3050</v>
      </c>
      <c r="K173" s="51" t="s">
        <v>3191</v>
      </c>
      <c r="L173" s="52" t="s">
        <v>3192</v>
      </c>
      <c r="M173" s="52" t="s">
        <v>62</v>
      </c>
    </row>
    <row r="174" customFormat="false" ht="15" hidden="false" customHeight="true" outlineLevel="0" collapsed="false">
      <c r="A174" s="52" t="s">
        <v>3193</v>
      </c>
      <c r="B174" s="52" t="s">
        <v>2622</v>
      </c>
      <c r="C174" s="52" t="s">
        <v>1282</v>
      </c>
      <c r="D174" s="52" t="s">
        <v>1283</v>
      </c>
      <c r="E174" s="51" t="s">
        <v>3194</v>
      </c>
      <c r="F174" s="51" t="s">
        <v>2650</v>
      </c>
      <c r="G174" s="51" t="s">
        <v>3195</v>
      </c>
      <c r="H174" s="53" t="n">
        <v>101000</v>
      </c>
      <c r="I174" s="52" t="s">
        <v>3049</v>
      </c>
      <c r="J174" s="52" t="s">
        <v>3050</v>
      </c>
      <c r="K174" s="51" t="s">
        <v>3196</v>
      </c>
      <c r="L174" s="52" t="s">
        <v>2643</v>
      </c>
      <c r="M174" s="52" t="s">
        <v>62</v>
      </c>
    </row>
    <row r="175" customFormat="false" ht="15" hidden="false" customHeight="true" outlineLevel="0" collapsed="false">
      <c r="A175" s="52" t="s">
        <v>3197</v>
      </c>
      <c r="B175" s="52" t="s">
        <v>2623</v>
      </c>
      <c r="C175" s="52" t="s">
        <v>1294</v>
      </c>
      <c r="D175" s="52" t="s">
        <v>1295</v>
      </c>
      <c r="E175" s="51" t="s">
        <v>3198</v>
      </c>
      <c r="F175" s="51" t="s">
        <v>2650</v>
      </c>
      <c r="G175" s="51" t="s">
        <v>3199</v>
      </c>
      <c r="H175" s="53" t="n">
        <v>101000</v>
      </c>
      <c r="I175" s="52" t="s">
        <v>3049</v>
      </c>
      <c r="J175" s="52" t="s">
        <v>3050</v>
      </c>
      <c r="K175" s="51" t="s">
        <v>3200</v>
      </c>
      <c r="L175" s="52" t="s">
        <v>2643</v>
      </c>
      <c r="M175" s="52" t="s">
        <v>62</v>
      </c>
    </row>
    <row r="176" customFormat="false" ht="15" hidden="false" customHeight="true" outlineLevel="0" collapsed="false">
      <c r="A176" s="52" t="s">
        <v>3201</v>
      </c>
      <c r="B176" s="52" t="s">
        <v>2624</v>
      </c>
      <c r="C176" s="52" t="s">
        <v>1305</v>
      </c>
      <c r="D176" s="52" t="s">
        <v>1306</v>
      </c>
      <c r="E176" s="51" t="s">
        <v>3202</v>
      </c>
      <c r="F176" s="51" t="s">
        <v>2638</v>
      </c>
      <c r="G176" s="51" t="s">
        <v>3203</v>
      </c>
      <c r="H176" s="53" t="n">
        <v>20000</v>
      </c>
      <c r="I176" s="52" t="s">
        <v>3073</v>
      </c>
      <c r="J176" s="52" t="s">
        <v>2641</v>
      </c>
      <c r="K176" s="51" t="s">
        <v>3204</v>
      </c>
      <c r="L176" s="52" t="s">
        <v>3205</v>
      </c>
      <c r="M176" s="52" t="s">
        <v>62</v>
      </c>
    </row>
    <row r="177" customFormat="false" ht="15" hidden="false" customHeight="true" outlineLevel="0" collapsed="false">
      <c r="A177" s="51" t="s">
        <v>3206</v>
      </c>
      <c r="B177" s="51"/>
      <c r="C177" s="51"/>
      <c r="D177" s="52"/>
      <c r="E177" s="51"/>
      <c r="F177" s="51"/>
      <c r="G177" s="51"/>
      <c r="H177" s="53" t="n">
        <f aca="false">SUM(H5:H176)</f>
        <v>13146500</v>
      </c>
      <c r="I177" s="51"/>
      <c r="J177" s="51"/>
      <c r="K177" s="51"/>
      <c r="L177" s="54"/>
      <c r="M177" s="54"/>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6"/>
    <col collapsed="false" customWidth="true" hidden="false" outlineLevel="0" max="2" min="2" style="1" width="36"/>
    <col collapsed="false" customWidth="true" hidden="false" outlineLevel="0" max="3" min="3" style="1" width="18"/>
    <col collapsed="false" customWidth="true" hidden="false" outlineLevel="0" max="4" min="4" style="1" width="40"/>
    <col collapsed="false" customWidth="true" hidden="false" outlineLevel="0" max="5" min="5" style="1" width="16"/>
    <col collapsed="false" customWidth="true" hidden="false" outlineLevel="0" max="6" min="6" style="1" width="22"/>
    <col collapsed="false" customWidth="true" hidden="false" outlineLevel="0" max="7" min="7" style="1" width="16"/>
    <col collapsed="false" customWidth="true" hidden="false" outlineLevel="0" max="8" min="8" style="1" width="14"/>
    <col collapsed="false" customWidth="true" hidden="false" outlineLevel="0" max="9" min="9" style="1" width="12"/>
  </cols>
  <sheetData>
    <row r="1" customFormat="false" ht="25.5" hidden="false" customHeight="true" outlineLevel="0" collapsed="false">
      <c r="A1" s="48" t="s">
        <v>3207</v>
      </c>
      <c r="B1" s="48"/>
      <c r="C1" s="48"/>
      <c r="D1" s="48"/>
      <c r="E1" s="48"/>
      <c r="F1" s="48"/>
      <c r="G1" s="48"/>
      <c r="H1" s="48"/>
      <c r="I1" s="48"/>
    </row>
    <row r="2" customFormat="false" ht="15.75" hidden="false" customHeight="true" outlineLevel="0" collapsed="false">
      <c r="A2" s="49" t="s">
        <v>3208</v>
      </c>
      <c r="B2" s="49"/>
      <c r="C2" s="49"/>
      <c r="D2" s="49"/>
      <c r="E2" s="49"/>
      <c r="F2" s="49"/>
      <c r="G2" s="49"/>
      <c r="H2" s="49"/>
      <c r="I2" s="49"/>
    </row>
    <row r="4" customFormat="false" ht="18" hidden="false" customHeight="true" outlineLevel="0" collapsed="false">
      <c r="A4" s="50" t="s">
        <v>3209</v>
      </c>
      <c r="B4" s="50" t="s">
        <v>3210</v>
      </c>
      <c r="C4" s="50" t="s">
        <v>3211</v>
      </c>
      <c r="D4" s="50" t="s">
        <v>3212</v>
      </c>
      <c r="E4" s="50" t="s">
        <v>3213</v>
      </c>
      <c r="F4" s="50" t="s">
        <v>3214</v>
      </c>
      <c r="G4" s="50" t="s">
        <v>3215</v>
      </c>
      <c r="H4" s="50" t="s">
        <v>3216</v>
      </c>
      <c r="I4" s="50" t="s">
        <v>2635</v>
      </c>
      <c r="J4" s="50" t="s">
        <v>35</v>
      </c>
    </row>
    <row r="5" customFormat="false" ht="24" hidden="false" customHeight="true" outlineLevel="0" collapsed="false">
      <c r="A5" s="51" t="s">
        <v>3217</v>
      </c>
      <c r="B5" s="52" t="s">
        <v>3218</v>
      </c>
      <c r="C5" s="51" t="s">
        <v>3219</v>
      </c>
      <c r="D5" s="63" t="s">
        <v>3220</v>
      </c>
      <c r="E5" s="53" t="n">
        <v>100000</v>
      </c>
      <c r="F5" s="51" t="s">
        <v>3221</v>
      </c>
      <c r="G5" s="51" t="n">
        <v>5</v>
      </c>
      <c r="H5" s="51" t="n">
        <v>2</v>
      </c>
      <c r="I5" s="54" t="s">
        <v>50</v>
      </c>
      <c r="J5" s="54" t="s">
        <v>62</v>
      </c>
    </row>
    <row r="6" customFormat="false" ht="24" hidden="false" customHeight="true" outlineLevel="0" collapsed="false">
      <c r="A6" s="55" t="s">
        <v>3222</v>
      </c>
      <c r="B6" s="56" t="s">
        <v>3223</v>
      </c>
      <c r="C6" s="55" t="s">
        <v>3219</v>
      </c>
      <c r="D6" s="64" t="s">
        <v>3224</v>
      </c>
      <c r="E6" s="57" t="n">
        <v>50000</v>
      </c>
      <c r="F6" s="55" t="s">
        <v>3225</v>
      </c>
      <c r="G6" s="55" t="n">
        <v>10</v>
      </c>
      <c r="H6" s="55" t="n">
        <v>4</v>
      </c>
      <c r="I6" s="54" t="s">
        <v>50</v>
      </c>
      <c r="J6" s="54" t="s">
        <v>62</v>
      </c>
    </row>
    <row r="7" customFormat="false" ht="24" hidden="false" customHeight="true" outlineLevel="0" collapsed="false">
      <c r="A7" s="51" t="s">
        <v>3226</v>
      </c>
      <c r="B7" s="52" t="s">
        <v>3227</v>
      </c>
      <c r="C7" s="51" t="s">
        <v>3228</v>
      </c>
      <c r="D7" s="63" t="s">
        <v>3229</v>
      </c>
      <c r="E7" s="53" t="n">
        <v>40000</v>
      </c>
      <c r="F7" s="51" t="s">
        <v>3230</v>
      </c>
      <c r="G7" s="51" t="n">
        <v>8</v>
      </c>
      <c r="H7" s="51" t="n">
        <v>3</v>
      </c>
      <c r="I7" s="54" t="s">
        <v>50</v>
      </c>
      <c r="J7" s="54" t="s">
        <v>62</v>
      </c>
    </row>
    <row r="8" customFormat="false" ht="24" hidden="false" customHeight="true" outlineLevel="0" collapsed="false">
      <c r="A8" s="55" t="s">
        <v>3231</v>
      </c>
      <c r="B8" s="56" t="s">
        <v>3232</v>
      </c>
      <c r="C8" s="55" t="s">
        <v>3233</v>
      </c>
      <c r="D8" s="64" t="s">
        <v>3234</v>
      </c>
      <c r="E8" s="57" t="n">
        <v>30000</v>
      </c>
      <c r="F8" s="55" t="s">
        <v>2659</v>
      </c>
      <c r="G8" s="55" t="n">
        <v>15</v>
      </c>
      <c r="H8" s="55" t="n">
        <v>7</v>
      </c>
      <c r="I8" s="54" t="s">
        <v>50</v>
      </c>
      <c r="J8" s="54" t="s">
        <v>62</v>
      </c>
    </row>
    <row r="9" customFormat="false" ht="24" hidden="false" customHeight="true" outlineLevel="0" collapsed="false">
      <c r="A9" s="51" t="s">
        <v>3235</v>
      </c>
      <c r="B9" s="52" t="s">
        <v>3236</v>
      </c>
      <c r="C9" s="51" t="s">
        <v>3237</v>
      </c>
      <c r="D9" s="63" t="s">
        <v>3238</v>
      </c>
      <c r="E9" s="53" t="n">
        <v>35000</v>
      </c>
      <c r="F9" s="51" t="s">
        <v>2659</v>
      </c>
      <c r="G9" s="51" t="n">
        <v>6</v>
      </c>
      <c r="H9" s="51" t="n">
        <v>2</v>
      </c>
      <c r="I9" s="54" t="s">
        <v>50</v>
      </c>
      <c r="J9" s="54" t="s">
        <v>62</v>
      </c>
    </row>
    <row r="10" customFormat="false" ht="24" hidden="false" customHeight="true" outlineLevel="0" collapsed="false">
      <c r="A10" s="55" t="s">
        <v>3239</v>
      </c>
      <c r="B10" s="56" t="s">
        <v>3240</v>
      </c>
      <c r="C10" s="55" t="s">
        <v>3241</v>
      </c>
      <c r="D10" s="64" t="s">
        <v>3242</v>
      </c>
      <c r="E10" s="57" t="n">
        <v>25000</v>
      </c>
      <c r="F10" s="55" t="s">
        <v>2659</v>
      </c>
      <c r="G10" s="55" t="n">
        <v>10</v>
      </c>
      <c r="H10" s="55" t="n">
        <v>3</v>
      </c>
      <c r="I10" s="54" t="s">
        <v>50</v>
      </c>
      <c r="J10" s="54" t="s">
        <v>62</v>
      </c>
    </row>
    <row r="11" customFormat="false" ht="24" hidden="false" customHeight="true" outlineLevel="0" collapsed="false">
      <c r="A11" s="51" t="s">
        <v>3243</v>
      </c>
      <c r="B11" s="52" t="s">
        <v>3244</v>
      </c>
      <c r="C11" s="51" t="s">
        <v>3245</v>
      </c>
      <c r="D11" s="63" t="s">
        <v>3246</v>
      </c>
      <c r="E11" s="53" t="n">
        <v>60000</v>
      </c>
      <c r="F11" s="51" t="s">
        <v>3247</v>
      </c>
      <c r="G11" s="51" t="n">
        <v>4</v>
      </c>
      <c r="H11" s="51" t="n">
        <v>2</v>
      </c>
      <c r="I11" s="54" t="s">
        <v>50</v>
      </c>
      <c r="J11" s="54" t="s">
        <v>62</v>
      </c>
    </row>
    <row r="12" customFormat="false" ht="24" hidden="false" customHeight="true" outlineLevel="0" collapsed="false">
      <c r="A12" s="55" t="s">
        <v>3248</v>
      </c>
      <c r="B12" s="56" t="s">
        <v>3249</v>
      </c>
      <c r="C12" s="55" t="s">
        <v>3250</v>
      </c>
      <c r="D12" s="64" t="s">
        <v>3251</v>
      </c>
      <c r="E12" s="57" t="n">
        <v>20000</v>
      </c>
      <c r="F12" s="55" t="s">
        <v>3252</v>
      </c>
      <c r="G12" s="55" t="n">
        <v>5</v>
      </c>
      <c r="H12" s="55" t="n">
        <v>1</v>
      </c>
      <c r="I12" s="54" t="s">
        <v>50</v>
      </c>
      <c r="J12" s="54" t="s">
        <v>62</v>
      </c>
    </row>
    <row r="13" customFormat="false" ht="24" hidden="false" customHeight="true" outlineLevel="0" collapsed="false">
      <c r="A13" s="51" t="s">
        <v>3253</v>
      </c>
      <c r="B13" s="52" t="s">
        <v>3254</v>
      </c>
      <c r="C13" s="51" t="s">
        <v>3255</v>
      </c>
      <c r="D13" s="63" t="s">
        <v>3256</v>
      </c>
      <c r="E13" s="53" t="n">
        <v>45000</v>
      </c>
      <c r="F13" s="51" t="s">
        <v>3225</v>
      </c>
      <c r="G13" s="51" t="n">
        <v>4</v>
      </c>
      <c r="H13" s="51" t="n">
        <v>2</v>
      </c>
      <c r="I13" s="54" t="s">
        <v>50</v>
      </c>
      <c r="J13" s="54" t="s">
        <v>62</v>
      </c>
    </row>
    <row r="14" customFormat="false" ht="24" hidden="false" customHeight="true" outlineLevel="0" collapsed="false">
      <c r="A14" s="55" t="s">
        <v>3257</v>
      </c>
      <c r="B14" s="56" t="s">
        <v>3258</v>
      </c>
      <c r="C14" s="55" t="s">
        <v>3255</v>
      </c>
      <c r="D14" s="64" t="s">
        <v>3259</v>
      </c>
      <c r="E14" s="57" t="n">
        <v>30000</v>
      </c>
      <c r="F14" s="55" t="s">
        <v>3230</v>
      </c>
      <c r="G14" s="55" t="n">
        <v>4</v>
      </c>
      <c r="H14" s="55" t="n">
        <v>1</v>
      </c>
      <c r="I14" s="54" t="s">
        <v>50</v>
      </c>
      <c r="J14" s="54" t="s">
        <v>62</v>
      </c>
    </row>
    <row r="15" customFormat="false" ht="27.75" hidden="false" customHeight="true" outlineLevel="0" collapsed="false">
      <c r="A15" s="65" t="s">
        <v>3260</v>
      </c>
      <c r="B15" s="66" t="s">
        <v>3261</v>
      </c>
      <c r="C15" s="67" t="s">
        <v>3241</v>
      </c>
      <c r="D15" s="66" t="s">
        <v>3262</v>
      </c>
      <c r="E15" s="66" t="n">
        <v>75000</v>
      </c>
      <c r="F15" s="66" t="s">
        <v>3263</v>
      </c>
      <c r="G15" s="66" t="n">
        <v>5</v>
      </c>
      <c r="H15" s="66" t="n">
        <v>0</v>
      </c>
      <c r="I15" s="66" t="s">
        <v>50</v>
      </c>
      <c r="J15" s="66" t="s">
        <v>62</v>
      </c>
    </row>
    <row r="16" customFormat="false" ht="15" hidden="false" customHeight="true" outlineLevel="0" collapsed="false">
      <c r="A16" s="51" t="s">
        <v>3264</v>
      </c>
      <c r="B16" s="52" t="s">
        <v>3265</v>
      </c>
      <c r="C16" s="51" t="s">
        <v>3219</v>
      </c>
      <c r="D16" s="63" t="s">
        <v>3220</v>
      </c>
      <c r="E16" s="53" t="n">
        <v>100000</v>
      </c>
      <c r="F16" s="51" t="s">
        <v>3221</v>
      </c>
      <c r="G16" s="51" t="n">
        <v>5</v>
      </c>
      <c r="H16" s="51" t="n">
        <v>2</v>
      </c>
      <c r="I16" s="54" t="s">
        <v>50</v>
      </c>
      <c r="J16" s="54" t="s">
        <v>484</v>
      </c>
    </row>
    <row r="17" customFormat="false" ht="15" hidden="false" customHeight="true" outlineLevel="0" collapsed="false">
      <c r="A17" s="51" t="s">
        <v>3266</v>
      </c>
      <c r="B17" s="52" t="s">
        <v>3223</v>
      </c>
      <c r="C17" s="51" t="s">
        <v>3219</v>
      </c>
      <c r="D17" s="63" t="s">
        <v>3224</v>
      </c>
      <c r="E17" s="53" t="n">
        <v>50000</v>
      </c>
      <c r="F17" s="51" t="s">
        <v>3225</v>
      </c>
      <c r="G17" s="51" t="n">
        <v>10</v>
      </c>
      <c r="H17" s="51" t="n">
        <v>4</v>
      </c>
      <c r="I17" s="54" t="s">
        <v>50</v>
      </c>
      <c r="J17" s="54" t="s">
        <v>484</v>
      </c>
    </row>
    <row r="18" customFormat="false" ht="15" hidden="false" customHeight="true" outlineLevel="0" collapsed="false">
      <c r="A18" s="51" t="s">
        <v>3267</v>
      </c>
      <c r="B18" s="52" t="s">
        <v>3227</v>
      </c>
      <c r="C18" s="51" t="s">
        <v>3228</v>
      </c>
      <c r="D18" s="63" t="s">
        <v>3268</v>
      </c>
      <c r="E18" s="53" t="n">
        <v>40000</v>
      </c>
      <c r="F18" s="51" t="s">
        <v>3230</v>
      </c>
      <c r="G18" s="51" t="n">
        <v>8</v>
      </c>
      <c r="H18" s="51" t="n">
        <v>3</v>
      </c>
      <c r="I18" s="54" t="s">
        <v>50</v>
      </c>
      <c r="J18" s="54" t="s">
        <v>484</v>
      </c>
    </row>
    <row r="19" customFormat="false" ht="15" hidden="false" customHeight="true" outlineLevel="0" collapsed="false">
      <c r="A19" s="51" t="s">
        <v>3269</v>
      </c>
      <c r="B19" s="52" t="s">
        <v>3270</v>
      </c>
      <c r="C19" s="51" t="s">
        <v>3233</v>
      </c>
      <c r="D19" s="63" t="s">
        <v>3271</v>
      </c>
      <c r="E19" s="53" t="n">
        <v>30000</v>
      </c>
      <c r="F19" s="51" t="s">
        <v>2659</v>
      </c>
      <c r="G19" s="51" t="n">
        <v>15</v>
      </c>
      <c r="H19" s="51" t="n">
        <v>7</v>
      </c>
      <c r="I19" s="54" t="s">
        <v>50</v>
      </c>
      <c r="J19" s="54" t="s">
        <v>484</v>
      </c>
    </row>
    <row r="20" customFormat="false" ht="15" hidden="false" customHeight="true" outlineLevel="0" collapsed="false">
      <c r="A20" s="51" t="s">
        <v>3272</v>
      </c>
      <c r="B20" s="52" t="s">
        <v>3273</v>
      </c>
      <c r="C20" s="51" t="s">
        <v>3237</v>
      </c>
      <c r="D20" s="63" t="s">
        <v>3274</v>
      </c>
      <c r="E20" s="53" t="n">
        <v>35000</v>
      </c>
      <c r="F20" s="51" t="s">
        <v>2659</v>
      </c>
      <c r="G20" s="51" t="n">
        <v>6</v>
      </c>
      <c r="H20" s="51" t="n">
        <v>3</v>
      </c>
      <c r="I20" s="54" t="s">
        <v>50</v>
      </c>
      <c r="J20" s="54" t="s">
        <v>484</v>
      </c>
    </row>
    <row r="21" customFormat="false" ht="15" hidden="false" customHeight="true" outlineLevel="0" collapsed="false">
      <c r="A21" s="51" t="s">
        <v>3275</v>
      </c>
      <c r="B21" s="52" t="s">
        <v>3240</v>
      </c>
      <c r="C21" s="51" t="s">
        <v>3241</v>
      </c>
      <c r="D21" s="63" t="s">
        <v>3242</v>
      </c>
      <c r="E21" s="53" t="n">
        <v>25000</v>
      </c>
      <c r="F21" s="51" t="s">
        <v>2659</v>
      </c>
      <c r="G21" s="51" t="n">
        <v>10</v>
      </c>
      <c r="H21" s="51" t="n">
        <v>3</v>
      </c>
      <c r="I21" s="54" t="s">
        <v>50</v>
      </c>
      <c r="J21" s="54" t="s">
        <v>484</v>
      </c>
    </row>
    <row r="22" customFormat="false" ht="23.25" hidden="false" customHeight="true" outlineLevel="0" collapsed="false">
      <c r="A22" s="51" t="s">
        <v>3276</v>
      </c>
      <c r="B22" s="52" t="s">
        <v>3244</v>
      </c>
      <c r="C22" s="51" t="s">
        <v>3245</v>
      </c>
      <c r="D22" s="63" t="s">
        <v>3246</v>
      </c>
      <c r="E22" s="53" t="n">
        <v>60000</v>
      </c>
      <c r="F22" s="51" t="s">
        <v>3247</v>
      </c>
      <c r="G22" s="51" t="n">
        <v>4</v>
      </c>
      <c r="H22" s="51" t="n">
        <v>2</v>
      </c>
      <c r="I22" s="54" t="s">
        <v>50</v>
      </c>
      <c r="J22" s="54" t="s">
        <v>484</v>
      </c>
    </row>
    <row r="23" customFormat="false" ht="23.25" hidden="false" customHeight="true" outlineLevel="0" collapsed="false">
      <c r="A23" s="51" t="s">
        <v>3277</v>
      </c>
      <c r="B23" s="52" t="s">
        <v>3249</v>
      </c>
      <c r="C23" s="51" t="s">
        <v>3250</v>
      </c>
      <c r="D23" s="63" t="s">
        <v>3251</v>
      </c>
      <c r="E23" s="53" t="n">
        <v>20000</v>
      </c>
      <c r="F23" s="51" t="s">
        <v>3252</v>
      </c>
      <c r="G23" s="51" t="n">
        <v>5</v>
      </c>
      <c r="H23" s="51" t="n">
        <v>1</v>
      </c>
      <c r="I23" s="54" t="s">
        <v>50</v>
      </c>
      <c r="J23" s="54" t="s">
        <v>484</v>
      </c>
    </row>
    <row r="24" customFormat="false" ht="15" hidden="false" customHeight="true" outlineLevel="0" collapsed="false">
      <c r="A24" s="51" t="s">
        <v>3278</v>
      </c>
      <c r="B24" s="52" t="s">
        <v>3279</v>
      </c>
      <c r="C24" s="51" t="s">
        <v>3255</v>
      </c>
      <c r="D24" s="63" t="s">
        <v>3280</v>
      </c>
      <c r="E24" s="53" t="n">
        <v>45000</v>
      </c>
      <c r="F24" s="51" t="s">
        <v>3225</v>
      </c>
      <c r="G24" s="51" t="n">
        <v>4</v>
      </c>
      <c r="H24" s="51" t="n">
        <v>2</v>
      </c>
      <c r="I24" s="54" t="s">
        <v>50</v>
      </c>
      <c r="J24" s="54" t="s">
        <v>484</v>
      </c>
    </row>
    <row r="25" customFormat="false" ht="23.25" hidden="false" customHeight="true" outlineLevel="0" collapsed="false">
      <c r="A25" s="51" t="s">
        <v>3281</v>
      </c>
      <c r="B25" s="52" t="s">
        <v>3282</v>
      </c>
      <c r="C25" s="51" t="s">
        <v>3255</v>
      </c>
      <c r="D25" s="63" t="s">
        <v>3283</v>
      </c>
      <c r="E25" s="53" t="n">
        <v>30000</v>
      </c>
      <c r="F25" s="51" t="s">
        <v>3230</v>
      </c>
      <c r="G25" s="51" t="n">
        <v>4</v>
      </c>
      <c r="H25" s="51" t="n">
        <v>1</v>
      </c>
      <c r="I25" s="54" t="s">
        <v>50</v>
      </c>
      <c r="J25" s="54" t="s">
        <v>484</v>
      </c>
    </row>
    <row r="26" customFormat="false" ht="23.25" hidden="false" customHeight="true" outlineLevel="0" collapsed="false">
      <c r="A26" s="51" t="s">
        <v>3284</v>
      </c>
      <c r="B26" s="52" t="s">
        <v>3261</v>
      </c>
      <c r="C26" s="51" t="s">
        <v>3241</v>
      </c>
      <c r="D26" s="63" t="s">
        <v>3262</v>
      </c>
      <c r="E26" s="53" t="n">
        <v>75000</v>
      </c>
      <c r="F26" s="51" t="s">
        <v>3263</v>
      </c>
      <c r="G26" s="51" t="n">
        <v>5</v>
      </c>
      <c r="H26" s="51" t="n">
        <v>1</v>
      </c>
      <c r="I26" s="54" t="s">
        <v>50</v>
      </c>
      <c r="J26" s="54" t="s">
        <v>484</v>
      </c>
    </row>
    <row r="27" customFormat="false" ht="15" hidden="false" customHeight="true" outlineLevel="0" collapsed="false">
      <c r="A27" s="51" t="s">
        <v>3285</v>
      </c>
      <c r="B27" s="52" t="s">
        <v>3218</v>
      </c>
      <c r="C27" s="51" t="s">
        <v>3219</v>
      </c>
      <c r="D27" s="63" t="s">
        <v>3220</v>
      </c>
      <c r="E27" s="53" t="n">
        <v>100000</v>
      </c>
      <c r="F27" s="51" t="s">
        <v>3221</v>
      </c>
      <c r="G27" s="51" t="n">
        <v>5</v>
      </c>
      <c r="H27" s="51" t="n">
        <v>2</v>
      </c>
      <c r="I27" s="54" t="s">
        <v>50</v>
      </c>
      <c r="J27" s="54" t="s">
        <v>786</v>
      </c>
    </row>
    <row r="28" customFormat="false" ht="15" hidden="false" customHeight="true" outlineLevel="0" collapsed="false">
      <c r="A28" s="51" t="s">
        <v>3286</v>
      </c>
      <c r="B28" s="52" t="s">
        <v>3223</v>
      </c>
      <c r="C28" s="51" t="s">
        <v>3219</v>
      </c>
      <c r="D28" s="63" t="s">
        <v>3224</v>
      </c>
      <c r="E28" s="53" t="n">
        <v>50000</v>
      </c>
      <c r="F28" s="51" t="s">
        <v>3225</v>
      </c>
      <c r="G28" s="51" t="n">
        <v>10</v>
      </c>
      <c r="H28" s="51" t="n">
        <v>4</v>
      </c>
      <c r="I28" s="54" t="s">
        <v>50</v>
      </c>
      <c r="J28" s="54" t="s">
        <v>786</v>
      </c>
    </row>
    <row r="29" customFormat="false" ht="15" hidden="false" customHeight="true" outlineLevel="0" collapsed="false">
      <c r="A29" s="51" t="s">
        <v>3287</v>
      </c>
      <c r="B29" s="52" t="s">
        <v>3288</v>
      </c>
      <c r="C29" s="51" t="s">
        <v>3241</v>
      </c>
      <c r="D29" s="63" t="s">
        <v>3242</v>
      </c>
      <c r="E29" s="53" t="n">
        <v>25000</v>
      </c>
      <c r="F29" s="51" t="s">
        <v>2659</v>
      </c>
      <c r="G29" s="51" t="n">
        <v>12</v>
      </c>
      <c r="H29" s="51" t="n">
        <v>5</v>
      </c>
      <c r="I29" s="54" t="s">
        <v>50</v>
      </c>
      <c r="J29" s="54" t="s">
        <v>786</v>
      </c>
    </row>
    <row r="30" customFormat="false" ht="15" hidden="false" customHeight="true" outlineLevel="0" collapsed="false">
      <c r="A30" s="51" t="s">
        <v>3289</v>
      </c>
      <c r="B30" s="52" t="s">
        <v>3290</v>
      </c>
      <c r="C30" s="51" t="s">
        <v>3291</v>
      </c>
      <c r="D30" s="63" t="s">
        <v>3292</v>
      </c>
      <c r="E30" s="53" t="n">
        <v>40000</v>
      </c>
      <c r="F30" s="51" t="s">
        <v>3230</v>
      </c>
      <c r="G30" s="51" t="n">
        <v>10</v>
      </c>
      <c r="H30" s="51" t="n">
        <v>4</v>
      </c>
      <c r="I30" s="54" t="s">
        <v>50</v>
      </c>
      <c r="J30" s="54" t="s">
        <v>786</v>
      </c>
    </row>
    <row r="31" customFormat="false" ht="23.25" hidden="false" customHeight="true" outlineLevel="0" collapsed="false">
      <c r="A31" s="51" t="s">
        <v>3293</v>
      </c>
      <c r="B31" s="52" t="s">
        <v>3294</v>
      </c>
      <c r="C31" s="51" t="s">
        <v>3237</v>
      </c>
      <c r="D31" s="63" t="s">
        <v>3295</v>
      </c>
      <c r="E31" s="53" t="n">
        <v>35000</v>
      </c>
      <c r="F31" s="51" t="s">
        <v>2659</v>
      </c>
      <c r="G31" s="51" t="n">
        <v>6</v>
      </c>
      <c r="H31" s="51" t="n">
        <v>3</v>
      </c>
      <c r="I31" s="54" t="s">
        <v>50</v>
      </c>
      <c r="J31" s="54" t="s">
        <v>786</v>
      </c>
    </row>
    <row r="32" customFormat="false" ht="23.25" hidden="false" customHeight="true" outlineLevel="0" collapsed="false">
      <c r="A32" s="51" t="s">
        <v>3296</v>
      </c>
      <c r="B32" s="52" t="s">
        <v>3297</v>
      </c>
      <c r="C32" s="51" t="s">
        <v>3245</v>
      </c>
      <c r="D32" s="63" t="s">
        <v>3298</v>
      </c>
      <c r="E32" s="53" t="n">
        <v>60000</v>
      </c>
      <c r="F32" s="51" t="s">
        <v>3247</v>
      </c>
      <c r="G32" s="51" t="n">
        <v>4</v>
      </c>
      <c r="H32" s="51" t="n">
        <v>2</v>
      </c>
      <c r="I32" s="54" t="s">
        <v>50</v>
      </c>
      <c r="J32" s="54" t="s">
        <v>786</v>
      </c>
    </row>
    <row r="33" customFormat="false" ht="23.25" hidden="false" customHeight="true" outlineLevel="0" collapsed="false">
      <c r="A33" s="51" t="s">
        <v>3299</v>
      </c>
      <c r="B33" s="52" t="s">
        <v>3249</v>
      </c>
      <c r="C33" s="51" t="s">
        <v>3250</v>
      </c>
      <c r="D33" s="63" t="s">
        <v>3251</v>
      </c>
      <c r="E33" s="53" t="n">
        <v>20000</v>
      </c>
      <c r="F33" s="51" t="s">
        <v>3252</v>
      </c>
      <c r="G33" s="51" t="n">
        <v>5</v>
      </c>
      <c r="H33" s="51" t="n">
        <v>1</v>
      </c>
      <c r="I33" s="54" t="s">
        <v>50</v>
      </c>
      <c r="J33" s="54" t="s">
        <v>786</v>
      </c>
    </row>
    <row r="34" customFormat="false" ht="15" hidden="false" customHeight="true" outlineLevel="0" collapsed="false">
      <c r="A34" s="51" t="s">
        <v>3300</v>
      </c>
      <c r="B34" s="52" t="s">
        <v>3301</v>
      </c>
      <c r="C34" s="51" t="s">
        <v>3255</v>
      </c>
      <c r="D34" s="63" t="s">
        <v>3302</v>
      </c>
      <c r="E34" s="53" t="n">
        <v>30000</v>
      </c>
      <c r="F34" s="51" t="s">
        <v>3230</v>
      </c>
      <c r="G34" s="51" t="n">
        <v>6</v>
      </c>
      <c r="H34" s="51" t="n">
        <v>3</v>
      </c>
      <c r="I34" s="54" t="s">
        <v>50</v>
      </c>
      <c r="J34" s="54" t="s">
        <v>786</v>
      </c>
    </row>
    <row r="35" customFormat="false" ht="15" hidden="false" customHeight="true" outlineLevel="0" collapsed="false">
      <c r="A35" s="51" t="s">
        <v>3303</v>
      </c>
      <c r="B35" s="52" t="s">
        <v>3227</v>
      </c>
      <c r="C35" s="51" t="s">
        <v>3228</v>
      </c>
      <c r="D35" s="63" t="s">
        <v>3304</v>
      </c>
      <c r="E35" s="53" t="n">
        <v>40000</v>
      </c>
      <c r="F35" s="51" t="s">
        <v>3230</v>
      </c>
      <c r="G35" s="51" t="n">
        <v>8</v>
      </c>
      <c r="H35" s="51" t="n">
        <v>3</v>
      </c>
      <c r="I35" s="54" t="s">
        <v>50</v>
      </c>
      <c r="J35" s="54" t="s">
        <v>786</v>
      </c>
    </row>
    <row r="36" customFormat="false" ht="23.25" hidden="false" customHeight="true" outlineLevel="0" collapsed="false">
      <c r="A36" s="51" t="s">
        <v>3305</v>
      </c>
      <c r="B36" s="52" t="s">
        <v>3306</v>
      </c>
      <c r="C36" s="51" t="s">
        <v>3255</v>
      </c>
      <c r="D36" s="63" t="s">
        <v>3307</v>
      </c>
      <c r="E36" s="53" t="n">
        <v>25000</v>
      </c>
      <c r="F36" s="51" t="s">
        <v>3308</v>
      </c>
      <c r="G36" s="51" t="n">
        <v>4</v>
      </c>
      <c r="H36" s="51" t="n">
        <v>1</v>
      </c>
      <c r="I36" s="54" t="s">
        <v>50</v>
      </c>
      <c r="J36" s="54" t="s">
        <v>786</v>
      </c>
    </row>
    <row r="37" customFormat="false" ht="23.25" hidden="false" customHeight="true" outlineLevel="0" collapsed="false">
      <c r="A37" s="51" t="s">
        <v>3309</v>
      </c>
      <c r="B37" s="52" t="s">
        <v>3261</v>
      </c>
      <c r="C37" s="51" t="s">
        <v>3241</v>
      </c>
      <c r="D37" s="63" t="s">
        <v>3262</v>
      </c>
      <c r="E37" s="53" t="n">
        <v>75000</v>
      </c>
      <c r="F37" s="51" t="s">
        <v>3263</v>
      </c>
      <c r="G37" s="51" t="n">
        <v>5</v>
      </c>
      <c r="H37" s="51" t="n">
        <v>1</v>
      </c>
      <c r="I37" s="54" t="s">
        <v>50</v>
      </c>
      <c r="J37" s="54" t="s">
        <v>786</v>
      </c>
    </row>
    <row r="38" customFormat="false" ht="15" hidden="false" customHeight="true" outlineLevel="0" collapsed="false">
      <c r="A38" s="52" t="s">
        <v>3310</v>
      </c>
      <c r="B38" s="52" t="s">
        <v>3311</v>
      </c>
      <c r="C38" s="52" t="s">
        <v>3312</v>
      </c>
      <c r="D38" s="52" t="s">
        <v>3313</v>
      </c>
      <c r="E38" s="53" t="s">
        <v>3314</v>
      </c>
      <c r="F38" s="51" t="s">
        <v>3315</v>
      </c>
      <c r="G38" s="51" t="n">
        <v>40</v>
      </c>
      <c r="H38" s="51" t="n">
        <v>40</v>
      </c>
      <c r="I38" s="51" t="s">
        <v>50</v>
      </c>
      <c r="J38" s="52" t="s">
        <v>62</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28"/>
    <col collapsed="false" customWidth="true" hidden="false" outlineLevel="0" max="4" min="4" style="1" width="18"/>
  </cols>
  <sheetData>
    <row r="1" customFormat="false" ht="36" hidden="false" customHeight="true" outlineLevel="0" collapsed="false">
      <c r="A1" s="68" t="s">
        <v>3316</v>
      </c>
      <c r="B1" s="68"/>
      <c r="C1" s="68"/>
      <c r="D1" s="68"/>
    </row>
    <row r="2" customFormat="false" ht="18" hidden="false" customHeight="true" outlineLevel="0" collapsed="false">
      <c r="A2" s="69" t="s">
        <v>3317</v>
      </c>
      <c r="B2" s="69"/>
      <c r="C2" s="69"/>
      <c r="D2" s="69"/>
    </row>
    <row r="3" customFormat="false" ht="15" hidden="false" customHeight="true" outlineLevel="0" collapsed="false">
      <c r="A3" s="70" t="s">
        <v>3318</v>
      </c>
    </row>
    <row r="4" customFormat="false" ht="19.5" hidden="false" customHeight="true" outlineLevel="0" collapsed="false">
      <c r="A4" s="71" t="s">
        <v>3319</v>
      </c>
      <c r="B4" s="71"/>
      <c r="C4" s="71" t="s">
        <v>3320</v>
      </c>
      <c r="D4" s="71"/>
    </row>
    <row r="5" customFormat="false" ht="21.75" hidden="false" customHeight="true" outlineLevel="0" collapsed="false">
      <c r="A5" s="72" t="s">
        <v>3321</v>
      </c>
      <c r="B5" s="73" t="n">
        <v>41</v>
      </c>
      <c r="C5" s="72" t="s">
        <v>3322</v>
      </c>
      <c r="D5" s="73" t="n">
        <v>32</v>
      </c>
    </row>
    <row r="6" customFormat="false" ht="21.75" hidden="false" customHeight="true" outlineLevel="0" collapsed="false">
      <c r="A6" s="72" t="s">
        <v>50</v>
      </c>
      <c r="B6" s="73" t="n">
        <v>29</v>
      </c>
      <c r="C6" s="72" t="s">
        <v>3323</v>
      </c>
      <c r="D6" s="73" t="n">
        <v>31</v>
      </c>
    </row>
    <row r="7" customFormat="false" ht="21.75" hidden="false" customHeight="true" outlineLevel="0" collapsed="false">
      <c r="A7" s="72" t="s">
        <v>3324</v>
      </c>
      <c r="B7" s="73" t="n">
        <v>3</v>
      </c>
      <c r="C7" s="72" t="s">
        <v>3325</v>
      </c>
      <c r="D7" s="73" t="n">
        <v>124</v>
      </c>
    </row>
    <row r="8" customFormat="false" ht="21.75" hidden="false" customHeight="true" outlineLevel="0" collapsed="false">
      <c r="A8" s="72" t="s">
        <v>103</v>
      </c>
      <c r="B8" s="73" t="n">
        <v>5</v>
      </c>
      <c r="C8" s="72" t="s">
        <v>3326</v>
      </c>
      <c r="D8" s="73" t="n">
        <v>114</v>
      </c>
    </row>
    <row r="9" customFormat="false" ht="21.75" hidden="false" customHeight="true" outlineLevel="0" collapsed="false">
      <c r="A9" s="72" t="s">
        <v>195</v>
      </c>
      <c r="B9" s="73" t="n">
        <v>1</v>
      </c>
      <c r="C9" s="72" t="s">
        <v>107</v>
      </c>
      <c r="D9" s="73" t="n">
        <f aca="false">COUNTIF(Enrolments!G2:G1000,"Completed")</f>
        <v>27</v>
      </c>
    </row>
    <row r="10" customFormat="false" ht="21.75" hidden="false" customHeight="true" outlineLevel="0" collapsed="false">
      <c r="A10" s="72" t="s">
        <v>158</v>
      </c>
      <c r="B10" s="73" t="n">
        <v>3</v>
      </c>
      <c r="C10" s="72" t="s">
        <v>1633</v>
      </c>
      <c r="D10" s="73" t="n">
        <f aca="false">COUNTIF(Enrolments!G2:G1000,"Dropped")</f>
        <v>16</v>
      </c>
    </row>
    <row r="11" customFormat="false" ht="21.75" hidden="false" customHeight="true" outlineLevel="0" collapsed="false">
      <c r="A11" s="72" t="s">
        <v>3327</v>
      </c>
      <c r="B11" s="73" t="n">
        <v>3.35</v>
      </c>
      <c r="C11" s="72" t="s">
        <v>3328</v>
      </c>
      <c r="D11" s="73" t="str">
        <f aca="false">ROUND(AVERAGE(Enrolments!I2:I1000),1)&amp;"%"</f>
        <v>81.8%</v>
      </c>
    </row>
    <row r="12" customFormat="false" ht="21.75" hidden="false" customHeight="true" outlineLevel="0" collapsed="false">
      <c r="A12" s="72" t="s">
        <v>3329</v>
      </c>
      <c r="B12" s="73" t="n">
        <v>2502</v>
      </c>
      <c r="C12" s="72" t="s">
        <v>3330</v>
      </c>
      <c r="D12" s="73" t="n">
        <f aca="false">COUNTIF(Grades!J2:J1000,"A")</f>
        <v>86</v>
      </c>
    </row>
    <row r="14" customFormat="false" ht="19.5" hidden="false" customHeight="true" outlineLevel="0" collapsed="false">
      <c r="A14" s="74" t="s">
        <v>3331</v>
      </c>
      <c r="B14" s="74"/>
      <c r="C14" s="71" t="s">
        <v>3332</v>
      </c>
      <c r="D14" s="71"/>
    </row>
    <row r="15" customFormat="false" ht="21.75" hidden="false" customHeight="true" outlineLevel="0" collapsed="false">
      <c r="A15" s="75" t="s">
        <v>3333</v>
      </c>
      <c r="B15" s="76" t="n">
        <v>16</v>
      </c>
      <c r="C15" s="77" t="s">
        <v>3334</v>
      </c>
      <c r="D15" s="78" t="s">
        <v>258</v>
      </c>
    </row>
    <row r="16" customFormat="false" ht="21.75" hidden="false" customHeight="true" outlineLevel="0" collapsed="false">
      <c r="A16" s="75" t="s">
        <v>3335</v>
      </c>
      <c r="B16" s="76" t="n">
        <v>6</v>
      </c>
      <c r="C16" s="72" t="s">
        <v>3336</v>
      </c>
      <c r="D16" s="73" t="str">
        <f aca="false">IFERROR(VLOOKUP(D15,Students!A:B,2,0),"-")</f>
        <v>Stephen Gaita Gaikia</v>
      </c>
    </row>
    <row r="17" customFormat="false" ht="21.75" hidden="false" customHeight="true" outlineLevel="0" collapsed="false">
      <c r="A17" s="75" t="s">
        <v>342</v>
      </c>
      <c r="B17" s="76" t="n">
        <v>6</v>
      </c>
      <c r="C17" s="72" t="s">
        <v>3337</v>
      </c>
      <c r="D17" s="73" t="str">
        <f aca="false">IFERROR(VLOOKUP(D15,Students!A:H,8,0),"-")</f>
        <v>Computer Science</v>
      </c>
    </row>
    <row r="18" customFormat="false" ht="21.75" hidden="false" customHeight="true" outlineLevel="0" collapsed="false">
      <c r="A18" s="72" t="s">
        <v>430</v>
      </c>
      <c r="B18" s="73" t="n">
        <v>4</v>
      </c>
      <c r="C18" s="72" t="s">
        <v>3338</v>
      </c>
      <c r="D18" s="73" t="n">
        <f aca="false">IFERROR(VLOOKUP(D15,Students!A:K,11,0),"-")</f>
        <v>3.65</v>
      </c>
    </row>
    <row r="19" customFormat="false" ht="21.75" hidden="false" customHeight="true" outlineLevel="0" collapsed="false">
      <c r="A19" s="72" t="s">
        <v>3339</v>
      </c>
      <c r="B19" s="73" t="str">
        <f aca="false">ROUND(AVERAGE(Attendance!J2:J1000),0)&amp;"%"</f>
        <v>88%</v>
      </c>
      <c r="C19" s="72" t="s">
        <v>2635</v>
      </c>
      <c r="D19" s="73" t="str">
        <f aca="false">IFERROR(VLOOKUP(D15,Students!A:M,13,0),"-")</f>
        <v>Active</v>
      </c>
    </row>
    <row r="21" customFormat="false" ht="15" hidden="false" customHeight="true" outlineLevel="0" collapsed="false">
      <c r="A21" s="71" t="s">
        <v>3340</v>
      </c>
      <c r="B21" s="71"/>
      <c r="C21" s="71"/>
      <c r="D21" s="71"/>
      <c r="E21" s="71"/>
      <c r="F21" s="71"/>
      <c r="G21" s="71"/>
      <c r="H21" s="71"/>
    </row>
    <row r="22" customFormat="false" ht="15" hidden="false" customHeight="true" outlineLevel="0" collapsed="false">
      <c r="A22" s="72" t="s">
        <v>35</v>
      </c>
      <c r="B22" s="72" t="s">
        <v>3321</v>
      </c>
      <c r="C22" s="72" t="s">
        <v>50</v>
      </c>
      <c r="D22" s="72" t="s">
        <v>3341</v>
      </c>
      <c r="E22" s="72" t="s">
        <v>3342</v>
      </c>
      <c r="F22" s="72" t="s">
        <v>429</v>
      </c>
      <c r="G22" s="72" t="s">
        <v>3343</v>
      </c>
      <c r="H22" s="72" t="s">
        <v>3339</v>
      </c>
    </row>
    <row r="23" customFormat="false" ht="15" hidden="false" customHeight="true" outlineLevel="0" collapsed="false">
      <c r="A23" s="72" t="s">
        <v>62</v>
      </c>
      <c r="B23" s="72" t="n">
        <f aca="false">COUNTIF(Students!$AJ:$AJ,"Templumis University")</f>
        <v>84</v>
      </c>
      <c r="C23" s="72" t="n">
        <f aca="false">COUNTIFS(Students!$AJ:$AJ,"Templumis University",Students!$M:$M,"Active")</f>
        <v>62</v>
      </c>
      <c r="D23" s="72" t="n">
        <f aca="false">COUNTIFS(Students!$AJ:$AJ,"Templumis University",Students!$Q:$Q,"Undergraduate")</f>
        <v>58</v>
      </c>
      <c r="E23" s="72" t="n">
        <f aca="false">COUNTIFS(Students!$AJ:$AJ,"Templumis University",Students!$Q:$Q,"Postgraduate")-COUNTIFS(Students!$AJ:$AJ,"Templumis University",Students!$R:$R,"PhD by Research")</f>
        <v>19</v>
      </c>
      <c r="F23" s="72" t="n">
        <f aca="false">COUNTIFS(Students!$AJ:$AJ,"Templumis University",Students!$R:$R,"PhD by Research")</f>
        <v>7</v>
      </c>
      <c r="G23" s="72" t="n">
        <f aca="false">ROUND(AVERAGEIFS(Students!$K:$K,Students!$AJ:$AJ,"Templumis University"),2)</f>
        <v>3.23</v>
      </c>
      <c r="H23" s="72" t="str">
        <f aca="false">ROUND(AVERAGEIFS(Attendance!$J:$J,Attendance!$L:$L,"Templumis University"),0)&amp;"%"</f>
        <v>82%</v>
      </c>
    </row>
    <row r="24" customFormat="false" ht="15" hidden="false" customHeight="true" outlineLevel="0" collapsed="false">
      <c r="A24" s="72" t="s">
        <v>484</v>
      </c>
      <c r="B24" s="72" t="n">
        <f aca="false">COUNTIF(Students!$AJ:$AJ,"Kitaptech University")</f>
        <v>44</v>
      </c>
      <c r="C24" s="72" t="n">
        <f aca="false">COUNTIFS(Students!$AJ:$AJ,"Kitaptech University",Students!$M:$M,"Active")</f>
        <v>33</v>
      </c>
      <c r="D24" s="72" t="n">
        <f aca="false">COUNTIFS(Students!$AJ:$AJ,"Kitaptech University",Students!$Q:$Q,"Undergraduate")</f>
        <v>26</v>
      </c>
      <c r="E24" s="72" t="n">
        <f aca="false">COUNTIFS(Students!$AJ:$AJ,"Kitaptech University",Students!$Q:$Q,"Postgraduate")-COUNTIFS(Students!$AJ:$AJ,"Kitaptech University",Students!$R:$R,"PhD by Research")</f>
        <v>13</v>
      </c>
      <c r="F24" s="72" t="n">
        <f aca="false">COUNTIFS(Students!$AJ:$AJ,"Kitaptech University",Students!$R:$R,"PhD by Research")</f>
        <v>5</v>
      </c>
      <c r="G24" s="72" t="n">
        <f aca="false">ROUND(AVERAGEIFS(Students!$K:$K,Students!$AJ:$AJ,"Kitaptech University"),2)</f>
        <v>3.34</v>
      </c>
      <c r="H24" s="72" t="str">
        <f aca="false">ROUND(AVERAGEIFS(Attendance!$J:$J,Attendance!$L:$L,"Kitaptech University"),0)&amp;"%"</f>
        <v>96%</v>
      </c>
    </row>
    <row r="25" customFormat="false" ht="15" hidden="false" customHeight="true" outlineLevel="0" collapsed="false">
      <c r="A25" s="72" t="s">
        <v>786</v>
      </c>
      <c r="B25" s="72" t="n">
        <f aca="false">COUNTIF(Students!$AJ:$AJ,"Rongo University")</f>
        <v>44</v>
      </c>
      <c r="C25" s="72" t="n">
        <f aca="false">COUNTIFS(Students!$AJ:$AJ,"Rongo University",Students!$M:$M,"Active")</f>
        <v>33</v>
      </c>
      <c r="D25" s="72" t="n">
        <f aca="false">COUNTIFS(Students!$AJ:$AJ,"Rongo University",Students!$Q:$Q,"Undergraduate")</f>
        <v>26</v>
      </c>
      <c r="E25" s="72" t="n">
        <f aca="false">COUNTIFS(Students!$AJ:$AJ,"Rongo University",Students!$Q:$Q,"Postgraduate")-COUNTIFS(Students!$AJ:$AJ,"Rongo University",Students!$R:$R,"PhD by Research")</f>
        <v>13</v>
      </c>
      <c r="F25" s="72" t="n">
        <f aca="false">COUNTIFS(Students!$AJ:$AJ,"Rongo University",Students!$R:$R,"PhD by Research")</f>
        <v>5</v>
      </c>
      <c r="G25" s="72" t="n">
        <f aca="false">ROUND(AVERAGEIFS(Students!$K:$K,Students!$AJ:$AJ,"Rongo University"),2)</f>
        <v>3.3</v>
      </c>
      <c r="H25" s="72" t="str">
        <f aca="false">ROUND(AVERAGEIFS(Attendance!$J:$J,Attendance!$L:$L,"Rongo University"),0)&amp;"%"</f>
        <v>96%</v>
      </c>
    </row>
    <row r="26" customFormat="false" ht="15" hidden="false" customHeight="true" outlineLevel="0" collapsed="false">
      <c r="A26" s="72" t="s">
        <v>3344</v>
      </c>
      <c r="B26" s="72" t="n">
        <f aca="false">SUM(B23:B25)</f>
        <v>172</v>
      </c>
      <c r="C26" s="72" t="n">
        <f aca="false">SUM(C23:C25)</f>
        <v>128</v>
      </c>
      <c r="D26" s="72" t="n">
        <f aca="false">SUM(D23:D25)</f>
        <v>110</v>
      </c>
      <c r="E26" s="72" t="n">
        <f aca="false">SUM(E23:E25)</f>
        <v>45</v>
      </c>
      <c r="F26" s="72" t="n">
        <f aca="false">SUM(F23:F25)</f>
        <v>17</v>
      </c>
      <c r="G26" s="72" t="n">
        <f aca="false">ROUND(AVERAGE(G23:G25),2)</f>
        <v>3.29</v>
      </c>
      <c r="H26" s="72" t="str">
        <f aca="false">ROUND(AVERAGE(Attendance!$J:$J),0)&amp;"%"</f>
        <v>88%</v>
      </c>
    </row>
  </sheetData>
  <mergeCells count="7">
    <mergeCell ref="A1:D1"/>
    <mergeCell ref="A2:D2"/>
    <mergeCell ref="A4:B4"/>
    <mergeCell ref="C4:D4"/>
    <mergeCell ref="A14:B14"/>
    <mergeCell ref="C14:D14"/>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5" zeroHeight="false" outlineLevelRow="0" outlineLevelCol="0"/>
  <cols>
    <col collapsed="false" customWidth="true" hidden="false" outlineLevel="0" max="1" min="1" style="1" width="16"/>
    <col collapsed="false" customWidth="true" hidden="false" outlineLevel="0" max="2" min="2" style="1" width="22"/>
    <col collapsed="false" customWidth="true" hidden="false" outlineLevel="0" max="3" min="3" style="1" width="14"/>
    <col collapsed="false" customWidth="true" hidden="false" outlineLevel="0" max="4" min="4" style="1" width="20"/>
    <col collapsed="false" customWidth="true" hidden="false" outlineLevel="0" max="5" min="5" style="1" width="22"/>
    <col collapsed="false" customWidth="true" hidden="false" outlineLevel="0" max="7" min="6" style="1" width="14"/>
    <col collapsed="false" customWidth="true" hidden="false" outlineLevel="0" max="9" min="8" style="1" width="12"/>
    <col collapsed="false" customWidth="true" hidden="false" outlineLevel="0" max="11" min="10" style="1" width="14"/>
    <col collapsed="false" customWidth="true" hidden="false" outlineLevel="0" max="12" min="12" style="1" width="7"/>
    <col collapsed="false" customWidth="true" hidden="false" outlineLevel="0" max="13" min="13" style="1" width="16"/>
    <col collapsed="false" customWidth="true" hidden="false" outlineLevel="0" max="14" min="14" style="1" width="14"/>
    <col collapsed="false" customWidth="true" hidden="false" outlineLevel="0" max="16" min="15" style="1" width="12"/>
    <col collapsed="false" customWidth="true" hidden="false" outlineLevel="0" max="17" min="17" style="1" width="14"/>
    <col collapsed="false" customWidth="true" hidden="false" outlineLevel="0" max="18" min="18" style="1" width="18"/>
    <col collapsed="false" customWidth="true" hidden="false" outlineLevel="0" max="19" min="19" style="1" width="24"/>
    <col collapsed="false" customWidth="true" hidden="false" outlineLevel="0" max="20" min="20" style="1" width="16"/>
    <col collapsed="false" customWidth="true" hidden="false" outlineLevel="0" max="21" min="21" style="1" width="14"/>
    <col collapsed="false" customWidth="true" hidden="false" outlineLevel="0" max="22" min="22" style="1" width="18"/>
    <col collapsed="false" customWidth="true" hidden="false" outlineLevel="0" max="24" min="23" style="1" width="14"/>
    <col collapsed="false" customWidth="true" hidden="false" outlineLevel="0" max="25" min="25" style="1" width="32"/>
  </cols>
  <sheetData>
    <row r="1" customFormat="false" ht="21.75" hidden="false" customHeight="true" outlineLevel="0" collapsed="false">
      <c r="A1" s="79" t="s">
        <v>3345</v>
      </c>
      <c r="B1" s="79"/>
      <c r="C1" s="79"/>
      <c r="D1" s="79"/>
      <c r="E1" s="79"/>
      <c r="F1" s="79"/>
      <c r="G1" s="80" t="s">
        <v>3346</v>
      </c>
      <c r="H1" s="80"/>
      <c r="I1" s="80"/>
      <c r="J1" s="80"/>
      <c r="K1" s="80"/>
      <c r="L1" s="81" t="s">
        <v>3347</v>
      </c>
      <c r="M1" s="81"/>
      <c r="N1" s="81"/>
      <c r="O1" s="82" t="s">
        <v>3348</v>
      </c>
      <c r="P1" s="82"/>
      <c r="Q1" s="82"/>
      <c r="R1" s="83" t="s">
        <v>3349</v>
      </c>
      <c r="S1" s="83"/>
      <c r="T1" s="83"/>
      <c r="U1" s="83"/>
      <c r="V1" s="84" t="s">
        <v>3350</v>
      </c>
      <c r="W1" s="84"/>
      <c r="X1" s="84"/>
      <c r="Y1" s="84"/>
    </row>
    <row r="2" customFormat="false" ht="30" hidden="false" customHeight="true" outlineLevel="0" collapsed="false">
      <c r="A2" s="85" t="s">
        <v>2441</v>
      </c>
      <c r="B2" s="85" t="s">
        <v>3351</v>
      </c>
      <c r="C2" s="85" t="s">
        <v>16</v>
      </c>
      <c r="D2" s="85" t="s">
        <v>17</v>
      </c>
      <c r="E2" s="85" t="s">
        <v>2444</v>
      </c>
      <c r="F2" s="85" t="s">
        <v>3352</v>
      </c>
      <c r="G2" s="86" t="s">
        <v>3353</v>
      </c>
      <c r="H2" s="86" t="s">
        <v>3354</v>
      </c>
      <c r="I2" s="86" t="s">
        <v>3355</v>
      </c>
      <c r="J2" s="86" t="s">
        <v>3356</v>
      </c>
      <c r="K2" s="86" t="s">
        <v>3357</v>
      </c>
      <c r="L2" s="86" t="s">
        <v>3338</v>
      </c>
      <c r="M2" s="86" t="s">
        <v>22</v>
      </c>
      <c r="N2" s="86" t="s">
        <v>3358</v>
      </c>
      <c r="O2" s="86" t="s">
        <v>3359</v>
      </c>
      <c r="P2" s="86" t="s">
        <v>3360</v>
      </c>
      <c r="Q2" s="86" t="s">
        <v>21</v>
      </c>
      <c r="R2" s="86" t="s">
        <v>3361</v>
      </c>
      <c r="S2" s="86" t="s">
        <v>3362</v>
      </c>
      <c r="T2" s="86" t="s">
        <v>3363</v>
      </c>
      <c r="U2" s="86" t="s">
        <v>3364</v>
      </c>
      <c r="V2" s="86" t="s">
        <v>26</v>
      </c>
      <c r="W2" s="86" t="s">
        <v>3365</v>
      </c>
      <c r="X2" s="86" t="s">
        <v>3366</v>
      </c>
      <c r="Y2" s="86" t="s">
        <v>18</v>
      </c>
      <c r="Z2" s="86" t="s">
        <v>35</v>
      </c>
    </row>
    <row r="3" customFormat="false" ht="15" hidden="false" customHeight="true" outlineLevel="0" collapsed="false">
      <c r="A3" s="5" t="s">
        <v>40</v>
      </c>
      <c r="B3" s="6" t="s">
        <v>41</v>
      </c>
      <c r="C3" s="5" t="s">
        <v>54</v>
      </c>
      <c r="D3" s="6" t="s">
        <v>46</v>
      </c>
      <c r="E3" s="6" t="s">
        <v>48</v>
      </c>
      <c r="F3" s="5" t="s">
        <v>52</v>
      </c>
      <c r="G3" s="5" t="s">
        <v>56</v>
      </c>
      <c r="H3" s="9" t="s">
        <v>3367</v>
      </c>
      <c r="I3" s="9" t="s">
        <v>3367</v>
      </c>
      <c r="J3" s="9" t="s">
        <v>3367</v>
      </c>
      <c r="K3" s="87" t="s">
        <v>92</v>
      </c>
      <c r="L3" s="87" t="n">
        <v>3.78</v>
      </c>
      <c r="M3" s="9" t="s">
        <v>58</v>
      </c>
      <c r="N3" s="87" t="s">
        <v>59</v>
      </c>
      <c r="O3" s="9" t="s">
        <v>57</v>
      </c>
      <c r="P3" s="9" t="s">
        <v>57</v>
      </c>
      <c r="Q3" s="87" t="n">
        <v>0</v>
      </c>
      <c r="R3" s="88" t="s">
        <v>60</v>
      </c>
      <c r="S3" s="87" t="s">
        <v>3368</v>
      </c>
      <c r="T3" s="88" t="s">
        <v>60</v>
      </c>
      <c r="U3" s="89" t="s">
        <v>60</v>
      </c>
      <c r="V3" s="5" t="s">
        <v>61</v>
      </c>
      <c r="W3" s="5"/>
      <c r="X3" s="6"/>
      <c r="Y3" s="5" t="s">
        <v>55</v>
      </c>
      <c r="Z3" s="5" t="s">
        <v>62</v>
      </c>
    </row>
    <row r="4" customFormat="false" ht="15" hidden="false" customHeight="true" outlineLevel="0" collapsed="false">
      <c r="A4" s="5" t="s">
        <v>65</v>
      </c>
      <c r="B4" s="6" t="s">
        <v>66</v>
      </c>
      <c r="C4" s="5" t="s">
        <v>54</v>
      </c>
      <c r="D4" s="6" t="s">
        <v>71</v>
      </c>
      <c r="E4" s="6" t="s">
        <v>73</v>
      </c>
      <c r="F4" s="5" t="s">
        <v>75</v>
      </c>
      <c r="G4" s="5" t="s">
        <v>78</v>
      </c>
      <c r="H4" s="9" t="s">
        <v>3367</v>
      </c>
      <c r="I4" s="9" t="s">
        <v>3367</v>
      </c>
      <c r="J4" s="87" t="s">
        <v>92</v>
      </c>
      <c r="K4" s="87" t="s">
        <v>445</v>
      </c>
      <c r="L4" s="87" t="n">
        <v>3.12</v>
      </c>
      <c r="M4" s="9" t="s">
        <v>58</v>
      </c>
      <c r="N4" s="87" t="s">
        <v>59</v>
      </c>
      <c r="O4" s="9" t="s">
        <v>57</v>
      </c>
      <c r="P4" s="9" t="s">
        <v>57</v>
      </c>
      <c r="Q4" s="87" t="n">
        <v>0</v>
      </c>
      <c r="R4" s="88" t="s">
        <v>60</v>
      </c>
      <c r="S4" s="87" t="s">
        <v>3369</v>
      </c>
      <c r="T4" s="88" t="s">
        <v>60</v>
      </c>
      <c r="U4" s="89" t="s">
        <v>60</v>
      </c>
      <c r="V4" s="5" t="s">
        <v>61</v>
      </c>
      <c r="W4" s="5"/>
      <c r="X4" s="6"/>
      <c r="Y4" s="5" t="s">
        <v>77</v>
      </c>
      <c r="Z4" s="5" t="s">
        <v>62</v>
      </c>
    </row>
    <row r="5" customFormat="false" ht="15" hidden="false" customHeight="true" outlineLevel="0" collapsed="false">
      <c r="A5" s="5" t="s">
        <v>79</v>
      </c>
      <c r="B5" s="6" t="s">
        <v>80</v>
      </c>
      <c r="C5" s="5" t="s">
        <v>54</v>
      </c>
      <c r="D5" s="6" t="s">
        <v>46</v>
      </c>
      <c r="E5" s="6" t="s">
        <v>85</v>
      </c>
      <c r="F5" s="5" t="s">
        <v>88</v>
      </c>
      <c r="G5" s="5" t="s">
        <v>91</v>
      </c>
      <c r="H5" s="9" t="s">
        <v>3367</v>
      </c>
      <c r="I5" s="9" t="s">
        <v>3367</v>
      </c>
      <c r="J5" s="9" t="s">
        <v>3367</v>
      </c>
      <c r="K5" s="9" t="s">
        <v>3367</v>
      </c>
      <c r="L5" s="87" t="n">
        <v>3.55</v>
      </c>
      <c r="M5" s="9" t="s">
        <v>58</v>
      </c>
      <c r="N5" s="87" t="s">
        <v>59</v>
      </c>
      <c r="O5" s="9" t="s">
        <v>57</v>
      </c>
      <c r="P5" s="9" t="s">
        <v>57</v>
      </c>
      <c r="Q5" s="87" t="n">
        <v>0</v>
      </c>
      <c r="R5" s="88" t="s">
        <v>60</v>
      </c>
      <c r="S5" s="87" t="s">
        <v>3370</v>
      </c>
      <c r="T5" s="88" t="s">
        <v>60</v>
      </c>
      <c r="U5" s="89" t="s">
        <v>60</v>
      </c>
      <c r="V5" s="5" t="s">
        <v>92</v>
      </c>
      <c r="W5" s="5"/>
      <c r="X5" s="6"/>
      <c r="Y5" s="5" t="s">
        <v>90</v>
      </c>
      <c r="Z5" s="5" t="s">
        <v>62</v>
      </c>
    </row>
    <row r="6" customFormat="false" ht="15" hidden="false" customHeight="true" outlineLevel="0" collapsed="false">
      <c r="A6" s="9" t="s">
        <v>96</v>
      </c>
      <c r="B6" s="10" t="s">
        <v>97</v>
      </c>
      <c r="C6" s="9" t="s">
        <v>54</v>
      </c>
      <c r="D6" s="10" t="s">
        <v>46</v>
      </c>
      <c r="E6" s="10" t="s">
        <v>102</v>
      </c>
      <c r="F6" s="9" t="s">
        <v>105</v>
      </c>
      <c r="G6" s="9" t="s">
        <v>107</v>
      </c>
      <c r="H6" s="9" t="s">
        <v>3367</v>
      </c>
      <c r="I6" s="9" t="s">
        <v>3367</v>
      </c>
      <c r="J6" s="9" t="s">
        <v>3367</v>
      </c>
      <c r="K6" s="9" t="s">
        <v>3367</v>
      </c>
      <c r="L6" s="87" t="n">
        <v>3.9</v>
      </c>
      <c r="M6" s="9" t="s">
        <v>108</v>
      </c>
      <c r="N6" s="87" t="s">
        <v>59</v>
      </c>
      <c r="O6" s="9" t="s">
        <v>57</v>
      </c>
      <c r="P6" s="9" t="s">
        <v>108</v>
      </c>
      <c r="Q6" s="87" t="n">
        <v>0</v>
      </c>
      <c r="R6" s="88" t="s">
        <v>60</v>
      </c>
      <c r="S6" s="87" t="s">
        <v>3370</v>
      </c>
      <c r="T6" s="88" t="s">
        <v>60</v>
      </c>
      <c r="U6" s="89" t="s">
        <v>60</v>
      </c>
      <c r="V6" s="9" t="s">
        <v>109</v>
      </c>
      <c r="W6" s="9" t="s">
        <v>59</v>
      </c>
      <c r="X6" s="10" t="s">
        <v>110</v>
      </c>
      <c r="Y6" s="9" t="s">
        <v>106</v>
      </c>
      <c r="Z6" s="9" t="s">
        <v>62</v>
      </c>
    </row>
    <row r="7" customFormat="false" ht="15" hidden="false" customHeight="true" outlineLevel="0" collapsed="false">
      <c r="A7" s="13" t="s">
        <v>111</v>
      </c>
      <c r="B7" s="14" t="s">
        <v>112</v>
      </c>
      <c r="C7" s="13" t="s">
        <v>54</v>
      </c>
      <c r="D7" s="14" t="s">
        <v>46</v>
      </c>
      <c r="E7" s="14" t="s">
        <v>117</v>
      </c>
      <c r="F7" s="13" t="s">
        <v>120</v>
      </c>
      <c r="G7" s="13" t="s">
        <v>123</v>
      </c>
      <c r="H7" s="87" t="s">
        <v>92</v>
      </c>
      <c r="I7" s="87" t="s">
        <v>92</v>
      </c>
      <c r="J7" s="87" t="s">
        <v>445</v>
      </c>
      <c r="K7" s="87" t="s">
        <v>445</v>
      </c>
      <c r="L7" s="87" t="n">
        <v>2.45</v>
      </c>
      <c r="M7" s="21" t="s">
        <v>119</v>
      </c>
      <c r="N7" s="87" t="s">
        <v>125</v>
      </c>
      <c r="O7" s="87" t="s">
        <v>124</v>
      </c>
      <c r="P7" s="87" t="s">
        <v>124</v>
      </c>
      <c r="Q7" s="87" t="n">
        <v>35000</v>
      </c>
      <c r="R7" s="88" t="s">
        <v>60</v>
      </c>
      <c r="S7" s="87" t="s">
        <v>3371</v>
      </c>
      <c r="T7" s="88" t="s">
        <v>60</v>
      </c>
      <c r="U7" s="89" t="s">
        <v>60</v>
      </c>
      <c r="V7" s="13" t="s">
        <v>126</v>
      </c>
      <c r="W7" s="13"/>
      <c r="X7" s="14"/>
      <c r="Y7" s="13" t="s">
        <v>122</v>
      </c>
      <c r="Z7" s="13" t="s">
        <v>62</v>
      </c>
    </row>
    <row r="8" customFormat="false" ht="15" hidden="false" customHeight="true" outlineLevel="0" collapsed="false">
      <c r="A8" s="5" t="s">
        <v>127</v>
      </c>
      <c r="B8" s="6" t="s">
        <v>128</v>
      </c>
      <c r="C8" s="5" t="s">
        <v>54</v>
      </c>
      <c r="D8" s="6" t="s">
        <v>132</v>
      </c>
      <c r="E8" s="6" t="s">
        <v>134</v>
      </c>
      <c r="F8" s="5" t="s">
        <v>52</v>
      </c>
      <c r="G8" s="5" t="s">
        <v>56</v>
      </c>
      <c r="H8" s="9" t="s">
        <v>3367</v>
      </c>
      <c r="I8" s="9" t="s">
        <v>3367</v>
      </c>
      <c r="J8" s="9" t="s">
        <v>3367</v>
      </c>
      <c r="K8" s="87" t="s">
        <v>92</v>
      </c>
      <c r="L8" s="87" t="n">
        <v>3.22</v>
      </c>
      <c r="M8" s="9" t="s">
        <v>58</v>
      </c>
      <c r="N8" s="87" t="s">
        <v>59</v>
      </c>
      <c r="O8" s="9" t="s">
        <v>57</v>
      </c>
      <c r="P8" s="9" t="s">
        <v>57</v>
      </c>
      <c r="Q8" s="87" t="n">
        <v>0</v>
      </c>
      <c r="R8" s="88" t="s">
        <v>60</v>
      </c>
      <c r="S8" s="87" t="s">
        <v>3368</v>
      </c>
      <c r="T8" s="88" t="s">
        <v>60</v>
      </c>
      <c r="U8" s="89" t="s">
        <v>60</v>
      </c>
      <c r="V8" s="5" t="s">
        <v>61</v>
      </c>
      <c r="W8" s="5"/>
      <c r="X8" s="6"/>
      <c r="Y8" s="5" t="s">
        <v>55</v>
      </c>
      <c r="Z8" s="5" t="s">
        <v>62</v>
      </c>
    </row>
    <row r="9" customFormat="false" ht="15" hidden="false" customHeight="true" outlineLevel="0" collapsed="false">
      <c r="A9" s="5" t="s">
        <v>135</v>
      </c>
      <c r="B9" s="6" t="s">
        <v>136</v>
      </c>
      <c r="C9" s="5" t="s">
        <v>54</v>
      </c>
      <c r="D9" s="6" t="s">
        <v>46</v>
      </c>
      <c r="E9" s="6" t="s">
        <v>117</v>
      </c>
      <c r="F9" s="5" t="s">
        <v>141</v>
      </c>
      <c r="G9" s="5" t="s">
        <v>78</v>
      </c>
      <c r="H9" s="9" t="s">
        <v>3367</v>
      </c>
      <c r="I9" s="9" t="s">
        <v>3367</v>
      </c>
      <c r="J9" s="87" t="s">
        <v>92</v>
      </c>
      <c r="K9" s="87" t="s">
        <v>445</v>
      </c>
      <c r="L9" s="87" t="n">
        <v>3.68</v>
      </c>
      <c r="M9" s="9" t="s">
        <v>58</v>
      </c>
      <c r="N9" s="87" t="s">
        <v>59</v>
      </c>
      <c r="O9" s="9" t="s">
        <v>57</v>
      </c>
      <c r="P9" s="9" t="s">
        <v>57</v>
      </c>
      <c r="Q9" s="87" t="n">
        <v>0</v>
      </c>
      <c r="R9" s="88" t="s">
        <v>60</v>
      </c>
      <c r="S9" s="87" t="s">
        <v>3369</v>
      </c>
      <c r="T9" s="88" t="s">
        <v>60</v>
      </c>
      <c r="U9" s="89" t="s">
        <v>60</v>
      </c>
      <c r="V9" s="5" t="s">
        <v>61</v>
      </c>
      <c r="W9" s="5"/>
      <c r="X9" s="6"/>
      <c r="Y9" s="5" t="s">
        <v>77</v>
      </c>
      <c r="Z9" s="5" t="s">
        <v>62</v>
      </c>
    </row>
    <row r="10" customFormat="false" ht="15" hidden="false" customHeight="true" outlineLevel="0" collapsed="false">
      <c r="A10" s="5" t="s">
        <v>142</v>
      </c>
      <c r="B10" s="6" t="s">
        <v>143</v>
      </c>
      <c r="C10" s="5" t="s">
        <v>54</v>
      </c>
      <c r="D10" s="6" t="s">
        <v>147</v>
      </c>
      <c r="E10" s="6" t="s">
        <v>149</v>
      </c>
      <c r="F10" s="5" t="s">
        <v>88</v>
      </c>
      <c r="G10" s="5" t="s">
        <v>91</v>
      </c>
      <c r="H10" s="9" t="s">
        <v>3367</v>
      </c>
      <c r="I10" s="9" t="s">
        <v>3367</v>
      </c>
      <c r="J10" s="9" t="s">
        <v>3367</v>
      </c>
      <c r="K10" s="9" t="s">
        <v>3367</v>
      </c>
      <c r="L10" s="87" t="n">
        <v>3.1</v>
      </c>
      <c r="M10" s="9" t="s">
        <v>58</v>
      </c>
      <c r="N10" s="87" t="s">
        <v>59</v>
      </c>
      <c r="O10" s="9" t="s">
        <v>57</v>
      </c>
      <c r="P10" s="9" t="s">
        <v>57</v>
      </c>
      <c r="Q10" s="87" t="n">
        <v>0</v>
      </c>
      <c r="R10" s="88" t="s">
        <v>60</v>
      </c>
      <c r="S10" s="87" t="s">
        <v>3370</v>
      </c>
      <c r="T10" s="88" t="s">
        <v>60</v>
      </c>
      <c r="U10" s="89" t="s">
        <v>60</v>
      </c>
      <c r="V10" s="5" t="s">
        <v>92</v>
      </c>
      <c r="W10" s="5"/>
      <c r="X10" s="6"/>
      <c r="Y10" s="5" t="s">
        <v>90</v>
      </c>
      <c r="Z10" s="5" t="s">
        <v>62</v>
      </c>
    </row>
    <row r="11" customFormat="false" ht="15" hidden="false" customHeight="true" outlineLevel="0" collapsed="false">
      <c r="A11" s="17" t="s">
        <v>151</v>
      </c>
      <c r="B11" s="18" t="s">
        <v>152</v>
      </c>
      <c r="C11" s="17" t="s">
        <v>54</v>
      </c>
      <c r="D11" s="18" t="s">
        <v>156</v>
      </c>
      <c r="E11" s="18" t="s">
        <v>73</v>
      </c>
      <c r="F11" s="17" t="s">
        <v>52</v>
      </c>
      <c r="G11" s="17" t="s">
        <v>56</v>
      </c>
      <c r="H11" s="9" t="s">
        <v>3367</v>
      </c>
      <c r="I11" s="9" t="s">
        <v>3367</v>
      </c>
      <c r="J11" s="9" t="s">
        <v>3367</v>
      </c>
      <c r="K11" s="87" t="s">
        <v>92</v>
      </c>
      <c r="L11" s="87" t="n">
        <v>2.8</v>
      </c>
      <c r="M11" s="9" t="s">
        <v>58</v>
      </c>
      <c r="N11" s="87" t="s">
        <v>59</v>
      </c>
      <c r="O11" s="88" t="s">
        <v>160</v>
      </c>
      <c r="P11" s="88" t="s">
        <v>160</v>
      </c>
      <c r="Q11" s="87" t="n">
        <v>0</v>
      </c>
      <c r="R11" s="88" t="s">
        <v>60</v>
      </c>
      <c r="S11" s="87" t="s">
        <v>3368</v>
      </c>
      <c r="T11" s="88" t="s">
        <v>60</v>
      </c>
      <c r="U11" s="89" t="s">
        <v>60</v>
      </c>
      <c r="V11" s="17" t="s">
        <v>61</v>
      </c>
      <c r="W11" s="17"/>
      <c r="X11" s="18"/>
      <c r="Y11" s="17" t="s">
        <v>159</v>
      </c>
      <c r="Z11" s="17" t="s">
        <v>62</v>
      </c>
    </row>
    <row r="12" customFormat="false" ht="15" hidden="false" customHeight="true" outlineLevel="0" collapsed="false">
      <c r="A12" s="5" t="s">
        <v>161</v>
      </c>
      <c r="B12" s="6" t="s">
        <v>162</v>
      </c>
      <c r="C12" s="5" t="s">
        <v>54</v>
      </c>
      <c r="D12" s="6" t="s">
        <v>46</v>
      </c>
      <c r="E12" s="6" t="s">
        <v>48</v>
      </c>
      <c r="F12" s="5" t="s">
        <v>120</v>
      </c>
      <c r="G12" s="5" t="s">
        <v>123</v>
      </c>
      <c r="H12" s="87" t="s">
        <v>92</v>
      </c>
      <c r="I12" s="87" t="s">
        <v>92</v>
      </c>
      <c r="J12" s="87" t="s">
        <v>445</v>
      </c>
      <c r="K12" s="87" t="s">
        <v>445</v>
      </c>
      <c r="L12" s="87" t="n">
        <v>3.4</v>
      </c>
      <c r="M12" s="9" t="s">
        <v>58</v>
      </c>
      <c r="N12" s="87" t="s">
        <v>59</v>
      </c>
      <c r="O12" s="9" t="s">
        <v>57</v>
      </c>
      <c r="P12" s="9" t="s">
        <v>57</v>
      </c>
      <c r="Q12" s="87" t="n">
        <v>0</v>
      </c>
      <c r="R12" s="88" t="s">
        <v>60</v>
      </c>
      <c r="S12" s="87" t="s">
        <v>3371</v>
      </c>
      <c r="T12" s="88" t="s">
        <v>60</v>
      </c>
      <c r="U12" s="89" t="s">
        <v>60</v>
      </c>
      <c r="V12" s="5" t="s">
        <v>61</v>
      </c>
      <c r="W12" s="5"/>
      <c r="X12" s="6"/>
      <c r="Y12" s="5" t="s">
        <v>167</v>
      </c>
      <c r="Z12" s="5" t="s">
        <v>62</v>
      </c>
    </row>
    <row r="13" customFormat="false" ht="15" hidden="false" customHeight="true" outlineLevel="0" collapsed="false">
      <c r="A13" s="5" t="s">
        <v>168</v>
      </c>
      <c r="B13" s="6" t="s">
        <v>169</v>
      </c>
      <c r="C13" s="5" t="s">
        <v>54</v>
      </c>
      <c r="D13" s="6" t="s">
        <v>46</v>
      </c>
      <c r="E13" s="6" t="s">
        <v>117</v>
      </c>
      <c r="F13" s="5" t="s">
        <v>141</v>
      </c>
      <c r="G13" s="5" t="s">
        <v>78</v>
      </c>
      <c r="H13" s="9" t="s">
        <v>3367</v>
      </c>
      <c r="I13" s="9" t="s">
        <v>3367</v>
      </c>
      <c r="J13" s="87" t="s">
        <v>92</v>
      </c>
      <c r="K13" s="87" t="s">
        <v>445</v>
      </c>
      <c r="L13" s="87" t="n">
        <v>3.05</v>
      </c>
      <c r="M13" s="9" t="s">
        <v>58</v>
      </c>
      <c r="N13" s="87" t="s">
        <v>59</v>
      </c>
      <c r="O13" s="9" t="s">
        <v>57</v>
      </c>
      <c r="P13" s="9" t="s">
        <v>57</v>
      </c>
      <c r="Q13" s="87" t="n">
        <v>0</v>
      </c>
      <c r="R13" s="88" t="s">
        <v>60</v>
      </c>
      <c r="S13" s="87" t="s">
        <v>3369</v>
      </c>
      <c r="T13" s="88" t="s">
        <v>60</v>
      </c>
      <c r="U13" s="89" t="s">
        <v>60</v>
      </c>
      <c r="V13" s="5" t="s">
        <v>61</v>
      </c>
      <c r="W13" s="5"/>
      <c r="X13" s="6"/>
      <c r="Y13" s="5" t="s">
        <v>77</v>
      </c>
      <c r="Z13" s="5" t="s">
        <v>62</v>
      </c>
    </row>
    <row r="14" customFormat="false" ht="15" hidden="false" customHeight="true" outlineLevel="0" collapsed="false">
      <c r="A14" s="9" t="s">
        <v>174</v>
      </c>
      <c r="B14" s="10" t="s">
        <v>175</v>
      </c>
      <c r="C14" s="9" t="s">
        <v>54</v>
      </c>
      <c r="D14" s="10" t="s">
        <v>46</v>
      </c>
      <c r="E14" s="10" t="s">
        <v>85</v>
      </c>
      <c r="F14" s="9" t="s">
        <v>105</v>
      </c>
      <c r="G14" s="9" t="s">
        <v>107</v>
      </c>
      <c r="H14" s="9" t="s">
        <v>3367</v>
      </c>
      <c r="I14" s="9" t="s">
        <v>3367</v>
      </c>
      <c r="J14" s="9" t="s">
        <v>3367</v>
      </c>
      <c r="K14" s="9" t="s">
        <v>3367</v>
      </c>
      <c r="L14" s="87" t="n">
        <v>2.6</v>
      </c>
      <c r="M14" s="9" t="s">
        <v>108</v>
      </c>
      <c r="N14" s="87" t="s">
        <v>59</v>
      </c>
      <c r="O14" s="9" t="s">
        <v>57</v>
      </c>
      <c r="P14" s="9" t="s">
        <v>108</v>
      </c>
      <c r="Q14" s="87" t="n">
        <v>0</v>
      </c>
      <c r="R14" s="88" t="s">
        <v>60</v>
      </c>
      <c r="S14" s="87" t="s">
        <v>3370</v>
      </c>
      <c r="T14" s="88" t="s">
        <v>60</v>
      </c>
      <c r="U14" s="89" t="s">
        <v>60</v>
      </c>
      <c r="V14" s="9" t="s">
        <v>109</v>
      </c>
      <c r="W14" s="9" t="s">
        <v>59</v>
      </c>
      <c r="X14" s="10" t="s">
        <v>110</v>
      </c>
      <c r="Y14" s="9" t="s">
        <v>106</v>
      </c>
      <c r="Z14" s="9" t="s">
        <v>62</v>
      </c>
    </row>
    <row r="15" customFormat="false" ht="15" hidden="false" customHeight="true" outlineLevel="0" collapsed="false">
      <c r="A15" s="5" t="s">
        <v>181</v>
      </c>
      <c r="B15" s="6" t="s">
        <v>182</v>
      </c>
      <c r="C15" s="5" t="s">
        <v>54</v>
      </c>
      <c r="D15" s="6" t="s">
        <v>71</v>
      </c>
      <c r="E15" s="6" t="s">
        <v>187</v>
      </c>
      <c r="F15" s="5" t="s">
        <v>52</v>
      </c>
      <c r="G15" s="5" t="s">
        <v>56</v>
      </c>
      <c r="H15" s="9" t="s">
        <v>3367</v>
      </c>
      <c r="I15" s="9" t="s">
        <v>3367</v>
      </c>
      <c r="J15" s="9" t="s">
        <v>3367</v>
      </c>
      <c r="K15" s="87" t="s">
        <v>92</v>
      </c>
      <c r="L15" s="87" t="n">
        <v>3.5</v>
      </c>
      <c r="M15" s="9" t="s">
        <v>58</v>
      </c>
      <c r="N15" s="87" t="s">
        <v>59</v>
      </c>
      <c r="O15" s="9" t="s">
        <v>57</v>
      </c>
      <c r="P15" s="9" t="s">
        <v>57</v>
      </c>
      <c r="Q15" s="87" t="n">
        <v>0</v>
      </c>
      <c r="R15" s="88" t="s">
        <v>60</v>
      </c>
      <c r="S15" s="87" t="s">
        <v>3368</v>
      </c>
      <c r="T15" s="88" t="s">
        <v>60</v>
      </c>
      <c r="U15" s="89" t="s">
        <v>60</v>
      </c>
      <c r="V15" s="5" t="s">
        <v>61</v>
      </c>
      <c r="W15" s="5"/>
      <c r="X15" s="6"/>
      <c r="Y15" s="5" t="s">
        <v>55</v>
      </c>
      <c r="Z15" s="5" t="s">
        <v>62</v>
      </c>
    </row>
    <row r="16" customFormat="false" ht="15" hidden="false" customHeight="true" outlineLevel="0" collapsed="false">
      <c r="A16" s="21" t="s">
        <v>188</v>
      </c>
      <c r="B16" s="22" t="s">
        <v>189</v>
      </c>
      <c r="C16" s="21" t="s">
        <v>54</v>
      </c>
      <c r="D16" s="22" t="s">
        <v>193</v>
      </c>
      <c r="E16" s="22" t="s">
        <v>102</v>
      </c>
      <c r="F16" s="21" t="s">
        <v>88</v>
      </c>
      <c r="G16" s="21" t="s">
        <v>91</v>
      </c>
      <c r="H16" s="9" t="s">
        <v>3367</v>
      </c>
      <c r="I16" s="9" t="s">
        <v>3367</v>
      </c>
      <c r="J16" s="9" t="s">
        <v>3367</v>
      </c>
      <c r="K16" s="9" t="s">
        <v>3367</v>
      </c>
      <c r="L16" s="87" t="n">
        <v>1.9</v>
      </c>
      <c r="M16" s="21" t="s">
        <v>195</v>
      </c>
      <c r="N16" s="87" t="s">
        <v>125</v>
      </c>
      <c r="O16" s="21" t="s">
        <v>197</v>
      </c>
      <c r="P16" s="21" t="s">
        <v>197</v>
      </c>
      <c r="Q16" s="87" t="n">
        <v>75000</v>
      </c>
      <c r="R16" s="88" t="s">
        <v>60</v>
      </c>
      <c r="S16" s="87" t="s">
        <v>3370</v>
      </c>
      <c r="T16" s="88" t="s">
        <v>60</v>
      </c>
      <c r="U16" s="89" t="s">
        <v>60</v>
      </c>
      <c r="V16" s="21" t="s">
        <v>126</v>
      </c>
      <c r="W16" s="21"/>
      <c r="X16" s="22"/>
      <c r="Y16" s="21" t="s">
        <v>196</v>
      </c>
      <c r="Z16" s="21" t="s">
        <v>62</v>
      </c>
    </row>
    <row r="17" customFormat="false" ht="15" hidden="false" customHeight="true" outlineLevel="0" collapsed="false">
      <c r="A17" s="5" t="s">
        <v>198</v>
      </c>
      <c r="B17" s="6" t="s">
        <v>199</v>
      </c>
      <c r="C17" s="5" t="s">
        <v>54</v>
      </c>
      <c r="D17" s="6" t="s">
        <v>71</v>
      </c>
      <c r="E17" s="6" t="s">
        <v>204</v>
      </c>
      <c r="F17" s="5" t="s">
        <v>120</v>
      </c>
      <c r="G17" s="5" t="s">
        <v>123</v>
      </c>
      <c r="H17" s="87" t="s">
        <v>92</v>
      </c>
      <c r="I17" s="87" t="s">
        <v>92</v>
      </c>
      <c r="J17" s="87" t="s">
        <v>445</v>
      </c>
      <c r="K17" s="87" t="s">
        <v>445</v>
      </c>
      <c r="L17" s="87" t="n">
        <v>3.82</v>
      </c>
      <c r="M17" s="9" t="s">
        <v>58</v>
      </c>
      <c r="N17" s="87" t="s">
        <v>59</v>
      </c>
      <c r="O17" s="9" t="s">
        <v>57</v>
      </c>
      <c r="P17" s="9" t="s">
        <v>57</v>
      </c>
      <c r="Q17" s="87" t="n">
        <v>0</v>
      </c>
      <c r="R17" s="88" t="s">
        <v>60</v>
      </c>
      <c r="S17" s="87" t="s">
        <v>3371</v>
      </c>
      <c r="T17" s="88" t="s">
        <v>60</v>
      </c>
      <c r="U17" s="89" t="s">
        <v>60</v>
      </c>
      <c r="V17" s="5" t="s">
        <v>61</v>
      </c>
      <c r="W17" s="5"/>
      <c r="X17" s="6"/>
      <c r="Y17" s="5" t="s">
        <v>167</v>
      </c>
      <c r="Z17" s="5" t="s">
        <v>62</v>
      </c>
    </row>
    <row r="18" customFormat="false" ht="15" hidden="false" customHeight="true" outlineLevel="0" collapsed="false">
      <c r="A18" s="5" t="s">
        <v>205</v>
      </c>
      <c r="B18" s="6" t="s">
        <v>206</v>
      </c>
      <c r="C18" s="5" t="s">
        <v>54</v>
      </c>
      <c r="D18" s="6" t="s">
        <v>46</v>
      </c>
      <c r="E18" s="6" t="s">
        <v>117</v>
      </c>
      <c r="F18" s="5" t="s">
        <v>141</v>
      </c>
      <c r="G18" s="5" t="s">
        <v>78</v>
      </c>
      <c r="H18" s="9" t="s">
        <v>3367</v>
      </c>
      <c r="I18" s="9" t="s">
        <v>3367</v>
      </c>
      <c r="J18" s="87" t="s">
        <v>92</v>
      </c>
      <c r="K18" s="87" t="s">
        <v>445</v>
      </c>
      <c r="L18" s="87" t="n">
        <v>2.95</v>
      </c>
      <c r="M18" s="9" t="s">
        <v>58</v>
      </c>
      <c r="N18" s="87" t="s">
        <v>59</v>
      </c>
      <c r="O18" s="9" t="s">
        <v>57</v>
      </c>
      <c r="P18" s="9" t="s">
        <v>57</v>
      </c>
      <c r="Q18" s="87" t="n">
        <v>0</v>
      </c>
      <c r="R18" s="88" t="s">
        <v>60</v>
      </c>
      <c r="S18" s="87" t="s">
        <v>3369</v>
      </c>
      <c r="T18" s="88" t="s">
        <v>60</v>
      </c>
      <c r="U18" s="89" t="s">
        <v>60</v>
      </c>
      <c r="V18" s="5" t="s">
        <v>61</v>
      </c>
      <c r="W18" s="5"/>
      <c r="X18" s="6"/>
      <c r="Y18" s="5" t="s">
        <v>77</v>
      </c>
      <c r="Z18" s="5" t="s">
        <v>62</v>
      </c>
    </row>
    <row r="19" customFormat="false" ht="15" hidden="false" customHeight="true" outlineLevel="0" collapsed="false">
      <c r="A19" s="5" t="s">
        <v>213</v>
      </c>
      <c r="B19" s="6" t="s">
        <v>214</v>
      </c>
      <c r="C19" s="5" t="s">
        <v>54</v>
      </c>
      <c r="D19" s="6" t="s">
        <v>46</v>
      </c>
      <c r="E19" s="6" t="s">
        <v>48</v>
      </c>
      <c r="F19" s="5" t="s">
        <v>52</v>
      </c>
      <c r="G19" s="5" t="s">
        <v>56</v>
      </c>
      <c r="H19" s="9" t="s">
        <v>3367</v>
      </c>
      <c r="I19" s="9" t="s">
        <v>3367</v>
      </c>
      <c r="J19" s="9" t="s">
        <v>3367</v>
      </c>
      <c r="K19" s="87" t="s">
        <v>92</v>
      </c>
      <c r="L19" s="87" t="n">
        <v>3.95</v>
      </c>
      <c r="M19" s="9" t="s">
        <v>58</v>
      </c>
      <c r="N19" s="87" t="s">
        <v>59</v>
      </c>
      <c r="O19" s="9" t="s">
        <v>57</v>
      </c>
      <c r="P19" s="9" t="s">
        <v>57</v>
      </c>
      <c r="Q19" s="87" t="n">
        <v>0</v>
      </c>
      <c r="R19" s="88" t="s">
        <v>60</v>
      </c>
      <c r="S19" s="87" t="s">
        <v>3368</v>
      </c>
      <c r="T19" s="88" t="s">
        <v>60</v>
      </c>
      <c r="U19" s="89" t="s">
        <v>60</v>
      </c>
      <c r="V19" s="5" t="s">
        <v>61</v>
      </c>
      <c r="W19" s="5"/>
      <c r="X19" s="6"/>
      <c r="Y19" s="5" t="s">
        <v>55</v>
      </c>
      <c r="Z19" s="5" t="s">
        <v>62</v>
      </c>
    </row>
    <row r="20" customFormat="false" ht="15" hidden="false" customHeight="true" outlineLevel="0" collapsed="false">
      <c r="A20" s="5" t="s">
        <v>218</v>
      </c>
      <c r="B20" s="6" t="s">
        <v>219</v>
      </c>
      <c r="C20" s="5" t="s">
        <v>54</v>
      </c>
      <c r="D20" s="6" t="s">
        <v>132</v>
      </c>
      <c r="E20" s="6" t="s">
        <v>134</v>
      </c>
      <c r="F20" s="5" t="s">
        <v>88</v>
      </c>
      <c r="G20" s="5" t="s">
        <v>91</v>
      </c>
      <c r="H20" s="9" t="s">
        <v>3367</v>
      </c>
      <c r="I20" s="9" t="s">
        <v>3367</v>
      </c>
      <c r="J20" s="9" t="s">
        <v>3367</v>
      </c>
      <c r="K20" s="9" t="s">
        <v>3367</v>
      </c>
      <c r="L20" s="87" t="n">
        <v>3.3</v>
      </c>
      <c r="M20" s="9" t="s">
        <v>58</v>
      </c>
      <c r="N20" s="87" t="s">
        <v>59</v>
      </c>
      <c r="O20" s="9" t="s">
        <v>57</v>
      </c>
      <c r="P20" s="9" t="s">
        <v>57</v>
      </c>
      <c r="Q20" s="87" t="n">
        <v>0</v>
      </c>
      <c r="R20" s="88" t="s">
        <v>60</v>
      </c>
      <c r="S20" s="87" t="s">
        <v>3370</v>
      </c>
      <c r="T20" s="88" t="s">
        <v>60</v>
      </c>
      <c r="U20" s="89" t="s">
        <v>60</v>
      </c>
      <c r="V20" s="5" t="s">
        <v>92</v>
      </c>
      <c r="W20" s="5"/>
      <c r="X20" s="6"/>
      <c r="Y20" s="5" t="s">
        <v>90</v>
      </c>
      <c r="Z20" s="5" t="s">
        <v>62</v>
      </c>
    </row>
    <row r="21" customFormat="false" ht="15" hidden="false" customHeight="true" outlineLevel="0" collapsed="false">
      <c r="A21" s="5" t="s">
        <v>225</v>
      </c>
      <c r="B21" s="6" t="s">
        <v>226</v>
      </c>
      <c r="C21" s="5" t="s">
        <v>54</v>
      </c>
      <c r="D21" s="6" t="s">
        <v>46</v>
      </c>
      <c r="E21" s="6" t="s">
        <v>102</v>
      </c>
      <c r="F21" s="5" t="s">
        <v>120</v>
      </c>
      <c r="G21" s="5" t="s">
        <v>123</v>
      </c>
      <c r="H21" s="87" t="s">
        <v>92</v>
      </c>
      <c r="I21" s="87" t="s">
        <v>92</v>
      </c>
      <c r="J21" s="87" t="s">
        <v>445</v>
      </c>
      <c r="K21" s="87" t="s">
        <v>445</v>
      </c>
      <c r="L21" s="87" t="n">
        <v>3.15</v>
      </c>
      <c r="M21" s="9" t="s">
        <v>58</v>
      </c>
      <c r="N21" s="87" t="s">
        <v>59</v>
      </c>
      <c r="O21" s="9" t="s">
        <v>57</v>
      </c>
      <c r="P21" s="9" t="s">
        <v>57</v>
      </c>
      <c r="Q21" s="87" t="n">
        <v>0</v>
      </c>
      <c r="R21" s="88" t="s">
        <v>60</v>
      </c>
      <c r="S21" s="87" t="s">
        <v>3371</v>
      </c>
      <c r="T21" s="88" t="s">
        <v>60</v>
      </c>
      <c r="U21" s="89" t="s">
        <v>60</v>
      </c>
      <c r="V21" s="5" t="s">
        <v>61</v>
      </c>
      <c r="W21" s="5"/>
      <c r="X21" s="6"/>
      <c r="Y21" s="5" t="s">
        <v>167</v>
      </c>
      <c r="Z21" s="5" t="s">
        <v>62</v>
      </c>
    </row>
    <row r="22" customFormat="false" ht="15" hidden="false" customHeight="true" outlineLevel="0" collapsed="false">
      <c r="A22" s="5" t="s">
        <v>231</v>
      </c>
      <c r="B22" s="6" t="s">
        <v>232</v>
      </c>
      <c r="C22" s="5" t="s">
        <v>54</v>
      </c>
      <c r="D22" s="6" t="s">
        <v>147</v>
      </c>
      <c r="E22" s="6" t="s">
        <v>149</v>
      </c>
      <c r="F22" s="5" t="s">
        <v>141</v>
      </c>
      <c r="G22" s="5" t="s">
        <v>78</v>
      </c>
      <c r="H22" s="9" t="s">
        <v>3367</v>
      </c>
      <c r="I22" s="9" t="s">
        <v>3367</v>
      </c>
      <c r="J22" s="87" t="s">
        <v>92</v>
      </c>
      <c r="K22" s="87" t="s">
        <v>445</v>
      </c>
      <c r="L22" s="87" t="n">
        <v>3.6</v>
      </c>
      <c r="M22" s="9" t="s">
        <v>58</v>
      </c>
      <c r="N22" s="87" t="s">
        <v>59</v>
      </c>
      <c r="O22" s="9" t="s">
        <v>57</v>
      </c>
      <c r="P22" s="9" t="s">
        <v>57</v>
      </c>
      <c r="Q22" s="87" t="n">
        <v>0</v>
      </c>
      <c r="R22" s="88" t="s">
        <v>60</v>
      </c>
      <c r="S22" s="87" t="s">
        <v>3369</v>
      </c>
      <c r="T22" s="88" t="s">
        <v>60</v>
      </c>
      <c r="U22" s="89" t="s">
        <v>60</v>
      </c>
      <c r="V22" s="5" t="s">
        <v>61</v>
      </c>
      <c r="W22" s="5"/>
      <c r="X22" s="6"/>
      <c r="Y22" s="5" t="s">
        <v>77</v>
      </c>
      <c r="Z22" s="5" t="s">
        <v>62</v>
      </c>
    </row>
    <row r="23" customFormat="false" ht="15" hidden="false" customHeight="true" outlineLevel="0" collapsed="false">
      <c r="A23" s="17" t="s">
        <v>236</v>
      </c>
      <c r="B23" s="18" t="s">
        <v>237</v>
      </c>
      <c r="C23" s="17" t="s">
        <v>54</v>
      </c>
      <c r="D23" s="18" t="s">
        <v>71</v>
      </c>
      <c r="E23" s="18" t="s">
        <v>187</v>
      </c>
      <c r="F23" s="17" t="s">
        <v>52</v>
      </c>
      <c r="G23" s="17" t="s">
        <v>56</v>
      </c>
      <c r="H23" s="9" t="s">
        <v>3367</v>
      </c>
      <c r="I23" s="9" t="s">
        <v>3367</v>
      </c>
      <c r="J23" s="9" t="s">
        <v>3367</v>
      </c>
      <c r="K23" s="87" t="s">
        <v>92</v>
      </c>
      <c r="L23" s="87" t="n">
        <v>2.75</v>
      </c>
      <c r="M23" s="9" t="s">
        <v>58</v>
      </c>
      <c r="N23" s="87" t="s">
        <v>59</v>
      </c>
      <c r="O23" s="88" t="s">
        <v>160</v>
      </c>
      <c r="P23" s="88" t="s">
        <v>160</v>
      </c>
      <c r="Q23" s="87" t="n">
        <v>0</v>
      </c>
      <c r="R23" s="88" t="s">
        <v>60</v>
      </c>
      <c r="S23" s="87" t="s">
        <v>3368</v>
      </c>
      <c r="T23" s="88" t="s">
        <v>60</v>
      </c>
      <c r="U23" s="89" t="s">
        <v>60</v>
      </c>
      <c r="V23" s="17" t="s">
        <v>61</v>
      </c>
      <c r="W23" s="17"/>
      <c r="X23" s="18"/>
      <c r="Y23" s="17" t="s">
        <v>159</v>
      </c>
      <c r="Z23" s="17" t="s">
        <v>62</v>
      </c>
    </row>
    <row r="24" customFormat="false" ht="15" hidden="false" customHeight="true" outlineLevel="0" collapsed="false">
      <c r="A24" s="9" t="s">
        <v>242</v>
      </c>
      <c r="B24" s="10" t="s">
        <v>243</v>
      </c>
      <c r="C24" s="9" t="s">
        <v>54</v>
      </c>
      <c r="D24" s="10" t="s">
        <v>46</v>
      </c>
      <c r="E24" s="10" t="s">
        <v>117</v>
      </c>
      <c r="F24" s="9" t="s">
        <v>105</v>
      </c>
      <c r="G24" s="9" t="s">
        <v>107</v>
      </c>
      <c r="H24" s="9" t="s">
        <v>3367</v>
      </c>
      <c r="I24" s="9" t="s">
        <v>3367</v>
      </c>
      <c r="J24" s="9" t="s">
        <v>3367</v>
      </c>
      <c r="K24" s="9" t="s">
        <v>3367</v>
      </c>
      <c r="L24" s="87" t="n">
        <v>3.88</v>
      </c>
      <c r="M24" s="9" t="s">
        <v>108</v>
      </c>
      <c r="N24" s="87" t="s">
        <v>59</v>
      </c>
      <c r="O24" s="9" t="s">
        <v>57</v>
      </c>
      <c r="P24" s="9" t="s">
        <v>108</v>
      </c>
      <c r="Q24" s="87" t="n">
        <v>0</v>
      </c>
      <c r="R24" s="88" t="s">
        <v>60</v>
      </c>
      <c r="S24" s="87" t="s">
        <v>3370</v>
      </c>
      <c r="T24" s="88" t="s">
        <v>60</v>
      </c>
      <c r="U24" s="89" t="s">
        <v>60</v>
      </c>
      <c r="V24" s="9" t="s">
        <v>109</v>
      </c>
      <c r="W24" s="9" t="s">
        <v>59</v>
      </c>
      <c r="X24" s="10" t="s">
        <v>110</v>
      </c>
      <c r="Y24" s="9" t="s">
        <v>106</v>
      </c>
      <c r="Z24" s="9" t="s">
        <v>62</v>
      </c>
    </row>
    <row r="25" customFormat="false" ht="15" hidden="false" customHeight="true" outlineLevel="0" collapsed="false">
      <c r="A25" s="13" t="s">
        <v>247</v>
      </c>
      <c r="B25" s="14" t="s">
        <v>248</v>
      </c>
      <c r="C25" s="13" t="s">
        <v>54</v>
      </c>
      <c r="D25" s="14" t="s">
        <v>156</v>
      </c>
      <c r="E25" s="14" t="s">
        <v>73</v>
      </c>
      <c r="F25" s="13" t="s">
        <v>120</v>
      </c>
      <c r="G25" s="13" t="s">
        <v>123</v>
      </c>
      <c r="H25" s="87" t="s">
        <v>92</v>
      </c>
      <c r="I25" s="87" t="s">
        <v>92</v>
      </c>
      <c r="J25" s="87" t="s">
        <v>445</v>
      </c>
      <c r="K25" s="87" t="s">
        <v>445</v>
      </c>
      <c r="L25" s="87" t="n">
        <v>2.2</v>
      </c>
      <c r="M25" s="21" t="s">
        <v>119</v>
      </c>
      <c r="N25" s="87" t="s">
        <v>125</v>
      </c>
      <c r="O25" s="87" t="s">
        <v>124</v>
      </c>
      <c r="P25" s="87" t="s">
        <v>124</v>
      </c>
      <c r="Q25" s="87" t="n">
        <v>35000</v>
      </c>
      <c r="R25" s="88" t="s">
        <v>60</v>
      </c>
      <c r="S25" s="87" t="s">
        <v>3371</v>
      </c>
      <c r="T25" s="88" t="s">
        <v>60</v>
      </c>
      <c r="U25" s="89" t="s">
        <v>60</v>
      </c>
      <c r="V25" s="13" t="s">
        <v>126</v>
      </c>
      <c r="W25" s="13"/>
      <c r="X25" s="14"/>
      <c r="Y25" s="13" t="s">
        <v>122</v>
      </c>
      <c r="Z25" s="13" t="s">
        <v>62</v>
      </c>
    </row>
    <row r="26" customFormat="false" ht="15" hidden="false" customHeight="true" outlineLevel="0" collapsed="false">
      <c r="A26" s="5" t="s">
        <v>253</v>
      </c>
      <c r="B26" s="6" t="s">
        <v>254</v>
      </c>
      <c r="C26" s="5" t="s">
        <v>54</v>
      </c>
      <c r="D26" s="6" t="s">
        <v>46</v>
      </c>
      <c r="E26" s="6" t="s">
        <v>48</v>
      </c>
      <c r="F26" s="5" t="s">
        <v>141</v>
      </c>
      <c r="G26" s="5" t="s">
        <v>78</v>
      </c>
      <c r="H26" s="9" t="s">
        <v>3367</v>
      </c>
      <c r="I26" s="9" t="s">
        <v>3367</v>
      </c>
      <c r="J26" s="87" t="s">
        <v>92</v>
      </c>
      <c r="K26" s="87" t="s">
        <v>445</v>
      </c>
      <c r="L26" s="87" t="n">
        <v>3.42</v>
      </c>
      <c r="M26" s="9" t="s">
        <v>58</v>
      </c>
      <c r="N26" s="87" t="s">
        <v>59</v>
      </c>
      <c r="O26" s="9" t="s">
        <v>57</v>
      </c>
      <c r="P26" s="9" t="s">
        <v>57</v>
      </c>
      <c r="Q26" s="87" t="n">
        <v>0</v>
      </c>
      <c r="R26" s="88" t="s">
        <v>60</v>
      </c>
      <c r="S26" s="87" t="s">
        <v>3369</v>
      </c>
      <c r="T26" s="88" t="s">
        <v>60</v>
      </c>
      <c r="U26" s="89" t="s">
        <v>60</v>
      </c>
      <c r="V26" s="5" t="s">
        <v>61</v>
      </c>
      <c r="W26" s="5"/>
      <c r="X26" s="6"/>
      <c r="Y26" s="5" t="s">
        <v>77</v>
      </c>
      <c r="Z26" s="5" t="s">
        <v>62</v>
      </c>
    </row>
    <row r="27" customFormat="false" ht="15" hidden="false" customHeight="true" outlineLevel="0" collapsed="false">
      <c r="A27" s="5" t="s">
        <v>258</v>
      </c>
      <c r="B27" s="6" t="s">
        <v>259</v>
      </c>
      <c r="C27" s="5" t="s">
        <v>54</v>
      </c>
      <c r="D27" s="6" t="s">
        <v>46</v>
      </c>
      <c r="E27" s="6" t="s">
        <v>48</v>
      </c>
      <c r="F27" s="5" t="s">
        <v>120</v>
      </c>
      <c r="G27" s="5" t="s">
        <v>123</v>
      </c>
      <c r="H27" s="87" t="s">
        <v>92</v>
      </c>
      <c r="I27" s="87" t="s">
        <v>92</v>
      </c>
      <c r="J27" s="87" t="s">
        <v>445</v>
      </c>
      <c r="K27" s="87" t="s">
        <v>445</v>
      </c>
      <c r="L27" s="87" t="n">
        <v>3.65</v>
      </c>
      <c r="M27" s="9" t="s">
        <v>58</v>
      </c>
      <c r="N27" s="87" t="s">
        <v>59</v>
      </c>
      <c r="O27" s="90" t="s">
        <v>3372</v>
      </c>
      <c r="P27" s="91" t="s">
        <v>3373</v>
      </c>
      <c r="Q27" s="91" t="n">
        <v>75000</v>
      </c>
      <c r="R27" s="88" t="s">
        <v>60</v>
      </c>
      <c r="S27" s="87" t="s">
        <v>3371</v>
      </c>
      <c r="T27" s="88" t="s">
        <v>60</v>
      </c>
      <c r="U27" s="89" t="s">
        <v>60</v>
      </c>
      <c r="V27" s="5" t="s">
        <v>61</v>
      </c>
      <c r="W27" s="5"/>
      <c r="X27" s="6"/>
      <c r="Y27" s="5" t="s">
        <v>167</v>
      </c>
      <c r="Z27" s="5" t="s">
        <v>62</v>
      </c>
    </row>
    <row r="28" customFormat="false" ht="15" hidden="false" customHeight="true" outlineLevel="0" collapsed="false">
      <c r="A28" s="26" t="s">
        <v>264</v>
      </c>
      <c r="B28" s="27" t="s">
        <v>265</v>
      </c>
      <c r="C28" s="26" t="s">
        <v>272</v>
      </c>
      <c r="D28" s="27" t="s">
        <v>273</v>
      </c>
      <c r="E28" s="27" t="s">
        <v>48</v>
      </c>
      <c r="F28" s="26" t="s">
        <v>75</v>
      </c>
      <c r="G28" s="26" t="s">
        <v>78</v>
      </c>
      <c r="H28" s="9" t="s">
        <v>3367</v>
      </c>
      <c r="I28" s="9" t="s">
        <v>3367</v>
      </c>
      <c r="J28" s="87" t="s">
        <v>92</v>
      </c>
      <c r="K28" s="87" t="s">
        <v>445</v>
      </c>
      <c r="L28" s="87" t="n">
        <v>3.72</v>
      </c>
      <c r="M28" s="9" t="s">
        <v>58</v>
      </c>
      <c r="N28" s="87" t="s">
        <v>59</v>
      </c>
      <c r="O28" s="9" t="s">
        <v>57</v>
      </c>
      <c r="P28" s="9" t="s">
        <v>57</v>
      </c>
      <c r="Q28" s="87" t="n">
        <v>0</v>
      </c>
      <c r="R28" s="88" t="s">
        <v>60</v>
      </c>
      <c r="S28" s="87" t="s">
        <v>78</v>
      </c>
      <c r="T28" s="88" t="s">
        <v>60</v>
      </c>
      <c r="U28" s="89" t="s">
        <v>60</v>
      </c>
      <c r="V28" s="26" t="s">
        <v>92</v>
      </c>
      <c r="W28" s="26"/>
      <c r="X28" s="27"/>
      <c r="Y28" s="26" t="s">
        <v>274</v>
      </c>
      <c r="Z28" s="26" t="s">
        <v>62</v>
      </c>
    </row>
    <row r="29" customFormat="false" ht="15" hidden="false" customHeight="true" outlineLevel="0" collapsed="false">
      <c r="A29" s="26" t="s">
        <v>281</v>
      </c>
      <c r="B29" s="27" t="s">
        <v>282</v>
      </c>
      <c r="C29" s="26" t="s">
        <v>272</v>
      </c>
      <c r="D29" s="27" t="s">
        <v>289</v>
      </c>
      <c r="E29" s="27" t="s">
        <v>73</v>
      </c>
      <c r="F29" s="26" t="s">
        <v>120</v>
      </c>
      <c r="G29" s="26" t="s">
        <v>123</v>
      </c>
      <c r="H29" s="87" t="s">
        <v>92</v>
      </c>
      <c r="I29" s="87" t="s">
        <v>92</v>
      </c>
      <c r="J29" s="87" t="s">
        <v>445</v>
      </c>
      <c r="K29" s="87" t="s">
        <v>445</v>
      </c>
      <c r="L29" s="87" t="n">
        <v>3.41</v>
      </c>
      <c r="M29" s="9" t="s">
        <v>58</v>
      </c>
      <c r="N29" s="87" t="s">
        <v>59</v>
      </c>
      <c r="O29" s="9" t="s">
        <v>57</v>
      </c>
      <c r="P29" s="9" t="s">
        <v>57</v>
      </c>
      <c r="Q29" s="87" t="n">
        <v>0</v>
      </c>
      <c r="R29" s="88" t="s">
        <v>60</v>
      </c>
      <c r="S29" s="87" t="s">
        <v>123</v>
      </c>
      <c r="T29" s="88" t="s">
        <v>60</v>
      </c>
      <c r="U29" s="89" t="s">
        <v>60</v>
      </c>
      <c r="V29" s="26" t="s">
        <v>61</v>
      </c>
      <c r="W29" s="26"/>
      <c r="X29" s="27"/>
      <c r="Y29" s="26" t="s">
        <v>290</v>
      </c>
      <c r="Z29" s="26" t="s">
        <v>62</v>
      </c>
    </row>
    <row r="30" customFormat="false" ht="15" hidden="false" customHeight="true" outlineLevel="0" collapsed="false">
      <c r="A30" s="9" t="s">
        <v>296</v>
      </c>
      <c r="B30" s="10" t="s">
        <v>297</v>
      </c>
      <c r="C30" s="9" t="s">
        <v>272</v>
      </c>
      <c r="D30" s="10" t="s">
        <v>302</v>
      </c>
      <c r="E30" s="10" t="s">
        <v>73</v>
      </c>
      <c r="F30" s="9" t="s">
        <v>75</v>
      </c>
      <c r="G30" s="9" t="s">
        <v>107</v>
      </c>
      <c r="H30" s="9" t="s">
        <v>3367</v>
      </c>
      <c r="I30" s="9" t="s">
        <v>3367</v>
      </c>
      <c r="J30" s="9" t="s">
        <v>3367</v>
      </c>
      <c r="K30" s="9" t="s">
        <v>3367</v>
      </c>
      <c r="L30" s="87" t="n">
        <v>3.55</v>
      </c>
      <c r="M30" s="9" t="s">
        <v>108</v>
      </c>
      <c r="N30" s="87" t="s">
        <v>304</v>
      </c>
      <c r="O30" s="9" t="s">
        <v>57</v>
      </c>
      <c r="P30" s="9" t="s">
        <v>108</v>
      </c>
      <c r="Q30" s="87" t="n">
        <v>0</v>
      </c>
      <c r="R30" s="88" t="s">
        <v>60</v>
      </c>
      <c r="S30" s="9" t="s">
        <v>107</v>
      </c>
      <c r="T30" s="88" t="s">
        <v>60</v>
      </c>
      <c r="U30" s="89" t="s">
        <v>60</v>
      </c>
      <c r="V30" s="9" t="s">
        <v>109</v>
      </c>
      <c r="W30" s="9" t="s">
        <v>304</v>
      </c>
      <c r="X30" s="10" t="s">
        <v>110</v>
      </c>
      <c r="Y30" s="9" t="s">
        <v>303</v>
      </c>
      <c r="Z30" s="9" t="s">
        <v>62</v>
      </c>
    </row>
    <row r="31" customFormat="false" ht="15" hidden="false" customHeight="true" outlineLevel="0" collapsed="false">
      <c r="A31" s="13" t="s">
        <v>309</v>
      </c>
      <c r="B31" s="14" t="s">
        <v>310</v>
      </c>
      <c r="C31" s="13" t="s">
        <v>272</v>
      </c>
      <c r="D31" s="14" t="s">
        <v>273</v>
      </c>
      <c r="E31" s="14" t="s">
        <v>117</v>
      </c>
      <c r="F31" s="13" t="s">
        <v>120</v>
      </c>
      <c r="G31" s="13" t="s">
        <v>123</v>
      </c>
      <c r="H31" s="87" t="s">
        <v>92</v>
      </c>
      <c r="I31" s="87" t="s">
        <v>92</v>
      </c>
      <c r="J31" s="87" t="s">
        <v>445</v>
      </c>
      <c r="K31" s="87" t="s">
        <v>445</v>
      </c>
      <c r="L31" s="87" t="n">
        <v>2.81</v>
      </c>
      <c r="M31" s="21" t="s">
        <v>119</v>
      </c>
      <c r="N31" s="87" t="s">
        <v>125</v>
      </c>
      <c r="O31" s="87" t="s">
        <v>124</v>
      </c>
      <c r="P31" s="87" t="s">
        <v>124</v>
      </c>
      <c r="Q31" s="87" t="n">
        <v>35000</v>
      </c>
      <c r="R31" s="88" t="s">
        <v>60</v>
      </c>
      <c r="S31" s="87" t="s">
        <v>123</v>
      </c>
      <c r="T31" s="88" t="s">
        <v>60</v>
      </c>
      <c r="U31" s="89" t="s">
        <v>60</v>
      </c>
      <c r="V31" s="13" t="s">
        <v>126</v>
      </c>
      <c r="W31" s="13"/>
      <c r="X31" s="14"/>
      <c r="Y31" s="13" t="s">
        <v>122</v>
      </c>
      <c r="Z31" s="13" t="s">
        <v>62</v>
      </c>
    </row>
    <row r="32" customFormat="false" ht="15" hidden="false" customHeight="true" outlineLevel="0" collapsed="false">
      <c r="A32" s="26" t="s">
        <v>319</v>
      </c>
      <c r="B32" s="27" t="s">
        <v>320</v>
      </c>
      <c r="C32" s="26" t="s">
        <v>272</v>
      </c>
      <c r="D32" s="27" t="s">
        <v>302</v>
      </c>
      <c r="E32" s="27" t="s">
        <v>204</v>
      </c>
      <c r="F32" s="26" t="s">
        <v>75</v>
      </c>
      <c r="G32" s="26" t="s">
        <v>78</v>
      </c>
      <c r="H32" s="9" t="s">
        <v>3367</v>
      </c>
      <c r="I32" s="9" t="s">
        <v>3367</v>
      </c>
      <c r="J32" s="87" t="s">
        <v>92</v>
      </c>
      <c r="K32" s="87" t="s">
        <v>445</v>
      </c>
      <c r="L32" s="87" t="n">
        <v>3.65</v>
      </c>
      <c r="M32" s="9" t="s">
        <v>58</v>
      </c>
      <c r="N32" s="87" t="s">
        <v>59</v>
      </c>
      <c r="O32" s="9" t="s">
        <v>57</v>
      </c>
      <c r="P32" s="9" t="s">
        <v>57</v>
      </c>
      <c r="Q32" s="87" t="n">
        <v>0</v>
      </c>
      <c r="R32" s="88" t="s">
        <v>60</v>
      </c>
      <c r="S32" s="87" t="s">
        <v>78</v>
      </c>
      <c r="T32" s="88" t="s">
        <v>60</v>
      </c>
      <c r="U32" s="89" t="s">
        <v>60</v>
      </c>
      <c r="V32" s="26" t="s">
        <v>92</v>
      </c>
      <c r="W32" s="26"/>
      <c r="X32" s="27"/>
      <c r="Y32" s="26" t="s">
        <v>274</v>
      </c>
      <c r="Z32" s="26" t="s">
        <v>62</v>
      </c>
    </row>
    <row r="33" customFormat="false" ht="15" hidden="false" customHeight="true" outlineLevel="0" collapsed="false">
      <c r="A33" s="26" t="s">
        <v>328</v>
      </c>
      <c r="B33" s="27" t="s">
        <v>329</v>
      </c>
      <c r="C33" s="26" t="s">
        <v>272</v>
      </c>
      <c r="D33" s="27" t="s">
        <v>289</v>
      </c>
      <c r="E33" s="27" t="s">
        <v>73</v>
      </c>
      <c r="F33" s="26" t="s">
        <v>120</v>
      </c>
      <c r="G33" s="26" t="s">
        <v>123</v>
      </c>
      <c r="H33" s="87" t="s">
        <v>92</v>
      </c>
      <c r="I33" s="87" t="s">
        <v>92</v>
      </c>
      <c r="J33" s="87" t="s">
        <v>445</v>
      </c>
      <c r="K33" s="87" t="s">
        <v>445</v>
      </c>
      <c r="L33" s="87" t="n">
        <v>3.22</v>
      </c>
      <c r="M33" s="9" t="s">
        <v>58</v>
      </c>
      <c r="N33" s="87" t="s">
        <v>59</v>
      </c>
      <c r="O33" s="9" t="s">
        <v>57</v>
      </c>
      <c r="P33" s="9" t="s">
        <v>57</v>
      </c>
      <c r="Q33" s="87" t="n">
        <v>0</v>
      </c>
      <c r="R33" s="88" t="s">
        <v>60</v>
      </c>
      <c r="S33" s="87" t="s">
        <v>123</v>
      </c>
      <c r="T33" s="88" t="s">
        <v>60</v>
      </c>
      <c r="U33" s="89" t="s">
        <v>60</v>
      </c>
      <c r="V33" s="26" t="s">
        <v>61</v>
      </c>
      <c r="W33" s="26"/>
      <c r="X33" s="27"/>
      <c r="Y33" s="26" t="s">
        <v>290</v>
      </c>
      <c r="Z33" s="26" t="s">
        <v>62</v>
      </c>
    </row>
    <row r="34" customFormat="false" ht="15" hidden="false" customHeight="true" outlineLevel="0" collapsed="false">
      <c r="A34" s="29" t="s">
        <v>337</v>
      </c>
      <c r="B34" s="30" t="s">
        <v>338</v>
      </c>
      <c r="C34" s="29" t="s">
        <v>272</v>
      </c>
      <c r="D34" s="30" t="s">
        <v>342</v>
      </c>
      <c r="E34" s="30" t="s">
        <v>117</v>
      </c>
      <c r="F34" s="29" t="s">
        <v>343</v>
      </c>
      <c r="G34" s="29" t="s">
        <v>345</v>
      </c>
      <c r="H34" s="9" t="s">
        <v>3367</v>
      </c>
      <c r="I34" s="9" t="s">
        <v>3367</v>
      </c>
      <c r="J34" s="9" t="s">
        <v>3367</v>
      </c>
      <c r="K34" s="9" t="s">
        <v>3367</v>
      </c>
      <c r="L34" s="87" t="n">
        <v>3.82</v>
      </c>
      <c r="M34" s="9" t="s">
        <v>58</v>
      </c>
      <c r="N34" s="87" t="s">
        <v>59</v>
      </c>
      <c r="O34" s="9" t="s">
        <v>57</v>
      </c>
      <c r="P34" s="9" t="s">
        <v>57</v>
      </c>
      <c r="Q34" s="87" t="n">
        <v>0</v>
      </c>
      <c r="R34" s="87" t="s">
        <v>347</v>
      </c>
      <c r="S34" s="87" t="s">
        <v>347</v>
      </c>
      <c r="T34" s="87" t="s">
        <v>92</v>
      </c>
      <c r="U34" s="92" t="s">
        <v>61</v>
      </c>
      <c r="V34" s="29" t="s">
        <v>61</v>
      </c>
      <c r="W34" s="29"/>
      <c r="X34" s="30"/>
      <c r="Y34" s="29" t="s">
        <v>344</v>
      </c>
      <c r="Z34" s="29" t="s">
        <v>62</v>
      </c>
    </row>
    <row r="35" customFormat="false" ht="15" hidden="false" customHeight="true" outlineLevel="0" collapsed="false">
      <c r="A35" s="29" t="s">
        <v>354</v>
      </c>
      <c r="B35" s="30" t="s">
        <v>355</v>
      </c>
      <c r="C35" s="29" t="s">
        <v>272</v>
      </c>
      <c r="D35" s="30" t="s">
        <v>342</v>
      </c>
      <c r="E35" s="30" t="s">
        <v>48</v>
      </c>
      <c r="F35" s="29" t="s">
        <v>75</v>
      </c>
      <c r="G35" s="29" t="s">
        <v>361</v>
      </c>
      <c r="H35" s="9" t="s">
        <v>3367</v>
      </c>
      <c r="I35" s="9" t="s">
        <v>3367</v>
      </c>
      <c r="J35" s="9" t="s">
        <v>3367</v>
      </c>
      <c r="K35" s="87" t="s">
        <v>92</v>
      </c>
      <c r="L35" s="87" t="n">
        <v>3.61</v>
      </c>
      <c r="M35" s="9" t="s">
        <v>58</v>
      </c>
      <c r="N35" s="87" t="s">
        <v>59</v>
      </c>
      <c r="O35" s="9" t="s">
        <v>57</v>
      </c>
      <c r="P35" s="9" t="s">
        <v>57</v>
      </c>
      <c r="Q35" s="87" t="n">
        <v>0</v>
      </c>
      <c r="R35" s="87" t="s">
        <v>363</v>
      </c>
      <c r="S35" s="87" t="s">
        <v>363</v>
      </c>
      <c r="T35" s="87" t="s">
        <v>61</v>
      </c>
      <c r="U35" s="92" t="s">
        <v>61</v>
      </c>
      <c r="V35" s="29" t="s">
        <v>61</v>
      </c>
      <c r="W35" s="29"/>
      <c r="X35" s="30"/>
      <c r="Y35" s="29" t="s">
        <v>360</v>
      </c>
      <c r="Z35" s="29" t="s">
        <v>62</v>
      </c>
    </row>
    <row r="36" customFormat="false" ht="15" hidden="false" customHeight="true" outlineLevel="0" collapsed="false">
      <c r="A36" s="29" t="s">
        <v>370</v>
      </c>
      <c r="B36" s="30" t="s">
        <v>371</v>
      </c>
      <c r="C36" s="29" t="s">
        <v>272</v>
      </c>
      <c r="D36" s="30" t="s">
        <v>375</v>
      </c>
      <c r="E36" s="30" t="s">
        <v>134</v>
      </c>
      <c r="F36" s="29" t="s">
        <v>343</v>
      </c>
      <c r="G36" s="29" t="s">
        <v>345</v>
      </c>
      <c r="H36" s="9" t="s">
        <v>3367</v>
      </c>
      <c r="I36" s="9" t="s">
        <v>3367</v>
      </c>
      <c r="J36" s="9" t="s">
        <v>3367</v>
      </c>
      <c r="K36" s="9" t="s">
        <v>3367</v>
      </c>
      <c r="L36" s="87" t="n">
        <v>3.48</v>
      </c>
      <c r="M36" s="9" t="s">
        <v>58</v>
      </c>
      <c r="N36" s="87" t="s">
        <v>59</v>
      </c>
      <c r="O36" s="9" t="s">
        <v>57</v>
      </c>
      <c r="P36" s="9" t="s">
        <v>57</v>
      </c>
      <c r="Q36" s="87" t="n">
        <v>0</v>
      </c>
      <c r="R36" s="87" t="s">
        <v>347</v>
      </c>
      <c r="S36" s="87" t="s">
        <v>347</v>
      </c>
      <c r="T36" s="87" t="s">
        <v>92</v>
      </c>
      <c r="U36" s="92" t="s">
        <v>61</v>
      </c>
      <c r="V36" s="29" t="s">
        <v>61</v>
      </c>
      <c r="W36" s="29"/>
      <c r="X36" s="30"/>
      <c r="Y36" s="29" t="s">
        <v>344</v>
      </c>
      <c r="Z36" s="29" t="s">
        <v>62</v>
      </c>
    </row>
    <row r="37" customFormat="false" ht="15" hidden="false" customHeight="true" outlineLevel="0" collapsed="false">
      <c r="A37" s="17" t="s">
        <v>383</v>
      </c>
      <c r="B37" s="18" t="s">
        <v>384</v>
      </c>
      <c r="C37" s="17" t="s">
        <v>272</v>
      </c>
      <c r="D37" s="18" t="s">
        <v>342</v>
      </c>
      <c r="E37" s="18" t="s">
        <v>85</v>
      </c>
      <c r="F37" s="17" t="s">
        <v>75</v>
      </c>
      <c r="G37" s="17" t="s">
        <v>361</v>
      </c>
      <c r="H37" s="9" t="s">
        <v>3367</v>
      </c>
      <c r="I37" s="9" t="s">
        <v>3367</v>
      </c>
      <c r="J37" s="9" t="s">
        <v>3367</v>
      </c>
      <c r="K37" s="87" t="s">
        <v>92</v>
      </c>
      <c r="L37" s="87" t="n">
        <v>3.31</v>
      </c>
      <c r="M37" s="9" t="s">
        <v>58</v>
      </c>
      <c r="N37" s="87" t="s">
        <v>59</v>
      </c>
      <c r="O37" s="88" t="s">
        <v>160</v>
      </c>
      <c r="P37" s="88" t="s">
        <v>160</v>
      </c>
      <c r="Q37" s="87" t="n">
        <v>0</v>
      </c>
      <c r="R37" s="9" t="s">
        <v>391</v>
      </c>
      <c r="S37" s="9" t="s">
        <v>391</v>
      </c>
      <c r="T37" s="87" t="s">
        <v>61</v>
      </c>
      <c r="U37" s="92" t="s">
        <v>61</v>
      </c>
      <c r="V37" s="17" t="s">
        <v>61</v>
      </c>
      <c r="W37" s="17"/>
      <c r="X37" s="18"/>
      <c r="Y37" s="17" t="s">
        <v>389</v>
      </c>
      <c r="Z37" s="17" t="s">
        <v>62</v>
      </c>
    </row>
    <row r="38" customFormat="false" ht="15" hidden="false" customHeight="true" outlineLevel="0" collapsed="false">
      <c r="A38" s="9" t="s">
        <v>398</v>
      </c>
      <c r="B38" s="10" t="s">
        <v>399</v>
      </c>
      <c r="C38" s="9" t="s">
        <v>272</v>
      </c>
      <c r="D38" s="10" t="s">
        <v>342</v>
      </c>
      <c r="E38" s="10" t="s">
        <v>102</v>
      </c>
      <c r="F38" s="9" t="s">
        <v>88</v>
      </c>
      <c r="G38" s="9" t="s">
        <v>107</v>
      </c>
      <c r="H38" s="9" t="s">
        <v>3367</v>
      </c>
      <c r="I38" s="9" t="s">
        <v>3367</v>
      </c>
      <c r="J38" s="9" t="s">
        <v>3367</v>
      </c>
      <c r="K38" s="9" t="s">
        <v>3367</v>
      </c>
      <c r="L38" s="87" t="n">
        <v>3.91</v>
      </c>
      <c r="M38" s="9" t="s">
        <v>108</v>
      </c>
      <c r="N38" s="87" t="s">
        <v>304</v>
      </c>
      <c r="O38" s="9" t="s">
        <v>57</v>
      </c>
      <c r="P38" s="9" t="s">
        <v>108</v>
      </c>
      <c r="Q38" s="87" t="n">
        <v>0</v>
      </c>
      <c r="R38" s="9" t="s">
        <v>406</v>
      </c>
      <c r="S38" s="9" t="s">
        <v>406</v>
      </c>
      <c r="T38" s="87" t="s">
        <v>3374</v>
      </c>
      <c r="U38" s="10" t="s">
        <v>3375</v>
      </c>
      <c r="V38" s="9" t="s">
        <v>109</v>
      </c>
      <c r="W38" s="9" t="s">
        <v>304</v>
      </c>
      <c r="X38" s="10" t="s">
        <v>110</v>
      </c>
      <c r="Y38" s="9" t="s">
        <v>404</v>
      </c>
      <c r="Z38" s="9" t="s">
        <v>62</v>
      </c>
    </row>
    <row r="39" customFormat="false" ht="15" hidden="false" customHeight="true" outlineLevel="0" collapsed="false">
      <c r="A39" s="29" t="s">
        <v>412</v>
      </c>
      <c r="B39" s="30" t="s">
        <v>413</v>
      </c>
      <c r="C39" s="29" t="s">
        <v>272</v>
      </c>
      <c r="D39" s="30" t="s">
        <v>342</v>
      </c>
      <c r="E39" s="30" t="s">
        <v>48</v>
      </c>
      <c r="F39" s="29" t="s">
        <v>120</v>
      </c>
      <c r="G39" s="29" t="s">
        <v>418</v>
      </c>
      <c r="H39" s="9" t="s">
        <v>3367</v>
      </c>
      <c r="I39" s="87" t="s">
        <v>92</v>
      </c>
      <c r="J39" s="87" t="s">
        <v>445</v>
      </c>
      <c r="K39" s="87" t="s">
        <v>445</v>
      </c>
      <c r="L39" s="87" t="n">
        <v>3.52</v>
      </c>
      <c r="M39" s="9" t="s">
        <v>58</v>
      </c>
      <c r="N39" s="87" t="s">
        <v>59</v>
      </c>
      <c r="O39" s="9" t="s">
        <v>57</v>
      </c>
      <c r="P39" s="9" t="s">
        <v>57</v>
      </c>
      <c r="Q39" s="87" t="n">
        <v>0</v>
      </c>
      <c r="R39" s="87" t="s">
        <v>420</v>
      </c>
      <c r="S39" s="87" t="s">
        <v>420</v>
      </c>
      <c r="T39" s="87" t="s">
        <v>3374</v>
      </c>
      <c r="U39" s="92" t="s">
        <v>61</v>
      </c>
      <c r="V39" s="29" t="s">
        <v>61</v>
      </c>
      <c r="W39" s="29"/>
      <c r="X39" s="30"/>
      <c r="Y39" s="29" t="s">
        <v>417</v>
      </c>
      <c r="Z39" s="29" t="s">
        <v>62</v>
      </c>
    </row>
    <row r="40" customFormat="false" ht="15" hidden="false" customHeight="true" outlineLevel="0" collapsed="false">
      <c r="A40" s="1" t="s">
        <v>425</v>
      </c>
      <c r="B40" s="1" t="s">
        <v>426</v>
      </c>
      <c r="C40" s="1" t="s">
        <v>272</v>
      </c>
      <c r="D40" s="1" t="s">
        <v>430</v>
      </c>
      <c r="E40" s="1" t="s">
        <v>48</v>
      </c>
      <c r="F40" s="28" t="n">
        <v>45175</v>
      </c>
      <c r="G40" s="1" t="s">
        <v>345</v>
      </c>
      <c r="H40" s="1" t="s">
        <v>3376</v>
      </c>
      <c r="I40" s="1" t="s">
        <v>3376</v>
      </c>
      <c r="J40" s="1" t="s">
        <v>3376</v>
      </c>
      <c r="K40" s="1" t="s">
        <v>92</v>
      </c>
      <c r="L40" s="1" t="n">
        <v>3.88</v>
      </c>
      <c r="M40" s="1" t="s">
        <v>58</v>
      </c>
      <c r="N40" s="28" t="n">
        <v>45306</v>
      </c>
      <c r="O40" s="1" t="s">
        <v>57</v>
      </c>
      <c r="P40" s="1" t="s">
        <v>57</v>
      </c>
      <c r="Q40" s="1" t="n">
        <v>0</v>
      </c>
      <c r="R40" s="1" t="s">
        <v>3377</v>
      </c>
      <c r="S40" s="1" t="s">
        <v>3378</v>
      </c>
      <c r="T40" s="1" t="s">
        <v>61</v>
      </c>
      <c r="U40" s="1" t="s">
        <v>61</v>
      </c>
      <c r="V40" s="1" t="s">
        <v>61</v>
      </c>
      <c r="Y40" s="1" t="s">
        <v>431</v>
      </c>
      <c r="Z40" s="1" t="s">
        <v>62</v>
      </c>
    </row>
    <row r="41" customFormat="false" ht="15" hidden="false" customHeight="true" outlineLevel="0" collapsed="false">
      <c r="A41" s="1" t="s">
        <v>438</v>
      </c>
      <c r="B41" s="1" t="s">
        <v>439</v>
      </c>
      <c r="C41" s="1" t="s">
        <v>272</v>
      </c>
      <c r="D41" s="1" t="s">
        <v>430</v>
      </c>
      <c r="E41" s="1" t="s">
        <v>102</v>
      </c>
      <c r="F41" s="28" t="n">
        <v>45176</v>
      </c>
      <c r="G41" s="1" t="s">
        <v>443</v>
      </c>
      <c r="H41" s="1" t="s">
        <v>3376</v>
      </c>
      <c r="I41" s="1" t="s">
        <v>3376</v>
      </c>
      <c r="J41" s="1" t="s">
        <v>3376</v>
      </c>
      <c r="K41" s="1" t="s">
        <v>3376</v>
      </c>
      <c r="L41" s="1" t="n">
        <v>3.71</v>
      </c>
      <c r="M41" s="1" t="s">
        <v>58</v>
      </c>
      <c r="N41" s="28" t="n">
        <v>45306</v>
      </c>
      <c r="O41" s="1" t="s">
        <v>57</v>
      </c>
      <c r="P41" s="1" t="s">
        <v>57</v>
      </c>
      <c r="Q41" s="1" t="n">
        <v>0</v>
      </c>
      <c r="R41" s="1" t="s">
        <v>3377</v>
      </c>
      <c r="S41" s="1" t="s">
        <v>3379</v>
      </c>
      <c r="T41" s="1" t="s">
        <v>3380</v>
      </c>
      <c r="U41" s="1" t="s">
        <v>61</v>
      </c>
      <c r="V41" s="1" t="s">
        <v>61</v>
      </c>
      <c r="Y41" s="1" t="s">
        <v>442</v>
      </c>
      <c r="Z41" s="1" t="s">
        <v>62</v>
      </c>
    </row>
    <row r="42" customFormat="false" ht="15" hidden="false" customHeight="true" outlineLevel="0" collapsed="false">
      <c r="A42" s="1" t="s">
        <v>451</v>
      </c>
      <c r="B42" s="1" t="s">
        <v>452</v>
      </c>
      <c r="C42" s="1" t="s">
        <v>272</v>
      </c>
      <c r="D42" s="1" t="s">
        <v>430</v>
      </c>
      <c r="E42" s="1" t="s">
        <v>73</v>
      </c>
      <c r="F42" s="28" t="n">
        <v>45173</v>
      </c>
      <c r="G42" s="1" t="s">
        <v>418</v>
      </c>
      <c r="H42" s="1" t="s">
        <v>3376</v>
      </c>
      <c r="I42" s="1" t="s">
        <v>92</v>
      </c>
      <c r="J42" s="1" t="s">
        <v>445</v>
      </c>
      <c r="K42" s="1" t="s">
        <v>445</v>
      </c>
      <c r="L42" s="1" t="n">
        <v>3.65</v>
      </c>
      <c r="M42" s="1" t="s">
        <v>58</v>
      </c>
      <c r="N42" s="28" t="n">
        <v>45306</v>
      </c>
      <c r="O42" s="1" t="s">
        <v>57</v>
      </c>
      <c r="P42" s="1" t="s">
        <v>57</v>
      </c>
      <c r="Q42" s="1" t="n">
        <v>0</v>
      </c>
      <c r="R42" s="1" t="s">
        <v>3381</v>
      </c>
      <c r="S42" s="1" t="s">
        <v>3382</v>
      </c>
      <c r="T42" s="1" t="s">
        <v>61</v>
      </c>
      <c r="U42" s="1" t="s">
        <v>61</v>
      </c>
      <c r="V42" s="1" t="s">
        <v>61</v>
      </c>
      <c r="Y42" s="1" t="s">
        <v>456</v>
      </c>
      <c r="Z42" s="1" t="s">
        <v>62</v>
      </c>
    </row>
    <row r="43" customFormat="false" ht="15" hidden="false" customHeight="true" outlineLevel="0" collapsed="false">
      <c r="A43" s="1" t="s">
        <v>464</v>
      </c>
      <c r="B43" s="1" t="s">
        <v>465</v>
      </c>
      <c r="C43" s="1" t="s">
        <v>272</v>
      </c>
      <c r="D43" s="1" t="s">
        <v>430</v>
      </c>
      <c r="E43" s="1" t="s">
        <v>117</v>
      </c>
      <c r="F43" s="28" t="n">
        <v>45540</v>
      </c>
      <c r="G43" s="1" t="s">
        <v>361</v>
      </c>
      <c r="H43" s="1" t="s">
        <v>3376</v>
      </c>
      <c r="I43" s="1" t="s">
        <v>3376</v>
      </c>
      <c r="J43" s="1" t="s">
        <v>92</v>
      </c>
      <c r="K43" s="1" t="s">
        <v>445</v>
      </c>
      <c r="L43" s="1" t="n">
        <v>3.42</v>
      </c>
      <c r="M43" s="1" t="s">
        <v>58</v>
      </c>
      <c r="N43" s="28" t="n">
        <v>45306</v>
      </c>
      <c r="O43" s="1" t="s">
        <v>57</v>
      </c>
      <c r="P43" s="1" t="s">
        <v>57</v>
      </c>
      <c r="Q43" s="1" t="n">
        <v>0</v>
      </c>
      <c r="R43" s="1" t="s">
        <v>3383</v>
      </c>
      <c r="S43" s="1" t="s">
        <v>3384</v>
      </c>
      <c r="T43" s="1" t="s">
        <v>61</v>
      </c>
      <c r="U43" s="1" t="s">
        <v>61</v>
      </c>
      <c r="V43" s="1" t="s">
        <v>61</v>
      </c>
      <c r="Y43" s="1" t="s">
        <v>468</v>
      </c>
      <c r="Z43" s="1" t="s">
        <v>62</v>
      </c>
    </row>
    <row r="44" customFormat="false" ht="21.75" hidden="false" customHeight="true" outlineLevel="0" collapsed="false">
      <c r="A44" s="5" t="s">
        <v>476</v>
      </c>
      <c r="B44" s="6" t="s">
        <v>477</v>
      </c>
      <c r="C44" s="5" t="s">
        <v>54</v>
      </c>
      <c r="D44" s="6" t="s">
        <v>46</v>
      </c>
      <c r="E44" s="6" t="s">
        <v>481</v>
      </c>
      <c r="F44" s="5" t="s">
        <v>483</v>
      </c>
      <c r="G44" s="5" t="s">
        <v>56</v>
      </c>
      <c r="H44" s="9" t="s">
        <v>3367</v>
      </c>
      <c r="I44" s="9" t="s">
        <v>3367</v>
      </c>
      <c r="J44" s="9" t="s">
        <v>3367</v>
      </c>
      <c r="K44" s="87" t="s">
        <v>92</v>
      </c>
      <c r="L44" s="87" t="n">
        <v>3.71</v>
      </c>
      <c r="M44" s="9" t="s">
        <v>58</v>
      </c>
      <c r="N44" s="87" t="s">
        <v>59</v>
      </c>
      <c r="O44" s="9" t="s">
        <v>57</v>
      </c>
      <c r="P44" s="9" t="s">
        <v>57</v>
      </c>
      <c r="Q44" s="87" t="n">
        <v>0</v>
      </c>
      <c r="R44" s="88" t="s">
        <v>60</v>
      </c>
      <c r="S44" s="87" t="s">
        <v>3368</v>
      </c>
      <c r="T44" s="88" t="s">
        <v>60</v>
      </c>
      <c r="U44" s="89" t="s">
        <v>60</v>
      </c>
      <c r="V44" s="5" t="s">
        <v>61</v>
      </c>
      <c r="W44" s="5"/>
      <c r="X44" s="6"/>
      <c r="Y44" s="5" t="s">
        <v>55</v>
      </c>
      <c r="Z44" s="5" t="s">
        <v>484</v>
      </c>
    </row>
    <row r="45" customFormat="false" ht="21.75" hidden="false" customHeight="true" outlineLevel="0" collapsed="false">
      <c r="A45" s="5" t="s">
        <v>485</v>
      </c>
      <c r="B45" s="6" t="s">
        <v>486</v>
      </c>
      <c r="C45" s="5" t="s">
        <v>54</v>
      </c>
      <c r="D45" s="6" t="s">
        <v>46</v>
      </c>
      <c r="E45" s="6" t="s">
        <v>491</v>
      </c>
      <c r="F45" s="5" t="s">
        <v>493</v>
      </c>
      <c r="G45" s="5" t="s">
        <v>78</v>
      </c>
      <c r="H45" s="9" t="s">
        <v>3367</v>
      </c>
      <c r="I45" s="9" t="s">
        <v>3367</v>
      </c>
      <c r="J45" s="9" t="s">
        <v>3367</v>
      </c>
      <c r="K45" s="87" t="s">
        <v>445</v>
      </c>
      <c r="L45" s="87" t="n">
        <v>3.18</v>
      </c>
      <c r="M45" s="9" t="s">
        <v>58</v>
      </c>
      <c r="N45" s="87" t="s">
        <v>59</v>
      </c>
      <c r="O45" s="9" t="s">
        <v>57</v>
      </c>
      <c r="P45" s="9" t="s">
        <v>57</v>
      </c>
      <c r="Q45" s="87" t="n">
        <v>0</v>
      </c>
      <c r="R45" s="88" t="s">
        <v>60</v>
      </c>
      <c r="S45" s="87" t="s">
        <v>3369</v>
      </c>
      <c r="T45" s="88" t="s">
        <v>60</v>
      </c>
      <c r="U45" s="89" t="s">
        <v>60</v>
      </c>
      <c r="V45" s="5" t="s">
        <v>61</v>
      </c>
      <c r="W45" s="5"/>
      <c r="X45" s="6"/>
      <c r="Y45" s="5" t="s">
        <v>77</v>
      </c>
      <c r="Z45" s="5" t="s">
        <v>484</v>
      </c>
    </row>
    <row r="46" customFormat="false" ht="21.75" hidden="false" customHeight="true" outlineLevel="0" collapsed="false">
      <c r="A46" s="5" t="s">
        <v>494</v>
      </c>
      <c r="B46" s="6" t="s">
        <v>495</v>
      </c>
      <c r="C46" s="5" t="s">
        <v>54</v>
      </c>
      <c r="D46" s="6" t="s">
        <v>46</v>
      </c>
      <c r="E46" s="6" t="s">
        <v>499</v>
      </c>
      <c r="F46" s="5" t="s">
        <v>501</v>
      </c>
      <c r="G46" s="5" t="s">
        <v>91</v>
      </c>
      <c r="H46" s="9" t="s">
        <v>3367</v>
      </c>
      <c r="I46" s="9" t="s">
        <v>3367</v>
      </c>
      <c r="J46" s="9" t="s">
        <v>3367</v>
      </c>
      <c r="K46" s="9" t="s">
        <v>3367</v>
      </c>
      <c r="L46" s="87" t="n">
        <v>3.49</v>
      </c>
      <c r="M46" s="9" t="s">
        <v>58</v>
      </c>
      <c r="N46" s="87" t="s">
        <v>59</v>
      </c>
      <c r="O46" s="9" t="s">
        <v>57</v>
      </c>
      <c r="P46" s="9" t="s">
        <v>57</v>
      </c>
      <c r="Q46" s="87" t="n">
        <v>0</v>
      </c>
      <c r="R46" s="88" t="s">
        <v>60</v>
      </c>
      <c r="S46" s="87" t="s">
        <v>3370</v>
      </c>
      <c r="T46" s="88" t="s">
        <v>60</v>
      </c>
      <c r="U46" s="89" t="s">
        <v>60</v>
      </c>
      <c r="V46" s="87" t="s">
        <v>92</v>
      </c>
      <c r="W46" s="5"/>
      <c r="X46" s="6"/>
      <c r="Y46" s="5" t="s">
        <v>90</v>
      </c>
      <c r="Z46" s="5" t="s">
        <v>484</v>
      </c>
    </row>
    <row r="47" customFormat="false" ht="21.75" hidden="false" customHeight="true" outlineLevel="0" collapsed="false">
      <c r="A47" s="5" t="s">
        <v>504</v>
      </c>
      <c r="B47" s="6" t="s">
        <v>505</v>
      </c>
      <c r="C47" s="5" t="s">
        <v>54</v>
      </c>
      <c r="D47" s="6" t="s">
        <v>46</v>
      </c>
      <c r="E47" s="6" t="s">
        <v>509</v>
      </c>
      <c r="F47" s="5" t="s">
        <v>511</v>
      </c>
      <c r="G47" s="5" t="s">
        <v>107</v>
      </c>
      <c r="H47" s="9" t="s">
        <v>3367</v>
      </c>
      <c r="I47" s="9" t="s">
        <v>3367</v>
      </c>
      <c r="J47" s="9" t="s">
        <v>3367</v>
      </c>
      <c r="K47" s="9" t="s">
        <v>3367</v>
      </c>
      <c r="L47" s="87" t="n">
        <v>3.92</v>
      </c>
      <c r="M47" s="9" t="s">
        <v>108</v>
      </c>
      <c r="N47" s="87" t="s">
        <v>59</v>
      </c>
      <c r="O47" s="9" t="s">
        <v>57</v>
      </c>
      <c r="P47" s="9" t="s">
        <v>108</v>
      </c>
      <c r="Q47" s="87" t="n">
        <v>0</v>
      </c>
      <c r="R47" s="88" t="s">
        <v>60</v>
      </c>
      <c r="S47" s="87" t="s">
        <v>3370</v>
      </c>
      <c r="T47" s="88" t="s">
        <v>60</v>
      </c>
      <c r="U47" s="89" t="s">
        <v>60</v>
      </c>
      <c r="V47" s="9" t="s">
        <v>109</v>
      </c>
      <c r="W47" s="5" t="s">
        <v>59</v>
      </c>
      <c r="X47" s="6" t="s">
        <v>110</v>
      </c>
      <c r="Y47" s="5" t="s">
        <v>106</v>
      </c>
      <c r="Z47" s="5" t="s">
        <v>484</v>
      </c>
    </row>
    <row r="48" customFormat="false" ht="21.75" hidden="false" customHeight="true" outlineLevel="0" collapsed="false">
      <c r="A48" s="5" t="s">
        <v>512</v>
      </c>
      <c r="B48" s="6" t="s">
        <v>513</v>
      </c>
      <c r="C48" s="5" t="s">
        <v>54</v>
      </c>
      <c r="D48" s="6" t="s">
        <v>46</v>
      </c>
      <c r="E48" s="6" t="s">
        <v>499</v>
      </c>
      <c r="F48" s="5" t="s">
        <v>519</v>
      </c>
      <c r="G48" s="5" t="s">
        <v>123</v>
      </c>
      <c r="H48" s="87" t="s">
        <v>92</v>
      </c>
      <c r="I48" s="87" t="s">
        <v>92</v>
      </c>
      <c r="J48" s="87" t="s">
        <v>445</v>
      </c>
      <c r="K48" s="87" t="s">
        <v>445</v>
      </c>
      <c r="L48" s="87" t="n">
        <v>2.38</v>
      </c>
      <c r="M48" s="9" t="s">
        <v>119</v>
      </c>
      <c r="N48" s="87" t="s">
        <v>125</v>
      </c>
      <c r="O48" s="9" t="s">
        <v>124</v>
      </c>
      <c r="P48" s="9" t="s">
        <v>124</v>
      </c>
      <c r="Q48" s="87" t="n">
        <v>35000</v>
      </c>
      <c r="R48" s="88" t="s">
        <v>60</v>
      </c>
      <c r="S48" s="87" t="s">
        <v>3371</v>
      </c>
      <c r="T48" s="88" t="s">
        <v>60</v>
      </c>
      <c r="U48" s="89" t="s">
        <v>60</v>
      </c>
      <c r="V48" s="13" t="s">
        <v>126</v>
      </c>
      <c r="W48" s="5"/>
      <c r="X48" s="6"/>
      <c r="Y48" s="5" t="s">
        <v>122</v>
      </c>
      <c r="Z48" s="5" t="s">
        <v>484</v>
      </c>
    </row>
    <row r="49" customFormat="false" ht="21.75" hidden="false" customHeight="true" outlineLevel="0" collapsed="false">
      <c r="A49" s="5" t="s">
        <v>520</v>
      </c>
      <c r="B49" s="6" t="s">
        <v>521</v>
      </c>
      <c r="C49" s="5" t="s">
        <v>54</v>
      </c>
      <c r="D49" s="6" t="s">
        <v>46</v>
      </c>
      <c r="E49" s="6" t="s">
        <v>481</v>
      </c>
      <c r="F49" s="5" t="s">
        <v>483</v>
      </c>
      <c r="G49" s="5" t="s">
        <v>56</v>
      </c>
      <c r="H49" s="9" t="s">
        <v>3367</v>
      </c>
      <c r="I49" s="9" t="s">
        <v>3367</v>
      </c>
      <c r="J49" s="9" t="s">
        <v>3367</v>
      </c>
      <c r="K49" s="87" t="s">
        <v>92</v>
      </c>
      <c r="L49" s="87" t="n">
        <v>3.27</v>
      </c>
      <c r="M49" s="9" t="s">
        <v>58</v>
      </c>
      <c r="N49" s="87" t="s">
        <v>59</v>
      </c>
      <c r="O49" s="9" t="s">
        <v>57</v>
      </c>
      <c r="P49" s="9" t="s">
        <v>57</v>
      </c>
      <c r="Q49" s="87" t="n">
        <v>0</v>
      </c>
      <c r="R49" s="88" t="s">
        <v>60</v>
      </c>
      <c r="S49" s="87" t="s">
        <v>3368</v>
      </c>
      <c r="T49" s="88" t="s">
        <v>60</v>
      </c>
      <c r="U49" s="89" t="s">
        <v>60</v>
      </c>
      <c r="V49" s="5" t="s">
        <v>61</v>
      </c>
      <c r="W49" s="5"/>
      <c r="X49" s="6"/>
      <c r="Y49" s="5" t="s">
        <v>55</v>
      </c>
      <c r="Z49" s="5" t="s">
        <v>484</v>
      </c>
    </row>
    <row r="50" customFormat="false" ht="21.75" hidden="false" customHeight="true" outlineLevel="0" collapsed="false">
      <c r="A50" s="5" t="s">
        <v>526</v>
      </c>
      <c r="B50" s="6" t="s">
        <v>527</v>
      </c>
      <c r="C50" s="5" t="s">
        <v>54</v>
      </c>
      <c r="D50" s="6" t="s">
        <v>46</v>
      </c>
      <c r="E50" s="6" t="s">
        <v>532</v>
      </c>
      <c r="F50" s="5" t="s">
        <v>493</v>
      </c>
      <c r="G50" s="5" t="s">
        <v>78</v>
      </c>
      <c r="H50" s="9" t="s">
        <v>3367</v>
      </c>
      <c r="I50" s="9" t="s">
        <v>3367</v>
      </c>
      <c r="J50" s="9" t="s">
        <v>3367</v>
      </c>
      <c r="K50" s="87" t="s">
        <v>445</v>
      </c>
      <c r="L50" s="87" t="n">
        <v>3.61</v>
      </c>
      <c r="M50" s="9" t="s">
        <v>58</v>
      </c>
      <c r="N50" s="87" t="s">
        <v>59</v>
      </c>
      <c r="O50" s="9" t="s">
        <v>57</v>
      </c>
      <c r="P50" s="9" t="s">
        <v>57</v>
      </c>
      <c r="Q50" s="87" t="n">
        <v>0</v>
      </c>
      <c r="R50" s="88" t="s">
        <v>60</v>
      </c>
      <c r="S50" s="87" t="s">
        <v>3369</v>
      </c>
      <c r="T50" s="88" t="s">
        <v>60</v>
      </c>
      <c r="U50" s="89" t="s">
        <v>60</v>
      </c>
      <c r="V50" s="5" t="s">
        <v>61</v>
      </c>
      <c r="W50" s="5"/>
      <c r="X50" s="6"/>
      <c r="Y50" s="5" t="s">
        <v>77</v>
      </c>
      <c r="Z50" s="5" t="s">
        <v>484</v>
      </c>
    </row>
    <row r="51" customFormat="false" ht="21.75" hidden="false" customHeight="true" outlineLevel="0" collapsed="false">
      <c r="A51" s="5" t="s">
        <v>534</v>
      </c>
      <c r="B51" s="6" t="s">
        <v>535</v>
      </c>
      <c r="C51" s="5" t="s">
        <v>54</v>
      </c>
      <c r="D51" s="6" t="s">
        <v>46</v>
      </c>
      <c r="E51" s="6" t="s">
        <v>491</v>
      </c>
      <c r="F51" s="5" t="s">
        <v>501</v>
      </c>
      <c r="G51" s="5" t="s">
        <v>91</v>
      </c>
      <c r="H51" s="9" t="s">
        <v>3367</v>
      </c>
      <c r="I51" s="9" t="s">
        <v>3367</v>
      </c>
      <c r="J51" s="9" t="s">
        <v>3367</v>
      </c>
      <c r="K51" s="9" t="s">
        <v>3367</v>
      </c>
      <c r="L51" s="87" t="n">
        <v>3.15</v>
      </c>
      <c r="M51" s="9" t="s">
        <v>58</v>
      </c>
      <c r="N51" s="87" t="s">
        <v>59</v>
      </c>
      <c r="O51" s="9" t="s">
        <v>57</v>
      </c>
      <c r="P51" s="9" t="s">
        <v>57</v>
      </c>
      <c r="Q51" s="87" t="n">
        <v>0</v>
      </c>
      <c r="R51" s="88" t="s">
        <v>60</v>
      </c>
      <c r="S51" s="87" t="s">
        <v>3370</v>
      </c>
      <c r="T51" s="88" t="s">
        <v>60</v>
      </c>
      <c r="U51" s="89" t="s">
        <v>60</v>
      </c>
      <c r="V51" s="87" t="s">
        <v>92</v>
      </c>
      <c r="W51" s="5"/>
      <c r="X51" s="6"/>
      <c r="Y51" s="5" t="s">
        <v>90</v>
      </c>
      <c r="Z51" s="5" t="s">
        <v>484</v>
      </c>
    </row>
    <row r="52" customFormat="false" ht="21.75" hidden="false" customHeight="true" outlineLevel="0" collapsed="false">
      <c r="A52" s="5" t="s">
        <v>540</v>
      </c>
      <c r="B52" s="6" t="s">
        <v>541</v>
      </c>
      <c r="C52" s="5" t="s">
        <v>54</v>
      </c>
      <c r="D52" s="6" t="s">
        <v>46</v>
      </c>
      <c r="E52" s="6" t="s">
        <v>509</v>
      </c>
      <c r="F52" s="5" t="s">
        <v>343</v>
      </c>
      <c r="G52" s="5" t="s">
        <v>56</v>
      </c>
      <c r="H52" s="9" t="s">
        <v>3367</v>
      </c>
      <c r="I52" s="9" t="s">
        <v>3367</v>
      </c>
      <c r="J52" s="9" t="s">
        <v>3367</v>
      </c>
      <c r="K52" s="87" t="s">
        <v>92</v>
      </c>
      <c r="L52" s="87" t="n">
        <v>2.73</v>
      </c>
      <c r="M52" s="9" t="s">
        <v>58</v>
      </c>
      <c r="N52" s="87" t="s">
        <v>59</v>
      </c>
      <c r="O52" s="9" t="s">
        <v>160</v>
      </c>
      <c r="P52" s="9" t="s">
        <v>160</v>
      </c>
      <c r="Q52" s="87" t="n">
        <v>0</v>
      </c>
      <c r="R52" s="88" t="s">
        <v>60</v>
      </c>
      <c r="S52" s="87" t="s">
        <v>3368</v>
      </c>
      <c r="T52" s="88" t="s">
        <v>60</v>
      </c>
      <c r="U52" s="89" t="s">
        <v>60</v>
      </c>
      <c r="V52" s="5" t="s">
        <v>61</v>
      </c>
      <c r="W52" s="5"/>
      <c r="X52" s="6"/>
      <c r="Y52" s="5" t="s">
        <v>159</v>
      </c>
      <c r="Z52" s="5" t="s">
        <v>484</v>
      </c>
    </row>
    <row r="53" customFormat="false" ht="21.75" hidden="false" customHeight="true" outlineLevel="0" collapsed="false">
      <c r="A53" s="5" t="s">
        <v>546</v>
      </c>
      <c r="B53" s="6" t="s">
        <v>547</v>
      </c>
      <c r="C53" s="5" t="s">
        <v>54</v>
      </c>
      <c r="D53" s="6" t="s">
        <v>46</v>
      </c>
      <c r="E53" s="6" t="s">
        <v>499</v>
      </c>
      <c r="F53" s="5" t="s">
        <v>519</v>
      </c>
      <c r="G53" s="5" t="s">
        <v>123</v>
      </c>
      <c r="H53" s="87" t="s">
        <v>92</v>
      </c>
      <c r="I53" s="87" t="s">
        <v>92</v>
      </c>
      <c r="J53" s="87" t="s">
        <v>445</v>
      </c>
      <c r="K53" s="87" t="s">
        <v>445</v>
      </c>
      <c r="L53" s="87" t="n">
        <v>3.38</v>
      </c>
      <c r="M53" s="9" t="s">
        <v>58</v>
      </c>
      <c r="N53" s="87" t="s">
        <v>59</v>
      </c>
      <c r="O53" s="9" t="s">
        <v>57</v>
      </c>
      <c r="P53" s="9" t="s">
        <v>57</v>
      </c>
      <c r="Q53" s="87" t="n">
        <v>0</v>
      </c>
      <c r="R53" s="88" t="s">
        <v>60</v>
      </c>
      <c r="S53" s="87" t="s">
        <v>3371</v>
      </c>
      <c r="T53" s="88" t="s">
        <v>60</v>
      </c>
      <c r="U53" s="89" t="s">
        <v>60</v>
      </c>
      <c r="V53" s="5" t="s">
        <v>61</v>
      </c>
      <c r="W53" s="5"/>
      <c r="X53" s="6"/>
      <c r="Y53" s="5" t="s">
        <v>167</v>
      </c>
      <c r="Z53" s="5" t="s">
        <v>484</v>
      </c>
    </row>
    <row r="54" customFormat="false" ht="21.75" hidden="false" customHeight="true" outlineLevel="0" collapsed="false">
      <c r="A54" s="5" t="s">
        <v>552</v>
      </c>
      <c r="B54" s="6" t="s">
        <v>553</v>
      </c>
      <c r="C54" s="5" t="s">
        <v>54</v>
      </c>
      <c r="D54" s="6" t="s">
        <v>46</v>
      </c>
      <c r="E54" s="6" t="s">
        <v>481</v>
      </c>
      <c r="F54" s="5" t="s">
        <v>558</v>
      </c>
      <c r="G54" s="5" t="s">
        <v>78</v>
      </c>
      <c r="H54" s="9" t="s">
        <v>3367</v>
      </c>
      <c r="I54" s="9" t="s">
        <v>3367</v>
      </c>
      <c r="J54" s="9" t="s">
        <v>3367</v>
      </c>
      <c r="K54" s="87" t="s">
        <v>445</v>
      </c>
      <c r="L54" s="87" t="n">
        <v>3.02</v>
      </c>
      <c r="M54" s="9" t="s">
        <v>58</v>
      </c>
      <c r="N54" s="87" t="s">
        <v>59</v>
      </c>
      <c r="O54" s="9" t="s">
        <v>57</v>
      </c>
      <c r="P54" s="9" t="s">
        <v>57</v>
      </c>
      <c r="Q54" s="87" t="n">
        <v>0</v>
      </c>
      <c r="R54" s="88" t="s">
        <v>60</v>
      </c>
      <c r="S54" s="87" t="s">
        <v>3369</v>
      </c>
      <c r="T54" s="88" t="s">
        <v>60</v>
      </c>
      <c r="U54" s="89" t="s">
        <v>60</v>
      </c>
      <c r="V54" s="5" t="s">
        <v>61</v>
      </c>
      <c r="W54" s="5"/>
      <c r="X54" s="6"/>
      <c r="Y54" s="5" t="s">
        <v>77</v>
      </c>
      <c r="Z54" s="5" t="s">
        <v>484</v>
      </c>
    </row>
    <row r="55" customFormat="false" ht="21.75" hidden="false" customHeight="true" outlineLevel="0" collapsed="false">
      <c r="A55" s="5" t="s">
        <v>559</v>
      </c>
      <c r="B55" s="6" t="s">
        <v>560</v>
      </c>
      <c r="C55" s="5" t="s">
        <v>54</v>
      </c>
      <c r="D55" s="6" t="s">
        <v>46</v>
      </c>
      <c r="E55" s="6" t="s">
        <v>491</v>
      </c>
      <c r="F55" s="5" t="s">
        <v>564</v>
      </c>
      <c r="G55" s="5" t="s">
        <v>107</v>
      </c>
      <c r="H55" s="9" t="s">
        <v>3367</v>
      </c>
      <c r="I55" s="9" t="s">
        <v>3367</v>
      </c>
      <c r="J55" s="9" t="s">
        <v>3367</v>
      </c>
      <c r="K55" s="9" t="s">
        <v>3367</v>
      </c>
      <c r="L55" s="87" t="n">
        <v>2.58</v>
      </c>
      <c r="M55" s="9" t="s">
        <v>108</v>
      </c>
      <c r="N55" s="87" t="s">
        <v>59</v>
      </c>
      <c r="O55" s="9" t="s">
        <v>57</v>
      </c>
      <c r="P55" s="9" t="s">
        <v>108</v>
      </c>
      <c r="Q55" s="87" t="n">
        <v>0</v>
      </c>
      <c r="R55" s="88" t="s">
        <v>60</v>
      </c>
      <c r="S55" s="87" t="s">
        <v>3370</v>
      </c>
      <c r="T55" s="88" t="s">
        <v>60</v>
      </c>
      <c r="U55" s="89" t="s">
        <v>60</v>
      </c>
      <c r="V55" s="9" t="s">
        <v>109</v>
      </c>
      <c r="W55" s="5" t="s">
        <v>59</v>
      </c>
      <c r="X55" s="6" t="s">
        <v>110</v>
      </c>
      <c r="Y55" s="5" t="s">
        <v>106</v>
      </c>
      <c r="Z55" s="5" t="s">
        <v>484</v>
      </c>
    </row>
    <row r="56" customFormat="false" ht="21.75" hidden="false" customHeight="true" outlineLevel="0" collapsed="false">
      <c r="A56" s="5" t="s">
        <v>565</v>
      </c>
      <c r="B56" s="6" t="s">
        <v>566</v>
      </c>
      <c r="C56" s="5" t="s">
        <v>54</v>
      </c>
      <c r="D56" s="6" t="s">
        <v>46</v>
      </c>
      <c r="E56" s="6" t="s">
        <v>499</v>
      </c>
      <c r="F56" s="5" t="s">
        <v>52</v>
      </c>
      <c r="G56" s="5" t="s">
        <v>56</v>
      </c>
      <c r="H56" s="9" t="s">
        <v>3367</v>
      </c>
      <c r="I56" s="9" t="s">
        <v>3367</v>
      </c>
      <c r="J56" s="9" t="s">
        <v>3367</v>
      </c>
      <c r="K56" s="87" t="s">
        <v>92</v>
      </c>
      <c r="L56" s="87" t="n">
        <v>3.55</v>
      </c>
      <c r="M56" s="9" t="s">
        <v>58</v>
      </c>
      <c r="N56" s="87" t="s">
        <v>59</v>
      </c>
      <c r="O56" s="9" t="s">
        <v>57</v>
      </c>
      <c r="P56" s="9" t="s">
        <v>57</v>
      </c>
      <c r="Q56" s="87" t="n">
        <v>0</v>
      </c>
      <c r="R56" s="88" t="s">
        <v>60</v>
      </c>
      <c r="S56" s="87" t="s">
        <v>3368</v>
      </c>
      <c r="T56" s="88" t="s">
        <v>60</v>
      </c>
      <c r="U56" s="89" t="s">
        <v>60</v>
      </c>
      <c r="V56" s="5" t="s">
        <v>61</v>
      </c>
      <c r="W56" s="5"/>
      <c r="X56" s="6"/>
      <c r="Y56" s="5" t="s">
        <v>55</v>
      </c>
      <c r="Z56" s="5" t="s">
        <v>484</v>
      </c>
    </row>
    <row r="57" customFormat="false" ht="21.75" hidden="false" customHeight="true" outlineLevel="0" collapsed="false">
      <c r="A57" s="5" t="s">
        <v>571</v>
      </c>
      <c r="B57" s="6" t="s">
        <v>572</v>
      </c>
      <c r="C57" s="5" t="s">
        <v>54</v>
      </c>
      <c r="D57" s="6" t="s">
        <v>46</v>
      </c>
      <c r="E57" s="6" t="s">
        <v>532</v>
      </c>
      <c r="F57" s="5" t="s">
        <v>511</v>
      </c>
      <c r="G57" s="5" t="s">
        <v>91</v>
      </c>
      <c r="H57" s="9" t="s">
        <v>3367</v>
      </c>
      <c r="I57" s="9" t="s">
        <v>3367</v>
      </c>
      <c r="J57" s="9" t="s">
        <v>3367</v>
      </c>
      <c r="K57" s="9" t="s">
        <v>3367</v>
      </c>
      <c r="L57" s="87" t="n">
        <v>1.92</v>
      </c>
      <c r="M57" s="9" t="s">
        <v>195</v>
      </c>
      <c r="N57" s="87" t="s">
        <v>125</v>
      </c>
      <c r="O57" s="9" t="s">
        <v>197</v>
      </c>
      <c r="P57" s="9" t="s">
        <v>197</v>
      </c>
      <c r="Q57" s="87" t="n">
        <v>75000</v>
      </c>
      <c r="R57" s="88" t="s">
        <v>60</v>
      </c>
      <c r="S57" s="87" t="s">
        <v>3370</v>
      </c>
      <c r="T57" s="88" t="s">
        <v>60</v>
      </c>
      <c r="U57" s="89" t="s">
        <v>60</v>
      </c>
      <c r="V57" s="13" t="s">
        <v>126</v>
      </c>
      <c r="W57" s="5"/>
      <c r="X57" s="6"/>
      <c r="Y57" s="5" t="s">
        <v>196</v>
      </c>
      <c r="Z57" s="5" t="s">
        <v>484</v>
      </c>
    </row>
    <row r="58" customFormat="false" ht="21.75" hidden="false" customHeight="true" outlineLevel="0" collapsed="false">
      <c r="A58" s="5" t="s">
        <v>576</v>
      </c>
      <c r="B58" s="6" t="s">
        <v>577</v>
      </c>
      <c r="C58" s="5" t="s">
        <v>54</v>
      </c>
      <c r="D58" s="6" t="s">
        <v>46</v>
      </c>
      <c r="E58" s="6" t="s">
        <v>509</v>
      </c>
      <c r="F58" s="5" t="s">
        <v>519</v>
      </c>
      <c r="G58" s="5" t="s">
        <v>123</v>
      </c>
      <c r="H58" s="87" t="s">
        <v>92</v>
      </c>
      <c r="I58" s="87" t="s">
        <v>92</v>
      </c>
      <c r="J58" s="87" t="s">
        <v>445</v>
      </c>
      <c r="K58" s="87" t="s">
        <v>445</v>
      </c>
      <c r="L58" s="87" t="n">
        <v>3.79</v>
      </c>
      <c r="M58" s="9" t="s">
        <v>58</v>
      </c>
      <c r="N58" s="87" t="s">
        <v>59</v>
      </c>
      <c r="O58" s="9" t="s">
        <v>57</v>
      </c>
      <c r="P58" s="9" t="s">
        <v>57</v>
      </c>
      <c r="Q58" s="87" t="n">
        <v>0</v>
      </c>
      <c r="R58" s="88" t="s">
        <v>60</v>
      </c>
      <c r="S58" s="87" t="s">
        <v>3371</v>
      </c>
      <c r="T58" s="88" t="s">
        <v>60</v>
      </c>
      <c r="U58" s="89" t="s">
        <v>60</v>
      </c>
      <c r="V58" s="5" t="s">
        <v>61</v>
      </c>
      <c r="W58" s="5"/>
      <c r="X58" s="6"/>
      <c r="Y58" s="5" t="s">
        <v>167</v>
      </c>
      <c r="Z58" s="5" t="s">
        <v>484</v>
      </c>
    </row>
    <row r="59" customFormat="false" ht="21.75" hidden="false" customHeight="true" outlineLevel="0" collapsed="false">
      <c r="A59" s="5" t="s">
        <v>581</v>
      </c>
      <c r="B59" s="6" t="s">
        <v>582</v>
      </c>
      <c r="C59" s="5" t="s">
        <v>54</v>
      </c>
      <c r="D59" s="6" t="s">
        <v>46</v>
      </c>
      <c r="E59" s="6" t="s">
        <v>481</v>
      </c>
      <c r="F59" s="5" t="s">
        <v>483</v>
      </c>
      <c r="G59" s="5" t="s">
        <v>56</v>
      </c>
      <c r="H59" s="9" t="s">
        <v>3367</v>
      </c>
      <c r="I59" s="9" t="s">
        <v>3367</v>
      </c>
      <c r="J59" s="9" t="s">
        <v>3367</v>
      </c>
      <c r="K59" s="87" t="s">
        <v>92</v>
      </c>
      <c r="L59" s="87" t="n">
        <v>3.11</v>
      </c>
      <c r="M59" s="9" t="s">
        <v>58</v>
      </c>
      <c r="N59" s="87" t="s">
        <v>59</v>
      </c>
      <c r="O59" s="9" t="s">
        <v>57</v>
      </c>
      <c r="P59" s="9" t="s">
        <v>57</v>
      </c>
      <c r="Q59" s="87" t="n">
        <v>0</v>
      </c>
      <c r="R59" s="88" t="s">
        <v>60</v>
      </c>
      <c r="S59" s="87" t="s">
        <v>3368</v>
      </c>
      <c r="T59" s="88" t="s">
        <v>60</v>
      </c>
      <c r="U59" s="89" t="s">
        <v>60</v>
      </c>
      <c r="V59" s="5" t="s">
        <v>61</v>
      </c>
      <c r="W59" s="5"/>
      <c r="X59" s="6"/>
      <c r="Y59" s="5" t="s">
        <v>55</v>
      </c>
      <c r="Z59" s="5" t="s">
        <v>484</v>
      </c>
    </row>
    <row r="60" customFormat="false" ht="21.75" hidden="false" customHeight="true" outlineLevel="0" collapsed="false">
      <c r="A60" s="5" t="s">
        <v>586</v>
      </c>
      <c r="B60" s="6" t="s">
        <v>587</v>
      </c>
      <c r="C60" s="5" t="s">
        <v>54</v>
      </c>
      <c r="D60" s="6" t="s">
        <v>46</v>
      </c>
      <c r="E60" s="6" t="s">
        <v>499</v>
      </c>
      <c r="F60" s="5" t="s">
        <v>493</v>
      </c>
      <c r="G60" s="5" t="s">
        <v>78</v>
      </c>
      <c r="H60" s="9" t="s">
        <v>3367</v>
      </c>
      <c r="I60" s="9" t="s">
        <v>3367</v>
      </c>
      <c r="J60" s="9" t="s">
        <v>3367</v>
      </c>
      <c r="K60" s="87" t="s">
        <v>445</v>
      </c>
      <c r="L60" s="87" t="n">
        <v>3.64</v>
      </c>
      <c r="M60" s="9" t="s">
        <v>58</v>
      </c>
      <c r="N60" s="87" t="s">
        <v>59</v>
      </c>
      <c r="O60" s="9" t="s">
        <v>57</v>
      </c>
      <c r="P60" s="9" t="s">
        <v>57</v>
      </c>
      <c r="Q60" s="87" t="n">
        <v>0</v>
      </c>
      <c r="R60" s="88" t="s">
        <v>60</v>
      </c>
      <c r="S60" s="87" t="s">
        <v>3369</v>
      </c>
      <c r="T60" s="88" t="s">
        <v>60</v>
      </c>
      <c r="U60" s="89" t="s">
        <v>60</v>
      </c>
      <c r="V60" s="5" t="s">
        <v>61</v>
      </c>
      <c r="W60" s="5"/>
      <c r="X60" s="6"/>
      <c r="Y60" s="5" t="s">
        <v>77</v>
      </c>
      <c r="Z60" s="5" t="s">
        <v>484</v>
      </c>
    </row>
    <row r="61" customFormat="false" ht="21.75" hidden="false" customHeight="true" outlineLevel="0" collapsed="false">
      <c r="A61" s="5" t="s">
        <v>591</v>
      </c>
      <c r="B61" s="6" t="s">
        <v>592</v>
      </c>
      <c r="C61" s="5" t="s">
        <v>54</v>
      </c>
      <c r="D61" s="6" t="s">
        <v>46</v>
      </c>
      <c r="E61" s="6" t="s">
        <v>491</v>
      </c>
      <c r="F61" s="5" t="s">
        <v>501</v>
      </c>
      <c r="G61" s="5" t="s">
        <v>91</v>
      </c>
      <c r="H61" s="9" t="s">
        <v>3367</v>
      </c>
      <c r="I61" s="9" t="s">
        <v>3367</v>
      </c>
      <c r="J61" s="9" t="s">
        <v>3367</v>
      </c>
      <c r="K61" s="9" t="s">
        <v>3367</v>
      </c>
      <c r="L61" s="87" t="n">
        <v>3.05</v>
      </c>
      <c r="M61" s="9" t="s">
        <v>58</v>
      </c>
      <c r="N61" s="87" t="s">
        <v>59</v>
      </c>
      <c r="O61" s="9" t="s">
        <v>57</v>
      </c>
      <c r="P61" s="9" t="s">
        <v>57</v>
      </c>
      <c r="Q61" s="87" t="n">
        <v>0</v>
      </c>
      <c r="R61" s="88" t="s">
        <v>60</v>
      </c>
      <c r="S61" s="87" t="s">
        <v>3370</v>
      </c>
      <c r="T61" s="88" t="s">
        <v>60</v>
      </c>
      <c r="U61" s="89" t="s">
        <v>60</v>
      </c>
      <c r="V61" s="87" t="s">
        <v>92</v>
      </c>
      <c r="W61" s="5"/>
      <c r="X61" s="6"/>
      <c r="Y61" s="5" t="s">
        <v>90</v>
      </c>
      <c r="Z61" s="5" t="s">
        <v>484</v>
      </c>
    </row>
    <row r="62" customFormat="false" ht="21.75" hidden="false" customHeight="true" outlineLevel="0" collapsed="false">
      <c r="A62" s="5" t="s">
        <v>598</v>
      </c>
      <c r="B62" s="6" t="s">
        <v>599</v>
      </c>
      <c r="C62" s="5" t="s">
        <v>54</v>
      </c>
      <c r="D62" s="6" t="s">
        <v>46</v>
      </c>
      <c r="E62" s="6" t="s">
        <v>532</v>
      </c>
      <c r="F62" s="5" t="s">
        <v>343</v>
      </c>
      <c r="G62" s="5" t="s">
        <v>56</v>
      </c>
      <c r="H62" s="9" t="s">
        <v>3367</v>
      </c>
      <c r="I62" s="9" t="s">
        <v>3367</v>
      </c>
      <c r="J62" s="9" t="s">
        <v>3367</v>
      </c>
      <c r="K62" s="87" t="s">
        <v>92</v>
      </c>
      <c r="L62" s="87" t="n">
        <v>3.44</v>
      </c>
      <c r="M62" s="9" t="s">
        <v>58</v>
      </c>
      <c r="N62" s="87" t="s">
        <v>59</v>
      </c>
      <c r="O62" s="9" t="s">
        <v>57</v>
      </c>
      <c r="P62" s="9" t="s">
        <v>57</v>
      </c>
      <c r="Q62" s="87" t="n">
        <v>0</v>
      </c>
      <c r="R62" s="88" t="s">
        <v>60</v>
      </c>
      <c r="S62" s="87" t="s">
        <v>3368</v>
      </c>
      <c r="T62" s="88" t="s">
        <v>60</v>
      </c>
      <c r="U62" s="89" t="s">
        <v>60</v>
      </c>
      <c r="V62" s="5" t="s">
        <v>61</v>
      </c>
      <c r="W62" s="5"/>
      <c r="X62" s="6"/>
      <c r="Y62" s="5" t="s">
        <v>55</v>
      </c>
      <c r="Z62" s="5" t="s">
        <v>484</v>
      </c>
    </row>
    <row r="63" customFormat="false" ht="21.75" hidden="false" customHeight="true" outlineLevel="0" collapsed="false">
      <c r="A63" s="5" t="s">
        <v>604</v>
      </c>
      <c r="B63" s="6" t="s">
        <v>605</v>
      </c>
      <c r="C63" s="5" t="s">
        <v>54</v>
      </c>
      <c r="D63" s="6" t="s">
        <v>46</v>
      </c>
      <c r="E63" s="6" t="s">
        <v>481</v>
      </c>
      <c r="F63" s="5" t="s">
        <v>519</v>
      </c>
      <c r="G63" s="5" t="s">
        <v>123</v>
      </c>
      <c r="H63" s="87" t="s">
        <v>92</v>
      </c>
      <c r="I63" s="87" t="s">
        <v>92</v>
      </c>
      <c r="J63" s="87" t="s">
        <v>445</v>
      </c>
      <c r="K63" s="87" t="s">
        <v>445</v>
      </c>
      <c r="L63" s="87" t="n">
        <v>2.21</v>
      </c>
      <c r="M63" s="9" t="s">
        <v>119</v>
      </c>
      <c r="N63" s="87" t="s">
        <v>125</v>
      </c>
      <c r="O63" s="9" t="s">
        <v>124</v>
      </c>
      <c r="P63" s="9" t="s">
        <v>124</v>
      </c>
      <c r="Q63" s="87" t="n">
        <v>35000</v>
      </c>
      <c r="R63" s="88" t="s">
        <v>60</v>
      </c>
      <c r="S63" s="87" t="s">
        <v>3371</v>
      </c>
      <c r="T63" s="88" t="s">
        <v>60</v>
      </c>
      <c r="U63" s="89" t="s">
        <v>60</v>
      </c>
      <c r="V63" s="13" t="s">
        <v>126</v>
      </c>
      <c r="W63" s="5"/>
      <c r="X63" s="6"/>
      <c r="Y63" s="5" t="s">
        <v>122</v>
      </c>
      <c r="Z63" s="5" t="s">
        <v>484</v>
      </c>
    </row>
    <row r="64" customFormat="false" ht="21.75" hidden="false" customHeight="true" outlineLevel="0" collapsed="false">
      <c r="A64" s="5" t="s">
        <v>610</v>
      </c>
      <c r="B64" s="6" t="s">
        <v>611</v>
      </c>
      <c r="C64" s="5" t="s">
        <v>54</v>
      </c>
      <c r="D64" s="6" t="s">
        <v>46</v>
      </c>
      <c r="E64" s="6" t="s">
        <v>499</v>
      </c>
      <c r="F64" s="5" t="s">
        <v>558</v>
      </c>
      <c r="G64" s="5" t="s">
        <v>78</v>
      </c>
      <c r="H64" s="9" t="s">
        <v>3367</v>
      </c>
      <c r="I64" s="9" t="s">
        <v>3367</v>
      </c>
      <c r="J64" s="9" t="s">
        <v>3367</v>
      </c>
      <c r="K64" s="87" t="s">
        <v>445</v>
      </c>
      <c r="L64" s="87" t="n">
        <v>3.59</v>
      </c>
      <c r="M64" s="9" t="s">
        <v>58</v>
      </c>
      <c r="N64" s="87" t="s">
        <v>59</v>
      </c>
      <c r="O64" s="9" t="s">
        <v>57</v>
      </c>
      <c r="P64" s="9" t="s">
        <v>57</v>
      </c>
      <c r="Q64" s="87" t="n">
        <v>0</v>
      </c>
      <c r="R64" s="88" t="s">
        <v>60</v>
      </c>
      <c r="S64" s="87" t="s">
        <v>3369</v>
      </c>
      <c r="T64" s="88" t="s">
        <v>60</v>
      </c>
      <c r="U64" s="89" t="s">
        <v>60</v>
      </c>
      <c r="V64" s="5" t="s">
        <v>61</v>
      </c>
      <c r="W64" s="5"/>
      <c r="X64" s="6"/>
      <c r="Y64" s="5" t="s">
        <v>77</v>
      </c>
      <c r="Z64" s="5" t="s">
        <v>484</v>
      </c>
    </row>
    <row r="65" customFormat="false" ht="21.75" hidden="false" customHeight="true" outlineLevel="0" collapsed="false">
      <c r="A65" s="5" t="s">
        <v>616</v>
      </c>
      <c r="B65" s="6" t="s">
        <v>617</v>
      </c>
      <c r="C65" s="5" t="s">
        <v>54</v>
      </c>
      <c r="D65" s="6" t="s">
        <v>46</v>
      </c>
      <c r="E65" s="6" t="s">
        <v>509</v>
      </c>
      <c r="F65" s="5" t="s">
        <v>564</v>
      </c>
      <c r="G65" s="5" t="s">
        <v>91</v>
      </c>
      <c r="H65" s="9" t="s">
        <v>3367</v>
      </c>
      <c r="I65" s="9" t="s">
        <v>3367</v>
      </c>
      <c r="J65" s="9" t="s">
        <v>3367</v>
      </c>
      <c r="K65" s="9" t="s">
        <v>3367</v>
      </c>
      <c r="L65" s="87" t="n">
        <v>3.67</v>
      </c>
      <c r="M65" s="9" t="s">
        <v>58</v>
      </c>
      <c r="N65" s="87" t="s">
        <v>59</v>
      </c>
      <c r="O65" s="9" t="s">
        <v>57</v>
      </c>
      <c r="P65" s="9" t="s">
        <v>57</v>
      </c>
      <c r="Q65" s="87" t="n">
        <v>0</v>
      </c>
      <c r="R65" s="88" t="s">
        <v>60</v>
      </c>
      <c r="S65" s="87" t="s">
        <v>3370</v>
      </c>
      <c r="T65" s="88" t="s">
        <v>60</v>
      </c>
      <c r="U65" s="89" t="s">
        <v>60</v>
      </c>
      <c r="V65" s="87" t="s">
        <v>92</v>
      </c>
      <c r="W65" s="5"/>
      <c r="X65" s="6"/>
      <c r="Y65" s="5" t="s">
        <v>90</v>
      </c>
      <c r="Z65" s="5" t="s">
        <v>484</v>
      </c>
    </row>
    <row r="66" customFormat="false" ht="21.75" hidden="false" customHeight="true" outlineLevel="0" collapsed="false">
      <c r="A66" s="5" t="s">
        <v>622</v>
      </c>
      <c r="B66" s="6" t="s">
        <v>623</v>
      </c>
      <c r="C66" s="5" t="s">
        <v>54</v>
      </c>
      <c r="D66" s="6" t="s">
        <v>46</v>
      </c>
      <c r="E66" s="6" t="s">
        <v>491</v>
      </c>
      <c r="F66" s="5" t="s">
        <v>52</v>
      </c>
      <c r="G66" s="5" t="s">
        <v>56</v>
      </c>
      <c r="H66" s="9" t="s">
        <v>3367</v>
      </c>
      <c r="I66" s="9" t="s">
        <v>3367</v>
      </c>
      <c r="J66" s="9" t="s">
        <v>3367</v>
      </c>
      <c r="K66" s="87" t="s">
        <v>92</v>
      </c>
      <c r="L66" s="87" t="n">
        <v>2.84</v>
      </c>
      <c r="M66" s="9" t="s">
        <v>58</v>
      </c>
      <c r="N66" s="87" t="s">
        <v>59</v>
      </c>
      <c r="O66" s="9" t="s">
        <v>160</v>
      </c>
      <c r="P66" s="9" t="s">
        <v>160</v>
      </c>
      <c r="Q66" s="87" t="n">
        <v>0</v>
      </c>
      <c r="R66" s="88" t="s">
        <v>60</v>
      </c>
      <c r="S66" s="87" t="s">
        <v>3368</v>
      </c>
      <c r="T66" s="88" t="s">
        <v>60</v>
      </c>
      <c r="U66" s="89" t="s">
        <v>60</v>
      </c>
      <c r="V66" s="5" t="s">
        <v>61</v>
      </c>
      <c r="W66" s="5"/>
      <c r="X66" s="6"/>
      <c r="Y66" s="5" t="s">
        <v>159</v>
      </c>
      <c r="Z66" s="5" t="s">
        <v>484</v>
      </c>
    </row>
    <row r="67" customFormat="false" ht="21.75" hidden="false" customHeight="true" outlineLevel="0" collapsed="false">
      <c r="A67" s="5" t="s">
        <v>627</v>
      </c>
      <c r="B67" s="6" t="s">
        <v>628</v>
      </c>
      <c r="C67" s="5" t="s">
        <v>54</v>
      </c>
      <c r="D67" s="6" t="s">
        <v>46</v>
      </c>
      <c r="E67" s="6" t="s">
        <v>499</v>
      </c>
      <c r="F67" s="5" t="s">
        <v>141</v>
      </c>
      <c r="G67" s="5" t="s">
        <v>78</v>
      </c>
      <c r="H67" s="9" t="s">
        <v>3367</v>
      </c>
      <c r="I67" s="9" t="s">
        <v>3367</v>
      </c>
      <c r="J67" s="9" t="s">
        <v>3367</v>
      </c>
      <c r="K67" s="87" t="s">
        <v>445</v>
      </c>
      <c r="L67" s="87" t="n">
        <v>3.36</v>
      </c>
      <c r="M67" s="9" t="s">
        <v>58</v>
      </c>
      <c r="N67" s="87" t="s">
        <v>59</v>
      </c>
      <c r="O67" s="9" t="s">
        <v>57</v>
      </c>
      <c r="P67" s="9" t="s">
        <v>57</v>
      </c>
      <c r="Q67" s="87" t="n">
        <v>0</v>
      </c>
      <c r="R67" s="88" t="s">
        <v>60</v>
      </c>
      <c r="S67" s="87" t="s">
        <v>3369</v>
      </c>
      <c r="T67" s="88" t="s">
        <v>60</v>
      </c>
      <c r="U67" s="89" t="s">
        <v>60</v>
      </c>
      <c r="V67" s="5" t="s">
        <v>61</v>
      </c>
      <c r="W67" s="5"/>
      <c r="X67" s="6"/>
      <c r="Y67" s="5" t="s">
        <v>77</v>
      </c>
      <c r="Z67" s="5" t="s">
        <v>484</v>
      </c>
    </row>
    <row r="68" customFormat="false" ht="21.75" hidden="false" customHeight="true" outlineLevel="0" collapsed="false">
      <c r="A68" s="5" t="s">
        <v>632</v>
      </c>
      <c r="B68" s="6" t="s">
        <v>633</v>
      </c>
      <c r="C68" s="5" t="s">
        <v>54</v>
      </c>
      <c r="D68" s="6" t="s">
        <v>46</v>
      </c>
      <c r="E68" s="6" t="s">
        <v>481</v>
      </c>
      <c r="F68" s="5" t="s">
        <v>519</v>
      </c>
      <c r="G68" s="5" t="s">
        <v>123</v>
      </c>
      <c r="H68" s="87" t="s">
        <v>92</v>
      </c>
      <c r="I68" s="87" t="s">
        <v>92</v>
      </c>
      <c r="J68" s="87" t="s">
        <v>445</v>
      </c>
      <c r="K68" s="87" t="s">
        <v>445</v>
      </c>
      <c r="L68" s="87" t="n">
        <v>3.58</v>
      </c>
      <c r="M68" s="9" t="s">
        <v>58</v>
      </c>
      <c r="N68" s="87" t="s">
        <v>59</v>
      </c>
      <c r="O68" s="9" t="s">
        <v>57</v>
      </c>
      <c r="P68" s="9" t="s">
        <v>57</v>
      </c>
      <c r="Q68" s="87" t="n">
        <v>0</v>
      </c>
      <c r="R68" s="88" t="s">
        <v>60</v>
      </c>
      <c r="S68" s="87" t="s">
        <v>3371</v>
      </c>
      <c r="T68" s="88" t="s">
        <v>60</v>
      </c>
      <c r="U68" s="89" t="s">
        <v>60</v>
      </c>
      <c r="V68" s="5" t="s">
        <v>61</v>
      </c>
      <c r="W68" s="5"/>
      <c r="X68" s="6"/>
      <c r="Y68" s="5" t="s">
        <v>167</v>
      </c>
      <c r="Z68" s="5" t="s">
        <v>484</v>
      </c>
    </row>
    <row r="69" customFormat="false" ht="21.75" hidden="false" customHeight="true" outlineLevel="0" collapsed="false">
      <c r="A69" s="5" t="s">
        <v>637</v>
      </c>
      <c r="B69" s="6" t="s">
        <v>638</v>
      </c>
      <c r="C69" s="5" t="s">
        <v>272</v>
      </c>
      <c r="D69" s="6" t="s">
        <v>273</v>
      </c>
      <c r="E69" s="6" t="s">
        <v>509</v>
      </c>
      <c r="F69" s="5" t="s">
        <v>558</v>
      </c>
      <c r="G69" s="5" t="s">
        <v>78</v>
      </c>
      <c r="H69" s="9" t="s">
        <v>3367</v>
      </c>
      <c r="I69" s="9" t="s">
        <v>3367</v>
      </c>
      <c r="J69" s="87" t="s">
        <v>92</v>
      </c>
      <c r="K69" s="87" t="s">
        <v>445</v>
      </c>
      <c r="L69" s="87" t="n">
        <v>3.69</v>
      </c>
      <c r="M69" s="9" t="s">
        <v>58</v>
      </c>
      <c r="N69" s="87" t="s">
        <v>59</v>
      </c>
      <c r="O69" s="9" t="s">
        <v>57</v>
      </c>
      <c r="P69" s="9" t="s">
        <v>57</v>
      </c>
      <c r="Q69" s="87" t="n">
        <v>0</v>
      </c>
      <c r="R69" s="88" t="s">
        <v>60</v>
      </c>
      <c r="S69" s="87" t="s">
        <v>78</v>
      </c>
      <c r="T69" s="88" t="s">
        <v>60</v>
      </c>
      <c r="U69" s="89" t="s">
        <v>60</v>
      </c>
      <c r="V69" s="87" t="s">
        <v>92</v>
      </c>
      <c r="W69" s="5"/>
      <c r="X69" s="6"/>
      <c r="Y69" s="5" t="s">
        <v>274</v>
      </c>
      <c r="Z69" s="5" t="s">
        <v>484</v>
      </c>
    </row>
    <row r="70" customFormat="false" ht="21.75" hidden="false" customHeight="true" outlineLevel="0" collapsed="false">
      <c r="A70" s="5" t="s">
        <v>645</v>
      </c>
      <c r="B70" s="6" t="s">
        <v>646</v>
      </c>
      <c r="C70" s="5" t="s">
        <v>272</v>
      </c>
      <c r="D70" s="6" t="s">
        <v>289</v>
      </c>
      <c r="E70" s="6" t="s">
        <v>532</v>
      </c>
      <c r="F70" s="5" t="s">
        <v>120</v>
      </c>
      <c r="G70" s="5" t="s">
        <v>123</v>
      </c>
      <c r="H70" s="9" t="s">
        <v>3367</v>
      </c>
      <c r="I70" s="87" t="s">
        <v>92</v>
      </c>
      <c r="J70" s="87" t="s">
        <v>445</v>
      </c>
      <c r="K70" s="87" t="s">
        <v>445</v>
      </c>
      <c r="L70" s="87" t="n">
        <v>3.35</v>
      </c>
      <c r="M70" s="9" t="s">
        <v>58</v>
      </c>
      <c r="N70" s="87" t="s">
        <v>59</v>
      </c>
      <c r="O70" s="9" t="s">
        <v>57</v>
      </c>
      <c r="P70" s="9" t="s">
        <v>57</v>
      </c>
      <c r="Q70" s="87" t="n">
        <v>0</v>
      </c>
      <c r="R70" s="88" t="s">
        <v>60</v>
      </c>
      <c r="S70" s="87" t="s">
        <v>123</v>
      </c>
      <c r="T70" s="88" t="s">
        <v>60</v>
      </c>
      <c r="U70" s="89" t="s">
        <v>60</v>
      </c>
      <c r="V70" s="5" t="s">
        <v>61</v>
      </c>
      <c r="W70" s="5"/>
      <c r="X70" s="6"/>
      <c r="Y70" s="5" t="s">
        <v>290</v>
      </c>
      <c r="Z70" s="5" t="s">
        <v>484</v>
      </c>
    </row>
    <row r="71" customFormat="false" ht="21.75" hidden="false" customHeight="true" outlineLevel="0" collapsed="false">
      <c r="A71" s="5" t="s">
        <v>653</v>
      </c>
      <c r="B71" s="6" t="s">
        <v>654</v>
      </c>
      <c r="C71" s="5" t="s">
        <v>272</v>
      </c>
      <c r="D71" s="6" t="s">
        <v>273</v>
      </c>
      <c r="E71" s="6" t="s">
        <v>499</v>
      </c>
      <c r="F71" s="5" t="s">
        <v>75</v>
      </c>
      <c r="G71" s="5" t="s">
        <v>107</v>
      </c>
      <c r="H71" s="9" t="s">
        <v>3367</v>
      </c>
      <c r="I71" s="9" t="s">
        <v>3367</v>
      </c>
      <c r="J71" s="9" t="s">
        <v>3367</v>
      </c>
      <c r="K71" s="9" t="s">
        <v>3367</v>
      </c>
      <c r="L71" s="87" t="n">
        <v>3.58</v>
      </c>
      <c r="M71" s="9" t="s">
        <v>108</v>
      </c>
      <c r="N71" s="87" t="s">
        <v>304</v>
      </c>
      <c r="O71" s="9" t="s">
        <v>57</v>
      </c>
      <c r="P71" s="9" t="s">
        <v>108</v>
      </c>
      <c r="Q71" s="87" t="n">
        <v>0</v>
      </c>
      <c r="R71" s="88" t="s">
        <v>60</v>
      </c>
      <c r="S71" s="87" t="s">
        <v>107</v>
      </c>
      <c r="T71" s="88" t="s">
        <v>60</v>
      </c>
      <c r="U71" s="89" t="s">
        <v>60</v>
      </c>
      <c r="V71" s="9" t="s">
        <v>109</v>
      </c>
      <c r="W71" s="5" t="s">
        <v>304</v>
      </c>
      <c r="X71" s="6" t="s">
        <v>110</v>
      </c>
      <c r="Y71" s="5" t="s">
        <v>303</v>
      </c>
      <c r="Z71" s="5" t="s">
        <v>484</v>
      </c>
    </row>
    <row r="72" customFormat="false" ht="21.75" hidden="false" customHeight="true" outlineLevel="0" collapsed="false">
      <c r="A72" s="5" t="s">
        <v>661</v>
      </c>
      <c r="B72" s="6" t="s">
        <v>662</v>
      </c>
      <c r="C72" s="5" t="s">
        <v>272</v>
      </c>
      <c r="D72" s="6" t="s">
        <v>273</v>
      </c>
      <c r="E72" s="6" t="s">
        <v>491</v>
      </c>
      <c r="F72" s="5" t="s">
        <v>666</v>
      </c>
      <c r="G72" s="5" t="s">
        <v>123</v>
      </c>
      <c r="H72" s="9" t="s">
        <v>3367</v>
      </c>
      <c r="I72" s="87" t="s">
        <v>92</v>
      </c>
      <c r="J72" s="87" t="s">
        <v>445</v>
      </c>
      <c r="K72" s="87" t="s">
        <v>445</v>
      </c>
      <c r="L72" s="87" t="n">
        <v>2.77</v>
      </c>
      <c r="M72" s="9" t="s">
        <v>119</v>
      </c>
      <c r="N72" s="87" t="s">
        <v>125</v>
      </c>
      <c r="O72" s="9" t="s">
        <v>124</v>
      </c>
      <c r="P72" s="9" t="s">
        <v>124</v>
      </c>
      <c r="Q72" s="87" t="n">
        <v>35000</v>
      </c>
      <c r="R72" s="88" t="s">
        <v>60</v>
      </c>
      <c r="S72" s="87" t="s">
        <v>123</v>
      </c>
      <c r="T72" s="88" t="s">
        <v>60</v>
      </c>
      <c r="U72" s="89" t="s">
        <v>60</v>
      </c>
      <c r="V72" s="13" t="s">
        <v>126</v>
      </c>
      <c r="W72" s="5"/>
      <c r="X72" s="6"/>
      <c r="Y72" s="5" t="s">
        <v>122</v>
      </c>
      <c r="Z72" s="5" t="s">
        <v>484</v>
      </c>
    </row>
    <row r="73" customFormat="false" ht="21.75" hidden="false" customHeight="true" outlineLevel="0" collapsed="false">
      <c r="A73" s="5" t="s">
        <v>670</v>
      </c>
      <c r="B73" s="6" t="s">
        <v>671</v>
      </c>
      <c r="C73" s="5" t="s">
        <v>272</v>
      </c>
      <c r="D73" s="6" t="s">
        <v>273</v>
      </c>
      <c r="E73" s="6" t="s">
        <v>509</v>
      </c>
      <c r="F73" s="5" t="s">
        <v>675</v>
      </c>
      <c r="G73" s="5" t="s">
        <v>78</v>
      </c>
      <c r="H73" s="9" t="s">
        <v>3367</v>
      </c>
      <c r="I73" s="9" t="s">
        <v>3367</v>
      </c>
      <c r="J73" s="87" t="s">
        <v>92</v>
      </c>
      <c r="K73" s="87" t="s">
        <v>445</v>
      </c>
      <c r="L73" s="87" t="n">
        <v>3.62</v>
      </c>
      <c r="M73" s="9" t="s">
        <v>58</v>
      </c>
      <c r="N73" s="87" t="s">
        <v>59</v>
      </c>
      <c r="O73" s="9" t="s">
        <v>57</v>
      </c>
      <c r="P73" s="9" t="s">
        <v>57</v>
      </c>
      <c r="Q73" s="87" t="n">
        <v>0</v>
      </c>
      <c r="R73" s="88" t="s">
        <v>60</v>
      </c>
      <c r="S73" s="87" t="s">
        <v>78</v>
      </c>
      <c r="T73" s="88" t="s">
        <v>60</v>
      </c>
      <c r="U73" s="89" t="s">
        <v>60</v>
      </c>
      <c r="V73" s="87" t="s">
        <v>92</v>
      </c>
      <c r="W73" s="5"/>
      <c r="X73" s="6"/>
      <c r="Y73" s="5" t="s">
        <v>274</v>
      </c>
      <c r="Z73" s="5" t="s">
        <v>484</v>
      </c>
    </row>
    <row r="74" customFormat="false" ht="21.75" hidden="false" customHeight="true" outlineLevel="0" collapsed="false">
      <c r="A74" s="5" t="s">
        <v>678</v>
      </c>
      <c r="B74" s="6" t="s">
        <v>679</v>
      </c>
      <c r="C74" s="5" t="s">
        <v>272</v>
      </c>
      <c r="D74" s="6" t="s">
        <v>289</v>
      </c>
      <c r="E74" s="6" t="s">
        <v>532</v>
      </c>
      <c r="F74" s="5" t="s">
        <v>683</v>
      </c>
      <c r="G74" s="5" t="s">
        <v>123</v>
      </c>
      <c r="H74" s="9" t="s">
        <v>3367</v>
      </c>
      <c r="I74" s="87" t="s">
        <v>92</v>
      </c>
      <c r="J74" s="87" t="s">
        <v>445</v>
      </c>
      <c r="K74" s="87" t="s">
        <v>445</v>
      </c>
      <c r="L74" s="87" t="n">
        <v>3.24</v>
      </c>
      <c r="M74" s="9" t="s">
        <v>58</v>
      </c>
      <c r="N74" s="87" t="s">
        <v>59</v>
      </c>
      <c r="O74" s="9" t="s">
        <v>57</v>
      </c>
      <c r="P74" s="9" t="s">
        <v>57</v>
      </c>
      <c r="Q74" s="87" t="n">
        <v>0</v>
      </c>
      <c r="R74" s="88" t="s">
        <v>60</v>
      </c>
      <c r="S74" s="87" t="s">
        <v>123</v>
      </c>
      <c r="T74" s="88" t="s">
        <v>60</v>
      </c>
      <c r="U74" s="89" t="s">
        <v>60</v>
      </c>
      <c r="V74" s="5" t="s">
        <v>61</v>
      </c>
      <c r="W74" s="5"/>
      <c r="X74" s="6"/>
      <c r="Y74" s="5" t="s">
        <v>290</v>
      </c>
      <c r="Z74" s="5" t="s">
        <v>484</v>
      </c>
    </row>
    <row r="75" customFormat="false" ht="21.75" hidden="false" customHeight="true" outlineLevel="0" collapsed="false">
      <c r="A75" s="5" t="s">
        <v>685</v>
      </c>
      <c r="B75" s="6" t="s">
        <v>686</v>
      </c>
      <c r="C75" s="5" t="s">
        <v>272</v>
      </c>
      <c r="D75" s="6" t="s">
        <v>342</v>
      </c>
      <c r="E75" s="6" t="s">
        <v>509</v>
      </c>
      <c r="F75" s="5" t="s">
        <v>483</v>
      </c>
      <c r="G75" s="5" t="s">
        <v>345</v>
      </c>
      <c r="H75" s="9" t="s">
        <v>3367</v>
      </c>
      <c r="I75" s="9" t="s">
        <v>3367</v>
      </c>
      <c r="J75" s="9" t="s">
        <v>3367</v>
      </c>
      <c r="K75" s="87" t="s">
        <v>92</v>
      </c>
      <c r="L75" s="87" t="n">
        <v>3.84</v>
      </c>
      <c r="M75" s="9" t="s">
        <v>58</v>
      </c>
      <c r="N75" s="87" t="s">
        <v>59</v>
      </c>
      <c r="O75" s="9" t="s">
        <v>57</v>
      </c>
      <c r="P75" s="9" t="s">
        <v>57</v>
      </c>
      <c r="Q75" s="87" t="n">
        <v>0</v>
      </c>
      <c r="R75" s="88" t="s">
        <v>347</v>
      </c>
      <c r="S75" s="87" t="s">
        <v>347</v>
      </c>
      <c r="T75" s="88" t="s">
        <v>92</v>
      </c>
      <c r="U75" s="89" t="s">
        <v>61</v>
      </c>
      <c r="V75" s="5" t="s">
        <v>61</v>
      </c>
      <c r="W75" s="5"/>
      <c r="X75" s="6"/>
      <c r="Y75" s="5" t="s">
        <v>344</v>
      </c>
      <c r="Z75" s="5" t="s">
        <v>484</v>
      </c>
    </row>
    <row r="76" customFormat="false" ht="21.75" hidden="false" customHeight="true" outlineLevel="0" collapsed="false">
      <c r="A76" s="5" t="s">
        <v>697</v>
      </c>
      <c r="B76" s="6" t="s">
        <v>698</v>
      </c>
      <c r="C76" s="5" t="s">
        <v>272</v>
      </c>
      <c r="D76" s="6" t="s">
        <v>342</v>
      </c>
      <c r="E76" s="6" t="s">
        <v>481</v>
      </c>
      <c r="F76" s="5" t="s">
        <v>493</v>
      </c>
      <c r="G76" s="5" t="s">
        <v>361</v>
      </c>
      <c r="H76" s="9" t="s">
        <v>3367</v>
      </c>
      <c r="I76" s="9" t="s">
        <v>3367</v>
      </c>
      <c r="J76" s="9" t="s">
        <v>3367</v>
      </c>
      <c r="K76" s="87" t="s">
        <v>92</v>
      </c>
      <c r="L76" s="87" t="n">
        <v>3.47</v>
      </c>
      <c r="M76" s="9" t="s">
        <v>58</v>
      </c>
      <c r="N76" s="87" t="s">
        <v>59</v>
      </c>
      <c r="O76" s="9" t="s">
        <v>57</v>
      </c>
      <c r="P76" s="9" t="s">
        <v>57</v>
      </c>
      <c r="Q76" s="87" t="n">
        <v>0</v>
      </c>
      <c r="R76" s="88" t="s">
        <v>363</v>
      </c>
      <c r="S76" s="87" t="s">
        <v>363</v>
      </c>
      <c r="T76" s="88" t="s">
        <v>61</v>
      </c>
      <c r="U76" s="89" t="s">
        <v>61</v>
      </c>
      <c r="V76" s="5" t="s">
        <v>61</v>
      </c>
      <c r="W76" s="5"/>
      <c r="X76" s="6"/>
      <c r="Y76" s="5" t="s">
        <v>360</v>
      </c>
      <c r="Z76" s="5" t="s">
        <v>484</v>
      </c>
    </row>
    <row r="77" customFormat="false" ht="21.75" hidden="false" customHeight="true" outlineLevel="0" collapsed="false">
      <c r="A77" s="5" t="s">
        <v>708</v>
      </c>
      <c r="B77" s="6" t="s">
        <v>709</v>
      </c>
      <c r="C77" s="5" t="s">
        <v>272</v>
      </c>
      <c r="D77" s="6" t="s">
        <v>375</v>
      </c>
      <c r="E77" s="6" t="s">
        <v>499</v>
      </c>
      <c r="F77" s="5" t="s">
        <v>52</v>
      </c>
      <c r="G77" s="5" t="s">
        <v>345</v>
      </c>
      <c r="H77" s="9" t="s">
        <v>3367</v>
      </c>
      <c r="I77" s="9" t="s">
        <v>3367</v>
      </c>
      <c r="J77" s="9" t="s">
        <v>3367</v>
      </c>
      <c r="K77" s="87" t="s">
        <v>92</v>
      </c>
      <c r="L77" s="87" t="n">
        <v>3.51</v>
      </c>
      <c r="M77" s="9" t="s">
        <v>58</v>
      </c>
      <c r="N77" s="87" t="s">
        <v>59</v>
      </c>
      <c r="O77" s="9" t="s">
        <v>57</v>
      </c>
      <c r="P77" s="9" t="s">
        <v>57</v>
      </c>
      <c r="Q77" s="87" t="n">
        <v>0</v>
      </c>
      <c r="R77" s="88" t="s">
        <v>347</v>
      </c>
      <c r="S77" s="87" t="s">
        <v>347</v>
      </c>
      <c r="T77" s="88" t="s">
        <v>92</v>
      </c>
      <c r="U77" s="89" t="s">
        <v>61</v>
      </c>
      <c r="V77" s="5" t="s">
        <v>61</v>
      </c>
      <c r="W77" s="5"/>
      <c r="X77" s="6"/>
      <c r="Y77" s="5" t="s">
        <v>344</v>
      </c>
      <c r="Z77" s="5" t="s">
        <v>484</v>
      </c>
    </row>
    <row r="78" customFormat="false" ht="21.75" hidden="false" customHeight="true" outlineLevel="0" collapsed="false">
      <c r="A78" s="5" t="s">
        <v>718</v>
      </c>
      <c r="B78" s="6" t="s">
        <v>719</v>
      </c>
      <c r="C78" s="5" t="s">
        <v>272</v>
      </c>
      <c r="D78" s="6" t="s">
        <v>342</v>
      </c>
      <c r="E78" s="6" t="s">
        <v>499</v>
      </c>
      <c r="F78" s="5" t="s">
        <v>141</v>
      </c>
      <c r="G78" s="5" t="s">
        <v>361</v>
      </c>
      <c r="H78" s="9" t="s">
        <v>3367</v>
      </c>
      <c r="I78" s="9" t="s">
        <v>3367</v>
      </c>
      <c r="J78" s="9" t="s">
        <v>3367</v>
      </c>
      <c r="K78" s="87" t="s">
        <v>92</v>
      </c>
      <c r="L78" s="87" t="n">
        <v>3.29</v>
      </c>
      <c r="M78" s="9" t="s">
        <v>58</v>
      </c>
      <c r="N78" s="87" t="s">
        <v>59</v>
      </c>
      <c r="O78" s="9" t="s">
        <v>160</v>
      </c>
      <c r="P78" s="9" t="s">
        <v>160</v>
      </c>
      <c r="Q78" s="87" t="n">
        <v>0</v>
      </c>
      <c r="R78" s="88" t="s">
        <v>363</v>
      </c>
      <c r="S78" s="87" t="s">
        <v>363</v>
      </c>
      <c r="T78" s="88" t="s">
        <v>61</v>
      </c>
      <c r="U78" s="89" t="s">
        <v>61</v>
      </c>
      <c r="V78" s="5" t="s">
        <v>61</v>
      </c>
      <c r="W78" s="5"/>
      <c r="X78" s="6"/>
      <c r="Y78" s="5" t="s">
        <v>389</v>
      </c>
      <c r="Z78" s="5" t="s">
        <v>484</v>
      </c>
    </row>
    <row r="79" customFormat="false" ht="21.75" hidden="false" customHeight="true" outlineLevel="0" collapsed="false">
      <c r="A79" s="5" t="s">
        <v>725</v>
      </c>
      <c r="B79" s="6" t="s">
        <v>726</v>
      </c>
      <c r="C79" s="5" t="s">
        <v>272</v>
      </c>
      <c r="D79" s="6" t="s">
        <v>342</v>
      </c>
      <c r="E79" s="6" t="s">
        <v>509</v>
      </c>
      <c r="F79" s="5" t="s">
        <v>88</v>
      </c>
      <c r="G79" s="5" t="s">
        <v>107</v>
      </c>
      <c r="H79" s="9" t="s">
        <v>3367</v>
      </c>
      <c r="I79" s="9" t="s">
        <v>3367</v>
      </c>
      <c r="J79" s="9" t="s">
        <v>3367</v>
      </c>
      <c r="K79" s="9" t="s">
        <v>3367</v>
      </c>
      <c r="L79" s="87" t="n">
        <v>3.88</v>
      </c>
      <c r="M79" s="9" t="s">
        <v>108</v>
      </c>
      <c r="N79" s="87" t="s">
        <v>304</v>
      </c>
      <c r="O79" s="9" t="s">
        <v>57</v>
      </c>
      <c r="P79" s="9" t="s">
        <v>108</v>
      </c>
      <c r="Q79" s="87" t="n">
        <v>0</v>
      </c>
      <c r="R79" s="88" t="s">
        <v>406</v>
      </c>
      <c r="S79" s="87" t="s">
        <v>406</v>
      </c>
      <c r="T79" s="88" t="s">
        <v>109</v>
      </c>
      <c r="U79" s="89" t="s">
        <v>109</v>
      </c>
      <c r="V79" s="9" t="s">
        <v>109</v>
      </c>
      <c r="W79" s="5" t="s">
        <v>304</v>
      </c>
      <c r="X79" s="6" t="s">
        <v>110</v>
      </c>
      <c r="Y79" s="5" t="s">
        <v>404</v>
      </c>
      <c r="Z79" s="5" t="s">
        <v>484</v>
      </c>
    </row>
    <row r="80" customFormat="false" ht="21.75" hidden="false" customHeight="true" outlineLevel="0" collapsed="false">
      <c r="A80" s="5" t="s">
        <v>734</v>
      </c>
      <c r="B80" s="6" t="s">
        <v>735</v>
      </c>
      <c r="C80" s="5" t="s">
        <v>272</v>
      </c>
      <c r="D80" s="6" t="s">
        <v>342</v>
      </c>
      <c r="E80" s="6" t="s">
        <v>481</v>
      </c>
      <c r="F80" s="5" t="s">
        <v>683</v>
      </c>
      <c r="G80" s="5" t="s">
        <v>418</v>
      </c>
      <c r="H80" s="9" t="s">
        <v>3367</v>
      </c>
      <c r="I80" s="9" t="s">
        <v>3367</v>
      </c>
      <c r="J80" s="9" t="s">
        <v>3367</v>
      </c>
      <c r="K80" s="87" t="s">
        <v>92</v>
      </c>
      <c r="L80" s="87" t="n">
        <v>3.49</v>
      </c>
      <c r="M80" s="9" t="s">
        <v>58</v>
      </c>
      <c r="N80" s="87" t="s">
        <v>59</v>
      </c>
      <c r="O80" s="9" t="s">
        <v>57</v>
      </c>
      <c r="P80" s="9" t="s">
        <v>57</v>
      </c>
      <c r="Q80" s="87" t="n">
        <v>0</v>
      </c>
      <c r="R80" s="88" t="s">
        <v>420</v>
      </c>
      <c r="S80" s="87" t="s">
        <v>420</v>
      </c>
      <c r="T80" s="88" t="s">
        <v>61</v>
      </c>
      <c r="U80" s="89" t="s">
        <v>61</v>
      </c>
      <c r="V80" s="5" t="s">
        <v>61</v>
      </c>
      <c r="W80" s="5"/>
      <c r="X80" s="6"/>
      <c r="Y80" s="5" t="s">
        <v>417</v>
      </c>
      <c r="Z80" s="5" t="s">
        <v>484</v>
      </c>
    </row>
    <row r="81" customFormat="false" ht="21.75" hidden="false" customHeight="true" outlineLevel="0" collapsed="false">
      <c r="A81" s="5" t="s">
        <v>742</v>
      </c>
      <c r="B81" s="6" t="s">
        <v>743</v>
      </c>
      <c r="C81" s="5" t="s">
        <v>272</v>
      </c>
      <c r="D81" s="6" t="s">
        <v>430</v>
      </c>
      <c r="E81" s="6" t="s">
        <v>481</v>
      </c>
      <c r="F81" s="5" t="s">
        <v>483</v>
      </c>
      <c r="G81" s="5" t="s">
        <v>345</v>
      </c>
      <c r="H81" s="9" t="s">
        <v>3367</v>
      </c>
      <c r="I81" s="9" t="s">
        <v>3367</v>
      </c>
      <c r="J81" s="9" t="s">
        <v>3367</v>
      </c>
      <c r="K81" s="87" t="s">
        <v>92</v>
      </c>
      <c r="L81" s="87" t="n">
        <v>3.81</v>
      </c>
      <c r="M81" s="9" t="s">
        <v>58</v>
      </c>
      <c r="N81" s="87" t="s">
        <v>59</v>
      </c>
      <c r="O81" s="9" t="s">
        <v>57</v>
      </c>
      <c r="P81" s="9" t="s">
        <v>57</v>
      </c>
      <c r="Q81" s="87" t="n">
        <v>0</v>
      </c>
      <c r="R81" s="88" t="s">
        <v>363</v>
      </c>
      <c r="S81" s="87" t="s">
        <v>363</v>
      </c>
      <c r="T81" s="88" t="s">
        <v>61</v>
      </c>
      <c r="U81" s="89" t="s">
        <v>61</v>
      </c>
      <c r="V81" s="5" t="s">
        <v>61</v>
      </c>
      <c r="W81" s="5"/>
      <c r="X81" s="6"/>
      <c r="Y81" s="5" t="s">
        <v>431</v>
      </c>
      <c r="Z81" s="5" t="s">
        <v>484</v>
      </c>
    </row>
    <row r="82" customFormat="false" ht="21.75" hidden="false" customHeight="true" outlineLevel="0" collapsed="false">
      <c r="A82" s="5" t="s">
        <v>753</v>
      </c>
      <c r="B82" s="6" t="s">
        <v>754</v>
      </c>
      <c r="C82" s="5" t="s">
        <v>272</v>
      </c>
      <c r="D82" s="6" t="s">
        <v>430</v>
      </c>
      <c r="E82" s="6" t="s">
        <v>509</v>
      </c>
      <c r="F82" s="5" t="s">
        <v>564</v>
      </c>
      <c r="G82" s="5" t="s">
        <v>443</v>
      </c>
      <c r="H82" s="9" t="s">
        <v>3367</v>
      </c>
      <c r="I82" s="9" t="s">
        <v>3367</v>
      </c>
      <c r="J82" s="9" t="s">
        <v>3367</v>
      </c>
      <c r="K82" s="87" t="s">
        <v>92</v>
      </c>
      <c r="L82" s="87" t="n">
        <v>3.73</v>
      </c>
      <c r="M82" s="9" t="s">
        <v>58</v>
      </c>
      <c r="N82" s="87" t="s">
        <v>59</v>
      </c>
      <c r="O82" s="9" t="s">
        <v>57</v>
      </c>
      <c r="P82" s="9" t="s">
        <v>57</v>
      </c>
      <c r="Q82" s="87" t="n">
        <v>0</v>
      </c>
      <c r="R82" s="88" t="s">
        <v>347</v>
      </c>
      <c r="S82" s="87" t="s">
        <v>347</v>
      </c>
      <c r="T82" s="88" t="s">
        <v>92</v>
      </c>
      <c r="U82" s="89" t="s">
        <v>61</v>
      </c>
      <c r="V82" s="5" t="s">
        <v>61</v>
      </c>
      <c r="W82" s="5"/>
      <c r="X82" s="6"/>
      <c r="Y82" s="5" t="s">
        <v>442</v>
      </c>
      <c r="Z82" s="5" t="s">
        <v>484</v>
      </c>
    </row>
    <row r="83" customFormat="false" ht="21.75" hidden="false" customHeight="true" outlineLevel="0" collapsed="false">
      <c r="A83" s="5" t="s">
        <v>763</v>
      </c>
      <c r="B83" s="6" t="s">
        <v>764</v>
      </c>
      <c r="C83" s="5" t="s">
        <v>272</v>
      </c>
      <c r="D83" s="6" t="s">
        <v>430</v>
      </c>
      <c r="E83" s="6" t="s">
        <v>499</v>
      </c>
      <c r="F83" s="5" t="s">
        <v>768</v>
      </c>
      <c r="G83" s="5" t="s">
        <v>418</v>
      </c>
      <c r="H83" s="9" t="s">
        <v>3367</v>
      </c>
      <c r="I83" s="9" t="s">
        <v>3367</v>
      </c>
      <c r="J83" s="9" t="s">
        <v>3367</v>
      </c>
      <c r="K83" s="87" t="s">
        <v>92</v>
      </c>
      <c r="L83" s="87" t="n">
        <v>3.55</v>
      </c>
      <c r="M83" s="9" t="s">
        <v>58</v>
      </c>
      <c r="N83" s="87" t="s">
        <v>59</v>
      </c>
      <c r="O83" s="9" t="s">
        <v>57</v>
      </c>
      <c r="P83" s="9" t="s">
        <v>57</v>
      </c>
      <c r="Q83" s="87" t="n">
        <v>0</v>
      </c>
      <c r="R83" s="88" t="s">
        <v>458</v>
      </c>
      <c r="S83" s="87" t="s">
        <v>458</v>
      </c>
      <c r="T83" s="88" t="s">
        <v>61</v>
      </c>
      <c r="U83" s="89" t="s">
        <v>61</v>
      </c>
      <c r="V83" s="5" t="s">
        <v>61</v>
      </c>
      <c r="W83" s="5"/>
      <c r="X83" s="6"/>
      <c r="Y83" s="5" t="s">
        <v>456</v>
      </c>
      <c r="Z83" s="5" t="s">
        <v>484</v>
      </c>
    </row>
    <row r="84" customFormat="false" ht="21.75" hidden="false" customHeight="true" outlineLevel="0" collapsed="false">
      <c r="A84" s="5" t="s">
        <v>773</v>
      </c>
      <c r="B84" s="6" t="s">
        <v>774</v>
      </c>
      <c r="C84" s="5" t="s">
        <v>272</v>
      </c>
      <c r="D84" s="6" t="s">
        <v>430</v>
      </c>
      <c r="E84" s="6" t="s">
        <v>491</v>
      </c>
      <c r="F84" s="5" t="s">
        <v>141</v>
      </c>
      <c r="G84" s="5" t="s">
        <v>361</v>
      </c>
      <c r="H84" s="9" t="s">
        <v>3367</v>
      </c>
      <c r="I84" s="9" t="s">
        <v>3367</v>
      </c>
      <c r="J84" s="9" t="s">
        <v>3367</v>
      </c>
      <c r="K84" s="87" t="s">
        <v>92</v>
      </c>
      <c r="L84" s="87" t="n">
        <v>3.38</v>
      </c>
      <c r="M84" s="9" t="s">
        <v>58</v>
      </c>
      <c r="N84" s="87" t="s">
        <v>59</v>
      </c>
      <c r="O84" s="9" t="s">
        <v>57</v>
      </c>
      <c r="P84" s="9" t="s">
        <v>57</v>
      </c>
      <c r="Q84" s="87" t="n">
        <v>0</v>
      </c>
      <c r="R84" s="88" t="s">
        <v>470</v>
      </c>
      <c r="S84" s="87" t="s">
        <v>470</v>
      </c>
      <c r="T84" s="88" t="s">
        <v>61</v>
      </c>
      <c r="U84" s="89" t="s">
        <v>61</v>
      </c>
      <c r="V84" s="5" t="s">
        <v>61</v>
      </c>
      <c r="W84" s="5"/>
      <c r="X84" s="6"/>
      <c r="Y84" s="5" t="s">
        <v>468</v>
      </c>
      <c r="Z84" s="5" t="s">
        <v>484</v>
      </c>
    </row>
    <row r="85" customFormat="false" ht="21.75" hidden="false" customHeight="true" outlineLevel="0" collapsed="false">
      <c r="A85" s="5" t="s">
        <v>782</v>
      </c>
      <c r="B85" s="6" t="s">
        <v>783</v>
      </c>
      <c r="C85" s="5" t="s">
        <v>54</v>
      </c>
      <c r="D85" s="6" t="s">
        <v>132</v>
      </c>
      <c r="E85" s="6" t="s">
        <v>134</v>
      </c>
      <c r="F85" s="5" t="s">
        <v>483</v>
      </c>
      <c r="G85" s="5" t="s">
        <v>56</v>
      </c>
      <c r="H85" s="9" t="s">
        <v>3367</v>
      </c>
      <c r="I85" s="9" t="s">
        <v>3367</v>
      </c>
      <c r="J85" s="9" t="s">
        <v>3367</v>
      </c>
      <c r="K85" s="87" t="s">
        <v>92</v>
      </c>
      <c r="L85" s="87" t="n">
        <v>3.41</v>
      </c>
      <c r="M85" s="9" t="s">
        <v>58</v>
      </c>
      <c r="N85" s="87" t="s">
        <v>59</v>
      </c>
      <c r="O85" s="9" t="s">
        <v>57</v>
      </c>
      <c r="P85" s="9" t="s">
        <v>57</v>
      </c>
      <c r="Q85" s="87" t="n">
        <v>0</v>
      </c>
      <c r="R85" s="88" t="s">
        <v>60</v>
      </c>
      <c r="S85" s="87" t="s">
        <v>3368</v>
      </c>
      <c r="T85" s="88" t="s">
        <v>60</v>
      </c>
      <c r="U85" s="89" t="s">
        <v>60</v>
      </c>
      <c r="V85" s="5" t="s">
        <v>61</v>
      </c>
      <c r="W85" s="5"/>
      <c r="X85" s="6"/>
      <c r="Y85" s="5" t="s">
        <v>55</v>
      </c>
      <c r="Z85" s="5" t="s">
        <v>786</v>
      </c>
    </row>
    <row r="86" customFormat="false" ht="32.25" hidden="false" customHeight="true" outlineLevel="0" collapsed="false">
      <c r="A86" s="5" t="s">
        <v>787</v>
      </c>
      <c r="B86" s="6" t="s">
        <v>788</v>
      </c>
      <c r="C86" s="5" t="s">
        <v>54</v>
      </c>
      <c r="D86" s="6" t="s">
        <v>791</v>
      </c>
      <c r="E86" s="6" t="s">
        <v>793</v>
      </c>
      <c r="F86" s="5" t="s">
        <v>493</v>
      </c>
      <c r="G86" s="5" t="s">
        <v>78</v>
      </c>
      <c r="H86" s="9" t="s">
        <v>3367</v>
      </c>
      <c r="I86" s="9" t="s">
        <v>3367</v>
      </c>
      <c r="J86" s="9" t="s">
        <v>3367</v>
      </c>
      <c r="K86" s="87" t="s">
        <v>445</v>
      </c>
      <c r="L86" s="87" t="n">
        <v>3.09</v>
      </c>
      <c r="M86" s="9" t="s">
        <v>58</v>
      </c>
      <c r="N86" s="87" t="s">
        <v>59</v>
      </c>
      <c r="O86" s="9" t="s">
        <v>57</v>
      </c>
      <c r="P86" s="9" t="s">
        <v>57</v>
      </c>
      <c r="Q86" s="87" t="n">
        <v>0</v>
      </c>
      <c r="R86" s="88" t="s">
        <v>60</v>
      </c>
      <c r="S86" s="87" t="s">
        <v>3369</v>
      </c>
      <c r="T86" s="88" t="s">
        <v>60</v>
      </c>
      <c r="U86" s="89" t="s">
        <v>60</v>
      </c>
      <c r="V86" s="5" t="s">
        <v>61</v>
      </c>
      <c r="W86" s="5"/>
      <c r="X86" s="6"/>
      <c r="Y86" s="5" t="s">
        <v>77</v>
      </c>
      <c r="Z86" s="5" t="s">
        <v>786</v>
      </c>
    </row>
    <row r="87" customFormat="false" ht="32.25" hidden="false" customHeight="true" outlineLevel="0" collapsed="false">
      <c r="A87" s="5" t="s">
        <v>794</v>
      </c>
      <c r="B87" s="6" t="s">
        <v>795</v>
      </c>
      <c r="C87" s="5" t="s">
        <v>54</v>
      </c>
      <c r="D87" s="6" t="s">
        <v>71</v>
      </c>
      <c r="E87" s="6" t="s">
        <v>800</v>
      </c>
      <c r="F87" s="5" t="s">
        <v>501</v>
      </c>
      <c r="G87" s="5" t="s">
        <v>91</v>
      </c>
      <c r="H87" s="9" t="s">
        <v>3367</v>
      </c>
      <c r="I87" s="9" t="s">
        <v>3367</v>
      </c>
      <c r="J87" s="9" t="s">
        <v>3367</v>
      </c>
      <c r="K87" s="9" t="s">
        <v>3367</v>
      </c>
      <c r="L87" s="87" t="n">
        <v>3.52</v>
      </c>
      <c r="M87" s="9" t="s">
        <v>58</v>
      </c>
      <c r="N87" s="87" t="s">
        <v>59</v>
      </c>
      <c r="O87" s="9" t="s">
        <v>57</v>
      </c>
      <c r="P87" s="9" t="s">
        <v>57</v>
      </c>
      <c r="Q87" s="87" t="n">
        <v>0</v>
      </c>
      <c r="R87" s="88" t="s">
        <v>60</v>
      </c>
      <c r="S87" s="87" t="s">
        <v>3370</v>
      </c>
      <c r="T87" s="88" t="s">
        <v>60</v>
      </c>
      <c r="U87" s="89" t="s">
        <v>60</v>
      </c>
      <c r="V87" s="87" t="s">
        <v>92</v>
      </c>
      <c r="W87" s="5"/>
      <c r="X87" s="6"/>
      <c r="Y87" s="5" t="s">
        <v>90</v>
      </c>
      <c r="Z87" s="5" t="s">
        <v>786</v>
      </c>
    </row>
    <row r="88" customFormat="false" ht="21.75" hidden="false" customHeight="true" outlineLevel="0" collapsed="false">
      <c r="A88" s="5" t="s">
        <v>803</v>
      </c>
      <c r="B88" s="6" t="s">
        <v>804</v>
      </c>
      <c r="C88" s="5" t="s">
        <v>54</v>
      </c>
      <c r="D88" s="6" t="s">
        <v>46</v>
      </c>
      <c r="E88" s="6" t="s">
        <v>808</v>
      </c>
      <c r="F88" s="5" t="s">
        <v>511</v>
      </c>
      <c r="G88" s="5" t="s">
        <v>107</v>
      </c>
      <c r="H88" s="9" t="s">
        <v>3367</v>
      </c>
      <c r="I88" s="9" t="s">
        <v>3367</v>
      </c>
      <c r="J88" s="9" t="s">
        <v>3367</v>
      </c>
      <c r="K88" s="9" t="s">
        <v>3367</v>
      </c>
      <c r="L88" s="87" t="n">
        <v>3.87</v>
      </c>
      <c r="M88" s="9" t="s">
        <v>108</v>
      </c>
      <c r="N88" s="87" t="s">
        <v>59</v>
      </c>
      <c r="O88" s="9" t="s">
        <v>57</v>
      </c>
      <c r="P88" s="9" t="s">
        <v>108</v>
      </c>
      <c r="Q88" s="87" t="n">
        <v>0</v>
      </c>
      <c r="R88" s="88" t="s">
        <v>60</v>
      </c>
      <c r="S88" s="87" t="s">
        <v>3370</v>
      </c>
      <c r="T88" s="88" t="s">
        <v>60</v>
      </c>
      <c r="U88" s="89" t="s">
        <v>60</v>
      </c>
      <c r="V88" s="9" t="s">
        <v>109</v>
      </c>
      <c r="W88" s="5" t="s">
        <v>59</v>
      </c>
      <c r="X88" s="6" t="s">
        <v>110</v>
      </c>
      <c r="Y88" s="5" t="s">
        <v>106</v>
      </c>
      <c r="Z88" s="5" t="s">
        <v>786</v>
      </c>
    </row>
    <row r="89" customFormat="false" ht="21.75" hidden="false" customHeight="true" outlineLevel="0" collapsed="false">
      <c r="A89" s="5" t="s">
        <v>809</v>
      </c>
      <c r="B89" s="6" t="s">
        <v>810</v>
      </c>
      <c r="C89" s="5" t="s">
        <v>54</v>
      </c>
      <c r="D89" s="6" t="s">
        <v>71</v>
      </c>
      <c r="E89" s="6" t="s">
        <v>813</v>
      </c>
      <c r="F89" s="5" t="s">
        <v>519</v>
      </c>
      <c r="G89" s="5" t="s">
        <v>123</v>
      </c>
      <c r="H89" s="87" t="s">
        <v>92</v>
      </c>
      <c r="I89" s="87" t="s">
        <v>92</v>
      </c>
      <c r="J89" s="87" t="s">
        <v>445</v>
      </c>
      <c r="K89" s="87" t="s">
        <v>445</v>
      </c>
      <c r="L89" s="87" t="n">
        <v>2.31</v>
      </c>
      <c r="M89" s="9" t="s">
        <v>119</v>
      </c>
      <c r="N89" s="87" t="s">
        <v>125</v>
      </c>
      <c r="O89" s="9" t="s">
        <v>124</v>
      </c>
      <c r="P89" s="9" t="s">
        <v>124</v>
      </c>
      <c r="Q89" s="87" t="n">
        <v>35000</v>
      </c>
      <c r="R89" s="88" t="s">
        <v>60</v>
      </c>
      <c r="S89" s="87" t="s">
        <v>3371</v>
      </c>
      <c r="T89" s="88" t="s">
        <v>60</v>
      </c>
      <c r="U89" s="89" t="s">
        <v>60</v>
      </c>
      <c r="V89" s="13" t="s">
        <v>126</v>
      </c>
      <c r="W89" s="5"/>
      <c r="X89" s="6"/>
      <c r="Y89" s="5" t="s">
        <v>122</v>
      </c>
      <c r="Z89" s="5" t="s">
        <v>786</v>
      </c>
    </row>
    <row r="90" customFormat="false" ht="32.25" hidden="false" customHeight="true" outlineLevel="0" collapsed="false">
      <c r="A90" s="5" t="s">
        <v>814</v>
      </c>
      <c r="B90" s="6" t="s">
        <v>815</v>
      </c>
      <c r="C90" s="5" t="s">
        <v>54</v>
      </c>
      <c r="D90" s="6" t="s">
        <v>46</v>
      </c>
      <c r="E90" s="6" t="s">
        <v>819</v>
      </c>
      <c r="F90" s="5" t="s">
        <v>483</v>
      </c>
      <c r="G90" s="5" t="s">
        <v>56</v>
      </c>
      <c r="H90" s="9" t="s">
        <v>3367</v>
      </c>
      <c r="I90" s="9" t="s">
        <v>3367</v>
      </c>
      <c r="J90" s="9" t="s">
        <v>3367</v>
      </c>
      <c r="K90" s="87" t="s">
        <v>92</v>
      </c>
      <c r="L90" s="87" t="n">
        <v>3.22</v>
      </c>
      <c r="M90" s="9" t="s">
        <v>58</v>
      </c>
      <c r="N90" s="87" t="s">
        <v>59</v>
      </c>
      <c r="O90" s="9" t="s">
        <v>57</v>
      </c>
      <c r="P90" s="9" t="s">
        <v>57</v>
      </c>
      <c r="Q90" s="87" t="n">
        <v>0</v>
      </c>
      <c r="R90" s="88" t="s">
        <v>60</v>
      </c>
      <c r="S90" s="87" t="s">
        <v>3368</v>
      </c>
      <c r="T90" s="88" t="s">
        <v>60</v>
      </c>
      <c r="U90" s="89" t="s">
        <v>60</v>
      </c>
      <c r="V90" s="5" t="s">
        <v>61</v>
      </c>
      <c r="W90" s="5"/>
      <c r="X90" s="6"/>
      <c r="Y90" s="5" t="s">
        <v>55</v>
      </c>
      <c r="Z90" s="5" t="s">
        <v>786</v>
      </c>
    </row>
    <row r="91" customFormat="false" ht="32.25" hidden="false" customHeight="true" outlineLevel="0" collapsed="false">
      <c r="A91" s="5" t="s">
        <v>820</v>
      </c>
      <c r="B91" s="6" t="s">
        <v>821</v>
      </c>
      <c r="C91" s="5" t="s">
        <v>54</v>
      </c>
      <c r="D91" s="6" t="s">
        <v>791</v>
      </c>
      <c r="E91" s="6" t="s">
        <v>793</v>
      </c>
      <c r="F91" s="5" t="s">
        <v>493</v>
      </c>
      <c r="G91" s="5" t="s">
        <v>78</v>
      </c>
      <c r="H91" s="9" t="s">
        <v>3367</v>
      </c>
      <c r="I91" s="9" t="s">
        <v>3367</v>
      </c>
      <c r="J91" s="9" t="s">
        <v>3367</v>
      </c>
      <c r="K91" s="87" t="s">
        <v>445</v>
      </c>
      <c r="L91" s="87" t="n">
        <v>3.64</v>
      </c>
      <c r="M91" s="9" t="s">
        <v>58</v>
      </c>
      <c r="N91" s="87" t="s">
        <v>59</v>
      </c>
      <c r="O91" s="9" t="s">
        <v>57</v>
      </c>
      <c r="P91" s="9" t="s">
        <v>57</v>
      </c>
      <c r="Q91" s="87" t="n">
        <v>0</v>
      </c>
      <c r="R91" s="88" t="s">
        <v>60</v>
      </c>
      <c r="S91" s="87" t="s">
        <v>3369</v>
      </c>
      <c r="T91" s="88" t="s">
        <v>60</v>
      </c>
      <c r="U91" s="89" t="s">
        <v>60</v>
      </c>
      <c r="V91" s="5" t="s">
        <v>61</v>
      </c>
      <c r="W91" s="5"/>
      <c r="X91" s="6"/>
      <c r="Y91" s="5" t="s">
        <v>77</v>
      </c>
      <c r="Z91" s="5" t="s">
        <v>786</v>
      </c>
    </row>
    <row r="92" customFormat="false" ht="21.75" hidden="false" customHeight="true" outlineLevel="0" collapsed="false">
      <c r="A92" s="5" t="s">
        <v>824</v>
      </c>
      <c r="B92" s="6" t="s">
        <v>825</v>
      </c>
      <c r="C92" s="5" t="s">
        <v>54</v>
      </c>
      <c r="D92" s="6" t="s">
        <v>132</v>
      </c>
      <c r="E92" s="6" t="s">
        <v>134</v>
      </c>
      <c r="F92" s="5" t="s">
        <v>501</v>
      </c>
      <c r="G92" s="5" t="s">
        <v>91</v>
      </c>
      <c r="H92" s="9" t="s">
        <v>3367</v>
      </c>
      <c r="I92" s="9" t="s">
        <v>3367</v>
      </c>
      <c r="J92" s="9" t="s">
        <v>3367</v>
      </c>
      <c r="K92" s="9" t="s">
        <v>3367</v>
      </c>
      <c r="L92" s="87" t="n">
        <v>3.17</v>
      </c>
      <c r="M92" s="9" t="s">
        <v>58</v>
      </c>
      <c r="N92" s="87" t="s">
        <v>59</v>
      </c>
      <c r="O92" s="9" t="s">
        <v>57</v>
      </c>
      <c r="P92" s="9" t="s">
        <v>57</v>
      </c>
      <c r="Q92" s="87" t="n">
        <v>0</v>
      </c>
      <c r="R92" s="88" t="s">
        <v>60</v>
      </c>
      <c r="S92" s="87" t="s">
        <v>3370</v>
      </c>
      <c r="T92" s="88" t="s">
        <v>60</v>
      </c>
      <c r="U92" s="89" t="s">
        <v>60</v>
      </c>
      <c r="V92" s="87" t="s">
        <v>92</v>
      </c>
      <c r="W92" s="5"/>
      <c r="X92" s="6"/>
      <c r="Y92" s="5" t="s">
        <v>90</v>
      </c>
      <c r="Z92" s="5" t="s">
        <v>786</v>
      </c>
    </row>
    <row r="93" customFormat="false" ht="32.25" hidden="false" customHeight="true" outlineLevel="0" collapsed="false">
      <c r="A93" s="5" t="s">
        <v>830</v>
      </c>
      <c r="B93" s="6" t="s">
        <v>831</v>
      </c>
      <c r="C93" s="5" t="s">
        <v>54</v>
      </c>
      <c r="D93" s="6" t="s">
        <v>46</v>
      </c>
      <c r="E93" s="6" t="s">
        <v>819</v>
      </c>
      <c r="F93" s="5" t="s">
        <v>343</v>
      </c>
      <c r="G93" s="5" t="s">
        <v>56</v>
      </c>
      <c r="H93" s="9" t="s">
        <v>3367</v>
      </c>
      <c r="I93" s="9" t="s">
        <v>3367</v>
      </c>
      <c r="J93" s="9" t="s">
        <v>3367</v>
      </c>
      <c r="K93" s="87" t="s">
        <v>92</v>
      </c>
      <c r="L93" s="87" t="n">
        <v>2.78</v>
      </c>
      <c r="M93" s="9" t="s">
        <v>58</v>
      </c>
      <c r="N93" s="87" t="s">
        <v>59</v>
      </c>
      <c r="O93" s="9" t="s">
        <v>160</v>
      </c>
      <c r="P93" s="9" t="s">
        <v>160</v>
      </c>
      <c r="Q93" s="87" t="n">
        <v>0</v>
      </c>
      <c r="R93" s="88" t="s">
        <v>60</v>
      </c>
      <c r="S93" s="87" t="s">
        <v>3368</v>
      </c>
      <c r="T93" s="88" t="s">
        <v>60</v>
      </c>
      <c r="U93" s="89" t="s">
        <v>60</v>
      </c>
      <c r="V93" s="5" t="s">
        <v>61</v>
      </c>
      <c r="W93" s="5"/>
      <c r="X93" s="6"/>
      <c r="Y93" s="5" t="s">
        <v>159</v>
      </c>
      <c r="Z93" s="5" t="s">
        <v>786</v>
      </c>
    </row>
    <row r="94" customFormat="false" ht="32.25" hidden="false" customHeight="true" outlineLevel="0" collapsed="false">
      <c r="A94" s="5" t="s">
        <v>834</v>
      </c>
      <c r="B94" s="6" t="s">
        <v>835</v>
      </c>
      <c r="C94" s="5" t="s">
        <v>54</v>
      </c>
      <c r="D94" s="6" t="s">
        <v>71</v>
      </c>
      <c r="E94" s="6" t="s">
        <v>800</v>
      </c>
      <c r="F94" s="5" t="s">
        <v>519</v>
      </c>
      <c r="G94" s="5" t="s">
        <v>123</v>
      </c>
      <c r="H94" s="87" t="s">
        <v>92</v>
      </c>
      <c r="I94" s="87" t="s">
        <v>92</v>
      </c>
      <c r="J94" s="87" t="s">
        <v>445</v>
      </c>
      <c r="K94" s="87" t="s">
        <v>445</v>
      </c>
      <c r="L94" s="87" t="n">
        <v>3.45</v>
      </c>
      <c r="M94" s="9" t="s">
        <v>58</v>
      </c>
      <c r="N94" s="87" t="s">
        <v>59</v>
      </c>
      <c r="O94" s="9" t="s">
        <v>57</v>
      </c>
      <c r="P94" s="9" t="s">
        <v>57</v>
      </c>
      <c r="Q94" s="87" t="n">
        <v>0</v>
      </c>
      <c r="R94" s="88" t="s">
        <v>60</v>
      </c>
      <c r="S94" s="87" t="s">
        <v>3371</v>
      </c>
      <c r="T94" s="88" t="s">
        <v>60</v>
      </c>
      <c r="U94" s="89" t="s">
        <v>60</v>
      </c>
      <c r="V94" s="5" t="s">
        <v>61</v>
      </c>
      <c r="W94" s="5"/>
      <c r="X94" s="6"/>
      <c r="Y94" s="5" t="s">
        <v>167</v>
      </c>
      <c r="Z94" s="5" t="s">
        <v>786</v>
      </c>
    </row>
    <row r="95" customFormat="false" ht="21.75" hidden="false" customHeight="true" outlineLevel="0" collapsed="false">
      <c r="A95" s="5" t="s">
        <v>838</v>
      </c>
      <c r="B95" s="6" t="s">
        <v>839</v>
      </c>
      <c r="C95" s="5" t="s">
        <v>54</v>
      </c>
      <c r="D95" s="6" t="s">
        <v>46</v>
      </c>
      <c r="E95" s="6" t="s">
        <v>808</v>
      </c>
      <c r="F95" s="5" t="s">
        <v>558</v>
      </c>
      <c r="G95" s="5" t="s">
        <v>78</v>
      </c>
      <c r="H95" s="9" t="s">
        <v>3367</v>
      </c>
      <c r="I95" s="9" t="s">
        <v>3367</v>
      </c>
      <c r="J95" s="9" t="s">
        <v>3367</v>
      </c>
      <c r="K95" s="87" t="s">
        <v>445</v>
      </c>
      <c r="L95" s="87" t="n">
        <v>3.06</v>
      </c>
      <c r="M95" s="9" t="s">
        <v>58</v>
      </c>
      <c r="N95" s="87" t="s">
        <v>59</v>
      </c>
      <c r="O95" s="9" t="s">
        <v>57</v>
      </c>
      <c r="P95" s="9" t="s">
        <v>57</v>
      </c>
      <c r="Q95" s="87" t="n">
        <v>0</v>
      </c>
      <c r="R95" s="88" t="s">
        <v>60</v>
      </c>
      <c r="S95" s="87" t="s">
        <v>3369</v>
      </c>
      <c r="T95" s="88" t="s">
        <v>60</v>
      </c>
      <c r="U95" s="89" t="s">
        <v>60</v>
      </c>
      <c r="V95" s="5" t="s">
        <v>61</v>
      </c>
      <c r="W95" s="5"/>
      <c r="X95" s="6"/>
      <c r="Y95" s="5" t="s">
        <v>77</v>
      </c>
      <c r="Z95" s="5" t="s">
        <v>786</v>
      </c>
    </row>
    <row r="96" customFormat="false" ht="21.75" hidden="false" customHeight="true" outlineLevel="0" collapsed="false">
      <c r="A96" s="5" t="s">
        <v>842</v>
      </c>
      <c r="B96" s="6" t="s">
        <v>843</v>
      </c>
      <c r="C96" s="5" t="s">
        <v>54</v>
      </c>
      <c r="D96" s="6" t="s">
        <v>132</v>
      </c>
      <c r="E96" s="6" t="s">
        <v>134</v>
      </c>
      <c r="F96" s="5" t="s">
        <v>564</v>
      </c>
      <c r="G96" s="5" t="s">
        <v>107</v>
      </c>
      <c r="H96" s="9" t="s">
        <v>3367</v>
      </c>
      <c r="I96" s="9" t="s">
        <v>3367</v>
      </c>
      <c r="J96" s="9" t="s">
        <v>3367</v>
      </c>
      <c r="K96" s="9" t="s">
        <v>3367</v>
      </c>
      <c r="L96" s="87" t="n">
        <v>2.61</v>
      </c>
      <c r="M96" s="9" t="s">
        <v>108</v>
      </c>
      <c r="N96" s="87" t="s">
        <v>59</v>
      </c>
      <c r="O96" s="9" t="s">
        <v>57</v>
      </c>
      <c r="P96" s="9" t="s">
        <v>108</v>
      </c>
      <c r="Q96" s="87" t="n">
        <v>0</v>
      </c>
      <c r="R96" s="88" t="s">
        <v>60</v>
      </c>
      <c r="S96" s="87" t="s">
        <v>3370</v>
      </c>
      <c r="T96" s="88" t="s">
        <v>60</v>
      </c>
      <c r="U96" s="89" t="s">
        <v>60</v>
      </c>
      <c r="V96" s="9" t="s">
        <v>109</v>
      </c>
      <c r="W96" s="5" t="s">
        <v>59</v>
      </c>
      <c r="X96" s="6" t="s">
        <v>110</v>
      </c>
      <c r="Y96" s="5" t="s">
        <v>106</v>
      </c>
      <c r="Z96" s="5" t="s">
        <v>786</v>
      </c>
    </row>
    <row r="97" customFormat="false" ht="21.75" hidden="false" customHeight="true" outlineLevel="0" collapsed="false">
      <c r="A97" s="5" t="s">
        <v>848</v>
      </c>
      <c r="B97" s="6" t="s">
        <v>849</v>
      </c>
      <c r="C97" s="5" t="s">
        <v>54</v>
      </c>
      <c r="D97" s="6" t="s">
        <v>71</v>
      </c>
      <c r="E97" s="6" t="s">
        <v>813</v>
      </c>
      <c r="F97" s="5" t="s">
        <v>52</v>
      </c>
      <c r="G97" s="5" t="s">
        <v>56</v>
      </c>
      <c r="H97" s="9" t="s">
        <v>3367</v>
      </c>
      <c r="I97" s="9" t="s">
        <v>3367</v>
      </c>
      <c r="J97" s="9" t="s">
        <v>3367</v>
      </c>
      <c r="K97" s="87" t="s">
        <v>92</v>
      </c>
      <c r="L97" s="87" t="n">
        <v>3.48</v>
      </c>
      <c r="M97" s="9" t="s">
        <v>58</v>
      </c>
      <c r="N97" s="87" t="s">
        <v>59</v>
      </c>
      <c r="O97" s="9" t="s">
        <v>57</v>
      </c>
      <c r="P97" s="9" t="s">
        <v>57</v>
      </c>
      <c r="Q97" s="87" t="n">
        <v>0</v>
      </c>
      <c r="R97" s="88" t="s">
        <v>60</v>
      </c>
      <c r="S97" s="87" t="s">
        <v>3368</v>
      </c>
      <c r="T97" s="88" t="s">
        <v>60</v>
      </c>
      <c r="U97" s="89" t="s">
        <v>60</v>
      </c>
      <c r="V97" s="5" t="s">
        <v>61</v>
      </c>
      <c r="W97" s="5"/>
      <c r="X97" s="6"/>
      <c r="Y97" s="5" t="s">
        <v>55</v>
      </c>
      <c r="Z97" s="5" t="s">
        <v>786</v>
      </c>
    </row>
    <row r="98" customFormat="false" ht="32.25" hidden="false" customHeight="true" outlineLevel="0" collapsed="false">
      <c r="A98" s="5" t="s">
        <v>852</v>
      </c>
      <c r="B98" s="6" t="s">
        <v>853</v>
      </c>
      <c r="C98" s="5" t="s">
        <v>54</v>
      </c>
      <c r="D98" s="6" t="s">
        <v>46</v>
      </c>
      <c r="E98" s="6" t="s">
        <v>819</v>
      </c>
      <c r="F98" s="5" t="s">
        <v>511</v>
      </c>
      <c r="G98" s="5" t="s">
        <v>91</v>
      </c>
      <c r="H98" s="9" t="s">
        <v>3367</v>
      </c>
      <c r="I98" s="9" t="s">
        <v>3367</v>
      </c>
      <c r="J98" s="9" t="s">
        <v>3367</v>
      </c>
      <c r="K98" s="9" t="s">
        <v>3367</v>
      </c>
      <c r="L98" s="87" t="n">
        <v>1.96</v>
      </c>
      <c r="M98" s="9" t="s">
        <v>195</v>
      </c>
      <c r="N98" s="87" t="s">
        <v>125</v>
      </c>
      <c r="O98" s="9" t="s">
        <v>197</v>
      </c>
      <c r="P98" s="9" t="s">
        <v>197</v>
      </c>
      <c r="Q98" s="87" t="n">
        <v>75000</v>
      </c>
      <c r="R98" s="88" t="s">
        <v>60</v>
      </c>
      <c r="S98" s="87" t="s">
        <v>3370</v>
      </c>
      <c r="T98" s="88" t="s">
        <v>60</v>
      </c>
      <c r="U98" s="89" t="s">
        <v>60</v>
      </c>
      <c r="V98" s="13" t="s">
        <v>126</v>
      </c>
      <c r="W98" s="5"/>
      <c r="X98" s="6"/>
      <c r="Y98" s="5" t="s">
        <v>196</v>
      </c>
      <c r="Z98" s="5" t="s">
        <v>786</v>
      </c>
    </row>
    <row r="99" customFormat="false" ht="21.75" hidden="false" customHeight="true" outlineLevel="0" collapsed="false">
      <c r="A99" s="5" t="s">
        <v>857</v>
      </c>
      <c r="B99" s="6" t="s">
        <v>858</v>
      </c>
      <c r="C99" s="5" t="s">
        <v>54</v>
      </c>
      <c r="D99" s="6" t="s">
        <v>46</v>
      </c>
      <c r="E99" s="6" t="s">
        <v>808</v>
      </c>
      <c r="F99" s="5" t="s">
        <v>519</v>
      </c>
      <c r="G99" s="5" t="s">
        <v>123</v>
      </c>
      <c r="H99" s="87" t="s">
        <v>92</v>
      </c>
      <c r="I99" s="87" t="s">
        <v>92</v>
      </c>
      <c r="J99" s="87" t="s">
        <v>445</v>
      </c>
      <c r="K99" s="87" t="s">
        <v>445</v>
      </c>
      <c r="L99" s="87" t="n">
        <v>3.71</v>
      </c>
      <c r="M99" s="9" t="s">
        <v>58</v>
      </c>
      <c r="N99" s="87" t="s">
        <v>59</v>
      </c>
      <c r="O99" s="9" t="s">
        <v>57</v>
      </c>
      <c r="P99" s="9" t="s">
        <v>57</v>
      </c>
      <c r="Q99" s="87" t="n">
        <v>0</v>
      </c>
      <c r="R99" s="88" t="s">
        <v>60</v>
      </c>
      <c r="S99" s="87" t="s">
        <v>3371</v>
      </c>
      <c r="T99" s="88" t="s">
        <v>60</v>
      </c>
      <c r="U99" s="89" t="s">
        <v>60</v>
      </c>
      <c r="V99" s="5" t="s">
        <v>61</v>
      </c>
      <c r="W99" s="5"/>
      <c r="X99" s="6"/>
      <c r="Y99" s="5" t="s">
        <v>167</v>
      </c>
      <c r="Z99" s="5" t="s">
        <v>786</v>
      </c>
    </row>
    <row r="100" customFormat="false" ht="32.25" hidden="false" customHeight="true" outlineLevel="0" collapsed="false">
      <c r="A100" s="5" t="s">
        <v>862</v>
      </c>
      <c r="B100" s="6" t="s">
        <v>863</v>
      </c>
      <c r="C100" s="5" t="s">
        <v>54</v>
      </c>
      <c r="D100" s="6" t="s">
        <v>791</v>
      </c>
      <c r="E100" s="6" t="s">
        <v>793</v>
      </c>
      <c r="F100" s="5" t="s">
        <v>483</v>
      </c>
      <c r="G100" s="5" t="s">
        <v>56</v>
      </c>
      <c r="H100" s="9" t="s">
        <v>3367</v>
      </c>
      <c r="I100" s="9" t="s">
        <v>3367</v>
      </c>
      <c r="J100" s="9" t="s">
        <v>3367</v>
      </c>
      <c r="K100" s="87" t="s">
        <v>92</v>
      </c>
      <c r="L100" s="87" t="n">
        <v>3.13</v>
      </c>
      <c r="M100" s="9" t="s">
        <v>58</v>
      </c>
      <c r="N100" s="87" t="s">
        <v>59</v>
      </c>
      <c r="O100" s="9" t="s">
        <v>57</v>
      </c>
      <c r="P100" s="9" t="s">
        <v>57</v>
      </c>
      <c r="Q100" s="87" t="n">
        <v>0</v>
      </c>
      <c r="R100" s="88" t="s">
        <v>60</v>
      </c>
      <c r="S100" s="87" t="s">
        <v>3368</v>
      </c>
      <c r="T100" s="88" t="s">
        <v>60</v>
      </c>
      <c r="U100" s="89" t="s">
        <v>60</v>
      </c>
      <c r="V100" s="5" t="s">
        <v>61</v>
      </c>
      <c r="W100" s="5"/>
      <c r="X100" s="6"/>
      <c r="Y100" s="5" t="s">
        <v>55</v>
      </c>
      <c r="Z100" s="5" t="s">
        <v>786</v>
      </c>
    </row>
    <row r="101" customFormat="false" ht="21.75" hidden="false" customHeight="true" outlineLevel="0" collapsed="false">
      <c r="A101" s="5" t="s">
        <v>867</v>
      </c>
      <c r="B101" s="6" t="s">
        <v>868</v>
      </c>
      <c r="C101" s="5" t="s">
        <v>54</v>
      </c>
      <c r="D101" s="6" t="s">
        <v>46</v>
      </c>
      <c r="E101" s="6" t="s">
        <v>808</v>
      </c>
      <c r="F101" s="5" t="s">
        <v>493</v>
      </c>
      <c r="G101" s="5" t="s">
        <v>78</v>
      </c>
      <c r="H101" s="9" t="s">
        <v>3367</v>
      </c>
      <c r="I101" s="9" t="s">
        <v>3367</v>
      </c>
      <c r="J101" s="9" t="s">
        <v>3367</v>
      </c>
      <c r="K101" s="87" t="s">
        <v>445</v>
      </c>
      <c r="L101" s="87" t="n">
        <v>3.59</v>
      </c>
      <c r="M101" s="9" t="s">
        <v>58</v>
      </c>
      <c r="N101" s="87" t="s">
        <v>59</v>
      </c>
      <c r="O101" s="9" t="s">
        <v>57</v>
      </c>
      <c r="P101" s="9" t="s">
        <v>57</v>
      </c>
      <c r="Q101" s="87" t="n">
        <v>0</v>
      </c>
      <c r="R101" s="88" t="s">
        <v>60</v>
      </c>
      <c r="S101" s="87" t="s">
        <v>3369</v>
      </c>
      <c r="T101" s="88" t="s">
        <v>60</v>
      </c>
      <c r="U101" s="89" t="s">
        <v>60</v>
      </c>
      <c r="V101" s="5" t="s">
        <v>61</v>
      </c>
      <c r="W101" s="5"/>
      <c r="X101" s="6"/>
      <c r="Y101" s="5" t="s">
        <v>77</v>
      </c>
      <c r="Z101" s="5" t="s">
        <v>786</v>
      </c>
    </row>
    <row r="102" customFormat="false" ht="21.75" hidden="false" customHeight="true" outlineLevel="0" collapsed="false">
      <c r="A102" s="5" t="s">
        <v>874</v>
      </c>
      <c r="B102" s="6" t="s">
        <v>875</v>
      </c>
      <c r="C102" s="5" t="s">
        <v>54</v>
      </c>
      <c r="D102" s="6" t="s">
        <v>71</v>
      </c>
      <c r="E102" s="6" t="s">
        <v>813</v>
      </c>
      <c r="F102" s="5" t="s">
        <v>501</v>
      </c>
      <c r="G102" s="5" t="s">
        <v>91</v>
      </c>
      <c r="H102" s="9" t="s">
        <v>3367</v>
      </c>
      <c r="I102" s="9" t="s">
        <v>3367</v>
      </c>
      <c r="J102" s="9" t="s">
        <v>3367</v>
      </c>
      <c r="K102" s="9" t="s">
        <v>3367</v>
      </c>
      <c r="L102" s="87" t="n">
        <v>2.97</v>
      </c>
      <c r="M102" s="9" t="s">
        <v>58</v>
      </c>
      <c r="N102" s="87" t="s">
        <v>59</v>
      </c>
      <c r="O102" s="9" t="s">
        <v>57</v>
      </c>
      <c r="P102" s="9" t="s">
        <v>57</v>
      </c>
      <c r="Q102" s="87" t="n">
        <v>0</v>
      </c>
      <c r="R102" s="88" t="s">
        <v>60</v>
      </c>
      <c r="S102" s="87" t="s">
        <v>3370</v>
      </c>
      <c r="T102" s="88" t="s">
        <v>60</v>
      </c>
      <c r="U102" s="89" t="s">
        <v>60</v>
      </c>
      <c r="V102" s="87" t="s">
        <v>92</v>
      </c>
      <c r="W102" s="5"/>
      <c r="X102" s="6"/>
      <c r="Y102" s="5" t="s">
        <v>90</v>
      </c>
      <c r="Z102" s="5" t="s">
        <v>786</v>
      </c>
    </row>
    <row r="103" customFormat="false" ht="21.75" hidden="false" customHeight="true" outlineLevel="0" collapsed="false">
      <c r="A103" s="5" t="s">
        <v>879</v>
      </c>
      <c r="B103" s="6" t="s">
        <v>880</v>
      </c>
      <c r="C103" s="5" t="s">
        <v>54</v>
      </c>
      <c r="D103" s="6" t="s">
        <v>132</v>
      </c>
      <c r="E103" s="6" t="s">
        <v>134</v>
      </c>
      <c r="F103" s="5" t="s">
        <v>343</v>
      </c>
      <c r="G103" s="5" t="s">
        <v>56</v>
      </c>
      <c r="H103" s="9" t="s">
        <v>3367</v>
      </c>
      <c r="I103" s="9" t="s">
        <v>3367</v>
      </c>
      <c r="J103" s="9" t="s">
        <v>3367</v>
      </c>
      <c r="K103" s="87" t="s">
        <v>92</v>
      </c>
      <c r="L103" s="87" t="n">
        <v>3.34</v>
      </c>
      <c r="M103" s="9" t="s">
        <v>58</v>
      </c>
      <c r="N103" s="87" t="s">
        <v>59</v>
      </c>
      <c r="O103" s="9" t="s">
        <v>57</v>
      </c>
      <c r="P103" s="9" t="s">
        <v>57</v>
      </c>
      <c r="Q103" s="87" t="n">
        <v>0</v>
      </c>
      <c r="R103" s="88" t="s">
        <v>60</v>
      </c>
      <c r="S103" s="87" t="s">
        <v>3368</v>
      </c>
      <c r="T103" s="88" t="s">
        <v>60</v>
      </c>
      <c r="U103" s="89" t="s">
        <v>60</v>
      </c>
      <c r="V103" s="5" t="s">
        <v>61</v>
      </c>
      <c r="W103" s="5"/>
      <c r="X103" s="6"/>
      <c r="Y103" s="5" t="s">
        <v>55</v>
      </c>
      <c r="Z103" s="5" t="s">
        <v>786</v>
      </c>
    </row>
    <row r="104" customFormat="false" ht="32.25" hidden="false" customHeight="true" outlineLevel="0" collapsed="false">
      <c r="A104" s="5" t="s">
        <v>884</v>
      </c>
      <c r="B104" s="6" t="s">
        <v>885</v>
      </c>
      <c r="C104" s="5" t="s">
        <v>54</v>
      </c>
      <c r="D104" s="6" t="s">
        <v>46</v>
      </c>
      <c r="E104" s="6" t="s">
        <v>819</v>
      </c>
      <c r="F104" s="5" t="s">
        <v>519</v>
      </c>
      <c r="G104" s="5" t="s">
        <v>123</v>
      </c>
      <c r="H104" s="87" t="s">
        <v>92</v>
      </c>
      <c r="I104" s="87" t="s">
        <v>92</v>
      </c>
      <c r="J104" s="87" t="s">
        <v>445</v>
      </c>
      <c r="K104" s="87" t="s">
        <v>445</v>
      </c>
      <c r="L104" s="87" t="n">
        <v>2.24</v>
      </c>
      <c r="M104" s="9" t="s">
        <v>119</v>
      </c>
      <c r="N104" s="87" t="s">
        <v>125</v>
      </c>
      <c r="O104" s="9" t="s">
        <v>124</v>
      </c>
      <c r="P104" s="9" t="s">
        <v>124</v>
      </c>
      <c r="Q104" s="87" t="n">
        <v>35000</v>
      </c>
      <c r="R104" s="88" t="s">
        <v>60</v>
      </c>
      <c r="S104" s="87" t="s">
        <v>3371</v>
      </c>
      <c r="T104" s="88" t="s">
        <v>60</v>
      </c>
      <c r="U104" s="89" t="s">
        <v>60</v>
      </c>
      <c r="V104" s="13" t="s">
        <v>126</v>
      </c>
      <c r="W104" s="5"/>
      <c r="X104" s="6"/>
      <c r="Y104" s="5" t="s">
        <v>122</v>
      </c>
      <c r="Z104" s="5" t="s">
        <v>786</v>
      </c>
    </row>
    <row r="105" customFormat="false" ht="32.25" hidden="false" customHeight="true" outlineLevel="0" collapsed="false">
      <c r="A105" s="5" t="s">
        <v>890</v>
      </c>
      <c r="B105" s="6" t="s">
        <v>891</v>
      </c>
      <c r="C105" s="5" t="s">
        <v>54</v>
      </c>
      <c r="D105" s="6" t="s">
        <v>71</v>
      </c>
      <c r="E105" s="6" t="s">
        <v>800</v>
      </c>
      <c r="F105" s="5" t="s">
        <v>558</v>
      </c>
      <c r="G105" s="5" t="s">
        <v>78</v>
      </c>
      <c r="H105" s="9" t="s">
        <v>3367</v>
      </c>
      <c r="I105" s="9" t="s">
        <v>3367</v>
      </c>
      <c r="J105" s="9" t="s">
        <v>3367</v>
      </c>
      <c r="K105" s="87" t="s">
        <v>445</v>
      </c>
      <c r="L105" s="87" t="n">
        <v>3.37</v>
      </c>
      <c r="M105" s="9" t="s">
        <v>58</v>
      </c>
      <c r="N105" s="87" t="s">
        <v>59</v>
      </c>
      <c r="O105" s="9" t="s">
        <v>57</v>
      </c>
      <c r="P105" s="9" t="s">
        <v>57</v>
      </c>
      <c r="Q105" s="87" t="n">
        <v>0</v>
      </c>
      <c r="R105" s="88" t="s">
        <v>60</v>
      </c>
      <c r="S105" s="87" t="s">
        <v>3369</v>
      </c>
      <c r="T105" s="88" t="s">
        <v>60</v>
      </c>
      <c r="U105" s="89" t="s">
        <v>60</v>
      </c>
      <c r="V105" s="5" t="s">
        <v>61</v>
      </c>
      <c r="W105" s="5"/>
      <c r="X105" s="6"/>
      <c r="Y105" s="5" t="s">
        <v>77</v>
      </c>
      <c r="Z105" s="5" t="s">
        <v>786</v>
      </c>
    </row>
    <row r="106" customFormat="false" ht="21.75" hidden="false" customHeight="true" outlineLevel="0" collapsed="false">
      <c r="A106" s="5" t="s">
        <v>896</v>
      </c>
      <c r="B106" s="6" t="s">
        <v>897</v>
      </c>
      <c r="C106" s="5" t="s">
        <v>54</v>
      </c>
      <c r="D106" s="6" t="s">
        <v>46</v>
      </c>
      <c r="E106" s="6" t="s">
        <v>808</v>
      </c>
      <c r="F106" s="5" t="s">
        <v>564</v>
      </c>
      <c r="G106" s="5" t="s">
        <v>91</v>
      </c>
      <c r="H106" s="9" t="s">
        <v>3367</v>
      </c>
      <c r="I106" s="9" t="s">
        <v>3367</v>
      </c>
      <c r="J106" s="9" t="s">
        <v>3367</v>
      </c>
      <c r="K106" s="9" t="s">
        <v>3367</v>
      </c>
      <c r="L106" s="87" t="n">
        <v>3.63</v>
      </c>
      <c r="M106" s="9" t="s">
        <v>58</v>
      </c>
      <c r="N106" s="87" t="s">
        <v>59</v>
      </c>
      <c r="O106" s="9" t="s">
        <v>57</v>
      </c>
      <c r="P106" s="9" t="s">
        <v>57</v>
      </c>
      <c r="Q106" s="87" t="n">
        <v>0</v>
      </c>
      <c r="R106" s="88" t="s">
        <v>60</v>
      </c>
      <c r="S106" s="87" t="s">
        <v>3370</v>
      </c>
      <c r="T106" s="88" t="s">
        <v>60</v>
      </c>
      <c r="U106" s="89" t="s">
        <v>60</v>
      </c>
      <c r="V106" s="87" t="s">
        <v>92</v>
      </c>
      <c r="W106" s="5"/>
      <c r="X106" s="6"/>
      <c r="Y106" s="5" t="s">
        <v>90</v>
      </c>
      <c r="Z106" s="5" t="s">
        <v>786</v>
      </c>
    </row>
    <row r="107" customFormat="false" ht="32.25" hidden="false" customHeight="true" outlineLevel="0" collapsed="false">
      <c r="A107" s="5" t="s">
        <v>900</v>
      </c>
      <c r="B107" s="6" t="s">
        <v>901</v>
      </c>
      <c r="C107" s="5" t="s">
        <v>54</v>
      </c>
      <c r="D107" s="6" t="s">
        <v>791</v>
      </c>
      <c r="E107" s="6" t="s">
        <v>793</v>
      </c>
      <c r="F107" s="5" t="s">
        <v>52</v>
      </c>
      <c r="G107" s="5" t="s">
        <v>56</v>
      </c>
      <c r="H107" s="9" t="s">
        <v>3367</v>
      </c>
      <c r="I107" s="9" t="s">
        <v>3367</v>
      </c>
      <c r="J107" s="9" t="s">
        <v>3367</v>
      </c>
      <c r="K107" s="87" t="s">
        <v>92</v>
      </c>
      <c r="L107" s="87" t="n">
        <v>2.85</v>
      </c>
      <c r="M107" s="9" t="s">
        <v>58</v>
      </c>
      <c r="N107" s="87" t="s">
        <v>59</v>
      </c>
      <c r="O107" s="9" t="s">
        <v>160</v>
      </c>
      <c r="P107" s="9" t="s">
        <v>160</v>
      </c>
      <c r="Q107" s="87" t="n">
        <v>0</v>
      </c>
      <c r="R107" s="88" t="s">
        <v>60</v>
      </c>
      <c r="S107" s="87" t="s">
        <v>3368</v>
      </c>
      <c r="T107" s="88" t="s">
        <v>60</v>
      </c>
      <c r="U107" s="89" t="s">
        <v>60</v>
      </c>
      <c r="V107" s="5" t="s">
        <v>61</v>
      </c>
      <c r="W107" s="5"/>
      <c r="X107" s="6"/>
      <c r="Y107" s="5" t="s">
        <v>159</v>
      </c>
      <c r="Z107" s="5" t="s">
        <v>786</v>
      </c>
    </row>
    <row r="108" customFormat="false" ht="32.25" hidden="false" customHeight="true" outlineLevel="0" collapsed="false">
      <c r="A108" s="5" t="s">
        <v>904</v>
      </c>
      <c r="B108" s="6" t="s">
        <v>905</v>
      </c>
      <c r="C108" s="5" t="s">
        <v>54</v>
      </c>
      <c r="D108" s="6" t="s">
        <v>46</v>
      </c>
      <c r="E108" s="6" t="s">
        <v>819</v>
      </c>
      <c r="F108" s="5" t="s">
        <v>141</v>
      </c>
      <c r="G108" s="5" t="s">
        <v>78</v>
      </c>
      <c r="H108" s="9" t="s">
        <v>3367</v>
      </c>
      <c r="I108" s="9" t="s">
        <v>3367</v>
      </c>
      <c r="J108" s="9" t="s">
        <v>3367</v>
      </c>
      <c r="K108" s="87" t="s">
        <v>445</v>
      </c>
      <c r="L108" s="87" t="n">
        <v>3.41</v>
      </c>
      <c r="M108" s="9" t="s">
        <v>58</v>
      </c>
      <c r="N108" s="87" t="s">
        <v>59</v>
      </c>
      <c r="O108" s="9" t="s">
        <v>57</v>
      </c>
      <c r="P108" s="9" t="s">
        <v>57</v>
      </c>
      <c r="Q108" s="87" t="n">
        <v>0</v>
      </c>
      <c r="R108" s="88" t="s">
        <v>60</v>
      </c>
      <c r="S108" s="87" t="s">
        <v>3369</v>
      </c>
      <c r="T108" s="88" t="s">
        <v>60</v>
      </c>
      <c r="U108" s="89" t="s">
        <v>60</v>
      </c>
      <c r="V108" s="5" t="s">
        <v>61</v>
      </c>
      <c r="W108" s="5"/>
      <c r="X108" s="6"/>
      <c r="Y108" s="5" t="s">
        <v>77</v>
      </c>
      <c r="Z108" s="5" t="s">
        <v>786</v>
      </c>
    </row>
    <row r="109" customFormat="false" ht="32.25" hidden="false" customHeight="true" outlineLevel="0" collapsed="false">
      <c r="A109" s="5" t="s">
        <v>909</v>
      </c>
      <c r="B109" s="6" t="s">
        <v>910</v>
      </c>
      <c r="C109" s="5" t="s">
        <v>54</v>
      </c>
      <c r="D109" s="6" t="s">
        <v>71</v>
      </c>
      <c r="E109" s="6" t="s">
        <v>800</v>
      </c>
      <c r="F109" s="5" t="s">
        <v>519</v>
      </c>
      <c r="G109" s="5" t="s">
        <v>123</v>
      </c>
      <c r="H109" s="87" t="s">
        <v>92</v>
      </c>
      <c r="I109" s="87" t="s">
        <v>92</v>
      </c>
      <c r="J109" s="87" t="s">
        <v>445</v>
      </c>
      <c r="K109" s="87" t="s">
        <v>445</v>
      </c>
      <c r="L109" s="87" t="n">
        <v>3.56</v>
      </c>
      <c r="M109" s="9" t="s">
        <v>58</v>
      </c>
      <c r="N109" s="87" t="s">
        <v>59</v>
      </c>
      <c r="O109" s="9" t="s">
        <v>57</v>
      </c>
      <c r="P109" s="9" t="s">
        <v>57</v>
      </c>
      <c r="Q109" s="87" t="n">
        <v>0</v>
      </c>
      <c r="R109" s="88" t="s">
        <v>60</v>
      </c>
      <c r="S109" s="87" t="s">
        <v>3371</v>
      </c>
      <c r="T109" s="88" t="s">
        <v>60</v>
      </c>
      <c r="U109" s="89" t="s">
        <v>60</v>
      </c>
      <c r="V109" s="5" t="s">
        <v>61</v>
      </c>
      <c r="W109" s="5"/>
      <c r="X109" s="6"/>
      <c r="Y109" s="5" t="s">
        <v>167</v>
      </c>
      <c r="Z109" s="5" t="s">
        <v>786</v>
      </c>
    </row>
    <row r="110" customFormat="false" ht="21.75" hidden="false" customHeight="true" outlineLevel="0" collapsed="false">
      <c r="A110" s="5" t="s">
        <v>913</v>
      </c>
      <c r="B110" s="6" t="s">
        <v>914</v>
      </c>
      <c r="C110" s="5" t="s">
        <v>272</v>
      </c>
      <c r="D110" s="6" t="s">
        <v>920</v>
      </c>
      <c r="E110" s="6" t="s">
        <v>134</v>
      </c>
      <c r="F110" s="5" t="s">
        <v>558</v>
      </c>
      <c r="G110" s="5" t="s">
        <v>78</v>
      </c>
      <c r="H110" s="9" t="s">
        <v>3367</v>
      </c>
      <c r="I110" s="9" t="s">
        <v>3367</v>
      </c>
      <c r="J110" s="87" t="s">
        <v>92</v>
      </c>
      <c r="K110" s="87" t="s">
        <v>445</v>
      </c>
      <c r="L110" s="87" t="n">
        <v>3.66</v>
      </c>
      <c r="M110" s="9" t="s">
        <v>58</v>
      </c>
      <c r="N110" s="87" t="s">
        <v>59</v>
      </c>
      <c r="O110" s="9" t="s">
        <v>57</v>
      </c>
      <c r="P110" s="9" t="s">
        <v>57</v>
      </c>
      <c r="Q110" s="87" t="n">
        <v>0</v>
      </c>
      <c r="R110" s="88" t="s">
        <v>60</v>
      </c>
      <c r="S110" s="87" t="s">
        <v>78</v>
      </c>
      <c r="T110" s="88" t="s">
        <v>60</v>
      </c>
      <c r="U110" s="89" t="s">
        <v>60</v>
      </c>
      <c r="V110" s="87" t="s">
        <v>92</v>
      </c>
      <c r="W110" s="5"/>
      <c r="X110" s="6"/>
      <c r="Y110" s="5" t="s">
        <v>274</v>
      </c>
      <c r="Z110" s="5" t="s">
        <v>786</v>
      </c>
    </row>
    <row r="111" customFormat="false" ht="32.25" hidden="false" customHeight="true" outlineLevel="0" collapsed="false">
      <c r="A111" s="5" t="s">
        <v>923</v>
      </c>
      <c r="B111" s="6" t="s">
        <v>924</v>
      </c>
      <c r="C111" s="5" t="s">
        <v>272</v>
      </c>
      <c r="D111" s="6" t="s">
        <v>289</v>
      </c>
      <c r="E111" s="6" t="s">
        <v>793</v>
      </c>
      <c r="F111" s="5" t="s">
        <v>120</v>
      </c>
      <c r="G111" s="5" t="s">
        <v>123</v>
      </c>
      <c r="H111" s="9" t="s">
        <v>3367</v>
      </c>
      <c r="I111" s="87" t="s">
        <v>92</v>
      </c>
      <c r="J111" s="87" t="s">
        <v>445</v>
      </c>
      <c r="K111" s="87" t="s">
        <v>445</v>
      </c>
      <c r="L111" s="87" t="n">
        <v>3.29</v>
      </c>
      <c r="M111" s="9" t="s">
        <v>58</v>
      </c>
      <c r="N111" s="87" t="s">
        <v>59</v>
      </c>
      <c r="O111" s="9" t="s">
        <v>57</v>
      </c>
      <c r="P111" s="9" t="s">
        <v>57</v>
      </c>
      <c r="Q111" s="87" t="n">
        <v>0</v>
      </c>
      <c r="R111" s="88" t="s">
        <v>60</v>
      </c>
      <c r="S111" s="87" t="s">
        <v>123</v>
      </c>
      <c r="T111" s="88" t="s">
        <v>60</v>
      </c>
      <c r="U111" s="89" t="s">
        <v>60</v>
      </c>
      <c r="V111" s="5" t="s">
        <v>61</v>
      </c>
      <c r="W111" s="5"/>
      <c r="X111" s="6"/>
      <c r="Y111" s="5" t="s">
        <v>290</v>
      </c>
      <c r="Z111" s="5" t="s">
        <v>786</v>
      </c>
    </row>
    <row r="112" customFormat="false" ht="32.25" hidden="false" customHeight="true" outlineLevel="0" collapsed="false">
      <c r="A112" s="5" t="s">
        <v>930</v>
      </c>
      <c r="B112" s="6" t="s">
        <v>931</v>
      </c>
      <c r="C112" s="5" t="s">
        <v>272</v>
      </c>
      <c r="D112" s="6" t="s">
        <v>302</v>
      </c>
      <c r="E112" s="6" t="s">
        <v>800</v>
      </c>
      <c r="F112" s="5" t="s">
        <v>75</v>
      </c>
      <c r="G112" s="5" t="s">
        <v>107</v>
      </c>
      <c r="H112" s="9" t="s">
        <v>3367</v>
      </c>
      <c r="I112" s="9" t="s">
        <v>3367</v>
      </c>
      <c r="J112" s="9" t="s">
        <v>3367</v>
      </c>
      <c r="K112" s="9" t="s">
        <v>3367</v>
      </c>
      <c r="L112" s="87" t="n">
        <v>3.57</v>
      </c>
      <c r="M112" s="9" t="s">
        <v>108</v>
      </c>
      <c r="N112" s="87" t="s">
        <v>304</v>
      </c>
      <c r="O112" s="9" t="s">
        <v>57</v>
      </c>
      <c r="P112" s="9" t="s">
        <v>108</v>
      </c>
      <c r="Q112" s="87" t="n">
        <v>0</v>
      </c>
      <c r="R112" s="88" t="s">
        <v>60</v>
      </c>
      <c r="S112" s="87" t="s">
        <v>107</v>
      </c>
      <c r="T112" s="88" t="s">
        <v>60</v>
      </c>
      <c r="U112" s="89" t="s">
        <v>60</v>
      </c>
      <c r="V112" s="9" t="s">
        <v>109</v>
      </c>
      <c r="W112" s="5" t="s">
        <v>304</v>
      </c>
      <c r="X112" s="6" t="s">
        <v>110</v>
      </c>
      <c r="Y112" s="5" t="s">
        <v>303</v>
      </c>
      <c r="Z112" s="5" t="s">
        <v>786</v>
      </c>
    </row>
    <row r="113" customFormat="false" ht="21.75" hidden="false" customHeight="true" outlineLevel="0" collapsed="false">
      <c r="A113" s="5" t="s">
        <v>937</v>
      </c>
      <c r="B113" s="6" t="s">
        <v>938</v>
      </c>
      <c r="C113" s="5" t="s">
        <v>272</v>
      </c>
      <c r="D113" s="6" t="s">
        <v>273</v>
      </c>
      <c r="E113" s="6" t="s">
        <v>808</v>
      </c>
      <c r="F113" s="5" t="s">
        <v>666</v>
      </c>
      <c r="G113" s="5" t="s">
        <v>123</v>
      </c>
      <c r="H113" s="9" t="s">
        <v>3367</v>
      </c>
      <c r="I113" s="87" t="s">
        <v>92</v>
      </c>
      <c r="J113" s="87" t="s">
        <v>445</v>
      </c>
      <c r="K113" s="87" t="s">
        <v>445</v>
      </c>
      <c r="L113" s="87" t="n">
        <v>2.69</v>
      </c>
      <c r="M113" s="9" t="s">
        <v>119</v>
      </c>
      <c r="N113" s="87" t="s">
        <v>125</v>
      </c>
      <c r="O113" s="9" t="s">
        <v>124</v>
      </c>
      <c r="P113" s="9" t="s">
        <v>124</v>
      </c>
      <c r="Q113" s="87" t="n">
        <v>35000</v>
      </c>
      <c r="R113" s="88" t="s">
        <v>60</v>
      </c>
      <c r="S113" s="87" t="s">
        <v>123</v>
      </c>
      <c r="T113" s="88" t="s">
        <v>60</v>
      </c>
      <c r="U113" s="89" t="s">
        <v>60</v>
      </c>
      <c r="V113" s="13" t="s">
        <v>126</v>
      </c>
      <c r="W113" s="5"/>
      <c r="X113" s="6"/>
      <c r="Y113" s="5" t="s">
        <v>122</v>
      </c>
      <c r="Z113" s="5" t="s">
        <v>786</v>
      </c>
    </row>
    <row r="114" customFormat="false" ht="32.25" hidden="false" customHeight="true" outlineLevel="0" collapsed="false">
      <c r="A114" s="5" t="s">
        <v>945</v>
      </c>
      <c r="B114" s="6" t="s">
        <v>946</v>
      </c>
      <c r="C114" s="5" t="s">
        <v>272</v>
      </c>
      <c r="D114" s="6" t="s">
        <v>273</v>
      </c>
      <c r="E114" s="6" t="s">
        <v>819</v>
      </c>
      <c r="F114" s="5" t="s">
        <v>675</v>
      </c>
      <c r="G114" s="5" t="s">
        <v>78</v>
      </c>
      <c r="H114" s="9" t="s">
        <v>3367</v>
      </c>
      <c r="I114" s="9" t="s">
        <v>3367</v>
      </c>
      <c r="J114" s="87" t="s">
        <v>92</v>
      </c>
      <c r="K114" s="87" t="s">
        <v>445</v>
      </c>
      <c r="L114" s="87" t="n">
        <v>3.48</v>
      </c>
      <c r="M114" s="9" t="s">
        <v>58</v>
      </c>
      <c r="N114" s="87" t="s">
        <v>59</v>
      </c>
      <c r="O114" s="9" t="s">
        <v>57</v>
      </c>
      <c r="P114" s="9" t="s">
        <v>57</v>
      </c>
      <c r="Q114" s="87" t="n">
        <v>0</v>
      </c>
      <c r="R114" s="88" t="s">
        <v>60</v>
      </c>
      <c r="S114" s="87" t="s">
        <v>78</v>
      </c>
      <c r="T114" s="88" t="s">
        <v>60</v>
      </c>
      <c r="U114" s="89" t="s">
        <v>60</v>
      </c>
      <c r="V114" s="87" t="s">
        <v>92</v>
      </c>
      <c r="W114" s="5"/>
      <c r="X114" s="6"/>
      <c r="Y114" s="5" t="s">
        <v>274</v>
      </c>
      <c r="Z114" s="5" t="s">
        <v>786</v>
      </c>
    </row>
    <row r="115" customFormat="false" ht="32.25" hidden="false" customHeight="true" outlineLevel="0" collapsed="false">
      <c r="A115" s="5" t="s">
        <v>952</v>
      </c>
      <c r="B115" s="6" t="s">
        <v>953</v>
      </c>
      <c r="C115" s="5" t="s">
        <v>272</v>
      </c>
      <c r="D115" s="6" t="s">
        <v>289</v>
      </c>
      <c r="E115" s="6" t="s">
        <v>793</v>
      </c>
      <c r="F115" s="5" t="s">
        <v>683</v>
      </c>
      <c r="G115" s="5" t="s">
        <v>123</v>
      </c>
      <c r="H115" s="9" t="s">
        <v>3367</v>
      </c>
      <c r="I115" s="87" t="s">
        <v>92</v>
      </c>
      <c r="J115" s="87" t="s">
        <v>445</v>
      </c>
      <c r="K115" s="87" t="s">
        <v>445</v>
      </c>
      <c r="L115" s="87" t="n">
        <v>3.18</v>
      </c>
      <c r="M115" s="9" t="s">
        <v>58</v>
      </c>
      <c r="N115" s="87" t="s">
        <v>59</v>
      </c>
      <c r="O115" s="9" t="s">
        <v>57</v>
      </c>
      <c r="P115" s="9" t="s">
        <v>57</v>
      </c>
      <c r="Q115" s="87" t="n">
        <v>0</v>
      </c>
      <c r="R115" s="88" t="s">
        <v>60</v>
      </c>
      <c r="S115" s="87" t="s">
        <v>123</v>
      </c>
      <c r="T115" s="88" t="s">
        <v>60</v>
      </c>
      <c r="U115" s="89" t="s">
        <v>60</v>
      </c>
      <c r="V115" s="5" t="s">
        <v>61</v>
      </c>
      <c r="W115" s="5"/>
      <c r="X115" s="6"/>
      <c r="Y115" s="5" t="s">
        <v>290</v>
      </c>
      <c r="Z115" s="5" t="s">
        <v>786</v>
      </c>
    </row>
    <row r="116" customFormat="false" ht="32.25" hidden="false" customHeight="true" outlineLevel="0" collapsed="false">
      <c r="A116" s="5" t="s">
        <v>958</v>
      </c>
      <c r="B116" s="6" t="s">
        <v>959</v>
      </c>
      <c r="C116" s="5" t="s">
        <v>272</v>
      </c>
      <c r="D116" s="6" t="s">
        <v>342</v>
      </c>
      <c r="E116" s="6" t="s">
        <v>819</v>
      </c>
      <c r="F116" s="5" t="s">
        <v>483</v>
      </c>
      <c r="G116" s="5" t="s">
        <v>345</v>
      </c>
      <c r="H116" s="9" t="s">
        <v>3367</v>
      </c>
      <c r="I116" s="9" t="s">
        <v>3367</v>
      </c>
      <c r="J116" s="9" t="s">
        <v>3367</v>
      </c>
      <c r="K116" s="87" t="s">
        <v>92</v>
      </c>
      <c r="L116" s="87" t="n">
        <v>3.79</v>
      </c>
      <c r="M116" s="9" t="s">
        <v>58</v>
      </c>
      <c r="N116" s="87" t="s">
        <v>59</v>
      </c>
      <c r="O116" s="9" t="s">
        <v>57</v>
      </c>
      <c r="P116" s="9" t="s">
        <v>57</v>
      </c>
      <c r="Q116" s="87" t="n">
        <v>0</v>
      </c>
      <c r="R116" s="88" t="s">
        <v>347</v>
      </c>
      <c r="S116" s="87" t="s">
        <v>347</v>
      </c>
      <c r="T116" s="88" t="s">
        <v>92</v>
      </c>
      <c r="U116" s="89" t="s">
        <v>61</v>
      </c>
      <c r="V116" s="5" t="s">
        <v>61</v>
      </c>
      <c r="W116" s="5"/>
      <c r="X116" s="6"/>
      <c r="Y116" s="5" t="s">
        <v>344</v>
      </c>
      <c r="Z116" s="5" t="s">
        <v>786</v>
      </c>
    </row>
    <row r="117" customFormat="false" ht="21.75" hidden="false" customHeight="true" outlineLevel="0" collapsed="false">
      <c r="A117" s="5" t="s">
        <v>966</v>
      </c>
      <c r="B117" s="6" t="s">
        <v>967</v>
      </c>
      <c r="C117" s="5" t="s">
        <v>272</v>
      </c>
      <c r="D117" s="6" t="s">
        <v>342</v>
      </c>
      <c r="E117" s="6" t="s">
        <v>808</v>
      </c>
      <c r="F117" s="5" t="s">
        <v>493</v>
      </c>
      <c r="G117" s="5" t="s">
        <v>361</v>
      </c>
      <c r="H117" s="9" t="s">
        <v>3367</v>
      </c>
      <c r="I117" s="9" t="s">
        <v>3367</v>
      </c>
      <c r="J117" s="9" t="s">
        <v>3367</v>
      </c>
      <c r="K117" s="87" t="s">
        <v>92</v>
      </c>
      <c r="L117" s="87" t="n">
        <v>3.44</v>
      </c>
      <c r="M117" s="9" t="s">
        <v>58</v>
      </c>
      <c r="N117" s="87" t="s">
        <v>59</v>
      </c>
      <c r="O117" s="9" t="s">
        <v>57</v>
      </c>
      <c r="P117" s="9" t="s">
        <v>57</v>
      </c>
      <c r="Q117" s="87" t="n">
        <v>0</v>
      </c>
      <c r="R117" s="88" t="s">
        <v>363</v>
      </c>
      <c r="S117" s="87" t="s">
        <v>363</v>
      </c>
      <c r="T117" s="88" t="s">
        <v>61</v>
      </c>
      <c r="U117" s="89" t="s">
        <v>61</v>
      </c>
      <c r="V117" s="5" t="s">
        <v>61</v>
      </c>
      <c r="W117" s="5"/>
      <c r="X117" s="6"/>
      <c r="Y117" s="5" t="s">
        <v>360</v>
      </c>
      <c r="Z117" s="5" t="s">
        <v>786</v>
      </c>
    </row>
    <row r="118" customFormat="false" ht="21.75" hidden="false" customHeight="true" outlineLevel="0" collapsed="false">
      <c r="A118" s="5" t="s">
        <v>975</v>
      </c>
      <c r="B118" s="6" t="s">
        <v>976</v>
      </c>
      <c r="C118" s="5" t="s">
        <v>272</v>
      </c>
      <c r="D118" s="6" t="s">
        <v>375</v>
      </c>
      <c r="E118" s="6" t="s">
        <v>134</v>
      </c>
      <c r="F118" s="5" t="s">
        <v>52</v>
      </c>
      <c r="G118" s="5" t="s">
        <v>345</v>
      </c>
      <c r="H118" s="9" t="s">
        <v>3367</v>
      </c>
      <c r="I118" s="9" t="s">
        <v>3367</v>
      </c>
      <c r="J118" s="9" t="s">
        <v>3367</v>
      </c>
      <c r="K118" s="87" t="s">
        <v>92</v>
      </c>
      <c r="L118" s="87" t="n">
        <v>3.52</v>
      </c>
      <c r="M118" s="9" t="s">
        <v>58</v>
      </c>
      <c r="N118" s="87" t="s">
        <v>59</v>
      </c>
      <c r="O118" s="9" t="s">
        <v>57</v>
      </c>
      <c r="P118" s="9" t="s">
        <v>57</v>
      </c>
      <c r="Q118" s="87" t="n">
        <v>0</v>
      </c>
      <c r="R118" s="88" t="s">
        <v>347</v>
      </c>
      <c r="S118" s="87" t="s">
        <v>347</v>
      </c>
      <c r="T118" s="88" t="s">
        <v>92</v>
      </c>
      <c r="U118" s="89" t="s">
        <v>61</v>
      </c>
      <c r="V118" s="5" t="s">
        <v>61</v>
      </c>
      <c r="W118" s="5"/>
      <c r="X118" s="6"/>
      <c r="Y118" s="5" t="s">
        <v>344</v>
      </c>
      <c r="Z118" s="5" t="s">
        <v>786</v>
      </c>
    </row>
    <row r="119" customFormat="false" ht="32.25" hidden="false" customHeight="true" outlineLevel="0" collapsed="false">
      <c r="A119" s="5" t="s">
        <v>983</v>
      </c>
      <c r="B119" s="6" t="s">
        <v>984</v>
      </c>
      <c r="C119" s="5" t="s">
        <v>272</v>
      </c>
      <c r="D119" s="6" t="s">
        <v>342</v>
      </c>
      <c r="E119" s="6" t="s">
        <v>819</v>
      </c>
      <c r="F119" s="5" t="s">
        <v>141</v>
      </c>
      <c r="G119" s="5" t="s">
        <v>361</v>
      </c>
      <c r="H119" s="9" t="s">
        <v>3367</v>
      </c>
      <c r="I119" s="9" t="s">
        <v>3367</v>
      </c>
      <c r="J119" s="9" t="s">
        <v>3367</v>
      </c>
      <c r="K119" s="87" t="s">
        <v>92</v>
      </c>
      <c r="L119" s="87" t="n">
        <v>3.21</v>
      </c>
      <c r="M119" s="9" t="s">
        <v>58</v>
      </c>
      <c r="N119" s="87" t="s">
        <v>59</v>
      </c>
      <c r="O119" s="9" t="s">
        <v>160</v>
      </c>
      <c r="P119" s="9" t="s">
        <v>160</v>
      </c>
      <c r="Q119" s="87" t="n">
        <v>0</v>
      </c>
      <c r="R119" s="88" t="s">
        <v>363</v>
      </c>
      <c r="S119" s="87" t="s">
        <v>363</v>
      </c>
      <c r="T119" s="88" t="s">
        <v>61</v>
      </c>
      <c r="U119" s="89" t="s">
        <v>61</v>
      </c>
      <c r="V119" s="5" t="s">
        <v>61</v>
      </c>
      <c r="W119" s="5"/>
      <c r="X119" s="6"/>
      <c r="Y119" s="5" t="s">
        <v>389</v>
      </c>
      <c r="Z119" s="5" t="s">
        <v>786</v>
      </c>
    </row>
    <row r="120" customFormat="false" ht="32.25" hidden="false" customHeight="true" outlineLevel="0" collapsed="false">
      <c r="A120" s="5" t="s">
        <v>990</v>
      </c>
      <c r="B120" s="6" t="s">
        <v>991</v>
      </c>
      <c r="C120" s="5" t="s">
        <v>272</v>
      </c>
      <c r="D120" s="6" t="s">
        <v>375</v>
      </c>
      <c r="E120" s="6" t="s">
        <v>800</v>
      </c>
      <c r="F120" s="5" t="s">
        <v>88</v>
      </c>
      <c r="G120" s="5" t="s">
        <v>107</v>
      </c>
      <c r="H120" s="9" t="s">
        <v>3367</v>
      </c>
      <c r="I120" s="9" t="s">
        <v>3367</v>
      </c>
      <c r="J120" s="9" t="s">
        <v>3367</v>
      </c>
      <c r="K120" s="9" t="s">
        <v>3367</v>
      </c>
      <c r="L120" s="87" t="n">
        <v>3.86</v>
      </c>
      <c r="M120" s="9" t="s">
        <v>108</v>
      </c>
      <c r="N120" s="87" t="s">
        <v>304</v>
      </c>
      <c r="O120" s="9" t="s">
        <v>57</v>
      </c>
      <c r="P120" s="9" t="s">
        <v>108</v>
      </c>
      <c r="Q120" s="87" t="n">
        <v>0</v>
      </c>
      <c r="R120" s="88" t="s">
        <v>406</v>
      </c>
      <c r="S120" s="87" t="s">
        <v>406</v>
      </c>
      <c r="T120" s="88" t="s">
        <v>109</v>
      </c>
      <c r="U120" s="89" t="s">
        <v>109</v>
      </c>
      <c r="V120" s="9" t="s">
        <v>109</v>
      </c>
      <c r="W120" s="5" t="s">
        <v>304</v>
      </c>
      <c r="X120" s="6" t="s">
        <v>110</v>
      </c>
      <c r="Y120" s="5" t="s">
        <v>404</v>
      </c>
      <c r="Z120" s="5" t="s">
        <v>786</v>
      </c>
    </row>
    <row r="121" customFormat="false" ht="21.75" hidden="false" customHeight="true" outlineLevel="0" collapsed="false">
      <c r="A121" s="5" t="s">
        <v>997</v>
      </c>
      <c r="B121" s="6" t="s">
        <v>998</v>
      </c>
      <c r="C121" s="5" t="s">
        <v>272</v>
      </c>
      <c r="D121" s="6" t="s">
        <v>342</v>
      </c>
      <c r="E121" s="6" t="s">
        <v>808</v>
      </c>
      <c r="F121" s="5" t="s">
        <v>683</v>
      </c>
      <c r="G121" s="5" t="s">
        <v>418</v>
      </c>
      <c r="H121" s="9" t="s">
        <v>3367</v>
      </c>
      <c r="I121" s="9" t="s">
        <v>3367</v>
      </c>
      <c r="J121" s="9" t="s">
        <v>3367</v>
      </c>
      <c r="K121" s="87" t="s">
        <v>92</v>
      </c>
      <c r="L121" s="87" t="n">
        <v>3.39</v>
      </c>
      <c r="M121" s="9" t="s">
        <v>58</v>
      </c>
      <c r="N121" s="87" t="s">
        <v>59</v>
      </c>
      <c r="O121" s="9" t="s">
        <v>57</v>
      </c>
      <c r="P121" s="9" t="s">
        <v>57</v>
      </c>
      <c r="Q121" s="87" t="n">
        <v>0</v>
      </c>
      <c r="R121" s="88" t="s">
        <v>420</v>
      </c>
      <c r="S121" s="87" t="s">
        <v>420</v>
      </c>
      <c r="T121" s="88" t="s">
        <v>61</v>
      </c>
      <c r="U121" s="89" t="s">
        <v>61</v>
      </c>
      <c r="V121" s="5" t="s">
        <v>61</v>
      </c>
      <c r="W121" s="5"/>
      <c r="X121" s="6"/>
      <c r="Y121" s="5" t="s">
        <v>417</v>
      </c>
      <c r="Z121" s="5" t="s">
        <v>786</v>
      </c>
    </row>
    <row r="122" customFormat="false" ht="21.75" hidden="false" customHeight="true" outlineLevel="0" collapsed="false">
      <c r="A122" s="5" t="s">
        <v>1003</v>
      </c>
      <c r="B122" s="6" t="s">
        <v>1004</v>
      </c>
      <c r="C122" s="5" t="s">
        <v>272</v>
      </c>
      <c r="D122" s="6" t="s">
        <v>430</v>
      </c>
      <c r="E122" s="6" t="s">
        <v>134</v>
      </c>
      <c r="F122" s="5" t="s">
        <v>483</v>
      </c>
      <c r="G122" s="5" t="s">
        <v>345</v>
      </c>
      <c r="H122" s="9" t="s">
        <v>3367</v>
      </c>
      <c r="I122" s="9" t="s">
        <v>3367</v>
      </c>
      <c r="J122" s="9" t="s">
        <v>3367</v>
      </c>
      <c r="K122" s="87" t="s">
        <v>92</v>
      </c>
      <c r="L122" s="87" t="n">
        <v>3.69</v>
      </c>
      <c r="M122" s="9" t="s">
        <v>58</v>
      </c>
      <c r="N122" s="87" t="s">
        <v>59</v>
      </c>
      <c r="O122" s="9" t="s">
        <v>57</v>
      </c>
      <c r="P122" s="9" t="s">
        <v>57</v>
      </c>
      <c r="Q122" s="87" t="n">
        <v>0</v>
      </c>
      <c r="R122" s="88" t="s">
        <v>363</v>
      </c>
      <c r="S122" s="87" t="s">
        <v>363</v>
      </c>
      <c r="T122" s="88" t="s">
        <v>61</v>
      </c>
      <c r="U122" s="89" t="s">
        <v>61</v>
      </c>
      <c r="V122" s="5" t="s">
        <v>61</v>
      </c>
      <c r="W122" s="5"/>
      <c r="X122" s="6"/>
      <c r="Y122" s="5" t="s">
        <v>431</v>
      </c>
      <c r="Z122" s="5" t="s">
        <v>786</v>
      </c>
    </row>
    <row r="123" customFormat="false" ht="32.25" hidden="false" customHeight="true" outlineLevel="0" collapsed="false">
      <c r="A123" s="5" t="s">
        <v>1012</v>
      </c>
      <c r="B123" s="6" t="s">
        <v>1013</v>
      </c>
      <c r="C123" s="5" t="s">
        <v>272</v>
      </c>
      <c r="D123" s="6" t="s">
        <v>430</v>
      </c>
      <c r="E123" s="6" t="s">
        <v>819</v>
      </c>
      <c r="F123" s="5" t="s">
        <v>564</v>
      </c>
      <c r="G123" s="5" t="s">
        <v>443</v>
      </c>
      <c r="H123" s="9" t="s">
        <v>3367</v>
      </c>
      <c r="I123" s="9" t="s">
        <v>3367</v>
      </c>
      <c r="J123" s="9" t="s">
        <v>3367</v>
      </c>
      <c r="K123" s="87" t="s">
        <v>92</v>
      </c>
      <c r="L123" s="87" t="n">
        <v>3.77</v>
      </c>
      <c r="M123" s="9" t="s">
        <v>58</v>
      </c>
      <c r="N123" s="87" t="s">
        <v>59</v>
      </c>
      <c r="O123" s="9" t="s">
        <v>57</v>
      </c>
      <c r="P123" s="9" t="s">
        <v>57</v>
      </c>
      <c r="Q123" s="87" t="n">
        <v>0</v>
      </c>
      <c r="R123" s="88" t="s">
        <v>347</v>
      </c>
      <c r="S123" s="87" t="s">
        <v>347</v>
      </c>
      <c r="T123" s="88" t="s">
        <v>92</v>
      </c>
      <c r="U123" s="89" t="s">
        <v>61</v>
      </c>
      <c r="V123" s="5" t="s">
        <v>61</v>
      </c>
      <c r="W123" s="5"/>
      <c r="X123" s="6"/>
      <c r="Y123" s="5" t="s">
        <v>442</v>
      </c>
      <c r="Z123" s="5" t="s">
        <v>786</v>
      </c>
    </row>
    <row r="124" customFormat="false" ht="32.25" hidden="false" customHeight="true" outlineLevel="0" collapsed="false">
      <c r="A124" s="5" t="s">
        <v>1020</v>
      </c>
      <c r="B124" s="6" t="s">
        <v>1021</v>
      </c>
      <c r="C124" s="5" t="s">
        <v>272</v>
      </c>
      <c r="D124" s="6" t="s">
        <v>430</v>
      </c>
      <c r="E124" s="6" t="s">
        <v>793</v>
      </c>
      <c r="F124" s="5" t="s">
        <v>768</v>
      </c>
      <c r="G124" s="5" t="s">
        <v>418</v>
      </c>
      <c r="H124" s="9" t="s">
        <v>3367</v>
      </c>
      <c r="I124" s="9" t="s">
        <v>3367</v>
      </c>
      <c r="J124" s="9" t="s">
        <v>3367</v>
      </c>
      <c r="K124" s="87" t="s">
        <v>92</v>
      </c>
      <c r="L124" s="87" t="n">
        <v>3.58</v>
      </c>
      <c r="M124" s="9" t="s">
        <v>58</v>
      </c>
      <c r="N124" s="87" t="s">
        <v>59</v>
      </c>
      <c r="O124" s="9" t="s">
        <v>57</v>
      </c>
      <c r="P124" s="9" t="s">
        <v>57</v>
      </c>
      <c r="Q124" s="87" t="n">
        <v>0</v>
      </c>
      <c r="R124" s="88" t="s">
        <v>458</v>
      </c>
      <c r="S124" s="87" t="s">
        <v>458</v>
      </c>
      <c r="T124" s="88" t="s">
        <v>61</v>
      </c>
      <c r="U124" s="89" t="s">
        <v>61</v>
      </c>
      <c r="V124" s="5" t="s">
        <v>61</v>
      </c>
      <c r="W124" s="5"/>
      <c r="X124" s="6"/>
      <c r="Y124" s="5" t="s">
        <v>456</v>
      </c>
      <c r="Z124" s="5" t="s">
        <v>786</v>
      </c>
    </row>
    <row r="125" customFormat="false" ht="21.75" hidden="false" customHeight="true" outlineLevel="0" collapsed="false">
      <c r="A125" s="5" t="s">
        <v>1028</v>
      </c>
      <c r="B125" s="6" t="s">
        <v>1029</v>
      </c>
      <c r="C125" s="5" t="s">
        <v>272</v>
      </c>
      <c r="D125" s="6" t="s">
        <v>430</v>
      </c>
      <c r="E125" s="6" t="s">
        <v>808</v>
      </c>
      <c r="F125" s="5" t="s">
        <v>141</v>
      </c>
      <c r="G125" s="5" t="s">
        <v>361</v>
      </c>
      <c r="H125" s="9" t="s">
        <v>3367</v>
      </c>
      <c r="I125" s="9" t="s">
        <v>3367</v>
      </c>
      <c r="J125" s="9" t="s">
        <v>3367</v>
      </c>
      <c r="K125" s="87" t="s">
        <v>92</v>
      </c>
      <c r="L125" s="87" t="n">
        <v>3.41</v>
      </c>
      <c r="M125" s="9" t="s">
        <v>58</v>
      </c>
      <c r="N125" s="87" t="s">
        <v>59</v>
      </c>
      <c r="O125" s="9" t="s">
        <v>57</v>
      </c>
      <c r="P125" s="9" t="s">
        <v>57</v>
      </c>
      <c r="Q125" s="87" t="n">
        <v>0</v>
      </c>
      <c r="R125" s="88" t="s">
        <v>470</v>
      </c>
      <c r="S125" s="87" t="s">
        <v>470</v>
      </c>
      <c r="T125" s="88" t="s">
        <v>61</v>
      </c>
      <c r="U125" s="89" t="s">
        <v>61</v>
      </c>
      <c r="V125" s="5" t="s">
        <v>61</v>
      </c>
      <c r="W125" s="5"/>
      <c r="X125" s="6"/>
      <c r="Y125" s="5" t="s">
        <v>468</v>
      </c>
      <c r="Z125" s="5" t="s">
        <v>786</v>
      </c>
    </row>
    <row r="126" customFormat="false" ht="21.75" hidden="false" customHeight="true" outlineLevel="0" collapsed="false">
      <c r="A126" s="5" t="s">
        <v>1035</v>
      </c>
      <c r="B126" s="6" t="s">
        <v>1036</v>
      </c>
      <c r="C126" s="5" t="s">
        <v>54</v>
      </c>
      <c r="D126" s="6" t="s">
        <v>46</v>
      </c>
      <c r="E126" s="6" t="s">
        <v>48</v>
      </c>
      <c r="F126" s="5" t="s">
        <v>493</v>
      </c>
      <c r="G126" s="5" t="s">
        <v>78</v>
      </c>
      <c r="H126" s="9" t="s">
        <v>3367</v>
      </c>
      <c r="I126" s="9" t="s">
        <v>3367</v>
      </c>
      <c r="J126" s="9" t="s">
        <v>3367</v>
      </c>
      <c r="K126" s="87" t="s">
        <v>445</v>
      </c>
      <c r="L126" s="87" t="n">
        <v>3.5</v>
      </c>
      <c r="M126" s="9" t="s">
        <v>58</v>
      </c>
      <c r="N126" s="87" t="s">
        <v>59</v>
      </c>
      <c r="O126" s="9" t="s">
        <v>57</v>
      </c>
      <c r="P126" s="9" t="s">
        <v>57</v>
      </c>
      <c r="Q126" s="87" t="n">
        <v>0</v>
      </c>
      <c r="R126" s="88" t="s">
        <v>60</v>
      </c>
      <c r="S126" s="87" t="s">
        <v>3369</v>
      </c>
      <c r="T126" s="88" t="s">
        <v>60</v>
      </c>
      <c r="U126" s="89" t="s">
        <v>60</v>
      </c>
      <c r="V126" s="5" t="s">
        <v>61</v>
      </c>
      <c r="W126" s="5"/>
      <c r="X126" s="6"/>
      <c r="Y126" s="5" t="s">
        <v>77</v>
      </c>
      <c r="Z126" s="5" t="s">
        <v>62</v>
      </c>
    </row>
    <row r="127" customFormat="false" ht="21.75" hidden="false" customHeight="true" outlineLevel="0" collapsed="false">
      <c r="A127" s="5" t="s">
        <v>1040</v>
      </c>
      <c r="B127" s="6" t="s">
        <v>1041</v>
      </c>
      <c r="C127" s="5" t="s">
        <v>272</v>
      </c>
      <c r="D127" s="6" t="s">
        <v>273</v>
      </c>
      <c r="E127" s="6" t="s">
        <v>48</v>
      </c>
      <c r="F127" s="5" t="s">
        <v>1045</v>
      </c>
      <c r="G127" s="5" t="s">
        <v>123</v>
      </c>
      <c r="H127" s="9" t="s">
        <v>3367</v>
      </c>
      <c r="I127" s="87" t="s">
        <v>92</v>
      </c>
      <c r="J127" s="87" t="s">
        <v>445</v>
      </c>
      <c r="K127" s="87" t="s">
        <v>445</v>
      </c>
      <c r="L127" s="87" t="n">
        <v>3.5</v>
      </c>
      <c r="M127" s="9" t="s">
        <v>58</v>
      </c>
      <c r="N127" s="87" t="s">
        <v>59</v>
      </c>
      <c r="O127" s="9" t="s">
        <v>57</v>
      </c>
      <c r="P127" s="9" t="s">
        <v>57</v>
      </c>
      <c r="Q127" s="87" t="n">
        <v>0</v>
      </c>
      <c r="R127" s="88" t="s">
        <v>60</v>
      </c>
      <c r="S127" s="87" t="s">
        <v>123</v>
      </c>
      <c r="T127" s="88" t="s">
        <v>60</v>
      </c>
      <c r="U127" s="89" t="s">
        <v>60</v>
      </c>
      <c r="V127" s="5" t="s">
        <v>61</v>
      </c>
      <c r="W127" s="5"/>
      <c r="X127" s="6"/>
      <c r="Y127" s="5" t="s">
        <v>290</v>
      </c>
      <c r="Z127" s="5" t="s">
        <v>62</v>
      </c>
    </row>
    <row r="128" customFormat="false" ht="21.75" hidden="false" customHeight="true" outlineLevel="0" collapsed="false">
      <c r="A128" s="5" t="s">
        <v>1048</v>
      </c>
      <c r="B128" s="6" t="s">
        <v>1049</v>
      </c>
      <c r="C128" s="5" t="s">
        <v>272</v>
      </c>
      <c r="D128" s="6" t="s">
        <v>430</v>
      </c>
      <c r="E128" s="6" t="s">
        <v>48</v>
      </c>
      <c r="F128" s="5" t="s">
        <v>1053</v>
      </c>
      <c r="G128" s="5" t="s">
        <v>418</v>
      </c>
      <c r="H128" s="9" t="s">
        <v>3367</v>
      </c>
      <c r="I128" s="9" t="s">
        <v>3367</v>
      </c>
      <c r="J128" s="9" t="s">
        <v>3367</v>
      </c>
      <c r="K128" s="87" t="s">
        <v>92</v>
      </c>
      <c r="L128" s="87" t="n">
        <v>3.5</v>
      </c>
      <c r="M128" s="9" t="s">
        <v>58</v>
      </c>
      <c r="N128" s="87" t="s">
        <v>59</v>
      </c>
      <c r="O128" s="9" t="s">
        <v>57</v>
      </c>
      <c r="P128" s="9" t="s">
        <v>57</v>
      </c>
      <c r="Q128" s="87" t="n">
        <v>0</v>
      </c>
      <c r="R128" s="88" t="s">
        <v>458</v>
      </c>
      <c r="S128" s="87" t="s">
        <v>458</v>
      </c>
      <c r="T128" s="88" t="s">
        <v>61</v>
      </c>
      <c r="U128" s="89" t="s">
        <v>61</v>
      </c>
      <c r="V128" s="5" t="s">
        <v>61</v>
      </c>
      <c r="W128" s="5"/>
      <c r="X128" s="6"/>
      <c r="Y128" s="5" t="s">
        <v>456</v>
      </c>
      <c r="Z128" s="5" t="s">
        <v>62</v>
      </c>
    </row>
    <row r="129" customFormat="false" ht="21.75" hidden="false" customHeight="true" outlineLevel="0" collapsed="false">
      <c r="A129" s="5" t="s">
        <v>1057</v>
      </c>
      <c r="B129" s="6" t="s">
        <v>1036</v>
      </c>
      <c r="C129" s="5" t="s">
        <v>54</v>
      </c>
      <c r="D129" s="6" t="s">
        <v>46</v>
      </c>
      <c r="E129" s="6" t="s">
        <v>481</v>
      </c>
      <c r="F129" s="5" t="s">
        <v>493</v>
      </c>
      <c r="G129" s="5" t="s">
        <v>78</v>
      </c>
      <c r="H129" s="9" t="s">
        <v>3367</v>
      </c>
      <c r="I129" s="9" t="s">
        <v>3367</v>
      </c>
      <c r="J129" s="9" t="s">
        <v>3367</v>
      </c>
      <c r="K129" s="87" t="s">
        <v>445</v>
      </c>
      <c r="L129" s="87" t="n">
        <v>3.5</v>
      </c>
      <c r="M129" s="9" t="s">
        <v>58</v>
      </c>
      <c r="N129" s="87" t="s">
        <v>59</v>
      </c>
      <c r="O129" s="9" t="s">
        <v>57</v>
      </c>
      <c r="P129" s="9" t="s">
        <v>57</v>
      </c>
      <c r="Q129" s="87" t="n">
        <v>0</v>
      </c>
      <c r="R129" s="88" t="s">
        <v>60</v>
      </c>
      <c r="S129" s="87" t="s">
        <v>3369</v>
      </c>
      <c r="T129" s="88" t="s">
        <v>60</v>
      </c>
      <c r="U129" s="89" t="s">
        <v>60</v>
      </c>
      <c r="V129" s="5" t="s">
        <v>61</v>
      </c>
      <c r="W129" s="5"/>
      <c r="X129" s="6"/>
      <c r="Y129" s="5" t="s">
        <v>77</v>
      </c>
      <c r="Z129" s="5" t="s">
        <v>484</v>
      </c>
    </row>
    <row r="130" customFormat="false" ht="21.75" hidden="false" customHeight="true" outlineLevel="0" collapsed="false">
      <c r="A130" s="5" t="s">
        <v>1060</v>
      </c>
      <c r="B130" s="6" t="s">
        <v>1041</v>
      </c>
      <c r="C130" s="5" t="s">
        <v>272</v>
      </c>
      <c r="D130" s="6" t="s">
        <v>273</v>
      </c>
      <c r="E130" s="6" t="s">
        <v>481</v>
      </c>
      <c r="F130" s="5" t="s">
        <v>1045</v>
      </c>
      <c r="G130" s="5" t="s">
        <v>123</v>
      </c>
      <c r="H130" s="9" t="s">
        <v>3367</v>
      </c>
      <c r="I130" s="87" t="s">
        <v>92</v>
      </c>
      <c r="J130" s="87" t="s">
        <v>445</v>
      </c>
      <c r="K130" s="87" t="s">
        <v>445</v>
      </c>
      <c r="L130" s="87" t="n">
        <v>3.5</v>
      </c>
      <c r="M130" s="9" t="s">
        <v>58</v>
      </c>
      <c r="N130" s="87" t="s">
        <v>59</v>
      </c>
      <c r="O130" s="9" t="s">
        <v>57</v>
      </c>
      <c r="P130" s="9" t="s">
        <v>57</v>
      </c>
      <c r="Q130" s="87" t="n">
        <v>0</v>
      </c>
      <c r="R130" s="88" t="s">
        <v>60</v>
      </c>
      <c r="S130" s="87" t="s">
        <v>123</v>
      </c>
      <c r="T130" s="88" t="s">
        <v>60</v>
      </c>
      <c r="U130" s="89" t="s">
        <v>60</v>
      </c>
      <c r="V130" s="5" t="s">
        <v>61</v>
      </c>
      <c r="W130" s="5"/>
      <c r="X130" s="6"/>
      <c r="Y130" s="5" t="s">
        <v>290</v>
      </c>
      <c r="Z130" s="5" t="s">
        <v>484</v>
      </c>
    </row>
    <row r="131" customFormat="false" ht="21.75" hidden="false" customHeight="true" outlineLevel="0" collapsed="false">
      <c r="A131" s="5" t="s">
        <v>1063</v>
      </c>
      <c r="B131" s="6" t="s">
        <v>1049</v>
      </c>
      <c r="C131" s="5" t="s">
        <v>272</v>
      </c>
      <c r="D131" s="6" t="s">
        <v>430</v>
      </c>
      <c r="E131" s="6" t="s">
        <v>481</v>
      </c>
      <c r="F131" s="5" t="s">
        <v>1053</v>
      </c>
      <c r="G131" s="5" t="s">
        <v>418</v>
      </c>
      <c r="H131" s="9" t="s">
        <v>3367</v>
      </c>
      <c r="I131" s="9" t="s">
        <v>3367</v>
      </c>
      <c r="J131" s="9" t="s">
        <v>3367</v>
      </c>
      <c r="K131" s="87" t="s">
        <v>92</v>
      </c>
      <c r="L131" s="87" t="n">
        <v>3.5</v>
      </c>
      <c r="M131" s="9" t="s">
        <v>58</v>
      </c>
      <c r="N131" s="87" t="s">
        <v>59</v>
      </c>
      <c r="O131" s="9" t="s">
        <v>57</v>
      </c>
      <c r="P131" s="9" t="s">
        <v>57</v>
      </c>
      <c r="Q131" s="87" t="n">
        <v>0</v>
      </c>
      <c r="R131" s="88" t="s">
        <v>458</v>
      </c>
      <c r="S131" s="87" t="s">
        <v>458</v>
      </c>
      <c r="T131" s="88" t="s">
        <v>61</v>
      </c>
      <c r="U131" s="89" t="s">
        <v>61</v>
      </c>
      <c r="V131" s="5" t="s">
        <v>61</v>
      </c>
      <c r="W131" s="5"/>
      <c r="X131" s="6"/>
      <c r="Y131" s="5" t="s">
        <v>456</v>
      </c>
      <c r="Z131" s="5" t="s">
        <v>484</v>
      </c>
    </row>
    <row r="132" customFormat="false" ht="21.75" hidden="false" customHeight="true" outlineLevel="0" collapsed="false">
      <c r="A132" s="5" t="s">
        <v>1066</v>
      </c>
      <c r="B132" s="6" t="s">
        <v>1036</v>
      </c>
      <c r="C132" s="5" t="s">
        <v>54</v>
      </c>
      <c r="D132" s="6" t="s">
        <v>46</v>
      </c>
      <c r="E132" s="6" t="s">
        <v>808</v>
      </c>
      <c r="F132" s="5" t="s">
        <v>493</v>
      </c>
      <c r="G132" s="5" t="s">
        <v>78</v>
      </c>
      <c r="H132" s="9" t="s">
        <v>3367</v>
      </c>
      <c r="I132" s="9" t="s">
        <v>3367</v>
      </c>
      <c r="J132" s="9" t="s">
        <v>3367</v>
      </c>
      <c r="K132" s="87" t="s">
        <v>445</v>
      </c>
      <c r="L132" s="87" t="n">
        <v>3.5</v>
      </c>
      <c r="M132" s="9" t="s">
        <v>58</v>
      </c>
      <c r="N132" s="87" t="s">
        <v>59</v>
      </c>
      <c r="O132" s="9" t="s">
        <v>57</v>
      </c>
      <c r="P132" s="9" t="s">
        <v>57</v>
      </c>
      <c r="Q132" s="87" t="n">
        <v>0</v>
      </c>
      <c r="R132" s="88" t="s">
        <v>60</v>
      </c>
      <c r="S132" s="87" t="s">
        <v>3369</v>
      </c>
      <c r="T132" s="88" t="s">
        <v>60</v>
      </c>
      <c r="U132" s="89" t="s">
        <v>60</v>
      </c>
      <c r="V132" s="5" t="s">
        <v>61</v>
      </c>
      <c r="W132" s="5"/>
      <c r="X132" s="6"/>
      <c r="Y132" s="5" t="s">
        <v>77</v>
      </c>
      <c r="Z132" s="5" t="s">
        <v>786</v>
      </c>
    </row>
    <row r="133" customFormat="false" ht="21.75" hidden="false" customHeight="true" outlineLevel="0" collapsed="false">
      <c r="A133" s="5" t="s">
        <v>1068</v>
      </c>
      <c r="B133" s="6" t="s">
        <v>1041</v>
      </c>
      <c r="C133" s="5" t="s">
        <v>272</v>
      </c>
      <c r="D133" s="6" t="s">
        <v>273</v>
      </c>
      <c r="E133" s="6" t="s">
        <v>808</v>
      </c>
      <c r="F133" s="5" t="s">
        <v>1045</v>
      </c>
      <c r="G133" s="5" t="s">
        <v>123</v>
      </c>
      <c r="H133" s="9" t="s">
        <v>3367</v>
      </c>
      <c r="I133" s="87" t="s">
        <v>92</v>
      </c>
      <c r="J133" s="87" t="s">
        <v>445</v>
      </c>
      <c r="K133" s="87" t="s">
        <v>445</v>
      </c>
      <c r="L133" s="87" t="n">
        <v>3.5</v>
      </c>
      <c r="M133" s="9" t="s">
        <v>58</v>
      </c>
      <c r="N133" s="87" t="s">
        <v>59</v>
      </c>
      <c r="O133" s="9" t="s">
        <v>57</v>
      </c>
      <c r="P133" s="9" t="s">
        <v>57</v>
      </c>
      <c r="Q133" s="87" t="n">
        <v>0</v>
      </c>
      <c r="R133" s="88" t="s">
        <v>60</v>
      </c>
      <c r="S133" s="87" t="s">
        <v>123</v>
      </c>
      <c r="T133" s="88" t="s">
        <v>60</v>
      </c>
      <c r="U133" s="89" t="s">
        <v>60</v>
      </c>
      <c r="V133" s="5" t="s">
        <v>61</v>
      </c>
      <c r="W133" s="5"/>
      <c r="X133" s="6"/>
      <c r="Y133" s="5" t="s">
        <v>290</v>
      </c>
      <c r="Z133" s="5" t="s">
        <v>786</v>
      </c>
    </row>
    <row r="134" customFormat="false" ht="21.75" hidden="false" customHeight="true" outlineLevel="0" collapsed="false">
      <c r="A134" s="5" t="s">
        <v>1070</v>
      </c>
      <c r="B134" s="6" t="s">
        <v>1049</v>
      </c>
      <c r="C134" s="5" t="s">
        <v>272</v>
      </c>
      <c r="D134" s="6" t="s">
        <v>430</v>
      </c>
      <c r="E134" s="6" t="s">
        <v>808</v>
      </c>
      <c r="F134" s="5" t="s">
        <v>1053</v>
      </c>
      <c r="G134" s="5" t="s">
        <v>418</v>
      </c>
      <c r="H134" s="9" t="s">
        <v>3367</v>
      </c>
      <c r="I134" s="9" t="s">
        <v>3367</v>
      </c>
      <c r="J134" s="9" t="s">
        <v>3367</v>
      </c>
      <c r="K134" s="87" t="s">
        <v>92</v>
      </c>
      <c r="L134" s="87" t="n">
        <v>3.5</v>
      </c>
      <c r="M134" s="9" t="s">
        <v>58</v>
      </c>
      <c r="N134" s="87" t="s">
        <v>59</v>
      </c>
      <c r="O134" s="9" t="s">
        <v>57</v>
      </c>
      <c r="P134" s="9" t="s">
        <v>57</v>
      </c>
      <c r="Q134" s="87" t="n">
        <v>0</v>
      </c>
      <c r="R134" s="88" t="s">
        <v>458</v>
      </c>
      <c r="S134" s="87" t="s">
        <v>458</v>
      </c>
      <c r="T134" s="88" t="s">
        <v>61</v>
      </c>
      <c r="U134" s="89" t="s">
        <v>61</v>
      </c>
      <c r="V134" s="5" t="s">
        <v>61</v>
      </c>
      <c r="W134" s="5"/>
      <c r="X134" s="6"/>
      <c r="Y134" s="5" t="s">
        <v>456</v>
      </c>
      <c r="Z134" s="5" t="s">
        <v>786</v>
      </c>
    </row>
  </sheetData>
  <mergeCells count="6">
    <mergeCell ref="A1:F1"/>
    <mergeCell ref="G1:K1"/>
    <mergeCell ref="L1:N1"/>
    <mergeCell ref="O1:Q1"/>
    <mergeCell ref="R1:U1"/>
    <mergeCell ref="V1:Y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2"/>
    <col collapsed="false" customWidth="true" hidden="false" outlineLevel="0" max="2" min="2" style="1" width="12"/>
    <col collapsed="false" customWidth="true" hidden="false" outlineLevel="0" max="3" min="3" style="1" width="14"/>
    <col collapsed="false" customWidth="true" hidden="false" outlineLevel="0" max="4" min="4" style="1" width="60"/>
    <col collapsed="false" customWidth="true" hidden="false" outlineLevel="0" max="5" min="5" style="1" width="8"/>
    <col collapsed="false" customWidth="true" hidden="false" outlineLevel="0" max="8" min="8" style="1" width="5"/>
  </cols>
  <sheetData>
    <row r="1" customFormat="false" ht="27.75" hidden="false" customHeight="true" outlineLevel="0" collapsed="false">
      <c r="A1" s="93" t="s">
        <v>3385</v>
      </c>
      <c r="B1" s="93"/>
      <c r="C1" s="93"/>
      <c r="D1" s="93"/>
      <c r="E1" s="93"/>
      <c r="F1" s="93"/>
      <c r="G1" s="93"/>
      <c r="H1" s="93"/>
    </row>
    <row r="2" customFormat="false" ht="15.75" hidden="false" customHeight="true" outlineLevel="0" collapsed="false">
      <c r="A2" s="94" t="s">
        <v>3386</v>
      </c>
      <c r="B2" s="94"/>
      <c r="C2" s="94"/>
      <c r="D2" s="94"/>
      <c r="E2" s="94"/>
      <c r="F2" s="94"/>
      <c r="G2" s="94"/>
      <c r="H2" s="94"/>
    </row>
    <row r="4" customFormat="false" ht="19.5" hidden="false" customHeight="true" outlineLevel="0" collapsed="false">
      <c r="A4" s="95" t="s">
        <v>3387</v>
      </c>
      <c r="B4" s="95"/>
      <c r="C4" s="95"/>
      <c r="D4" s="95"/>
      <c r="E4" s="95"/>
      <c r="F4" s="95"/>
      <c r="G4" s="95"/>
      <c r="H4" s="95"/>
    </row>
    <row r="5" customFormat="false" ht="19.5" hidden="false" customHeight="true" outlineLevel="0" collapsed="false">
      <c r="A5" s="96" t="s">
        <v>3321</v>
      </c>
      <c r="B5" s="97" t="s">
        <v>3388</v>
      </c>
      <c r="C5" s="96" t="s">
        <v>3343</v>
      </c>
      <c r="D5" s="97" t="s">
        <v>3389</v>
      </c>
      <c r="E5" s="96" t="s">
        <v>3390</v>
      </c>
      <c r="F5" s="97" t="s">
        <v>3391</v>
      </c>
      <c r="G5" s="96" t="s">
        <v>3392</v>
      </c>
      <c r="H5" s="97" t="s">
        <v>3393</v>
      </c>
    </row>
    <row r="6" customFormat="false" ht="19.5" hidden="false" customHeight="true" outlineLevel="0" collapsed="false">
      <c r="A6" s="96" t="s">
        <v>3394</v>
      </c>
      <c r="B6" s="97" t="s">
        <v>3395</v>
      </c>
      <c r="C6" s="96" t="s">
        <v>3396</v>
      </c>
      <c r="D6" s="97" t="s">
        <v>3395</v>
      </c>
      <c r="E6" s="96" t="s">
        <v>3397</v>
      </c>
      <c r="F6" s="97" t="s">
        <v>3398</v>
      </c>
      <c r="G6" s="96" t="s">
        <v>3399</v>
      </c>
      <c r="H6" s="97" t="s">
        <v>3400</v>
      </c>
    </row>
    <row r="7" customFormat="false" ht="19.5" hidden="false" customHeight="true" outlineLevel="0" collapsed="false">
      <c r="A7" s="96" t="s">
        <v>3333</v>
      </c>
      <c r="B7" s="97" t="s">
        <v>3401</v>
      </c>
      <c r="C7" s="96" t="s">
        <v>3402</v>
      </c>
      <c r="D7" s="97" t="s">
        <v>3403</v>
      </c>
      <c r="E7" s="96" t="s">
        <v>3404</v>
      </c>
      <c r="F7" s="97" t="s">
        <v>3405</v>
      </c>
      <c r="G7" s="96" t="s">
        <v>3406</v>
      </c>
      <c r="H7" s="97" t="s">
        <v>3407</v>
      </c>
    </row>
    <row r="8" customFormat="false" ht="19.5" hidden="false" customHeight="true" outlineLevel="0" collapsed="false">
      <c r="A8" s="96" t="s">
        <v>3408</v>
      </c>
      <c r="B8" s="97" t="s">
        <v>3409</v>
      </c>
      <c r="C8" s="96" t="s">
        <v>3323</v>
      </c>
      <c r="D8" s="97" t="s">
        <v>3410</v>
      </c>
      <c r="E8" s="96" t="s">
        <v>3411</v>
      </c>
      <c r="F8" s="97" t="s">
        <v>3412</v>
      </c>
      <c r="G8" s="96" t="s">
        <v>3413</v>
      </c>
      <c r="H8" s="97" t="s">
        <v>3414</v>
      </c>
    </row>
    <row r="10" customFormat="false" ht="21.75" hidden="false" customHeight="true" outlineLevel="0" collapsed="false">
      <c r="A10" s="98" t="s">
        <v>3415</v>
      </c>
      <c r="B10" s="98"/>
      <c r="C10" s="98"/>
      <c r="D10" s="98"/>
      <c r="E10" s="98"/>
      <c r="F10" s="98"/>
      <c r="G10" s="98"/>
      <c r="H10" s="98"/>
    </row>
    <row r="11" customFormat="false" ht="15.75" hidden="false" customHeight="true" outlineLevel="0" collapsed="false">
      <c r="A11" s="99" t="s">
        <v>3416</v>
      </c>
      <c r="B11" s="99"/>
      <c r="C11" s="99"/>
      <c r="D11" s="99"/>
      <c r="E11" s="99"/>
      <c r="F11" s="99"/>
      <c r="G11" s="99"/>
      <c r="H11" s="99"/>
    </row>
    <row r="12" customFormat="false" ht="15.75" hidden="false" customHeight="true" outlineLevel="0" collapsed="false">
      <c r="A12" s="100" t="s">
        <v>3417</v>
      </c>
      <c r="B12" s="100" t="s">
        <v>3418</v>
      </c>
      <c r="C12" s="100" t="s">
        <v>3419</v>
      </c>
      <c r="D12" s="100" t="s">
        <v>3420</v>
      </c>
      <c r="E12" s="100" t="s">
        <v>2635</v>
      </c>
    </row>
    <row r="13" customFormat="false" ht="30" hidden="false" customHeight="true" outlineLevel="0" collapsed="false">
      <c r="A13" s="101" t="s">
        <v>3421</v>
      </c>
      <c r="B13" s="102" t="s">
        <v>3422</v>
      </c>
      <c r="C13" s="102" t="s">
        <v>3423</v>
      </c>
      <c r="D13" s="101" t="s">
        <v>3424</v>
      </c>
      <c r="E13" s="103" t="s">
        <v>3425</v>
      </c>
    </row>
    <row r="14" customFormat="false" ht="30" hidden="false" customHeight="true" outlineLevel="0" collapsed="false">
      <c r="A14" s="101" t="s">
        <v>3426</v>
      </c>
      <c r="B14" s="102" t="s">
        <v>3427</v>
      </c>
      <c r="C14" s="102" t="s">
        <v>3428</v>
      </c>
      <c r="D14" s="101" t="s">
        <v>3429</v>
      </c>
      <c r="E14" s="103" t="s">
        <v>3425</v>
      </c>
    </row>
    <row r="15" customFormat="false" ht="30" hidden="false" customHeight="true" outlineLevel="0" collapsed="false">
      <c r="A15" s="101" t="s">
        <v>3430</v>
      </c>
      <c r="B15" s="102" t="s">
        <v>3427</v>
      </c>
      <c r="C15" s="102" t="s">
        <v>3431</v>
      </c>
      <c r="D15" s="101" t="s">
        <v>3432</v>
      </c>
      <c r="E15" s="104" t="s">
        <v>3433</v>
      </c>
    </row>
    <row r="16" customFormat="false" ht="30" hidden="false" customHeight="true" outlineLevel="0" collapsed="false">
      <c r="A16" s="101" t="s">
        <v>3434</v>
      </c>
      <c r="B16" s="102" t="s">
        <v>3435</v>
      </c>
      <c r="C16" s="102" t="s">
        <v>3436</v>
      </c>
      <c r="D16" s="101" t="s">
        <v>3437</v>
      </c>
      <c r="E16" s="103" t="s">
        <v>3425</v>
      </c>
    </row>
    <row r="17" customFormat="false" ht="18" hidden="false" customHeight="true" outlineLevel="0" collapsed="false">
      <c r="A17" s="105" t="s">
        <v>3438</v>
      </c>
      <c r="B17" s="106" t="s">
        <v>2672</v>
      </c>
      <c r="C17" s="107" t="s">
        <v>3439</v>
      </c>
      <c r="D17" s="108" t="s">
        <v>3440</v>
      </c>
      <c r="E17" s="109"/>
    </row>
    <row r="19" customFormat="false" ht="21.75" hidden="false" customHeight="true" outlineLevel="0" collapsed="false">
      <c r="A19" s="110" t="s">
        <v>3441</v>
      </c>
      <c r="B19" s="110"/>
      <c r="C19" s="110"/>
      <c r="D19" s="110"/>
      <c r="E19" s="110"/>
      <c r="F19" s="110"/>
      <c r="G19" s="110"/>
      <c r="H19" s="110"/>
    </row>
    <row r="20" customFormat="false" ht="15.75" hidden="false" customHeight="true" outlineLevel="0" collapsed="false">
      <c r="A20" s="111" t="s">
        <v>3442</v>
      </c>
      <c r="B20" s="111"/>
      <c r="C20" s="111"/>
      <c r="D20" s="111"/>
      <c r="E20" s="111"/>
      <c r="F20" s="111"/>
      <c r="G20" s="111"/>
      <c r="H20" s="111"/>
    </row>
    <row r="21" customFormat="false" ht="15.75" hidden="false" customHeight="true" outlineLevel="0" collapsed="false">
      <c r="A21" s="100" t="s">
        <v>3417</v>
      </c>
      <c r="B21" s="100" t="s">
        <v>3418</v>
      </c>
      <c r="C21" s="100" t="s">
        <v>3419</v>
      </c>
      <c r="D21" s="100" t="s">
        <v>3420</v>
      </c>
      <c r="E21" s="100" t="s">
        <v>2635</v>
      </c>
    </row>
    <row r="22" customFormat="false" ht="30" hidden="false" customHeight="true" outlineLevel="0" collapsed="false">
      <c r="A22" s="101" t="s">
        <v>3443</v>
      </c>
      <c r="B22" s="102" t="s">
        <v>3444</v>
      </c>
      <c r="C22" s="102" t="s">
        <v>3445</v>
      </c>
      <c r="D22" s="101" t="s">
        <v>3446</v>
      </c>
      <c r="E22" s="112" t="s">
        <v>3447</v>
      </c>
    </row>
    <row r="23" customFormat="false" ht="30" hidden="false" customHeight="true" outlineLevel="0" collapsed="false">
      <c r="A23" s="101" t="s">
        <v>3448</v>
      </c>
      <c r="B23" s="102" t="s">
        <v>3449</v>
      </c>
      <c r="C23" s="102" t="s">
        <v>3450</v>
      </c>
      <c r="D23" s="101" t="s">
        <v>3451</v>
      </c>
      <c r="E23" s="104" t="s">
        <v>3433</v>
      </c>
    </row>
    <row r="24" customFormat="false" ht="30" hidden="false" customHeight="true" outlineLevel="0" collapsed="false">
      <c r="A24" s="101" t="s">
        <v>3452</v>
      </c>
      <c r="B24" s="102" t="s">
        <v>3453</v>
      </c>
      <c r="C24" s="102" t="s">
        <v>3454</v>
      </c>
      <c r="D24" s="101" t="s">
        <v>3455</v>
      </c>
      <c r="E24" s="104" t="s">
        <v>3433</v>
      </c>
    </row>
    <row r="25" customFormat="false" ht="30" hidden="false" customHeight="true" outlineLevel="0" collapsed="false">
      <c r="A25" s="101" t="s">
        <v>3456</v>
      </c>
      <c r="B25" s="102" t="s">
        <v>3457</v>
      </c>
      <c r="C25" s="102" t="s">
        <v>3458</v>
      </c>
      <c r="D25" s="101" t="s">
        <v>3459</v>
      </c>
      <c r="E25" s="112" t="s">
        <v>3447</v>
      </c>
    </row>
    <row r="26" customFormat="false" ht="30" hidden="false" customHeight="true" outlineLevel="0" collapsed="false">
      <c r="A26" s="101" t="s">
        <v>3460</v>
      </c>
      <c r="B26" s="102" t="s">
        <v>3461</v>
      </c>
      <c r="C26" s="102" t="s">
        <v>3454</v>
      </c>
      <c r="D26" s="101" t="s">
        <v>3462</v>
      </c>
      <c r="E26" s="104" t="s">
        <v>3433</v>
      </c>
    </row>
    <row r="27" customFormat="false" ht="18" hidden="false" customHeight="true" outlineLevel="0" collapsed="false">
      <c r="A27" s="113" t="s">
        <v>3438</v>
      </c>
      <c r="B27" s="106" t="s">
        <v>2672</v>
      </c>
      <c r="C27" s="114" t="s">
        <v>3463</v>
      </c>
      <c r="D27" s="108" t="s">
        <v>3440</v>
      </c>
      <c r="E27" s="109"/>
    </row>
    <row r="29" customFormat="false" ht="21.75" hidden="false" customHeight="true" outlineLevel="0" collapsed="false">
      <c r="A29" s="115" t="s">
        <v>3464</v>
      </c>
      <c r="B29" s="115"/>
      <c r="C29" s="115"/>
      <c r="D29" s="115"/>
      <c r="E29" s="115"/>
      <c r="F29" s="115"/>
      <c r="G29" s="115"/>
      <c r="H29" s="115"/>
    </row>
    <row r="30" customFormat="false" ht="15.75" hidden="false" customHeight="true" outlineLevel="0" collapsed="false">
      <c r="A30" s="116" t="s">
        <v>3465</v>
      </c>
      <c r="B30" s="116"/>
      <c r="C30" s="116"/>
      <c r="D30" s="116"/>
      <c r="E30" s="116"/>
      <c r="F30" s="116"/>
      <c r="G30" s="116"/>
      <c r="H30" s="116"/>
    </row>
    <row r="31" customFormat="false" ht="15.75" hidden="false" customHeight="true" outlineLevel="0" collapsed="false">
      <c r="A31" s="100" t="s">
        <v>3417</v>
      </c>
      <c r="B31" s="100" t="s">
        <v>3418</v>
      </c>
      <c r="C31" s="100" t="s">
        <v>3419</v>
      </c>
      <c r="D31" s="100" t="s">
        <v>3420</v>
      </c>
      <c r="E31" s="100" t="s">
        <v>2635</v>
      </c>
    </row>
    <row r="32" customFormat="false" ht="30" hidden="false" customHeight="true" outlineLevel="0" collapsed="false">
      <c r="A32" s="101" t="s">
        <v>3466</v>
      </c>
      <c r="B32" s="102" t="s">
        <v>3467</v>
      </c>
      <c r="C32" s="102" t="s">
        <v>3468</v>
      </c>
      <c r="D32" s="101" t="s">
        <v>3469</v>
      </c>
      <c r="E32" s="112" t="s">
        <v>3447</v>
      </c>
    </row>
    <row r="33" customFormat="false" ht="30" hidden="false" customHeight="true" outlineLevel="0" collapsed="false">
      <c r="A33" s="101" t="s">
        <v>3245</v>
      </c>
      <c r="B33" s="102" t="s">
        <v>3453</v>
      </c>
      <c r="C33" s="102" t="s">
        <v>3470</v>
      </c>
      <c r="D33" s="101" t="s">
        <v>3471</v>
      </c>
      <c r="E33" s="103" t="s">
        <v>3425</v>
      </c>
    </row>
    <row r="34" customFormat="false" ht="30" hidden="false" customHeight="true" outlineLevel="0" collapsed="false">
      <c r="A34" s="101" t="s">
        <v>3472</v>
      </c>
      <c r="B34" s="102" t="s">
        <v>3473</v>
      </c>
      <c r="C34" s="102" t="s">
        <v>3474</v>
      </c>
      <c r="D34" s="101" t="s">
        <v>3475</v>
      </c>
      <c r="E34" s="103" t="s">
        <v>3425</v>
      </c>
    </row>
    <row r="35" customFormat="false" ht="30" hidden="false" customHeight="true" outlineLevel="0" collapsed="false">
      <c r="A35" s="101" t="s">
        <v>3456</v>
      </c>
      <c r="B35" s="102" t="s">
        <v>3476</v>
      </c>
      <c r="C35" s="102" t="s">
        <v>3477</v>
      </c>
      <c r="D35" s="101" t="s">
        <v>3478</v>
      </c>
      <c r="E35" s="112" t="s">
        <v>3447</v>
      </c>
    </row>
    <row r="36" customFormat="false" ht="30" hidden="false" customHeight="true" outlineLevel="0" collapsed="false">
      <c r="A36" s="101" t="s">
        <v>3479</v>
      </c>
      <c r="B36" s="102" t="s">
        <v>3427</v>
      </c>
      <c r="C36" s="102" t="s">
        <v>3480</v>
      </c>
      <c r="D36" s="101" t="s">
        <v>3481</v>
      </c>
      <c r="E36" s="112" t="s">
        <v>3447</v>
      </c>
    </row>
    <row r="37" customFormat="false" ht="18" hidden="false" customHeight="true" outlineLevel="0" collapsed="false">
      <c r="A37" s="117" t="s">
        <v>3438</v>
      </c>
      <c r="B37" s="106" t="s">
        <v>2672</v>
      </c>
      <c r="C37" s="118" t="s">
        <v>3482</v>
      </c>
      <c r="D37" s="108" t="s">
        <v>3440</v>
      </c>
      <c r="E37" s="109"/>
    </row>
    <row r="39" customFormat="false" ht="21.75" hidden="false" customHeight="true" outlineLevel="0" collapsed="false">
      <c r="A39" s="119" t="s">
        <v>3483</v>
      </c>
      <c r="B39" s="119"/>
      <c r="C39" s="119"/>
      <c r="D39" s="119"/>
      <c r="E39" s="119"/>
      <c r="F39" s="119"/>
      <c r="G39" s="119"/>
      <c r="H39" s="119"/>
    </row>
    <row r="40" customFormat="false" ht="15.75" hidden="false" customHeight="true" outlineLevel="0" collapsed="false">
      <c r="A40" s="120" t="s">
        <v>3484</v>
      </c>
      <c r="B40" s="120"/>
      <c r="C40" s="120"/>
      <c r="D40" s="120"/>
      <c r="E40" s="120"/>
      <c r="F40" s="120"/>
      <c r="G40" s="120"/>
      <c r="H40" s="120"/>
    </row>
    <row r="41" customFormat="false" ht="15.75" hidden="false" customHeight="true" outlineLevel="0" collapsed="false">
      <c r="A41" s="100" t="s">
        <v>3417</v>
      </c>
      <c r="B41" s="100" t="s">
        <v>3418</v>
      </c>
      <c r="C41" s="100" t="s">
        <v>3419</v>
      </c>
      <c r="D41" s="100" t="s">
        <v>3420</v>
      </c>
      <c r="E41" s="100" t="s">
        <v>2635</v>
      </c>
    </row>
    <row r="42" customFormat="false" ht="30" hidden="false" customHeight="true" outlineLevel="0" collapsed="false">
      <c r="A42" s="101" t="s">
        <v>3485</v>
      </c>
      <c r="B42" s="102" t="s">
        <v>3427</v>
      </c>
      <c r="C42" s="102" t="s">
        <v>3486</v>
      </c>
      <c r="D42" s="101" t="s">
        <v>3487</v>
      </c>
      <c r="E42" s="104" t="s">
        <v>3433</v>
      </c>
    </row>
    <row r="43" customFormat="false" ht="30" hidden="false" customHeight="true" outlineLevel="0" collapsed="false">
      <c r="A43" s="101" t="s">
        <v>3488</v>
      </c>
      <c r="B43" s="102" t="s">
        <v>3473</v>
      </c>
      <c r="C43" s="102" t="s">
        <v>3486</v>
      </c>
      <c r="D43" s="101" t="s">
        <v>3489</v>
      </c>
      <c r="E43" s="104" t="s">
        <v>3433</v>
      </c>
    </row>
    <row r="44" customFormat="false" ht="30" hidden="false" customHeight="true" outlineLevel="0" collapsed="false">
      <c r="A44" s="101" t="s">
        <v>3490</v>
      </c>
      <c r="B44" s="102" t="s">
        <v>3473</v>
      </c>
      <c r="C44" s="102" t="s">
        <v>3486</v>
      </c>
      <c r="D44" s="101" t="s">
        <v>3491</v>
      </c>
      <c r="E44" s="104" t="s">
        <v>3433</v>
      </c>
    </row>
    <row r="45" customFormat="false" ht="30" hidden="false" customHeight="true" outlineLevel="0" collapsed="false">
      <c r="A45" s="101" t="s">
        <v>3492</v>
      </c>
      <c r="B45" s="102" t="s">
        <v>3473</v>
      </c>
      <c r="C45" s="102" t="s">
        <v>3486</v>
      </c>
      <c r="D45" s="101" t="s">
        <v>3493</v>
      </c>
      <c r="E45" s="104" t="s">
        <v>3433</v>
      </c>
    </row>
    <row r="46" customFormat="false" ht="30" hidden="false" customHeight="true" outlineLevel="0" collapsed="false">
      <c r="A46" s="101" t="s">
        <v>3494</v>
      </c>
      <c r="B46" s="102" t="s">
        <v>3473</v>
      </c>
      <c r="C46" s="102" t="s">
        <v>3454</v>
      </c>
      <c r="D46" s="101" t="s">
        <v>3495</v>
      </c>
      <c r="E46" s="103" t="s">
        <v>3425</v>
      </c>
    </row>
    <row r="47" customFormat="false" ht="30" hidden="false" customHeight="true" outlineLevel="0" collapsed="false">
      <c r="A47" s="101" t="s">
        <v>3496</v>
      </c>
      <c r="B47" s="102" t="s">
        <v>3427</v>
      </c>
      <c r="C47" s="102" t="s">
        <v>3497</v>
      </c>
      <c r="D47" s="101" t="s">
        <v>3498</v>
      </c>
      <c r="E47" s="103" t="s">
        <v>3425</v>
      </c>
    </row>
    <row r="48" customFormat="false" ht="18" hidden="false" customHeight="true" outlineLevel="0" collapsed="false">
      <c r="A48" s="121" t="s">
        <v>3438</v>
      </c>
      <c r="B48" s="106" t="s">
        <v>2672</v>
      </c>
      <c r="C48" s="122" t="s">
        <v>3454</v>
      </c>
      <c r="D48" s="108" t="s">
        <v>3440</v>
      </c>
      <c r="E48" s="109"/>
    </row>
    <row r="50" customFormat="false" ht="21.75" hidden="false" customHeight="true" outlineLevel="0" collapsed="false">
      <c r="A50" s="123" t="s">
        <v>3499</v>
      </c>
      <c r="B50" s="123"/>
      <c r="C50" s="123"/>
      <c r="D50" s="123"/>
      <c r="E50" s="123"/>
      <c r="F50" s="123"/>
      <c r="G50" s="123"/>
      <c r="H50" s="123"/>
    </row>
    <row r="51" customFormat="false" ht="15.75" hidden="false" customHeight="true" outlineLevel="0" collapsed="false">
      <c r="A51" s="124" t="s">
        <v>3500</v>
      </c>
      <c r="B51" s="124"/>
      <c r="C51" s="124"/>
      <c r="D51" s="124"/>
      <c r="E51" s="124"/>
      <c r="F51" s="124"/>
      <c r="G51" s="124"/>
      <c r="H51" s="124"/>
    </row>
    <row r="52" customFormat="false" ht="15.75" hidden="false" customHeight="true" outlineLevel="0" collapsed="false">
      <c r="A52" s="100" t="s">
        <v>3417</v>
      </c>
      <c r="B52" s="100" t="s">
        <v>3418</v>
      </c>
      <c r="C52" s="100" t="s">
        <v>3419</v>
      </c>
      <c r="D52" s="100" t="s">
        <v>3420</v>
      </c>
      <c r="E52" s="100" t="s">
        <v>2635</v>
      </c>
    </row>
    <row r="53" customFormat="false" ht="30" hidden="false" customHeight="true" outlineLevel="0" collapsed="false">
      <c r="A53" s="101" t="s">
        <v>3501</v>
      </c>
      <c r="B53" s="102" t="s">
        <v>3453</v>
      </c>
      <c r="C53" s="102" t="s">
        <v>3502</v>
      </c>
      <c r="D53" s="101" t="s">
        <v>3503</v>
      </c>
      <c r="E53" s="104" t="s">
        <v>3433</v>
      </c>
    </row>
    <row r="54" customFormat="false" ht="30" hidden="false" customHeight="true" outlineLevel="0" collapsed="false">
      <c r="A54" s="101" t="s">
        <v>3504</v>
      </c>
      <c r="B54" s="102" t="s">
        <v>3476</v>
      </c>
      <c r="C54" s="102" t="s">
        <v>3502</v>
      </c>
      <c r="D54" s="101" t="s">
        <v>3505</v>
      </c>
      <c r="E54" s="104" t="s">
        <v>3433</v>
      </c>
    </row>
    <row r="55" customFormat="false" ht="30" hidden="false" customHeight="true" outlineLevel="0" collapsed="false">
      <c r="A55" s="101" t="s">
        <v>3506</v>
      </c>
      <c r="B55" s="102" t="s">
        <v>3427</v>
      </c>
      <c r="C55" s="102" t="s">
        <v>3507</v>
      </c>
      <c r="D55" s="101" t="s">
        <v>3508</v>
      </c>
      <c r="E55" s="112" t="s">
        <v>3447</v>
      </c>
    </row>
    <row r="56" customFormat="false" ht="30" hidden="false" customHeight="true" outlineLevel="0" collapsed="false">
      <c r="A56" s="101" t="s">
        <v>3509</v>
      </c>
      <c r="B56" s="102" t="s">
        <v>3473</v>
      </c>
      <c r="C56" s="102" t="s">
        <v>3454</v>
      </c>
      <c r="D56" s="101" t="s">
        <v>3510</v>
      </c>
      <c r="E56" s="104" t="s">
        <v>3433</v>
      </c>
    </row>
    <row r="57" customFormat="false" ht="30" hidden="false" customHeight="true" outlineLevel="0" collapsed="false">
      <c r="A57" s="101" t="s">
        <v>3511</v>
      </c>
      <c r="B57" s="102" t="s">
        <v>3435</v>
      </c>
      <c r="C57" s="102" t="s">
        <v>3428</v>
      </c>
      <c r="D57" s="101" t="s">
        <v>3512</v>
      </c>
      <c r="E57" s="103" t="s">
        <v>3425</v>
      </c>
    </row>
    <row r="58" customFormat="false" ht="30" hidden="false" customHeight="true" outlineLevel="0" collapsed="false">
      <c r="A58" s="101" t="s">
        <v>3513</v>
      </c>
      <c r="B58" s="102" t="s">
        <v>3435</v>
      </c>
      <c r="C58" s="102" t="s">
        <v>3514</v>
      </c>
      <c r="D58" s="101" t="s">
        <v>3515</v>
      </c>
      <c r="E58" s="112" t="s">
        <v>3447</v>
      </c>
    </row>
    <row r="59" customFormat="false" ht="30" hidden="false" customHeight="true" outlineLevel="0" collapsed="false">
      <c r="A59" s="101" t="s">
        <v>3516</v>
      </c>
      <c r="B59" s="102" t="s">
        <v>3435</v>
      </c>
      <c r="C59" s="102" t="s">
        <v>3423</v>
      </c>
      <c r="D59" s="101" t="s">
        <v>3517</v>
      </c>
      <c r="E59" s="103" t="s">
        <v>3425</v>
      </c>
    </row>
    <row r="60" customFormat="false" ht="30" hidden="false" customHeight="true" outlineLevel="0" collapsed="false">
      <c r="A60" s="101" t="s">
        <v>3518</v>
      </c>
      <c r="B60" s="102" t="s">
        <v>3427</v>
      </c>
      <c r="C60" s="102" t="s">
        <v>3423</v>
      </c>
      <c r="D60" s="101" t="s">
        <v>3519</v>
      </c>
      <c r="E60" s="103" t="s">
        <v>3425</v>
      </c>
    </row>
    <row r="61" customFormat="false" ht="18" hidden="false" customHeight="true" outlineLevel="0" collapsed="false">
      <c r="A61" s="125" t="s">
        <v>3438</v>
      </c>
      <c r="B61" s="106" t="s">
        <v>2672</v>
      </c>
      <c r="C61" s="126" t="s">
        <v>3520</v>
      </c>
      <c r="D61" s="108" t="s">
        <v>3440</v>
      </c>
      <c r="E61" s="109"/>
    </row>
    <row r="63" customFormat="false" ht="21.75" hidden="false" customHeight="true" outlineLevel="0" collapsed="false">
      <c r="A63" s="127" t="s">
        <v>3521</v>
      </c>
      <c r="B63" s="127"/>
      <c r="C63" s="127"/>
      <c r="D63" s="127"/>
      <c r="E63" s="127"/>
      <c r="F63" s="127"/>
      <c r="G63" s="127"/>
      <c r="H63" s="127"/>
    </row>
    <row r="64" customFormat="false" ht="15.75" hidden="false" customHeight="true" outlineLevel="0" collapsed="false">
      <c r="A64" s="128" t="s">
        <v>3522</v>
      </c>
      <c r="B64" s="128"/>
      <c r="C64" s="128"/>
      <c r="D64" s="128"/>
      <c r="E64" s="128"/>
      <c r="F64" s="128"/>
      <c r="G64" s="128"/>
      <c r="H64" s="128"/>
    </row>
    <row r="65" customFormat="false" ht="15.75" hidden="false" customHeight="true" outlineLevel="0" collapsed="false">
      <c r="A65" s="100" t="s">
        <v>3417</v>
      </c>
      <c r="B65" s="100" t="s">
        <v>3418</v>
      </c>
      <c r="C65" s="100" t="s">
        <v>3419</v>
      </c>
      <c r="D65" s="100" t="s">
        <v>3420</v>
      </c>
      <c r="E65" s="100" t="s">
        <v>2635</v>
      </c>
    </row>
    <row r="66" customFormat="false" ht="30" hidden="false" customHeight="true" outlineLevel="0" collapsed="false">
      <c r="A66" s="101" t="s">
        <v>3523</v>
      </c>
      <c r="B66" s="102" t="s">
        <v>1323</v>
      </c>
      <c r="C66" s="102" t="s">
        <v>3497</v>
      </c>
      <c r="D66" s="101" t="s">
        <v>3524</v>
      </c>
      <c r="E66" s="103" t="s">
        <v>3425</v>
      </c>
    </row>
    <row r="67" customFormat="false" ht="30" hidden="false" customHeight="true" outlineLevel="0" collapsed="false">
      <c r="A67" s="101" t="s">
        <v>3525</v>
      </c>
      <c r="B67" s="102" t="s">
        <v>1323</v>
      </c>
      <c r="C67" s="102" t="s">
        <v>3526</v>
      </c>
      <c r="D67" s="101" t="s">
        <v>3527</v>
      </c>
      <c r="E67" s="104" t="s">
        <v>3433</v>
      </c>
    </row>
    <row r="68" customFormat="false" ht="30" hidden="false" customHeight="true" outlineLevel="0" collapsed="false">
      <c r="A68" s="101" t="s">
        <v>3528</v>
      </c>
      <c r="B68" s="102" t="s">
        <v>1323</v>
      </c>
      <c r="C68" s="102" t="s">
        <v>3526</v>
      </c>
      <c r="D68" s="101" t="s">
        <v>3529</v>
      </c>
      <c r="E68" s="104" t="s">
        <v>3433</v>
      </c>
    </row>
    <row r="69" customFormat="false" ht="30" hidden="false" customHeight="true" outlineLevel="0" collapsed="false">
      <c r="A69" s="101" t="s">
        <v>3530</v>
      </c>
      <c r="B69" s="102" t="s">
        <v>1323</v>
      </c>
      <c r="C69" s="102" t="s">
        <v>3502</v>
      </c>
      <c r="D69" s="101" t="s">
        <v>3531</v>
      </c>
      <c r="E69" s="103" t="s">
        <v>3425</v>
      </c>
    </row>
    <row r="70" customFormat="false" ht="30" hidden="false" customHeight="true" outlineLevel="0" collapsed="false">
      <c r="A70" s="101" t="s">
        <v>3532</v>
      </c>
      <c r="B70" s="102" t="s">
        <v>3533</v>
      </c>
      <c r="C70" s="102" t="s">
        <v>3534</v>
      </c>
      <c r="D70" s="101" t="s">
        <v>3535</v>
      </c>
      <c r="E70" s="103" t="s">
        <v>3425</v>
      </c>
    </row>
    <row r="71" customFormat="false" ht="30" hidden="false" customHeight="true" outlineLevel="0" collapsed="false">
      <c r="A71" s="101" t="s">
        <v>3536</v>
      </c>
      <c r="B71" s="102" t="s">
        <v>3533</v>
      </c>
      <c r="C71" s="102" t="s">
        <v>3502</v>
      </c>
      <c r="D71" s="101" t="s">
        <v>3537</v>
      </c>
      <c r="E71" s="104" t="s">
        <v>3433</v>
      </c>
    </row>
    <row r="72" customFormat="false" ht="18" hidden="false" customHeight="true" outlineLevel="0" collapsed="false">
      <c r="A72" s="129" t="s">
        <v>3438</v>
      </c>
      <c r="B72" s="106" t="s">
        <v>2672</v>
      </c>
      <c r="C72" s="130" t="s">
        <v>3497</v>
      </c>
      <c r="D72" s="108" t="s">
        <v>3440</v>
      </c>
      <c r="E72" s="109"/>
    </row>
    <row r="74" customFormat="false" ht="18" hidden="false" customHeight="true" outlineLevel="0" collapsed="false">
      <c r="A74" s="95" t="s">
        <v>3538</v>
      </c>
      <c r="B74" s="95"/>
      <c r="C74" s="95"/>
      <c r="D74" s="95"/>
      <c r="E74" s="95"/>
      <c r="F74" s="95"/>
      <c r="G74" s="95"/>
      <c r="H74" s="95"/>
    </row>
    <row r="75" customFormat="false" ht="19.5" hidden="false" customHeight="true" outlineLevel="0" collapsed="false">
      <c r="A75" s="131" t="s">
        <v>3539</v>
      </c>
      <c r="B75" s="131"/>
      <c r="C75" s="131"/>
      <c r="D75" s="131"/>
      <c r="E75" s="131"/>
      <c r="F75" s="131"/>
      <c r="G75" s="131"/>
      <c r="H75" s="131"/>
    </row>
    <row r="76" customFormat="false" ht="19.5" hidden="false" customHeight="true" outlineLevel="0" collapsed="false">
      <c r="A76" s="131"/>
      <c r="B76" s="131"/>
      <c r="C76" s="131"/>
      <c r="D76" s="131"/>
      <c r="E76" s="131"/>
      <c r="F76" s="131"/>
      <c r="G76" s="131"/>
      <c r="H76" s="131"/>
    </row>
    <row r="77" customFormat="false" ht="19.5" hidden="false" customHeight="true" outlineLevel="0" collapsed="false">
      <c r="A77" s="131"/>
      <c r="B77" s="131"/>
      <c r="C77" s="131"/>
      <c r="D77" s="131"/>
      <c r="E77" s="131"/>
      <c r="F77" s="131"/>
      <c r="G77" s="131"/>
      <c r="H77" s="131"/>
    </row>
    <row r="79" customFormat="false" ht="15" hidden="false" customHeight="true" outlineLevel="0" collapsed="false">
      <c r="A79" s="95" t="s">
        <v>3540</v>
      </c>
      <c r="B79" s="95"/>
      <c r="C79" s="95"/>
      <c r="D79" s="95"/>
      <c r="E79" s="95"/>
      <c r="F79" s="95"/>
      <c r="G79" s="95"/>
      <c r="H79" s="95"/>
    </row>
    <row r="80" customFormat="false" ht="15" hidden="false" customHeight="true" outlineLevel="0" collapsed="false">
      <c r="A80" s="99" t="s">
        <v>3541</v>
      </c>
      <c r="B80" s="99"/>
      <c r="C80" s="99"/>
      <c r="D80" s="99"/>
      <c r="E80" s="99"/>
      <c r="F80" s="99"/>
      <c r="G80" s="99"/>
      <c r="H80" s="99"/>
    </row>
    <row r="81" customFormat="false" ht="23.25" hidden="false" customHeight="true" outlineLevel="0" collapsed="false">
      <c r="A81" s="100" t="s">
        <v>3542</v>
      </c>
      <c r="B81" s="100" t="s">
        <v>62</v>
      </c>
      <c r="C81" s="100" t="s">
        <v>484</v>
      </c>
      <c r="D81" s="100" t="s">
        <v>786</v>
      </c>
      <c r="E81" s="100"/>
      <c r="F81" s="100"/>
      <c r="G81" s="100"/>
      <c r="H81" s="100"/>
    </row>
    <row r="82" customFormat="false" ht="15" hidden="false" customHeight="true" outlineLevel="0" collapsed="false">
      <c r="A82" s="101" t="s">
        <v>3321</v>
      </c>
      <c r="B82" s="102" t="s">
        <v>3543</v>
      </c>
      <c r="C82" s="102" t="s">
        <v>3543</v>
      </c>
      <c r="D82" s="101" t="s">
        <v>3543</v>
      </c>
    </row>
    <row r="83" customFormat="false" ht="15" hidden="false" customHeight="true" outlineLevel="0" collapsed="false">
      <c r="A83" s="101" t="s">
        <v>3396</v>
      </c>
      <c r="B83" s="102" t="s">
        <v>3544</v>
      </c>
      <c r="C83" s="102" t="s">
        <v>3545</v>
      </c>
      <c r="D83" s="101" t="s">
        <v>3545</v>
      </c>
    </row>
    <row r="84" customFormat="false" ht="15" hidden="false" customHeight="true" outlineLevel="0" collapsed="false">
      <c r="A84" s="101" t="s">
        <v>3546</v>
      </c>
      <c r="B84" s="102" t="s">
        <v>3403</v>
      </c>
      <c r="C84" s="102" t="s">
        <v>3547</v>
      </c>
      <c r="D84" s="101" t="s">
        <v>3547</v>
      </c>
    </row>
    <row r="85" customFormat="false" ht="15" hidden="false" customHeight="true" outlineLevel="0" collapsed="false">
      <c r="A85" s="101" t="s">
        <v>3548</v>
      </c>
      <c r="B85" s="102" t="s">
        <v>3549</v>
      </c>
      <c r="C85" s="102" t="s">
        <v>3549</v>
      </c>
      <c r="D85" s="101" t="s">
        <v>3549</v>
      </c>
    </row>
    <row r="86" customFormat="false" ht="23.25" hidden="false" customHeight="true" outlineLevel="0" collapsed="false">
      <c r="A86" s="101" t="s">
        <v>3550</v>
      </c>
      <c r="B86" s="102" t="s">
        <v>3400</v>
      </c>
      <c r="C86" s="102" t="s">
        <v>3400</v>
      </c>
      <c r="D86" s="101" t="s">
        <v>3400</v>
      </c>
    </row>
    <row r="87" customFormat="false" ht="15" hidden="false" customHeight="true" outlineLevel="0" collapsed="false">
      <c r="A87" s="101" t="s">
        <v>3392</v>
      </c>
      <c r="B87" s="102" t="s">
        <v>3551</v>
      </c>
      <c r="C87" s="102" t="s">
        <v>3551</v>
      </c>
      <c r="D87" s="101" t="s">
        <v>3551</v>
      </c>
    </row>
    <row r="88" customFormat="false" ht="34.5" hidden="false" customHeight="true" outlineLevel="0" collapsed="false">
      <c r="A88" s="101" t="s">
        <v>3552</v>
      </c>
      <c r="B88" s="102" t="s">
        <v>3553</v>
      </c>
      <c r="C88" s="102" t="s">
        <v>3554</v>
      </c>
      <c r="D88" s="101" t="s">
        <v>3555</v>
      </c>
    </row>
    <row r="89" customFormat="false" ht="15" hidden="false" customHeight="true" outlineLevel="0" collapsed="false">
      <c r="A89" s="101" t="s">
        <v>3343</v>
      </c>
      <c r="B89" s="102" t="s">
        <v>3556</v>
      </c>
      <c r="C89" s="102" t="s">
        <v>3557</v>
      </c>
      <c r="D89" s="101" t="s">
        <v>3558</v>
      </c>
    </row>
    <row r="90" customFormat="false" ht="15" hidden="false" customHeight="true" outlineLevel="0" collapsed="false">
      <c r="A90" s="101" t="s">
        <v>3411</v>
      </c>
      <c r="B90" s="102" t="s">
        <v>3559</v>
      </c>
      <c r="C90" s="102" t="s">
        <v>3560</v>
      </c>
      <c r="D90" s="101" t="s">
        <v>3560</v>
      </c>
    </row>
    <row r="91" customFormat="false" ht="15" hidden="false" customHeight="true" outlineLevel="0" collapsed="false">
      <c r="A91" s="101" t="s">
        <v>3406</v>
      </c>
      <c r="B91" s="102" t="s">
        <v>3407</v>
      </c>
      <c r="C91" s="102" t="s">
        <v>3561</v>
      </c>
      <c r="D91" s="101" t="s">
        <v>3562</v>
      </c>
    </row>
    <row r="92" customFormat="false" ht="15" hidden="false" customHeight="true" outlineLevel="0" collapsed="false">
      <c r="A92" s="101" t="s">
        <v>3408</v>
      </c>
      <c r="B92" s="102" t="s">
        <v>3563</v>
      </c>
      <c r="C92" s="102" t="s">
        <v>3564</v>
      </c>
      <c r="D92" s="101" t="s">
        <v>3401</v>
      </c>
    </row>
    <row r="93" customFormat="false" ht="15" hidden="false" customHeight="true" outlineLevel="0" collapsed="false">
      <c r="A93" s="101" t="s">
        <v>3565</v>
      </c>
      <c r="B93" s="102" t="s">
        <v>3566</v>
      </c>
      <c r="C93" s="102" t="s">
        <v>3567</v>
      </c>
      <c r="D93" s="101" t="s">
        <v>3568</v>
      </c>
    </row>
    <row r="94" customFormat="false" ht="15" hidden="false" customHeight="true" outlineLevel="0" collapsed="false">
      <c r="A94" s="101" t="s">
        <v>3323</v>
      </c>
      <c r="B94" s="102" t="s">
        <v>3569</v>
      </c>
      <c r="C94" s="102" t="s">
        <v>3570</v>
      </c>
      <c r="D94" s="101" t="s">
        <v>3571</v>
      </c>
    </row>
    <row r="95" customFormat="false" ht="15" hidden="false" customHeight="true" outlineLevel="0" collapsed="false">
      <c r="A95" s="101" t="s">
        <v>3572</v>
      </c>
      <c r="B95" s="102" t="s">
        <v>3573</v>
      </c>
      <c r="C95" s="102" t="s">
        <v>3574</v>
      </c>
      <c r="D95" s="101" t="s">
        <v>3575</v>
      </c>
    </row>
    <row r="97" customFormat="false" ht="15" hidden="false" customHeight="true" outlineLevel="0" collapsed="false">
      <c r="A97" s="132" t="s">
        <v>3576</v>
      </c>
      <c r="B97" s="132"/>
      <c r="C97" s="132"/>
      <c r="D97" s="132"/>
      <c r="E97" s="132"/>
      <c r="F97" s="132"/>
      <c r="G97" s="132"/>
      <c r="H97" s="132"/>
    </row>
  </sheetData>
  <mergeCells count="20">
    <mergeCell ref="A1:H1"/>
    <mergeCell ref="A2:H2"/>
    <mergeCell ref="A4:H4"/>
    <mergeCell ref="A10:H10"/>
    <mergeCell ref="A11:H11"/>
    <mergeCell ref="A19:H19"/>
    <mergeCell ref="A20:H20"/>
    <mergeCell ref="A29:H29"/>
    <mergeCell ref="A30:H30"/>
    <mergeCell ref="A39:H39"/>
    <mergeCell ref="A40:H40"/>
    <mergeCell ref="A50:H50"/>
    <mergeCell ref="A51:H51"/>
    <mergeCell ref="A63:H63"/>
    <mergeCell ref="A64:H64"/>
    <mergeCell ref="A74:H74"/>
    <mergeCell ref="A75:H77"/>
    <mergeCell ref="A79:H79"/>
    <mergeCell ref="A80:H80"/>
    <mergeCell ref="A97:H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18"/>
    <col collapsed="false" customWidth="true" hidden="false" outlineLevel="0" max="4" min="4" style="1" width="22"/>
    <col collapsed="false" customWidth="true" hidden="false" outlineLevel="0" max="6" min="5" style="1" width="28"/>
    <col collapsed="false" customWidth="true" hidden="false" outlineLevel="0" max="7" min="7" style="1" width="50"/>
    <col collapsed="false" customWidth="true" hidden="false" outlineLevel="0" max="8" min="8" style="1" width="40"/>
    <col collapsed="false" customWidth="true" hidden="false" outlineLevel="0" max="9" min="9" style="1" width="14"/>
    <col collapsed="false" customWidth="true" hidden="false" outlineLevel="0" max="10" min="10" style="1" width="35"/>
    <col collapsed="false" customWidth="true" hidden="false" outlineLevel="0" max="11" min="11" style="1" width="32"/>
    <col collapsed="false" customWidth="true" hidden="false" outlineLevel="0" max="12" min="12" style="1" width="20"/>
    <col collapsed="false" customWidth="true" hidden="false" outlineLevel="0" max="15" min="13" style="1" width="22"/>
    <col collapsed="false" customWidth="true" hidden="false" outlineLevel="0" max="17" min="16" style="1" width="20"/>
    <col collapsed="false" customWidth="true" hidden="false" outlineLevel="0" max="18" min="18" style="1" width="22"/>
    <col collapsed="false" customWidth="true" hidden="false" outlineLevel="0" max="19" min="19" style="1" width="16"/>
    <col collapsed="false" customWidth="true" hidden="false" outlineLevel="0" max="20" min="20" style="1" width="18"/>
    <col collapsed="false" customWidth="true" hidden="false" outlineLevel="0" max="21" min="21" style="1" width="42"/>
    <col collapsed="false" customWidth="true" hidden="false" outlineLevel="0" max="22" min="22" style="1" width="16"/>
    <col collapsed="false" customWidth="true" hidden="false" outlineLevel="0" max="23" min="23" style="1" width="52"/>
  </cols>
  <sheetData>
    <row r="1" customFormat="false" ht="25.5" hidden="false" customHeight="true" outlineLevel="0" collapsed="false">
      <c r="A1" s="133" t="s">
        <v>3577</v>
      </c>
      <c r="B1" s="133"/>
      <c r="C1" s="133"/>
      <c r="D1" s="133"/>
      <c r="E1" s="133"/>
      <c r="F1" s="133"/>
      <c r="G1" s="133"/>
      <c r="H1" s="133"/>
      <c r="I1" s="133"/>
      <c r="J1" s="133"/>
      <c r="K1" s="133"/>
      <c r="L1" s="133"/>
      <c r="M1" s="133"/>
      <c r="N1" s="133"/>
      <c r="O1" s="133"/>
      <c r="P1" s="133"/>
      <c r="Q1" s="133"/>
      <c r="R1" s="133"/>
      <c r="S1" s="133"/>
      <c r="T1" s="133"/>
      <c r="U1" s="133"/>
      <c r="V1" s="133"/>
      <c r="W1" s="133"/>
    </row>
    <row r="2" customFormat="false" ht="18" hidden="false" customHeight="true" outlineLevel="0" collapsed="false">
      <c r="A2" s="134" t="s">
        <v>3578</v>
      </c>
      <c r="B2" s="134"/>
      <c r="C2" s="134"/>
      <c r="D2" s="134"/>
      <c r="E2" s="134"/>
      <c r="F2" s="134"/>
      <c r="G2" s="134"/>
      <c r="H2" s="134"/>
      <c r="I2" s="134"/>
      <c r="J2" s="134"/>
      <c r="K2" s="134"/>
      <c r="L2" s="134"/>
      <c r="M2" s="134"/>
      <c r="N2" s="134"/>
      <c r="O2" s="134"/>
      <c r="P2" s="134"/>
      <c r="Q2" s="134"/>
      <c r="R2" s="134"/>
      <c r="S2" s="134"/>
      <c r="T2" s="134"/>
      <c r="U2" s="134"/>
      <c r="V2" s="134"/>
      <c r="W2" s="134"/>
    </row>
    <row r="3" customFormat="false" ht="6" hidden="false" customHeight="true" outlineLevel="0" collapsed="false"/>
    <row r="4" customFormat="false" ht="36" hidden="false" customHeight="true" outlineLevel="0" collapsed="false">
      <c r="A4" s="135" t="s">
        <v>2441</v>
      </c>
      <c r="B4" s="135" t="s">
        <v>2442</v>
      </c>
      <c r="C4" s="135" t="s">
        <v>17</v>
      </c>
      <c r="D4" s="135" t="s">
        <v>2444</v>
      </c>
      <c r="E4" s="135" t="s">
        <v>3579</v>
      </c>
      <c r="F4" s="135" t="s">
        <v>29</v>
      </c>
      <c r="G4" s="135" t="s">
        <v>3580</v>
      </c>
      <c r="H4" s="135" t="s">
        <v>3581</v>
      </c>
      <c r="I4" s="135" t="s">
        <v>3582</v>
      </c>
      <c r="J4" s="135" t="s">
        <v>3583</v>
      </c>
      <c r="K4" s="135" t="s">
        <v>3584</v>
      </c>
      <c r="L4" s="135" t="s">
        <v>3585</v>
      </c>
      <c r="M4" s="135" t="s">
        <v>3586</v>
      </c>
      <c r="N4" s="135" t="s">
        <v>3587</v>
      </c>
      <c r="O4" s="135" t="s">
        <v>3588</v>
      </c>
      <c r="P4" s="135" t="s">
        <v>3589</v>
      </c>
      <c r="Q4" s="135" t="s">
        <v>3590</v>
      </c>
      <c r="R4" s="135" t="s">
        <v>3591</v>
      </c>
      <c r="S4" s="135" t="s">
        <v>3592</v>
      </c>
      <c r="T4" s="135" t="s">
        <v>3593</v>
      </c>
      <c r="U4" s="135" t="s">
        <v>34</v>
      </c>
      <c r="V4" s="135" t="s">
        <v>3594</v>
      </c>
      <c r="W4" s="135" t="s">
        <v>3595</v>
      </c>
      <c r="X4" s="135" t="s">
        <v>35</v>
      </c>
    </row>
    <row r="5" customFormat="false" ht="42" hidden="false" customHeight="true" outlineLevel="0" collapsed="false">
      <c r="A5" s="136" t="s">
        <v>264</v>
      </c>
      <c r="B5" s="137" t="s">
        <v>265</v>
      </c>
      <c r="C5" s="137" t="s">
        <v>273</v>
      </c>
      <c r="D5" s="137" t="s">
        <v>48</v>
      </c>
      <c r="E5" s="137" t="s">
        <v>275</v>
      </c>
      <c r="F5" s="137" t="s">
        <v>276</v>
      </c>
      <c r="G5" s="137" t="s">
        <v>3596</v>
      </c>
      <c r="H5" s="137" t="s">
        <v>277</v>
      </c>
      <c r="I5" s="136" t="s">
        <v>50</v>
      </c>
      <c r="J5" s="136" t="s">
        <v>3597</v>
      </c>
      <c r="K5" s="136" t="s">
        <v>274</v>
      </c>
      <c r="L5" s="137" t="s">
        <v>3376</v>
      </c>
      <c r="M5" s="137" t="s">
        <v>3376</v>
      </c>
      <c r="N5" s="137" t="s">
        <v>3376</v>
      </c>
      <c r="O5" s="137" t="s">
        <v>3376</v>
      </c>
      <c r="P5" s="137" t="s">
        <v>92</v>
      </c>
      <c r="Q5" s="137" t="s">
        <v>445</v>
      </c>
      <c r="R5" s="137" t="s">
        <v>3598</v>
      </c>
      <c r="S5" s="136" t="n">
        <v>80</v>
      </c>
      <c r="T5" s="138" t="n">
        <v>45473</v>
      </c>
      <c r="U5" s="137" t="s">
        <v>280</v>
      </c>
      <c r="V5" s="138" t="n">
        <v>45366</v>
      </c>
      <c r="W5" s="137" t="s">
        <v>3599</v>
      </c>
      <c r="X5" s="137" t="s">
        <v>62</v>
      </c>
    </row>
    <row r="6" customFormat="false" ht="42" hidden="false" customHeight="true" outlineLevel="0" collapsed="false">
      <c r="A6" s="139" t="s">
        <v>281</v>
      </c>
      <c r="B6" s="140" t="s">
        <v>282</v>
      </c>
      <c r="C6" s="140" t="s">
        <v>289</v>
      </c>
      <c r="D6" s="140" t="s">
        <v>73</v>
      </c>
      <c r="E6" s="140" t="s">
        <v>291</v>
      </c>
      <c r="F6" s="140" t="s">
        <v>60</v>
      </c>
      <c r="G6" s="140" t="s">
        <v>3600</v>
      </c>
      <c r="H6" s="140" t="s">
        <v>3601</v>
      </c>
      <c r="I6" s="139" t="s">
        <v>50</v>
      </c>
      <c r="J6" s="139" t="s">
        <v>3602</v>
      </c>
      <c r="K6" s="139" t="s">
        <v>290</v>
      </c>
      <c r="L6" s="140" t="s">
        <v>3376</v>
      </c>
      <c r="M6" s="140" t="s">
        <v>92</v>
      </c>
      <c r="N6" s="140" t="s">
        <v>445</v>
      </c>
      <c r="O6" s="140" t="s">
        <v>445</v>
      </c>
      <c r="P6" s="140" t="s">
        <v>445</v>
      </c>
      <c r="Q6" s="140" t="s">
        <v>445</v>
      </c>
      <c r="R6" s="140" t="s">
        <v>3598</v>
      </c>
      <c r="S6" s="139" t="n">
        <v>30</v>
      </c>
      <c r="T6" s="141" t="n">
        <v>45838</v>
      </c>
      <c r="U6" s="140" t="s">
        <v>295</v>
      </c>
      <c r="V6" s="141" t="n">
        <v>45473</v>
      </c>
      <c r="W6" s="140" t="s">
        <v>3603</v>
      </c>
      <c r="X6" s="140" t="s">
        <v>62</v>
      </c>
    </row>
    <row r="7" customFormat="false" ht="42" hidden="false" customHeight="true" outlineLevel="0" collapsed="false">
      <c r="A7" s="136" t="s">
        <v>296</v>
      </c>
      <c r="B7" s="137" t="s">
        <v>297</v>
      </c>
      <c r="C7" s="137" t="s">
        <v>302</v>
      </c>
      <c r="D7" s="137" t="s">
        <v>73</v>
      </c>
      <c r="E7" s="137" t="s">
        <v>291</v>
      </c>
      <c r="F7" s="137" t="s">
        <v>60</v>
      </c>
      <c r="G7" s="137" t="s">
        <v>3604</v>
      </c>
      <c r="H7" s="137" t="s">
        <v>3605</v>
      </c>
      <c r="I7" s="136" t="s">
        <v>103</v>
      </c>
      <c r="J7" s="136" t="s">
        <v>3606</v>
      </c>
      <c r="K7" s="136" t="s">
        <v>303</v>
      </c>
      <c r="L7" s="137" t="s">
        <v>3376</v>
      </c>
      <c r="M7" s="137" t="s">
        <v>3376</v>
      </c>
      <c r="N7" s="137" t="s">
        <v>3376</v>
      </c>
      <c r="O7" s="137" t="s">
        <v>3376</v>
      </c>
      <c r="P7" s="137" t="s">
        <v>3376</v>
      </c>
      <c r="Q7" s="137" t="s">
        <v>3376</v>
      </c>
      <c r="R7" s="137" t="s">
        <v>3376</v>
      </c>
      <c r="S7" s="136" t="n">
        <v>100</v>
      </c>
      <c r="T7" s="138" t="n">
        <v>45971</v>
      </c>
      <c r="U7" s="137" t="s">
        <v>308</v>
      </c>
      <c r="V7" s="137"/>
      <c r="W7" s="137" t="s">
        <v>3607</v>
      </c>
      <c r="X7" s="137" t="s">
        <v>62</v>
      </c>
    </row>
    <row r="8" customFormat="false" ht="42" hidden="false" customHeight="true" outlineLevel="0" collapsed="false">
      <c r="A8" s="139" t="s">
        <v>309</v>
      </c>
      <c r="B8" s="140" t="s">
        <v>310</v>
      </c>
      <c r="C8" s="140" t="s">
        <v>273</v>
      </c>
      <c r="D8" s="140" t="s">
        <v>117</v>
      </c>
      <c r="E8" s="140" t="s">
        <v>314</v>
      </c>
      <c r="F8" s="140" t="s">
        <v>60</v>
      </c>
      <c r="G8" s="140" t="s">
        <v>3608</v>
      </c>
      <c r="H8" s="140" t="s">
        <v>3609</v>
      </c>
      <c r="I8" s="139" t="s">
        <v>119</v>
      </c>
      <c r="J8" s="139" t="s">
        <v>3610</v>
      </c>
      <c r="K8" s="139" t="s">
        <v>122</v>
      </c>
      <c r="L8" s="140" t="s">
        <v>3376</v>
      </c>
      <c r="M8" s="140" t="s">
        <v>3611</v>
      </c>
      <c r="N8" s="140" t="s">
        <v>445</v>
      </c>
      <c r="O8" s="140" t="s">
        <v>445</v>
      </c>
      <c r="P8" s="140" t="s">
        <v>445</v>
      </c>
      <c r="Q8" s="140" t="s">
        <v>445</v>
      </c>
      <c r="R8" s="140" t="s">
        <v>3598</v>
      </c>
      <c r="S8" s="139" t="n">
        <v>15</v>
      </c>
      <c r="T8" s="141" t="n">
        <v>46022</v>
      </c>
      <c r="U8" s="140" t="s">
        <v>3612</v>
      </c>
      <c r="V8" s="141" t="n">
        <v>45473</v>
      </c>
      <c r="W8" s="140" t="s">
        <v>3613</v>
      </c>
      <c r="X8" s="140" t="s">
        <v>62</v>
      </c>
    </row>
    <row r="9" customFormat="false" ht="42" hidden="false" customHeight="true" outlineLevel="0" collapsed="false">
      <c r="A9" s="136" t="s">
        <v>319</v>
      </c>
      <c r="B9" s="137" t="s">
        <v>320</v>
      </c>
      <c r="C9" s="137" t="s">
        <v>302</v>
      </c>
      <c r="D9" s="137" t="s">
        <v>204</v>
      </c>
      <c r="E9" s="137" t="s">
        <v>324</v>
      </c>
      <c r="F9" s="137" t="s">
        <v>325</v>
      </c>
      <c r="G9" s="137" t="s">
        <v>3614</v>
      </c>
      <c r="H9" s="137" t="s">
        <v>3615</v>
      </c>
      <c r="I9" s="136" t="s">
        <v>50</v>
      </c>
      <c r="J9" s="136" t="s">
        <v>3597</v>
      </c>
      <c r="K9" s="136" t="s">
        <v>274</v>
      </c>
      <c r="L9" s="137" t="s">
        <v>3376</v>
      </c>
      <c r="M9" s="137" t="s">
        <v>3376</v>
      </c>
      <c r="N9" s="137" t="s">
        <v>3376</v>
      </c>
      <c r="O9" s="137" t="s">
        <v>3376</v>
      </c>
      <c r="P9" s="137" t="s">
        <v>92</v>
      </c>
      <c r="Q9" s="137" t="s">
        <v>445</v>
      </c>
      <c r="R9" s="137" t="s">
        <v>3598</v>
      </c>
      <c r="S9" s="136" t="n">
        <v>78</v>
      </c>
      <c r="T9" s="138" t="n">
        <v>45473</v>
      </c>
      <c r="U9" s="137" t="s">
        <v>280</v>
      </c>
      <c r="V9" s="138" t="n">
        <v>45371</v>
      </c>
      <c r="W9" s="137" t="s">
        <v>3616</v>
      </c>
      <c r="X9" s="137" t="s">
        <v>62</v>
      </c>
    </row>
    <row r="10" customFormat="false" ht="42" hidden="false" customHeight="true" outlineLevel="0" collapsed="false">
      <c r="A10" s="139" t="s">
        <v>328</v>
      </c>
      <c r="B10" s="140" t="s">
        <v>329</v>
      </c>
      <c r="C10" s="140" t="s">
        <v>289</v>
      </c>
      <c r="D10" s="140" t="s">
        <v>73</v>
      </c>
      <c r="E10" s="140" t="s">
        <v>291</v>
      </c>
      <c r="F10" s="140" t="s">
        <v>60</v>
      </c>
      <c r="G10" s="140" t="s">
        <v>3600</v>
      </c>
      <c r="H10" s="140" t="s">
        <v>3617</v>
      </c>
      <c r="I10" s="139" t="s">
        <v>50</v>
      </c>
      <c r="J10" s="139" t="s">
        <v>3602</v>
      </c>
      <c r="K10" s="139" t="s">
        <v>290</v>
      </c>
      <c r="L10" s="140" t="s">
        <v>3376</v>
      </c>
      <c r="M10" s="140" t="s">
        <v>92</v>
      </c>
      <c r="N10" s="140" t="s">
        <v>445</v>
      </c>
      <c r="O10" s="140" t="s">
        <v>445</v>
      </c>
      <c r="P10" s="140" t="s">
        <v>445</v>
      </c>
      <c r="Q10" s="140" t="s">
        <v>445</v>
      </c>
      <c r="R10" s="140" t="s">
        <v>3598</v>
      </c>
      <c r="S10" s="139" t="n">
        <v>28</v>
      </c>
      <c r="T10" s="141" t="n">
        <v>45838</v>
      </c>
      <c r="U10" s="140" t="s">
        <v>295</v>
      </c>
      <c r="V10" s="141" t="n">
        <v>45473</v>
      </c>
      <c r="W10" s="140" t="s">
        <v>3618</v>
      </c>
      <c r="X10" s="140" t="s">
        <v>62</v>
      </c>
    </row>
    <row r="11" customFormat="false" ht="42" hidden="false" customHeight="true" outlineLevel="0" collapsed="false">
      <c r="A11" s="136" t="s">
        <v>337</v>
      </c>
      <c r="B11" s="137" t="s">
        <v>338</v>
      </c>
      <c r="C11" s="137" t="s">
        <v>342</v>
      </c>
      <c r="D11" s="137" t="s">
        <v>117</v>
      </c>
      <c r="E11" s="137" t="s">
        <v>348</v>
      </c>
      <c r="F11" s="137" t="s">
        <v>349</v>
      </c>
      <c r="G11" s="137" t="s">
        <v>346</v>
      </c>
      <c r="H11" s="137" t="s">
        <v>3619</v>
      </c>
      <c r="I11" s="136" t="s">
        <v>50</v>
      </c>
      <c r="J11" s="136" t="s">
        <v>3620</v>
      </c>
      <c r="K11" s="136" t="s">
        <v>344</v>
      </c>
      <c r="L11" s="137" t="s">
        <v>3376</v>
      </c>
      <c r="M11" s="137" t="s">
        <v>3376</v>
      </c>
      <c r="N11" s="137" t="s">
        <v>3376</v>
      </c>
      <c r="O11" s="137" t="s">
        <v>3376</v>
      </c>
      <c r="P11" s="137" t="s">
        <v>3621</v>
      </c>
      <c r="Q11" s="137" t="s">
        <v>445</v>
      </c>
      <c r="R11" s="137" t="s">
        <v>445</v>
      </c>
      <c r="S11" s="136" t="n">
        <v>62</v>
      </c>
      <c r="T11" s="138" t="n">
        <v>45580</v>
      </c>
      <c r="U11" s="137" t="s">
        <v>3622</v>
      </c>
      <c r="V11" s="138" t="n">
        <v>45350</v>
      </c>
      <c r="W11" s="137" t="s">
        <v>3623</v>
      </c>
      <c r="X11" s="137" t="s">
        <v>62</v>
      </c>
    </row>
    <row r="12" customFormat="false" ht="42" hidden="false" customHeight="true" outlineLevel="0" collapsed="false">
      <c r="A12" s="139" t="s">
        <v>354</v>
      </c>
      <c r="B12" s="140" t="s">
        <v>355</v>
      </c>
      <c r="C12" s="140" t="s">
        <v>342</v>
      </c>
      <c r="D12" s="140" t="s">
        <v>48</v>
      </c>
      <c r="E12" s="140" t="s">
        <v>364</v>
      </c>
      <c r="F12" s="140" t="s">
        <v>365</v>
      </c>
      <c r="G12" s="140" t="s">
        <v>362</v>
      </c>
      <c r="H12" s="140" t="s">
        <v>3624</v>
      </c>
      <c r="I12" s="139" t="s">
        <v>50</v>
      </c>
      <c r="J12" s="139" t="s">
        <v>3625</v>
      </c>
      <c r="K12" s="139" t="s">
        <v>360</v>
      </c>
      <c r="L12" s="140" t="s">
        <v>3376</v>
      </c>
      <c r="M12" s="140" t="s">
        <v>3376</v>
      </c>
      <c r="N12" s="140" t="s">
        <v>3376</v>
      </c>
      <c r="O12" s="140" t="s">
        <v>3626</v>
      </c>
      <c r="P12" s="140" t="s">
        <v>61</v>
      </c>
      <c r="Q12" s="140" t="s">
        <v>61</v>
      </c>
      <c r="R12" s="140" t="s">
        <v>61</v>
      </c>
      <c r="S12" s="139" t="n">
        <v>38</v>
      </c>
      <c r="T12" s="141" t="n">
        <v>45991</v>
      </c>
      <c r="U12" s="140" t="s">
        <v>3627</v>
      </c>
      <c r="V12" s="141" t="n">
        <v>45422</v>
      </c>
      <c r="W12" s="140" t="s">
        <v>3628</v>
      </c>
      <c r="X12" s="140" t="s">
        <v>62</v>
      </c>
    </row>
    <row r="13" customFormat="false" ht="42" hidden="false" customHeight="true" outlineLevel="0" collapsed="false">
      <c r="A13" s="136" t="s">
        <v>370</v>
      </c>
      <c r="B13" s="137" t="s">
        <v>371</v>
      </c>
      <c r="C13" s="137" t="s">
        <v>375</v>
      </c>
      <c r="D13" s="137" t="s">
        <v>134</v>
      </c>
      <c r="E13" s="137" t="s">
        <v>377</v>
      </c>
      <c r="F13" s="137" t="s">
        <v>378</v>
      </c>
      <c r="G13" s="137" t="s">
        <v>376</v>
      </c>
      <c r="H13" s="137" t="s">
        <v>3629</v>
      </c>
      <c r="I13" s="136" t="s">
        <v>50</v>
      </c>
      <c r="J13" s="136" t="s">
        <v>3630</v>
      </c>
      <c r="K13" s="136" t="s">
        <v>344</v>
      </c>
      <c r="L13" s="137" t="s">
        <v>3376</v>
      </c>
      <c r="M13" s="137" t="s">
        <v>3376</v>
      </c>
      <c r="N13" s="137" t="s">
        <v>3376</v>
      </c>
      <c r="O13" s="137" t="s">
        <v>3376</v>
      </c>
      <c r="P13" s="137" t="s">
        <v>92</v>
      </c>
      <c r="Q13" s="137" t="s">
        <v>445</v>
      </c>
      <c r="R13" s="137" t="s">
        <v>445</v>
      </c>
      <c r="S13" s="136" t="n">
        <v>80</v>
      </c>
      <c r="T13" s="138" t="n">
        <v>45534</v>
      </c>
      <c r="U13" s="137" t="s">
        <v>382</v>
      </c>
      <c r="V13" s="138" t="n">
        <v>45356</v>
      </c>
      <c r="W13" s="137" t="s">
        <v>3631</v>
      </c>
      <c r="X13" s="137" t="s">
        <v>62</v>
      </c>
    </row>
    <row r="14" customFormat="false" ht="42" hidden="false" customHeight="true" outlineLevel="0" collapsed="false">
      <c r="A14" s="139" t="s">
        <v>383</v>
      </c>
      <c r="B14" s="140" t="s">
        <v>384</v>
      </c>
      <c r="C14" s="140" t="s">
        <v>342</v>
      </c>
      <c r="D14" s="140" t="s">
        <v>85</v>
      </c>
      <c r="E14" s="140" t="s">
        <v>392</v>
      </c>
      <c r="F14" s="140" t="s">
        <v>393</v>
      </c>
      <c r="G14" s="140" t="s">
        <v>390</v>
      </c>
      <c r="H14" s="140" t="s">
        <v>3632</v>
      </c>
      <c r="I14" s="139" t="s">
        <v>158</v>
      </c>
      <c r="J14" s="139" t="s">
        <v>3633</v>
      </c>
      <c r="K14" s="139" t="s">
        <v>389</v>
      </c>
      <c r="L14" s="140" t="s">
        <v>3376</v>
      </c>
      <c r="M14" s="140" t="s">
        <v>3376</v>
      </c>
      <c r="N14" s="140" t="s">
        <v>3376</v>
      </c>
      <c r="O14" s="140" t="s">
        <v>3634</v>
      </c>
      <c r="P14" s="140" t="s">
        <v>61</v>
      </c>
      <c r="Q14" s="140" t="s">
        <v>61</v>
      </c>
      <c r="R14" s="140" t="s">
        <v>61</v>
      </c>
      <c r="S14" s="139" t="n">
        <v>35</v>
      </c>
      <c r="T14" s="141" t="n">
        <v>46203</v>
      </c>
      <c r="U14" s="140" t="s">
        <v>397</v>
      </c>
      <c r="V14" s="141" t="n">
        <v>45536</v>
      </c>
      <c r="W14" s="140" t="s">
        <v>3635</v>
      </c>
      <c r="X14" s="140" t="s">
        <v>62</v>
      </c>
    </row>
    <row r="15" customFormat="false" ht="42" hidden="false" customHeight="true" outlineLevel="0" collapsed="false">
      <c r="A15" s="136" t="s">
        <v>398</v>
      </c>
      <c r="B15" s="137" t="s">
        <v>399</v>
      </c>
      <c r="C15" s="137" t="s">
        <v>342</v>
      </c>
      <c r="D15" s="137" t="s">
        <v>102</v>
      </c>
      <c r="E15" s="137" t="s">
        <v>407</v>
      </c>
      <c r="F15" s="137" t="s">
        <v>408</v>
      </c>
      <c r="G15" s="137" t="s">
        <v>405</v>
      </c>
      <c r="H15" s="137" t="s">
        <v>3636</v>
      </c>
      <c r="I15" s="136" t="s">
        <v>103</v>
      </c>
      <c r="J15" s="136" t="s">
        <v>3637</v>
      </c>
      <c r="K15" s="136" t="s">
        <v>404</v>
      </c>
      <c r="L15" s="137" t="s">
        <v>3376</v>
      </c>
      <c r="M15" s="137" t="s">
        <v>3376</v>
      </c>
      <c r="N15" s="137" t="s">
        <v>3376</v>
      </c>
      <c r="O15" s="137" t="s">
        <v>3376</v>
      </c>
      <c r="P15" s="137" t="s">
        <v>3376</v>
      </c>
      <c r="Q15" s="137" t="s">
        <v>3376</v>
      </c>
      <c r="R15" s="137" t="s">
        <v>3376</v>
      </c>
      <c r="S15" s="136" t="n">
        <v>100</v>
      </c>
      <c r="T15" s="138" t="n">
        <v>45915</v>
      </c>
      <c r="U15" s="137" t="s">
        <v>411</v>
      </c>
      <c r="V15" s="137"/>
      <c r="W15" s="137" t="s">
        <v>3638</v>
      </c>
      <c r="X15" s="137" t="s">
        <v>62</v>
      </c>
    </row>
    <row r="16" customFormat="false" ht="42" hidden="false" customHeight="true" outlineLevel="0" collapsed="false">
      <c r="A16" s="139" t="s">
        <v>412</v>
      </c>
      <c r="B16" s="140" t="s">
        <v>413</v>
      </c>
      <c r="C16" s="140" t="s">
        <v>342</v>
      </c>
      <c r="D16" s="140" t="s">
        <v>48</v>
      </c>
      <c r="E16" s="140" t="s">
        <v>364</v>
      </c>
      <c r="F16" s="140" t="s">
        <v>275</v>
      </c>
      <c r="G16" s="140" t="s">
        <v>419</v>
      </c>
      <c r="H16" s="140" t="s">
        <v>3639</v>
      </c>
      <c r="I16" s="139" t="s">
        <v>50</v>
      </c>
      <c r="J16" s="139" t="s">
        <v>3640</v>
      </c>
      <c r="K16" s="139" t="s">
        <v>417</v>
      </c>
      <c r="L16" s="140" t="s">
        <v>3376</v>
      </c>
      <c r="M16" s="140" t="s">
        <v>92</v>
      </c>
      <c r="N16" s="140" t="s">
        <v>445</v>
      </c>
      <c r="O16" s="140" t="s">
        <v>61</v>
      </c>
      <c r="P16" s="140" t="s">
        <v>61</v>
      </c>
      <c r="Q16" s="140" t="s">
        <v>61</v>
      </c>
      <c r="R16" s="140" t="s">
        <v>61</v>
      </c>
      <c r="S16" s="139" t="n">
        <v>20</v>
      </c>
      <c r="T16" s="141" t="n">
        <v>46203</v>
      </c>
      <c r="U16" s="140" t="s">
        <v>424</v>
      </c>
      <c r="V16" s="141" t="n">
        <v>45397</v>
      </c>
      <c r="W16" s="140" t="s">
        <v>3641</v>
      </c>
      <c r="X16" s="140" t="s">
        <v>62</v>
      </c>
    </row>
    <row r="17" customFormat="false" ht="42" hidden="false" customHeight="true" outlineLevel="0" collapsed="false">
      <c r="A17" s="136" t="s">
        <v>425</v>
      </c>
      <c r="B17" s="137" t="s">
        <v>426</v>
      </c>
      <c r="C17" s="137" t="s">
        <v>430</v>
      </c>
      <c r="D17" s="137" t="s">
        <v>48</v>
      </c>
      <c r="E17" s="137" t="s">
        <v>364</v>
      </c>
      <c r="F17" s="137" t="s">
        <v>433</v>
      </c>
      <c r="G17" s="137" t="s">
        <v>432</v>
      </c>
      <c r="H17" s="137" t="s">
        <v>3642</v>
      </c>
      <c r="I17" s="136" t="s">
        <v>50</v>
      </c>
      <c r="J17" s="136" t="s">
        <v>3643</v>
      </c>
      <c r="K17" s="136" t="s">
        <v>3644</v>
      </c>
      <c r="L17" s="137" t="s">
        <v>3376</v>
      </c>
      <c r="M17" s="137" t="s">
        <v>3376</v>
      </c>
      <c r="N17" s="137" t="s">
        <v>3376</v>
      </c>
      <c r="O17" s="137" t="s">
        <v>92</v>
      </c>
      <c r="P17" s="137" t="s">
        <v>61</v>
      </c>
      <c r="Q17" s="137" t="s">
        <v>61</v>
      </c>
      <c r="R17" s="137" t="s">
        <v>61</v>
      </c>
      <c r="S17" s="136" t="n">
        <v>55</v>
      </c>
      <c r="T17" s="138" t="n">
        <v>46142</v>
      </c>
      <c r="U17" s="137" t="s">
        <v>437</v>
      </c>
      <c r="V17" s="138" t="n">
        <v>45458</v>
      </c>
      <c r="W17" s="137" t="s">
        <v>3645</v>
      </c>
      <c r="X17" s="137" t="s">
        <v>62</v>
      </c>
    </row>
    <row r="18" customFormat="false" ht="42" hidden="false" customHeight="true" outlineLevel="0" collapsed="false">
      <c r="A18" s="142" t="s">
        <v>438</v>
      </c>
      <c r="B18" s="143" t="s">
        <v>439</v>
      </c>
      <c r="C18" s="143" t="s">
        <v>430</v>
      </c>
      <c r="D18" s="143" t="s">
        <v>102</v>
      </c>
      <c r="E18" s="143" t="s">
        <v>407</v>
      </c>
      <c r="F18" s="143" t="s">
        <v>446</v>
      </c>
      <c r="G18" s="143" t="s">
        <v>444</v>
      </c>
      <c r="H18" s="143" t="s">
        <v>3646</v>
      </c>
      <c r="I18" s="142" t="s">
        <v>50</v>
      </c>
      <c r="J18" s="142" t="s">
        <v>3647</v>
      </c>
      <c r="K18" s="142" t="s">
        <v>442</v>
      </c>
      <c r="L18" s="143" t="s">
        <v>3376</v>
      </c>
      <c r="M18" s="143" t="s">
        <v>3376</v>
      </c>
      <c r="N18" s="143" t="s">
        <v>3376</v>
      </c>
      <c r="O18" s="143" t="s">
        <v>3376</v>
      </c>
      <c r="P18" s="143" t="s">
        <v>92</v>
      </c>
      <c r="Q18" s="143" t="s">
        <v>445</v>
      </c>
      <c r="R18" s="143" t="s">
        <v>61</v>
      </c>
      <c r="S18" s="142" t="n">
        <v>78</v>
      </c>
      <c r="T18" s="144" t="n">
        <v>45930</v>
      </c>
      <c r="U18" s="143" t="s">
        <v>450</v>
      </c>
      <c r="V18" s="144" t="n">
        <v>45371</v>
      </c>
      <c r="W18" s="143" t="s">
        <v>3648</v>
      </c>
      <c r="X18" s="143" t="s">
        <v>62</v>
      </c>
    </row>
    <row r="19" customFormat="false" ht="42" hidden="false" customHeight="true" outlineLevel="0" collapsed="false">
      <c r="A19" s="136" t="s">
        <v>451</v>
      </c>
      <c r="B19" s="137" t="s">
        <v>452</v>
      </c>
      <c r="C19" s="137" t="s">
        <v>430</v>
      </c>
      <c r="D19" s="137" t="s">
        <v>73</v>
      </c>
      <c r="E19" s="137" t="s">
        <v>291</v>
      </c>
      <c r="F19" s="137" t="s">
        <v>459</v>
      </c>
      <c r="G19" s="137" t="s">
        <v>457</v>
      </c>
      <c r="H19" s="137" t="s">
        <v>460</v>
      </c>
      <c r="I19" s="136" t="s">
        <v>50</v>
      </c>
      <c r="J19" s="136" t="s">
        <v>3649</v>
      </c>
      <c r="K19" s="136" t="s">
        <v>456</v>
      </c>
      <c r="L19" s="137" t="s">
        <v>3376</v>
      </c>
      <c r="M19" s="137" t="s">
        <v>92</v>
      </c>
      <c r="N19" s="137" t="s">
        <v>445</v>
      </c>
      <c r="O19" s="137" t="s">
        <v>61</v>
      </c>
      <c r="P19" s="137" t="s">
        <v>61</v>
      </c>
      <c r="Q19" s="137" t="s">
        <v>61</v>
      </c>
      <c r="R19" s="137" t="s">
        <v>61</v>
      </c>
      <c r="S19" s="136" t="n">
        <v>20</v>
      </c>
      <c r="T19" s="138" t="n">
        <v>46203</v>
      </c>
      <c r="U19" s="137" t="s">
        <v>3650</v>
      </c>
      <c r="V19" s="138" t="n">
        <v>45412</v>
      </c>
      <c r="W19" s="137" t="s">
        <v>3651</v>
      </c>
      <c r="X19" s="137" t="s">
        <v>62</v>
      </c>
    </row>
    <row r="20" customFormat="false" ht="42" hidden="false" customHeight="true" outlineLevel="0" collapsed="false">
      <c r="A20" s="142" t="s">
        <v>464</v>
      </c>
      <c r="B20" s="143" t="s">
        <v>465</v>
      </c>
      <c r="C20" s="143" t="s">
        <v>430</v>
      </c>
      <c r="D20" s="143" t="s">
        <v>117</v>
      </c>
      <c r="E20" s="143" t="s">
        <v>314</v>
      </c>
      <c r="F20" s="143" t="s">
        <v>471</v>
      </c>
      <c r="G20" s="143" t="s">
        <v>469</v>
      </c>
      <c r="H20" s="143" t="s">
        <v>3652</v>
      </c>
      <c r="I20" s="142" t="s">
        <v>50</v>
      </c>
      <c r="J20" s="142" t="s">
        <v>3653</v>
      </c>
      <c r="K20" s="142" t="s">
        <v>3654</v>
      </c>
      <c r="L20" s="143" t="s">
        <v>3376</v>
      </c>
      <c r="M20" s="143" t="s">
        <v>3376</v>
      </c>
      <c r="N20" s="143" t="s">
        <v>92</v>
      </c>
      <c r="O20" s="143" t="s">
        <v>61</v>
      </c>
      <c r="P20" s="143" t="s">
        <v>61</v>
      </c>
      <c r="Q20" s="143" t="s">
        <v>61</v>
      </c>
      <c r="R20" s="143" t="s">
        <v>61</v>
      </c>
      <c r="S20" s="142" t="n">
        <v>38</v>
      </c>
      <c r="T20" s="144" t="n">
        <v>46387</v>
      </c>
      <c r="U20" s="143" t="s">
        <v>3655</v>
      </c>
      <c r="V20" s="144" t="n">
        <v>45361</v>
      </c>
      <c r="W20" s="143" t="s">
        <v>3656</v>
      </c>
      <c r="X20" s="143" t="s">
        <v>62</v>
      </c>
    </row>
    <row r="21" customFormat="false" ht="23.25" hidden="false" customHeight="true" outlineLevel="0" collapsed="false">
      <c r="A21" s="136" t="s">
        <v>637</v>
      </c>
      <c r="B21" s="137" t="s">
        <v>638</v>
      </c>
      <c r="C21" s="137" t="s">
        <v>273</v>
      </c>
      <c r="D21" s="137" t="s">
        <v>509</v>
      </c>
      <c r="E21" s="137" t="s">
        <v>643</v>
      </c>
      <c r="F21" s="137" t="s">
        <v>60</v>
      </c>
      <c r="G21" s="137" t="s">
        <v>644</v>
      </c>
      <c r="H21" s="137" t="s">
        <v>644</v>
      </c>
      <c r="I21" s="136" t="s">
        <v>50</v>
      </c>
      <c r="J21" s="136" t="s">
        <v>3597</v>
      </c>
      <c r="K21" s="136" t="s">
        <v>274</v>
      </c>
      <c r="L21" s="137" t="s">
        <v>3376</v>
      </c>
      <c r="M21" s="137" t="s">
        <v>3376</v>
      </c>
      <c r="N21" s="137" t="s">
        <v>3376</v>
      </c>
      <c r="O21" s="137" t="s">
        <v>92</v>
      </c>
      <c r="P21" s="137" t="s">
        <v>445</v>
      </c>
      <c r="Q21" s="137" t="s">
        <v>445</v>
      </c>
      <c r="R21" s="137" t="s">
        <v>445</v>
      </c>
      <c r="S21" s="136" t="n">
        <v>78</v>
      </c>
      <c r="T21" s="138" t="s">
        <v>89</v>
      </c>
      <c r="U21" s="137" t="s">
        <v>280</v>
      </c>
      <c r="V21" s="138" t="s">
        <v>59</v>
      </c>
      <c r="W21" s="137" t="s">
        <v>279</v>
      </c>
      <c r="X21" s="137" t="s">
        <v>484</v>
      </c>
    </row>
    <row r="22" customFormat="false" ht="23.25" hidden="false" customHeight="true" outlineLevel="0" collapsed="false">
      <c r="A22" s="136" t="s">
        <v>645</v>
      </c>
      <c r="B22" s="137" t="s">
        <v>646</v>
      </c>
      <c r="C22" s="137" t="s">
        <v>289</v>
      </c>
      <c r="D22" s="137" t="s">
        <v>532</v>
      </c>
      <c r="E22" s="137" t="s">
        <v>651</v>
      </c>
      <c r="F22" s="137" t="s">
        <v>60</v>
      </c>
      <c r="G22" s="137" t="s">
        <v>652</v>
      </c>
      <c r="H22" s="137" t="s">
        <v>652</v>
      </c>
      <c r="I22" s="136" t="s">
        <v>50</v>
      </c>
      <c r="J22" s="136" t="s">
        <v>3602</v>
      </c>
      <c r="K22" s="136" t="s">
        <v>290</v>
      </c>
      <c r="L22" s="137" t="s">
        <v>3376</v>
      </c>
      <c r="M22" s="137" t="s">
        <v>92</v>
      </c>
      <c r="N22" s="137" t="s">
        <v>445</v>
      </c>
      <c r="O22" s="137" t="s">
        <v>445</v>
      </c>
      <c r="P22" s="137" t="s">
        <v>445</v>
      </c>
      <c r="Q22" s="137" t="s">
        <v>445</v>
      </c>
      <c r="R22" s="137" t="s">
        <v>445</v>
      </c>
      <c r="S22" s="136" t="n">
        <v>28</v>
      </c>
      <c r="T22" s="138" t="s">
        <v>53</v>
      </c>
      <c r="U22" s="137" t="s">
        <v>295</v>
      </c>
      <c r="V22" s="138" t="s">
        <v>59</v>
      </c>
      <c r="W22" s="137" t="s">
        <v>294</v>
      </c>
      <c r="X22" s="137" t="s">
        <v>484</v>
      </c>
    </row>
    <row r="23" customFormat="false" ht="34.5" hidden="false" customHeight="true" outlineLevel="0" collapsed="false">
      <c r="A23" s="136" t="s">
        <v>653</v>
      </c>
      <c r="B23" s="137" t="s">
        <v>654</v>
      </c>
      <c r="C23" s="137" t="s">
        <v>273</v>
      </c>
      <c r="D23" s="137" t="s">
        <v>499</v>
      </c>
      <c r="E23" s="137" t="s">
        <v>658</v>
      </c>
      <c r="F23" s="137" t="s">
        <v>60</v>
      </c>
      <c r="G23" s="137" t="s">
        <v>659</v>
      </c>
      <c r="H23" s="137" t="s">
        <v>659</v>
      </c>
      <c r="I23" s="136" t="s">
        <v>103</v>
      </c>
      <c r="J23" s="136" t="s">
        <v>3606</v>
      </c>
      <c r="K23" s="136" t="s">
        <v>303</v>
      </c>
      <c r="L23" s="137" t="s">
        <v>3376</v>
      </c>
      <c r="M23" s="137" t="s">
        <v>3376</v>
      </c>
      <c r="N23" s="137" t="s">
        <v>3376</v>
      </c>
      <c r="O23" s="137" t="s">
        <v>3376</v>
      </c>
      <c r="P23" s="137" t="s">
        <v>3376</v>
      </c>
      <c r="Q23" s="137" t="s">
        <v>3376</v>
      </c>
      <c r="R23" s="137" t="s">
        <v>3376</v>
      </c>
      <c r="S23" s="136" t="n">
        <v>100</v>
      </c>
      <c r="T23" s="138" t="s">
        <v>89</v>
      </c>
      <c r="U23" s="137" t="s">
        <v>660</v>
      </c>
      <c r="V23" s="138" t="s">
        <v>304</v>
      </c>
      <c r="W23" s="137" t="s">
        <v>307</v>
      </c>
      <c r="X23" s="137" t="s">
        <v>484</v>
      </c>
    </row>
    <row r="24" customFormat="false" ht="23.25" hidden="false" customHeight="true" outlineLevel="0" collapsed="false">
      <c r="A24" s="136" t="s">
        <v>661</v>
      </c>
      <c r="B24" s="137" t="s">
        <v>662</v>
      </c>
      <c r="C24" s="137" t="s">
        <v>273</v>
      </c>
      <c r="D24" s="137" t="s">
        <v>491</v>
      </c>
      <c r="E24" s="137" t="s">
        <v>667</v>
      </c>
      <c r="F24" s="137" t="s">
        <v>60</v>
      </c>
      <c r="G24" s="137" t="s">
        <v>668</v>
      </c>
      <c r="H24" s="137" t="s">
        <v>668</v>
      </c>
      <c r="I24" s="136" t="s">
        <v>119</v>
      </c>
      <c r="J24" s="136" t="s">
        <v>3610</v>
      </c>
      <c r="K24" s="136" t="s">
        <v>122</v>
      </c>
      <c r="L24" s="137" t="s">
        <v>3376</v>
      </c>
      <c r="M24" s="137" t="s">
        <v>92</v>
      </c>
      <c r="N24" s="137" t="s">
        <v>445</v>
      </c>
      <c r="O24" s="137" t="s">
        <v>445</v>
      </c>
      <c r="P24" s="137" t="s">
        <v>445</v>
      </c>
      <c r="Q24" s="137" t="s">
        <v>445</v>
      </c>
      <c r="R24" s="137" t="s">
        <v>445</v>
      </c>
      <c r="S24" s="136" t="n">
        <v>15</v>
      </c>
      <c r="T24" s="138" t="s">
        <v>53</v>
      </c>
      <c r="U24" s="137" t="s">
        <v>318</v>
      </c>
      <c r="V24" s="138" t="s">
        <v>125</v>
      </c>
      <c r="W24" s="137" t="s">
        <v>669</v>
      </c>
      <c r="X24" s="137" t="s">
        <v>484</v>
      </c>
    </row>
    <row r="25" customFormat="false" ht="23.25" hidden="false" customHeight="true" outlineLevel="0" collapsed="false">
      <c r="A25" s="136" t="s">
        <v>670</v>
      </c>
      <c r="B25" s="137" t="s">
        <v>671</v>
      </c>
      <c r="C25" s="137" t="s">
        <v>273</v>
      </c>
      <c r="D25" s="137" t="s">
        <v>509</v>
      </c>
      <c r="E25" s="137" t="s">
        <v>643</v>
      </c>
      <c r="F25" s="137" t="s">
        <v>676</v>
      </c>
      <c r="G25" s="137" t="s">
        <v>677</v>
      </c>
      <c r="H25" s="137" t="s">
        <v>677</v>
      </c>
      <c r="I25" s="136" t="s">
        <v>50</v>
      </c>
      <c r="J25" s="136" t="s">
        <v>3597</v>
      </c>
      <c r="K25" s="136" t="s">
        <v>274</v>
      </c>
      <c r="L25" s="137" t="s">
        <v>3376</v>
      </c>
      <c r="M25" s="137" t="s">
        <v>3376</v>
      </c>
      <c r="N25" s="137" t="s">
        <v>3376</v>
      </c>
      <c r="O25" s="137" t="s">
        <v>92</v>
      </c>
      <c r="P25" s="137" t="s">
        <v>445</v>
      </c>
      <c r="Q25" s="137" t="s">
        <v>445</v>
      </c>
      <c r="R25" s="137" t="s">
        <v>445</v>
      </c>
      <c r="S25" s="136" t="n">
        <v>78</v>
      </c>
      <c r="T25" s="138" t="s">
        <v>89</v>
      </c>
      <c r="U25" s="137" t="s">
        <v>280</v>
      </c>
      <c r="V25" s="138" t="s">
        <v>59</v>
      </c>
      <c r="W25" s="137" t="s">
        <v>279</v>
      </c>
      <c r="X25" s="137" t="s">
        <v>484</v>
      </c>
    </row>
    <row r="26" customFormat="false" ht="23.25" hidden="false" customHeight="true" outlineLevel="0" collapsed="false">
      <c r="A26" s="136" t="s">
        <v>678</v>
      </c>
      <c r="B26" s="137" t="s">
        <v>679</v>
      </c>
      <c r="C26" s="137" t="s">
        <v>289</v>
      </c>
      <c r="D26" s="137" t="s">
        <v>532</v>
      </c>
      <c r="E26" s="137" t="s">
        <v>651</v>
      </c>
      <c r="F26" s="137" t="s">
        <v>60</v>
      </c>
      <c r="G26" s="137" t="s">
        <v>684</v>
      </c>
      <c r="H26" s="137" t="s">
        <v>684</v>
      </c>
      <c r="I26" s="136" t="s">
        <v>50</v>
      </c>
      <c r="J26" s="136" t="s">
        <v>3602</v>
      </c>
      <c r="K26" s="136" t="s">
        <v>290</v>
      </c>
      <c r="L26" s="137" t="s">
        <v>3376</v>
      </c>
      <c r="M26" s="137" t="s">
        <v>92</v>
      </c>
      <c r="N26" s="137" t="s">
        <v>445</v>
      </c>
      <c r="O26" s="137" t="s">
        <v>445</v>
      </c>
      <c r="P26" s="137" t="s">
        <v>445</v>
      </c>
      <c r="Q26" s="137" t="s">
        <v>445</v>
      </c>
      <c r="R26" s="137" t="s">
        <v>445</v>
      </c>
      <c r="S26" s="136" t="n">
        <v>28</v>
      </c>
      <c r="T26" s="138" t="s">
        <v>53</v>
      </c>
      <c r="U26" s="137" t="s">
        <v>295</v>
      </c>
      <c r="V26" s="138" t="s">
        <v>59</v>
      </c>
      <c r="W26" s="137" t="s">
        <v>294</v>
      </c>
      <c r="X26" s="137" t="s">
        <v>484</v>
      </c>
    </row>
    <row r="27" customFormat="false" ht="23.25" hidden="false" customHeight="true" outlineLevel="0" collapsed="false">
      <c r="A27" s="136" t="s">
        <v>685</v>
      </c>
      <c r="B27" s="137" t="s">
        <v>686</v>
      </c>
      <c r="C27" s="137" t="s">
        <v>342</v>
      </c>
      <c r="D27" s="137" t="s">
        <v>509</v>
      </c>
      <c r="E27" s="137" t="s">
        <v>691</v>
      </c>
      <c r="F27" s="137" t="s">
        <v>692</v>
      </c>
      <c r="G27" s="137" t="s">
        <v>690</v>
      </c>
      <c r="H27" s="137" t="s">
        <v>693</v>
      </c>
      <c r="I27" s="136" t="s">
        <v>50</v>
      </c>
      <c r="J27" s="136" t="s">
        <v>3657</v>
      </c>
      <c r="K27" s="136" t="s">
        <v>344</v>
      </c>
      <c r="L27" s="137" t="s">
        <v>3376</v>
      </c>
      <c r="M27" s="137" t="s">
        <v>3376</v>
      </c>
      <c r="N27" s="137" t="s">
        <v>3376</v>
      </c>
      <c r="O27" s="137" t="s">
        <v>3376</v>
      </c>
      <c r="P27" s="137" t="s">
        <v>92</v>
      </c>
      <c r="Q27" s="137" t="s">
        <v>445</v>
      </c>
      <c r="R27" s="137" t="s">
        <v>445</v>
      </c>
      <c r="S27" s="136" t="n">
        <v>70</v>
      </c>
      <c r="T27" s="138" t="s">
        <v>89</v>
      </c>
      <c r="U27" s="137" t="s">
        <v>696</v>
      </c>
      <c r="V27" s="138" t="s">
        <v>59</v>
      </c>
      <c r="W27" s="137" t="s">
        <v>695</v>
      </c>
      <c r="X27" s="137" t="s">
        <v>484</v>
      </c>
    </row>
    <row r="28" customFormat="false" ht="23.25" hidden="false" customHeight="true" outlineLevel="0" collapsed="false">
      <c r="A28" s="136" t="s">
        <v>697</v>
      </c>
      <c r="B28" s="137" t="s">
        <v>698</v>
      </c>
      <c r="C28" s="137" t="s">
        <v>342</v>
      </c>
      <c r="D28" s="137" t="s">
        <v>481</v>
      </c>
      <c r="E28" s="137" t="s">
        <v>703</v>
      </c>
      <c r="F28" s="137" t="s">
        <v>704</v>
      </c>
      <c r="G28" s="137" t="s">
        <v>702</v>
      </c>
      <c r="H28" s="137" t="s">
        <v>705</v>
      </c>
      <c r="I28" s="136" t="s">
        <v>50</v>
      </c>
      <c r="J28" s="136" t="s">
        <v>3658</v>
      </c>
      <c r="K28" s="136" t="s">
        <v>360</v>
      </c>
      <c r="L28" s="137" t="s">
        <v>3376</v>
      </c>
      <c r="M28" s="137" t="s">
        <v>3376</v>
      </c>
      <c r="N28" s="137" t="s">
        <v>3376</v>
      </c>
      <c r="O28" s="137" t="s">
        <v>92</v>
      </c>
      <c r="P28" s="137" t="s">
        <v>445</v>
      </c>
      <c r="Q28" s="137" t="s">
        <v>445</v>
      </c>
      <c r="R28" s="137" t="s">
        <v>445</v>
      </c>
      <c r="S28" s="136" t="n">
        <v>42</v>
      </c>
      <c r="T28" s="138" t="s">
        <v>53</v>
      </c>
      <c r="U28" s="137" t="s">
        <v>707</v>
      </c>
      <c r="V28" s="138" t="s">
        <v>59</v>
      </c>
      <c r="W28" s="137" t="s">
        <v>706</v>
      </c>
      <c r="X28" s="137" t="s">
        <v>484</v>
      </c>
    </row>
    <row r="29" customFormat="false" ht="34.5" hidden="false" customHeight="true" outlineLevel="0" collapsed="false">
      <c r="A29" s="136" t="s">
        <v>708</v>
      </c>
      <c r="B29" s="137" t="s">
        <v>709</v>
      </c>
      <c r="C29" s="137" t="s">
        <v>375</v>
      </c>
      <c r="D29" s="137" t="s">
        <v>499</v>
      </c>
      <c r="E29" s="137" t="s">
        <v>658</v>
      </c>
      <c r="F29" s="137" t="s">
        <v>715</v>
      </c>
      <c r="G29" s="137" t="s">
        <v>714</v>
      </c>
      <c r="H29" s="137" t="s">
        <v>716</v>
      </c>
      <c r="I29" s="136" t="s">
        <v>50</v>
      </c>
      <c r="J29" s="136" t="s">
        <v>3657</v>
      </c>
      <c r="K29" s="136" t="s">
        <v>344</v>
      </c>
      <c r="L29" s="137" t="s">
        <v>3376</v>
      </c>
      <c r="M29" s="137" t="s">
        <v>3376</v>
      </c>
      <c r="N29" s="137" t="s">
        <v>3376</v>
      </c>
      <c r="O29" s="137" t="s">
        <v>3376</v>
      </c>
      <c r="P29" s="137" t="s">
        <v>92</v>
      </c>
      <c r="Q29" s="137" t="s">
        <v>445</v>
      </c>
      <c r="R29" s="137" t="s">
        <v>445</v>
      </c>
      <c r="S29" s="136" t="n">
        <v>70</v>
      </c>
      <c r="T29" s="138" t="s">
        <v>89</v>
      </c>
      <c r="U29" s="137" t="s">
        <v>717</v>
      </c>
      <c r="V29" s="138" t="s">
        <v>59</v>
      </c>
      <c r="W29" s="137" t="s">
        <v>695</v>
      </c>
      <c r="X29" s="137" t="s">
        <v>484</v>
      </c>
    </row>
    <row r="30" customFormat="false" ht="34.5" hidden="false" customHeight="true" outlineLevel="0" collapsed="false">
      <c r="A30" s="136" t="s">
        <v>718</v>
      </c>
      <c r="B30" s="137" t="s">
        <v>719</v>
      </c>
      <c r="C30" s="137" t="s">
        <v>342</v>
      </c>
      <c r="D30" s="137" t="s">
        <v>499</v>
      </c>
      <c r="E30" s="137" t="s">
        <v>658</v>
      </c>
      <c r="F30" s="137" t="s">
        <v>60</v>
      </c>
      <c r="G30" s="137" t="s">
        <v>722</v>
      </c>
      <c r="H30" s="137" t="s">
        <v>723</v>
      </c>
      <c r="I30" s="136" t="s">
        <v>158</v>
      </c>
      <c r="J30" s="136" t="s">
        <v>3659</v>
      </c>
      <c r="K30" s="136" t="s">
        <v>389</v>
      </c>
      <c r="L30" s="137" t="s">
        <v>3376</v>
      </c>
      <c r="M30" s="137" t="s">
        <v>3376</v>
      </c>
      <c r="N30" s="137" t="s">
        <v>3376</v>
      </c>
      <c r="O30" s="137" t="s">
        <v>92</v>
      </c>
      <c r="P30" s="137" t="s">
        <v>445</v>
      </c>
      <c r="Q30" s="137" t="s">
        <v>445</v>
      </c>
      <c r="R30" s="137" t="s">
        <v>445</v>
      </c>
      <c r="S30" s="136" t="n">
        <v>32</v>
      </c>
      <c r="T30" s="138" t="s">
        <v>53</v>
      </c>
      <c r="U30" s="137" t="s">
        <v>397</v>
      </c>
      <c r="V30" s="138" t="s">
        <v>59</v>
      </c>
      <c r="W30" s="137" t="s">
        <v>724</v>
      </c>
      <c r="X30" s="137" t="s">
        <v>484</v>
      </c>
    </row>
    <row r="31" customFormat="false" ht="23.25" hidden="false" customHeight="true" outlineLevel="0" collapsed="false">
      <c r="A31" s="136" t="s">
        <v>725</v>
      </c>
      <c r="B31" s="137" t="s">
        <v>726</v>
      </c>
      <c r="C31" s="137" t="s">
        <v>342</v>
      </c>
      <c r="D31" s="137" t="s">
        <v>509</v>
      </c>
      <c r="E31" s="137" t="s">
        <v>643</v>
      </c>
      <c r="F31" s="137" t="s">
        <v>730</v>
      </c>
      <c r="G31" s="137" t="s">
        <v>729</v>
      </c>
      <c r="H31" s="137" t="s">
        <v>731</v>
      </c>
      <c r="I31" s="136" t="s">
        <v>103</v>
      </c>
      <c r="J31" s="136" t="s">
        <v>3637</v>
      </c>
      <c r="K31" s="136" t="s">
        <v>404</v>
      </c>
      <c r="L31" s="137" t="s">
        <v>3376</v>
      </c>
      <c r="M31" s="137" t="s">
        <v>3376</v>
      </c>
      <c r="N31" s="137" t="s">
        <v>3376</v>
      </c>
      <c r="O31" s="137" t="s">
        <v>3376</v>
      </c>
      <c r="P31" s="137" t="s">
        <v>3376</v>
      </c>
      <c r="Q31" s="137" t="s">
        <v>3376</v>
      </c>
      <c r="R31" s="137" t="s">
        <v>3376</v>
      </c>
      <c r="S31" s="136" t="n">
        <v>100</v>
      </c>
      <c r="T31" s="138" t="s">
        <v>732</v>
      </c>
      <c r="U31" s="137" t="s">
        <v>733</v>
      </c>
      <c r="V31" s="138" t="s">
        <v>304</v>
      </c>
      <c r="W31" s="137" t="s">
        <v>307</v>
      </c>
      <c r="X31" s="137" t="s">
        <v>484</v>
      </c>
    </row>
    <row r="32" customFormat="false" ht="23.25" hidden="false" customHeight="true" outlineLevel="0" collapsed="false">
      <c r="A32" s="136" t="s">
        <v>734</v>
      </c>
      <c r="B32" s="137" t="s">
        <v>735</v>
      </c>
      <c r="C32" s="137" t="s">
        <v>342</v>
      </c>
      <c r="D32" s="137" t="s">
        <v>481</v>
      </c>
      <c r="E32" s="137" t="s">
        <v>703</v>
      </c>
      <c r="F32" s="137" t="s">
        <v>60</v>
      </c>
      <c r="G32" s="137" t="s">
        <v>738</v>
      </c>
      <c r="H32" s="137" t="s">
        <v>739</v>
      </c>
      <c r="I32" s="136" t="s">
        <v>50</v>
      </c>
      <c r="J32" s="136" t="s">
        <v>3660</v>
      </c>
      <c r="K32" s="136" t="s">
        <v>417</v>
      </c>
      <c r="L32" s="137" t="s">
        <v>3376</v>
      </c>
      <c r="M32" s="137" t="s">
        <v>92</v>
      </c>
      <c r="N32" s="137" t="s">
        <v>445</v>
      </c>
      <c r="O32" s="137" t="s">
        <v>445</v>
      </c>
      <c r="P32" s="137" t="s">
        <v>445</v>
      </c>
      <c r="Q32" s="137" t="s">
        <v>445</v>
      </c>
      <c r="R32" s="137" t="s">
        <v>445</v>
      </c>
      <c r="S32" s="136" t="n">
        <v>20</v>
      </c>
      <c r="T32" s="138" t="s">
        <v>76</v>
      </c>
      <c r="U32" s="137" t="s">
        <v>741</v>
      </c>
      <c r="V32" s="138" t="s">
        <v>59</v>
      </c>
      <c r="W32" s="137" t="s">
        <v>740</v>
      </c>
      <c r="X32" s="137" t="s">
        <v>484</v>
      </c>
    </row>
    <row r="33" customFormat="false" ht="23.25" hidden="false" customHeight="true" outlineLevel="0" collapsed="false">
      <c r="A33" s="136" t="s">
        <v>742</v>
      </c>
      <c r="B33" s="137" t="s">
        <v>743</v>
      </c>
      <c r="C33" s="137" t="s">
        <v>430</v>
      </c>
      <c r="D33" s="137" t="s">
        <v>481</v>
      </c>
      <c r="E33" s="137" t="s">
        <v>703</v>
      </c>
      <c r="F33" s="137" t="s">
        <v>748</v>
      </c>
      <c r="G33" s="137" t="s">
        <v>747</v>
      </c>
      <c r="H33" s="137" t="s">
        <v>749</v>
      </c>
      <c r="I33" s="136" t="s">
        <v>50</v>
      </c>
      <c r="J33" s="136" t="s">
        <v>3658</v>
      </c>
      <c r="K33" s="136" t="s">
        <v>431</v>
      </c>
      <c r="L33" s="137" t="s">
        <v>3376</v>
      </c>
      <c r="M33" s="137" t="s">
        <v>3376</v>
      </c>
      <c r="N33" s="137" t="s">
        <v>3376</v>
      </c>
      <c r="O33" s="137" t="s">
        <v>92</v>
      </c>
      <c r="P33" s="137" t="s">
        <v>445</v>
      </c>
      <c r="Q33" s="137" t="s">
        <v>445</v>
      </c>
      <c r="R33" s="137" t="s">
        <v>445</v>
      </c>
      <c r="S33" s="136" t="n">
        <v>42</v>
      </c>
      <c r="T33" s="138" t="s">
        <v>53</v>
      </c>
      <c r="U33" s="137" t="s">
        <v>752</v>
      </c>
      <c r="V33" s="138" t="s">
        <v>59</v>
      </c>
      <c r="W33" s="137" t="s">
        <v>751</v>
      </c>
      <c r="X33" s="137" t="s">
        <v>484</v>
      </c>
    </row>
    <row r="34" customFormat="false" ht="23.25" hidden="false" customHeight="true" outlineLevel="0" collapsed="false">
      <c r="A34" s="136" t="s">
        <v>753</v>
      </c>
      <c r="B34" s="137" t="s">
        <v>754</v>
      </c>
      <c r="C34" s="137" t="s">
        <v>430</v>
      </c>
      <c r="D34" s="137" t="s">
        <v>509</v>
      </c>
      <c r="E34" s="137" t="s">
        <v>643</v>
      </c>
      <c r="F34" s="137" t="s">
        <v>692</v>
      </c>
      <c r="G34" s="137" t="s">
        <v>758</v>
      </c>
      <c r="H34" s="137" t="s">
        <v>759</v>
      </c>
      <c r="I34" s="136" t="s">
        <v>50</v>
      </c>
      <c r="J34" s="136" t="s">
        <v>3657</v>
      </c>
      <c r="K34" s="136" t="s">
        <v>442</v>
      </c>
      <c r="L34" s="137" t="s">
        <v>3376</v>
      </c>
      <c r="M34" s="137" t="s">
        <v>3376</v>
      </c>
      <c r="N34" s="137" t="s">
        <v>3376</v>
      </c>
      <c r="O34" s="137" t="s">
        <v>3376</v>
      </c>
      <c r="P34" s="137" t="s">
        <v>92</v>
      </c>
      <c r="Q34" s="137" t="s">
        <v>445</v>
      </c>
      <c r="R34" s="137" t="s">
        <v>445</v>
      </c>
      <c r="S34" s="136" t="n">
        <v>70</v>
      </c>
      <c r="T34" s="138" t="s">
        <v>89</v>
      </c>
      <c r="U34" s="137" t="s">
        <v>762</v>
      </c>
      <c r="V34" s="138" t="s">
        <v>59</v>
      </c>
      <c r="W34" s="137" t="s">
        <v>761</v>
      </c>
      <c r="X34" s="137" t="s">
        <v>484</v>
      </c>
    </row>
    <row r="35" customFormat="false" ht="34.5" hidden="false" customHeight="true" outlineLevel="0" collapsed="false">
      <c r="A35" s="136" t="s">
        <v>763</v>
      </c>
      <c r="B35" s="137" t="s">
        <v>764</v>
      </c>
      <c r="C35" s="137" t="s">
        <v>430</v>
      </c>
      <c r="D35" s="137" t="s">
        <v>499</v>
      </c>
      <c r="E35" s="137" t="s">
        <v>658</v>
      </c>
      <c r="F35" s="137" t="s">
        <v>715</v>
      </c>
      <c r="G35" s="137" t="s">
        <v>769</v>
      </c>
      <c r="H35" s="137" t="s">
        <v>770</v>
      </c>
      <c r="I35" s="136" t="s">
        <v>50</v>
      </c>
      <c r="J35" s="136" t="s">
        <v>3660</v>
      </c>
      <c r="K35" s="136" t="s">
        <v>456</v>
      </c>
      <c r="L35" s="137" t="s">
        <v>3376</v>
      </c>
      <c r="M35" s="137" t="s">
        <v>92</v>
      </c>
      <c r="N35" s="137" t="s">
        <v>445</v>
      </c>
      <c r="O35" s="137" t="s">
        <v>445</v>
      </c>
      <c r="P35" s="137" t="s">
        <v>445</v>
      </c>
      <c r="Q35" s="137" t="s">
        <v>445</v>
      </c>
      <c r="R35" s="137" t="s">
        <v>445</v>
      </c>
      <c r="S35" s="136" t="n">
        <v>18</v>
      </c>
      <c r="T35" s="138" t="s">
        <v>121</v>
      </c>
      <c r="U35" s="137" t="s">
        <v>463</v>
      </c>
      <c r="V35" s="138" t="s">
        <v>59</v>
      </c>
      <c r="W35" s="137" t="s">
        <v>772</v>
      </c>
      <c r="X35" s="137" t="s">
        <v>484</v>
      </c>
    </row>
    <row r="36" customFormat="false" ht="23.25" hidden="false" customHeight="true" outlineLevel="0" collapsed="false">
      <c r="A36" s="136" t="s">
        <v>773</v>
      </c>
      <c r="B36" s="137" t="s">
        <v>774</v>
      </c>
      <c r="C36" s="137" t="s">
        <v>430</v>
      </c>
      <c r="D36" s="137" t="s">
        <v>491</v>
      </c>
      <c r="E36" s="137" t="s">
        <v>667</v>
      </c>
      <c r="F36" s="137" t="s">
        <v>704</v>
      </c>
      <c r="G36" s="137" t="s">
        <v>778</v>
      </c>
      <c r="H36" s="137" t="s">
        <v>779</v>
      </c>
      <c r="I36" s="136" t="s">
        <v>50</v>
      </c>
      <c r="J36" s="136" t="s">
        <v>3661</v>
      </c>
      <c r="K36" s="136" t="s">
        <v>468</v>
      </c>
      <c r="L36" s="137" t="s">
        <v>3376</v>
      </c>
      <c r="M36" s="137" t="s">
        <v>3376</v>
      </c>
      <c r="N36" s="137" t="s">
        <v>92</v>
      </c>
      <c r="O36" s="137" t="s">
        <v>445</v>
      </c>
      <c r="P36" s="137" t="s">
        <v>445</v>
      </c>
      <c r="Q36" s="137" t="s">
        <v>445</v>
      </c>
      <c r="R36" s="137" t="s">
        <v>445</v>
      </c>
      <c r="S36" s="136" t="n">
        <v>34</v>
      </c>
      <c r="T36" s="138" t="s">
        <v>76</v>
      </c>
      <c r="U36" s="137" t="s">
        <v>781</v>
      </c>
      <c r="V36" s="138" t="s">
        <v>59</v>
      </c>
      <c r="W36" s="137" t="s">
        <v>740</v>
      </c>
      <c r="X36" s="137" t="s">
        <v>484</v>
      </c>
    </row>
    <row r="37" customFormat="false" ht="23.25" hidden="false" customHeight="true" outlineLevel="0" collapsed="false">
      <c r="A37" s="136" t="s">
        <v>913</v>
      </c>
      <c r="B37" s="137" t="s">
        <v>914</v>
      </c>
      <c r="C37" s="137" t="s">
        <v>920</v>
      </c>
      <c r="D37" s="137" t="s">
        <v>134</v>
      </c>
      <c r="E37" s="137" t="s">
        <v>921</v>
      </c>
      <c r="F37" s="137" t="s">
        <v>60</v>
      </c>
      <c r="G37" s="137" t="s">
        <v>922</v>
      </c>
      <c r="H37" s="137" t="s">
        <v>922</v>
      </c>
      <c r="I37" s="136" t="s">
        <v>50</v>
      </c>
      <c r="J37" s="136" t="s">
        <v>3597</v>
      </c>
      <c r="K37" s="136" t="s">
        <v>274</v>
      </c>
      <c r="L37" s="137" t="s">
        <v>3376</v>
      </c>
      <c r="M37" s="137" t="s">
        <v>3376</v>
      </c>
      <c r="N37" s="137" t="s">
        <v>3376</v>
      </c>
      <c r="O37" s="137" t="s">
        <v>92</v>
      </c>
      <c r="P37" s="137" t="s">
        <v>445</v>
      </c>
      <c r="Q37" s="137" t="s">
        <v>445</v>
      </c>
      <c r="R37" s="137" t="s">
        <v>445</v>
      </c>
      <c r="S37" s="136" t="n">
        <v>78</v>
      </c>
      <c r="T37" s="138" t="s">
        <v>89</v>
      </c>
      <c r="U37" s="137" t="s">
        <v>280</v>
      </c>
      <c r="V37" s="138" t="s">
        <v>59</v>
      </c>
      <c r="W37" s="137" t="s">
        <v>279</v>
      </c>
      <c r="X37" s="137" t="s">
        <v>786</v>
      </c>
    </row>
    <row r="38" customFormat="false" ht="34.5" hidden="false" customHeight="true" outlineLevel="0" collapsed="false">
      <c r="A38" s="136" t="s">
        <v>923</v>
      </c>
      <c r="B38" s="137" t="s">
        <v>924</v>
      </c>
      <c r="C38" s="137" t="s">
        <v>289</v>
      </c>
      <c r="D38" s="137" t="s">
        <v>793</v>
      </c>
      <c r="E38" s="137" t="s">
        <v>928</v>
      </c>
      <c r="F38" s="137" t="s">
        <v>60</v>
      </c>
      <c r="G38" s="137" t="s">
        <v>929</v>
      </c>
      <c r="H38" s="137" t="s">
        <v>929</v>
      </c>
      <c r="I38" s="136" t="s">
        <v>50</v>
      </c>
      <c r="J38" s="136" t="s">
        <v>3602</v>
      </c>
      <c r="K38" s="136" t="s">
        <v>290</v>
      </c>
      <c r="L38" s="137" t="s">
        <v>3376</v>
      </c>
      <c r="M38" s="137" t="s">
        <v>92</v>
      </c>
      <c r="N38" s="137" t="s">
        <v>445</v>
      </c>
      <c r="O38" s="137" t="s">
        <v>445</v>
      </c>
      <c r="P38" s="137" t="s">
        <v>445</v>
      </c>
      <c r="Q38" s="137" t="s">
        <v>445</v>
      </c>
      <c r="R38" s="137" t="s">
        <v>445</v>
      </c>
      <c r="S38" s="136" t="n">
        <v>28</v>
      </c>
      <c r="T38" s="138" t="s">
        <v>53</v>
      </c>
      <c r="U38" s="137" t="s">
        <v>295</v>
      </c>
      <c r="V38" s="138" t="s">
        <v>59</v>
      </c>
      <c r="W38" s="137" t="s">
        <v>294</v>
      </c>
      <c r="X38" s="137" t="s">
        <v>786</v>
      </c>
    </row>
    <row r="39" customFormat="false" ht="34.5" hidden="false" customHeight="true" outlineLevel="0" collapsed="false">
      <c r="A39" s="136" t="s">
        <v>930</v>
      </c>
      <c r="B39" s="137" t="s">
        <v>931</v>
      </c>
      <c r="C39" s="137" t="s">
        <v>302</v>
      </c>
      <c r="D39" s="137" t="s">
        <v>800</v>
      </c>
      <c r="E39" s="137" t="s">
        <v>934</v>
      </c>
      <c r="F39" s="137" t="s">
        <v>60</v>
      </c>
      <c r="G39" s="137" t="s">
        <v>935</v>
      </c>
      <c r="H39" s="137" t="s">
        <v>935</v>
      </c>
      <c r="I39" s="136" t="s">
        <v>103</v>
      </c>
      <c r="J39" s="136" t="s">
        <v>3606</v>
      </c>
      <c r="K39" s="136" t="s">
        <v>303</v>
      </c>
      <c r="L39" s="137" t="s">
        <v>3376</v>
      </c>
      <c r="M39" s="137" t="s">
        <v>3376</v>
      </c>
      <c r="N39" s="137" t="s">
        <v>3376</v>
      </c>
      <c r="O39" s="137" t="s">
        <v>3376</v>
      </c>
      <c r="P39" s="137" t="s">
        <v>3376</v>
      </c>
      <c r="Q39" s="137" t="s">
        <v>3376</v>
      </c>
      <c r="R39" s="137" t="s">
        <v>3376</v>
      </c>
      <c r="S39" s="136" t="n">
        <v>100</v>
      </c>
      <c r="T39" s="138" t="s">
        <v>89</v>
      </c>
      <c r="U39" s="137" t="s">
        <v>936</v>
      </c>
      <c r="V39" s="138" t="s">
        <v>304</v>
      </c>
      <c r="W39" s="137" t="s">
        <v>307</v>
      </c>
      <c r="X39" s="137" t="s">
        <v>786</v>
      </c>
    </row>
    <row r="40" customFormat="false" ht="34.5" hidden="false" customHeight="true" outlineLevel="0" collapsed="false">
      <c r="A40" s="136" t="s">
        <v>937</v>
      </c>
      <c r="B40" s="137" t="s">
        <v>938</v>
      </c>
      <c r="C40" s="137" t="s">
        <v>273</v>
      </c>
      <c r="D40" s="137" t="s">
        <v>808</v>
      </c>
      <c r="E40" s="137" t="s">
        <v>942</v>
      </c>
      <c r="F40" s="137" t="s">
        <v>60</v>
      </c>
      <c r="G40" s="137" t="s">
        <v>943</v>
      </c>
      <c r="H40" s="137" t="s">
        <v>943</v>
      </c>
      <c r="I40" s="136" t="s">
        <v>119</v>
      </c>
      <c r="J40" s="136" t="s">
        <v>3610</v>
      </c>
      <c r="K40" s="136" t="s">
        <v>122</v>
      </c>
      <c r="L40" s="137" t="s">
        <v>3376</v>
      </c>
      <c r="M40" s="137" t="s">
        <v>92</v>
      </c>
      <c r="N40" s="137" t="s">
        <v>445</v>
      </c>
      <c r="O40" s="137" t="s">
        <v>445</v>
      </c>
      <c r="P40" s="137" t="s">
        <v>445</v>
      </c>
      <c r="Q40" s="137" t="s">
        <v>445</v>
      </c>
      <c r="R40" s="137" t="s">
        <v>445</v>
      </c>
      <c r="S40" s="136" t="n">
        <v>15</v>
      </c>
      <c r="T40" s="138" t="s">
        <v>53</v>
      </c>
      <c r="U40" s="137" t="s">
        <v>318</v>
      </c>
      <c r="V40" s="138" t="s">
        <v>125</v>
      </c>
      <c r="W40" s="137" t="s">
        <v>944</v>
      </c>
      <c r="X40" s="137" t="s">
        <v>786</v>
      </c>
    </row>
    <row r="41" customFormat="false" ht="34.5" hidden="false" customHeight="true" outlineLevel="0" collapsed="false">
      <c r="A41" s="136" t="s">
        <v>945</v>
      </c>
      <c r="B41" s="137" t="s">
        <v>946</v>
      </c>
      <c r="C41" s="137" t="s">
        <v>273</v>
      </c>
      <c r="D41" s="137" t="s">
        <v>819</v>
      </c>
      <c r="E41" s="137" t="s">
        <v>949</v>
      </c>
      <c r="F41" s="137" t="s">
        <v>950</v>
      </c>
      <c r="G41" s="137" t="s">
        <v>951</v>
      </c>
      <c r="H41" s="137" t="s">
        <v>951</v>
      </c>
      <c r="I41" s="136" t="s">
        <v>50</v>
      </c>
      <c r="J41" s="136" t="s">
        <v>3597</v>
      </c>
      <c r="K41" s="136" t="s">
        <v>274</v>
      </c>
      <c r="L41" s="137" t="s">
        <v>3376</v>
      </c>
      <c r="M41" s="137" t="s">
        <v>3376</v>
      </c>
      <c r="N41" s="137" t="s">
        <v>3376</v>
      </c>
      <c r="O41" s="137" t="s">
        <v>92</v>
      </c>
      <c r="P41" s="137" t="s">
        <v>445</v>
      </c>
      <c r="Q41" s="137" t="s">
        <v>445</v>
      </c>
      <c r="R41" s="137" t="s">
        <v>445</v>
      </c>
      <c r="S41" s="136" t="n">
        <v>78</v>
      </c>
      <c r="T41" s="138" t="s">
        <v>89</v>
      </c>
      <c r="U41" s="137" t="s">
        <v>280</v>
      </c>
      <c r="V41" s="138" t="s">
        <v>59</v>
      </c>
      <c r="W41" s="137" t="s">
        <v>279</v>
      </c>
      <c r="X41" s="137" t="s">
        <v>786</v>
      </c>
    </row>
    <row r="42" customFormat="false" ht="34.5" hidden="false" customHeight="true" outlineLevel="0" collapsed="false">
      <c r="A42" s="136" t="s">
        <v>952</v>
      </c>
      <c r="B42" s="137" t="s">
        <v>953</v>
      </c>
      <c r="C42" s="137" t="s">
        <v>289</v>
      </c>
      <c r="D42" s="137" t="s">
        <v>793</v>
      </c>
      <c r="E42" s="137" t="s">
        <v>928</v>
      </c>
      <c r="F42" s="137" t="s">
        <v>60</v>
      </c>
      <c r="G42" s="137" t="s">
        <v>957</v>
      </c>
      <c r="H42" s="137" t="s">
        <v>957</v>
      </c>
      <c r="I42" s="136" t="s">
        <v>50</v>
      </c>
      <c r="J42" s="136" t="s">
        <v>3602</v>
      </c>
      <c r="K42" s="136" t="s">
        <v>290</v>
      </c>
      <c r="L42" s="137" t="s">
        <v>3376</v>
      </c>
      <c r="M42" s="137" t="s">
        <v>92</v>
      </c>
      <c r="N42" s="137" t="s">
        <v>445</v>
      </c>
      <c r="O42" s="137" t="s">
        <v>445</v>
      </c>
      <c r="P42" s="137" t="s">
        <v>445</v>
      </c>
      <c r="Q42" s="137" t="s">
        <v>445</v>
      </c>
      <c r="R42" s="137" t="s">
        <v>445</v>
      </c>
      <c r="S42" s="136" t="n">
        <v>28</v>
      </c>
      <c r="T42" s="138" t="s">
        <v>53</v>
      </c>
      <c r="U42" s="137" t="s">
        <v>295</v>
      </c>
      <c r="V42" s="138" t="s">
        <v>59</v>
      </c>
      <c r="W42" s="137" t="s">
        <v>294</v>
      </c>
      <c r="X42" s="137" t="s">
        <v>786</v>
      </c>
    </row>
    <row r="43" customFormat="false" ht="34.5" hidden="false" customHeight="true" outlineLevel="0" collapsed="false">
      <c r="A43" s="136" t="s">
        <v>958</v>
      </c>
      <c r="B43" s="137" t="s">
        <v>959</v>
      </c>
      <c r="C43" s="137" t="s">
        <v>342</v>
      </c>
      <c r="D43" s="137" t="s">
        <v>819</v>
      </c>
      <c r="E43" s="137" t="s">
        <v>949</v>
      </c>
      <c r="F43" s="137" t="s">
        <v>963</v>
      </c>
      <c r="G43" s="137" t="s">
        <v>962</v>
      </c>
      <c r="H43" s="137" t="s">
        <v>964</v>
      </c>
      <c r="I43" s="136" t="s">
        <v>50</v>
      </c>
      <c r="J43" s="136" t="s">
        <v>3657</v>
      </c>
      <c r="K43" s="136" t="s">
        <v>344</v>
      </c>
      <c r="L43" s="137" t="s">
        <v>3376</v>
      </c>
      <c r="M43" s="137" t="s">
        <v>3376</v>
      </c>
      <c r="N43" s="137" t="s">
        <v>3376</v>
      </c>
      <c r="O43" s="137" t="s">
        <v>3376</v>
      </c>
      <c r="P43" s="137" t="s">
        <v>92</v>
      </c>
      <c r="Q43" s="137" t="s">
        <v>445</v>
      </c>
      <c r="R43" s="137" t="s">
        <v>445</v>
      </c>
      <c r="S43" s="136" t="n">
        <v>70</v>
      </c>
      <c r="T43" s="138" t="s">
        <v>89</v>
      </c>
      <c r="U43" s="137" t="s">
        <v>965</v>
      </c>
      <c r="V43" s="138" t="s">
        <v>59</v>
      </c>
      <c r="W43" s="137" t="s">
        <v>695</v>
      </c>
      <c r="X43" s="137" t="s">
        <v>786</v>
      </c>
    </row>
    <row r="44" customFormat="false" ht="34.5" hidden="false" customHeight="true" outlineLevel="0" collapsed="false">
      <c r="A44" s="136" t="s">
        <v>966</v>
      </c>
      <c r="B44" s="137" t="s">
        <v>967</v>
      </c>
      <c r="C44" s="137" t="s">
        <v>342</v>
      </c>
      <c r="D44" s="137" t="s">
        <v>808</v>
      </c>
      <c r="E44" s="137" t="s">
        <v>942</v>
      </c>
      <c r="F44" s="137" t="s">
        <v>972</v>
      </c>
      <c r="G44" s="137" t="s">
        <v>971</v>
      </c>
      <c r="H44" s="137" t="s">
        <v>973</v>
      </c>
      <c r="I44" s="136" t="s">
        <v>50</v>
      </c>
      <c r="J44" s="136" t="s">
        <v>3658</v>
      </c>
      <c r="K44" s="136" t="s">
        <v>360</v>
      </c>
      <c r="L44" s="137" t="s">
        <v>3376</v>
      </c>
      <c r="M44" s="137" t="s">
        <v>3376</v>
      </c>
      <c r="N44" s="137" t="s">
        <v>3376</v>
      </c>
      <c r="O44" s="137" t="s">
        <v>92</v>
      </c>
      <c r="P44" s="137" t="s">
        <v>445</v>
      </c>
      <c r="Q44" s="137" t="s">
        <v>445</v>
      </c>
      <c r="R44" s="137" t="s">
        <v>445</v>
      </c>
      <c r="S44" s="136" t="n">
        <v>42</v>
      </c>
      <c r="T44" s="138" t="s">
        <v>53</v>
      </c>
      <c r="U44" s="137" t="s">
        <v>974</v>
      </c>
      <c r="V44" s="138" t="s">
        <v>59</v>
      </c>
      <c r="W44" s="137" t="s">
        <v>706</v>
      </c>
      <c r="X44" s="137" t="s">
        <v>786</v>
      </c>
    </row>
    <row r="45" customFormat="false" ht="23.25" hidden="false" customHeight="true" outlineLevel="0" collapsed="false">
      <c r="A45" s="136" t="s">
        <v>975</v>
      </c>
      <c r="B45" s="137" t="s">
        <v>976</v>
      </c>
      <c r="C45" s="137" t="s">
        <v>375</v>
      </c>
      <c r="D45" s="137" t="s">
        <v>134</v>
      </c>
      <c r="E45" s="137" t="s">
        <v>921</v>
      </c>
      <c r="F45" s="137" t="s">
        <v>980</v>
      </c>
      <c r="G45" s="137" t="s">
        <v>979</v>
      </c>
      <c r="H45" s="137" t="s">
        <v>981</v>
      </c>
      <c r="I45" s="136" t="s">
        <v>50</v>
      </c>
      <c r="J45" s="136" t="s">
        <v>3657</v>
      </c>
      <c r="K45" s="136" t="s">
        <v>344</v>
      </c>
      <c r="L45" s="137" t="s">
        <v>3376</v>
      </c>
      <c r="M45" s="137" t="s">
        <v>3376</v>
      </c>
      <c r="N45" s="137" t="s">
        <v>3376</v>
      </c>
      <c r="O45" s="137" t="s">
        <v>3376</v>
      </c>
      <c r="P45" s="137" t="s">
        <v>92</v>
      </c>
      <c r="Q45" s="137" t="s">
        <v>445</v>
      </c>
      <c r="R45" s="137" t="s">
        <v>445</v>
      </c>
      <c r="S45" s="136" t="n">
        <v>70</v>
      </c>
      <c r="T45" s="138" t="s">
        <v>89</v>
      </c>
      <c r="U45" s="137" t="s">
        <v>982</v>
      </c>
      <c r="V45" s="138" t="s">
        <v>59</v>
      </c>
      <c r="W45" s="137" t="s">
        <v>695</v>
      </c>
      <c r="X45" s="137" t="s">
        <v>786</v>
      </c>
    </row>
    <row r="46" customFormat="false" ht="34.5" hidden="false" customHeight="true" outlineLevel="0" collapsed="false">
      <c r="A46" s="136" t="s">
        <v>983</v>
      </c>
      <c r="B46" s="137" t="s">
        <v>984</v>
      </c>
      <c r="C46" s="137" t="s">
        <v>342</v>
      </c>
      <c r="D46" s="137" t="s">
        <v>819</v>
      </c>
      <c r="E46" s="137" t="s">
        <v>949</v>
      </c>
      <c r="F46" s="137" t="s">
        <v>60</v>
      </c>
      <c r="G46" s="137" t="s">
        <v>988</v>
      </c>
      <c r="H46" s="137" t="s">
        <v>989</v>
      </c>
      <c r="I46" s="136" t="s">
        <v>158</v>
      </c>
      <c r="J46" s="136" t="s">
        <v>3659</v>
      </c>
      <c r="K46" s="136" t="s">
        <v>389</v>
      </c>
      <c r="L46" s="137" t="s">
        <v>3376</v>
      </c>
      <c r="M46" s="137" t="s">
        <v>3376</v>
      </c>
      <c r="N46" s="137" t="s">
        <v>3376</v>
      </c>
      <c r="O46" s="137" t="s">
        <v>92</v>
      </c>
      <c r="P46" s="137" t="s">
        <v>445</v>
      </c>
      <c r="Q46" s="137" t="s">
        <v>445</v>
      </c>
      <c r="R46" s="137" t="s">
        <v>445</v>
      </c>
      <c r="S46" s="136" t="n">
        <v>32</v>
      </c>
      <c r="T46" s="138" t="s">
        <v>53</v>
      </c>
      <c r="U46" s="137" t="s">
        <v>397</v>
      </c>
      <c r="V46" s="138" t="s">
        <v>59</v>
      </c>
      <c r="W46" s="137" t="s">
        <v>724</v>
      </c>
      <c r="X46" s="137" t="s">
        <v>786</v>
      </c>
    </row>
    <row r="47" customFormat="false" ht="34.5" hidden="false" customHeight="true" outlineLevel="0" collapsed="false">
      <c r="A47" s="136" t="s">
        <v>990</v>
      </c>
      <c r="B47" s="137" t="s">
        <v>991</v>
      </c>
      <c r="C47" s="137" t="s">
        <v>375</v>
      </c>
      <c r="D47" s="137" t="s">
        <v>800</v>
      </c>
      <c r="E47" s="137" t="s">
        <v>934</v>
      </c>
      <c r="F47" s="137" t="s">
        <v>972</v>
      </c>
      <c r="G47" s="137" t="s">
        <v>994</v>
      </c>
      <c r="H47" s="137" t="s">
        <v>995</v>
      </c>
      <c r="I47" s="136" t="s">
        <v>103</v>
      </c>
      <c r="J47" s="136" t="s">
        <v>3637</v>
      </c>
      <c r="K47" s="136" t="s">
        <v>404</v>
      </c>
      <c r="L47" s="137" t="s">
        <v>3376</v>
      </c>
      <c r="M47" s="137" t="s">
        <v>3376</v>
      </c>
      <c r="N47" s="137" t="s">
        <v>3376</v>
      </c>
      <c r="O47" s="137" t="s">
        <v>3376</v>
      </c>
      <c r="P47" s="137" t="s">
        <v>3376</v>
      </c>
      <c r="Q47" s="137" t="s">
        <v>3376</v>
      </c>
      <c r="R47" s="137" t="s">
        <v>3376</v>
      </c>
      <c r="S47" s="136" t="n">
        <v>100</v>
      </c>
      <c r="T47" s="138" t="s">
        <v>732</v>
      </c>
      <c r="U47" s="137" t="s">
        <v>996</v>
      </c>
      <c r="V47" s="138" t="s">
        <v>304</v>
      </c>
      <c r="W47" s="137" t="s">
        <v>307</v>
      </c>
      <c r="X47" s="137" t="s">
        <v>786</v>
      </c>
    </row>
    <row r="48" customFormat="false" ht="34.5" hidden="false" customHeight="true" outlineLevel="0" collapsed="false">
      <c r="A48" s="136" t="s">
        <v>997</v>
      </c>
      <c r="B48" s="137" t="s">
        <v>998</v>
      </c>
      <c r="C48" s="137" t="s">
        <v>342</v>
      </c>
      <c r="D48" s="137" t="s">
        <v>808</v>
      </c>
      <c r="E48" s="137" t="s">
        <v>942</v>
      </c>
      <c r="F48" s="137" t="s">
        <v>60</v>
      </c>
      <c r="G48" s="137" t="s">
        <v>1001</v>
      </c>
      <c r="H48" s="137" t="s">
        <v>1002</v>
      </c>
      <c r="I48" s="136" t="s">
        <v>50</v>
      </c>
      <c r="J48" s="136" t="s">
        <v>3660</v>
      </c>
      <c r="K48" s="136" t="s">
        <v>417</v>
      </c>
      <c r="L48" s="137" t="s">
        <v>3376</v>
      </c>
      <c r="M48" s="137" t="s">
        <v>92</v>
      </c>
      <c r="N48" s="137" t="s">
        <v>445</v>
      </c>
      <c r="O48" s="137" t="s">
        <v>445</v>
      </c>
      <c r="P48" s="137" t="s">
        <v>445</v>
      </c>
      <c r="Q48" s="137" t="s">
        <v>445</v>
      </c>
      <c r="R48" s="137" t="s">
        <v>445</v>
      </c>
      <c r="S48" s="136" t="n">
        <v>20</v>
      </c>
      <c r="T48" s="138" t="s">
        <v>76</v>
      </c>
      <c r="U48" s="137" t="s">
        <v>741</v>
      </c>
      <c r="V48" s="138" t="s">
        <v>59</v>
      </c>
      <c r="W48" s="137" t="s">
        <v>740</v>
      </c>
      <c r="X48" s="137" t="s">
        <v>786</v>
      </c>
    </row>
    <row r="49" customFormat="false" ht="23.25" hidden="false" customHeight="true" outlineLevel="0" collapsed="false">
      <c r="A49" s="136" t="s">
        <v>1003</v>
      </c>
      <c r="B49" s="137" t="s">
        <v>1004</v>
      </c>
      <c r="C49" s="137" t="s">
        <v>430</v>
      </c>
      <c r="D49" s="137" t="s">
        <v>134</v>
      </c>
      <c r="E49" s="137" t="s">
        <v>921</v>
      </c>
      <c r="F49" s="137" t="s">
        <v>1009</v>
      </c>
      <c r="G49" s="137" t="s">
        <v>1008</v>
      </c>
      <c r="H49" s="137" t="s">
        <v>1010</v>
      </c>
      <c r="I49" s="136" t="s">
        <v>50</v>
      </c>
      <c r="J49" s="136" t="s">
        <v>3658</v>
      </c>
      <c r="K49" s="136" t="s">
        <v>431</v>
      </c>
      <c r="L49" s="137" t="s">
        <v>3376</v>
      </c>
      <c r="M49" s="137" t="s">
        <v>3376</v>
      </c>
      <c r="N49" s="137" t="s">
        <v>3376</v>
      </c>
      <c r="O49" s="137" t="s">
        <v>92</v>
      </c>
      <c r="P49" s="137" t="s">
        <v>445</v>
      </c>
      <c r="Q49" s="137" t="s">
        <v>445</v>
      </c>
      <c r="R49" s="137" t="s">
        <v>445</v>
      </c>
      <c r="S49" s="136" t="n">
        <v>42</v>
      </c>
      <c r="T49" s="138" t="s">
        <v>53</v>
      </c>
      <c r="U49" s="137" t="s">
        <v>1011</v>
      </c>
      <c r="V49" s="138" t="s">
        <v>59</v>
      </c>
      <c r="W49" s="137" t="s">
        <v>751</v>
      </c>
      <c r="X49" s="137" t="s">
        <v>786</v>
      </c>
    </row>
    <row r="50" customFormat="false" ht="34.5" hidden="false" customHeight="true" outlineLevel="0" collapsed="false">
      <c r="A50" s="136" t="s">
        <v>1012</v>
      </c>
      <c r="B50" s="137" t="s">
        <v>1013</v>
      </c>
      <c r="C50" s="137" t="s">
        <v>430</v>
      </c>
      <c r="D50" s="137" t="s">
        <v>819</v>
      </c>
      <c r="E50" s="137" t="s">
        <v>949</v>
      </c>
      <c r="F50" s="137" t="s">
        <v>963</v>
      </c>
      <c r="G50" s="137" t="s">
        <v>1017</v>
      </c>
      <c r="H50" s="137" t="s">
        <v>1018</v>
      </c>
      <c r="I50" s="136" t="s">
        <v>50</v>
      </c>
      <c r="J50" s="136" t="s">
        <v>3657</v>
      </c>
      <c r="K50" s="136" t="s">
        <v>442</v>
      </c>
      <c r="L50" s="137" t="s">
        <v>3376</v>
      </c>
      <c r="M50" s="137" t="s">
        <v>3376</v>
      </c>
      <c r="N50" s="137" t="s">
        <v>3376</v>
      </c>
      <c r="O50" s="137" t="s">
        <v>3376</v>
      </c>
      <c r="P50" s="137" t="s">
        <v>92</v>
      </c>
      <c r="Q50" s="137" t="s">
        <v>445</v>
      </c>
      <c r="R50" s="137" t="s">
        <v>445</v>
      </c>
      <c r="S50" s="136" t="n">
        <v>70</v>
      </c>
      <c r="T50" s="138" t="s">
        <v>89</v>
      </c>
      <c r="U50" s="137" t="s">
        <v>1019</v>
      </c>
      <c r="V50" s="138" t="s">
        <v>59</v>
      </c>
      <c r="W50" s="137" t="s">
        <v>761</v>
      </c>
      <c r="X50" s="137" t="s">
        <v>786</v>
      </c>
    </row>
    <row r="51" customFormat="false" ht="34.5" hidden="false" customHeight="true" outlineLevel="0" collapsed="false">
      <c r="A51" s="136" t="s">
        <v>1020</v>
      </c>
      <c r="B51" s="137" t="s">
        <v>1021</v>
      </c>
      <c r="C51" s="137" t="s">
        <v>430</v>
      </c>
      <c r="D51" s="137" t="s">
        <v>793</v>
      </c>
      <c r="E51" s="137" t="s">
        <v>928</v>
      </c>
      <c r="F51" s="137" t="s">
        <v>1026</v>
      </c>
      <c r="G51" s="137" t="s">
        <v>1025</v>
      </c>
      <c r="H51" s="137" t="s">
        <v>1027</v>
      </c>
      <c r="I51" s="136" t="s">
        <v>50</v>
      </c>
      <c r="J51" s="136" t="s">
        <v>3660</v>
      </c>
      <c r="K51" s="136" t="s">
        <v>456</v>
      </c>
      <c r="L51" s="137" t="s">
        <v>3376</v>
      </c>
      <c r="M51" s="137" t="s">
        <v>92</v>
      </c>
      <c r="N51" s="137" t="s">
        <v>445</v>
      </c>
      <c r="O51" s="137" t="s">
        <v>445</v>
      </c>
      <c r="P51" s="137" t="s">
        <v>445</v>
      </c>
      <c r="Q51" s="137" t="s">
        <v>445</v>
      </c>
      <c r="R51" s="137" t="s">
        <v>445</v>
      </c>
      <c r="S51" s="136" t="n">
        <v>18</v>
      </c>
      <c r="T51" s="138" t="s">
        <v>121</v>
      </c>
      <c r="U51" s="137" t="s">
        <v>463</v>
      </c>
      <c r="V51" s="138" t="s">
        <v>59</v>
      </c>
      <c r="W51" s="137" t="s">
        <v>772</v>
      </c>
      <c r="X51" s="137" t="s">
        <v>786</v>
      </c>
    </row>
    <row r="52" customFormat="false" ht="34.5" hidden="false" customHeight="true" outlineLevel="0" collapsed="false">
      <c r="A52" s="136" t="s">
        <v>1028</v>
      </c>
      <c r="B52" s="137" t="s">
        <v>1029</v>
      </c>
      <c r="C52" s="137" t="s">
        <v>430</v>
      </c>
      <c r="D52" s="137" t="s">
        <v>808</v>
      </c>
      <c r="E52" s="137" t="s">
        <v>942</v>
      </c>
      <c r="F52" s="137" t="s">
        <v>972</v>
      </c>
      <c r="G52" s="137" t="s">
        <v>1032</v>
      </c>
      <c r="H52" s="137" t="s">
        <v>1033</v>
      </c>
      <c r="I52" s="136" t="s">
        <v>50</v>
      </c>
      <c r="J52" s="136" t="s">
        <v>3661</v>
      </c>
      <c r="K52" s="136" t="s">
        <v>468</v>
      </c>
      <c r="L52" s="137" t="s">
        <v>3376</v>
      </c>
      <c r="M52" s="137" t="s">
        <v>3376</v>
      </c>
      <c r="N52" s="137" t="s">
        <v>92</v>
      </c>
      <c r="O52" s="137" t="s">
        <v>445</v>
      </c>
      <c r="P52" s="137" t="s">
        <v>445</v>
      </c>
      <c r="Q52" s="137" t="s">
        <v>445</v>
      </c>
      <c r="R52" s="137" t="s">
        <v>445</v>
      </c>
      <c r="S52" s="136" t="n">
        <v>34</v>
      </c>
      <c r="T52" s="138" t="s">
        <v>76</v>
      </c>
      <c r="U52" s="137" t="s">
        <v>1034</v>
      </c>
      <c r="V52" s="138" t="s">
        <v>59</v>
      </c>
      <c r="W52" s="137" t="s">
        <v>740</v>
      </c>
      <c r="X52" s="137" t="s">
        <v>786</v>
      </c>
    </row>
    <row r="53" customFormat="false" ht="34.5" hidden="false" customHeight="true" outlineLevel="0" collapsed="false">
      <c r="A53" s="136" t="s">
        <v>1040</v>
      </c>
      <c r="B53" s="137" t="s">
        <v>1041</v>
      </c>
      <c r="C53" s="137" t="s">
        <v>273</v>
      </c>
      <c r="D53" s="137" t="s">
        <v>48</v>
      </c>
      <c r="E53" s="137" t="s">
        <v>1046</v>
      </c>
      <c r="F53" s="137" t="s">
        <v>60</v>
      </c>
      <c r="G53" s="137" t="s">
        <v>1047</v>
      </c>
      <c r="H53" s="137" t="s">
        <v>1047</v>
      </c>
      <c r="I53" s="136" t="s">
        <v>50</v>
      </c>
      <c r="J53" s="136" t="s">
        <v>3602</v>
      </c>
      <c r="K53" s="136" t="s">
        <v>290</v>
      </c>
      <c r="L53" s="137" t="s">
        <v>3376</v>
      </c>
      <c r="M53" s="137" t="s">
        <v>92</v>
      </c>
      <c r="N53" s="137" t="s">
        <v>445</v>
      </c>
      <c r="O53" s="137" t="s">
        <v>445</v>
      </c>
      <c r="P53" s="137" t="s">
        <v>445</v>
      </c>
      <c r="Q53" s="137" t="s">
        <v>445</v>
      </c>
      <c r="R53" s="137" t="s">
        <v>445</v>
      </c>
      <c r="S53" s="136" t="n">
        <v>28</v>
      </c>
      <c r="T53" s="138" t="s">
        <v>76</v>
      </c>
      <c r="U53" s="137" t="s">
        <v>295</v>
      </c>
      <c r="V53" s="138" t="s">
        <v>59</v>
      </c>
      <c r="W53" s="137" t="s">
        <v>294</v>
      </c>
      <c r="X53" s="137" t="s">
        <v>62</v>
      </c>
    </row>
    <row r="54" customFormat="false" ht="34.5" hidden="false" customHeight="true" outlineLevel="0" collapsed="false">
      <c r="A54" s="136" t="s">
        <v>1048</v>
      </c>
      <c r="B54" s="137" t="s">
        <v>1049</v>
      </c>
      <c r="C54" s="137" t="s">
        <v>430</v>
      </c>
      <c r="D54" s="137" t="s">
        <v>48</v>
      </c>
      <c r="E54" s="137" t="s">
        <v>1046</v>
      </c>
      <c r="F54" s="137" t="s">
        <v>60</v>
      </c>
      <c r="G54" s="137" t="s">
        <v>1055</v>
      </c>
      <c r="H54" s="137" t="s">
        <v>1056</v>
      </c>
      <c r="I54" s="136" t="s">
        <v>50</v>
      </c>
      <c r="J54" s="136" t="s">
        <v>3660</v>
      </c>
      <c r="K54" s="136" t="s">
        <v>456</v>
      </c>
      <c r="L54" s="137" t="s">
        <v>3376</v>
      </c>
      <c r="M54" s="137" t="s">
        <v>92</v>
      </c>
      <c r="N54" s="137" t="s">
        <v>445</v>
      </c>
      <c r="O54" s="137" t="s">
        <v>445</v>
      </c>
      <c r="P54" s="137" t="s">
        <v>445</v>
      </c>
      <c r="Q54" s="137" t="s">
        <v>445</v>
      </c>
      <c r="R54" s="137" t="s">
        <v>445</v>
      </c>
      <c r="S54" s="136" t="n">
        <v>18</v>
      </c>
      <c r="T54" s="138" t="s">
        <v>1054</v>
      </c>
      <c r="U54" s="137" t="s">
        <v>463</v>
      </c>
      <c r="V54" s="138" t="s">
        <v>59</v>
      </c>
      <c r="W54" s="137" t="s">
        <v>772</v>
      </c>
      <c r="X54" s="137" t="s">
        <v>62</v>
      </c>
    </row>
    <row r="55" customFormat="false" ht="23.25" hidden="false" customHeight="true" outlineLevel="0" collapsed="false">
      <c r="A55" s="136" t="s">
        <v>1060</v>
      </c>
      <c r="B55" s="137" t="s">
        <v>1041</v>
      </c>
      <c r="C55" s="137" t="s">
        <v>273</v>
      </c>
      <c r="D55" s="137" t="s">
        <v>481</v>
      </c>
      <c r="E55" s="137" t="s">
        <v>1046</v>
      </c>
      <c r="F55" s="137" t="s">
        <v>60</v>
      </c>
      <c r="G55" s="137" t="s">
        <v>1047</v>
      </c>
      <c r="H55" s="137" t="s">
        <v>1047</v>
      </c>
      <c r="I55" s="136" t="s">
        <v>50</v>
      </c>
      <c r="J55" s="136" t="s">
        <v>3602</v>
      </c>
      <c r="K55" s="136" t="s">
        <v>290</v>
      </c>
      <c r="L55" s="137" t="s">
        <v>3376</v>
      </c>
      <c r="M55" s="137" t="s">
        <v>92</v>
      </c>
      <c r="N55" s="137" t="s">
        <v>445</v>
      </c>
      <c r="O55" s="137" t="s">
        <v>445</v>
      </c>
      <c r="P55" s="137" t="s">
        <v>445</v>
      </c>
      <c r="Q55" s="137" t="s">
        <v>445</v>
      </c>
      <c r="R55" s="137" t="s">
        <v>445</v>
      </c>
      <c r="S55" s="136" t="n">
        <v>28</v>
      </c>
      <c r="T55" s="138" t="s">
        <v>76</v>
      </c>
      <c r="U55" s="137" t="s">
        <v>295</v>
      </c>
      <c r="V55" s="138" t="s">
        <v>59</v>
      </c>
      <c r="W55" s="137" t="s">
        <v>294</v>
      </c>
      <c r="X55" s="137" t="s">
        <v>484</v>
      </c>
    </row>
    <row r="56" customFormat="false" ht="23.25" hidden="false" customHeight="true" outlineLevel="0" collapsed="false">
      <c r="A56" s="136" t="s">
        <v>1063</v>
      </c>
      <c r="B56" s="137" t="s">
        <v>1049</v>
      </c>
      <c r="C56" s="137" t="s">
        <v>430</v>
      </c>
      <c r="D56" s="137" t="s">
        <v>481</v>
      </c>
      <c r="E56" s="137" t="s">
        <v>1046</v>
      </c>
      <c r="F56" s="137" t="s">
        <v>60</v>
      </c>
      <c r="G56" s="137" t="s">
        <v>1055</v>
      </c>
      <c r="H56" s="137" t="s">
        <v>1056</v>
      </c>
      <c r="I56" s="136" t="s">
        <v>50</v>
      </c>
      <c r="J56" s="136" t="s">
        <v>3660</v>
      </c>
      <c r="K56" s="136" t="s">
        <v>456</v>
      </c>
      <c r="L56" s="137" t="s">
        <v>3376</v>
      </c>
      <c r="M56" s="137" t="s">
        <v>92</v>
      </c>
      <c r="N56" s="137" t="s">
        <v>445</v>
      </c>
      <c r="O56" s="137" t="s">
        <v>445</v>
      </c>
      <c r="P56" s="137" t="s">
        <v>445</v>
      </c>
      <c r="Q56" s="137" t="s">
        <v>445</v>
      </c>
      <c r="R56" s="137" t="s">
        <v>445</v>
      </c>
      <c r="S56" s="136" t="n">
        <v>18</v>
      </c>
      <c r="T56" s="138" t="s">
        <v>1054</v>
      </c>
      <c r="U56" s="137" t="s">
        <v>463</v>
      </c>
      <c r="V56" s="138" t="s">
        <v>59</v>
      </c>
      <c r="W56" s="137" t="s">
        <v>772</v>
      </c>
      <c r="X56" s="137" t="s">
        <v>484</v>
      </c>
    </row>
    <row r="57" customFormat="false" ht="34.5" hidden="false" customHeight="true" outlineLevel="0" collapsed="false">
      <c r="A57" s="136" t="s">
        <v>1068</v>
      </c>
      <c r="B57" s="137" t="s">
        <v>1041</v>
      </c>
      <c r="C57" s="137" t="s">
        <v>273</v>
      </c>
      <c r="D57" s="137" t="s">
        <v>808</v>
      </c>
      <c r="E57" s="137" t="s">
        <v>1046</v>
      </c>
      <c r="F57" s="137" t="s">
        <v>60</v>
      </c>
      <c r="G57" s="137" t="s">
        <v>1047</v>
      </c>
      <c r="H57" s="137" t="s">
        <v>1047</v>
      </c>
      <c r="I57" s="136" t="s">
        <v>50</v>
      </c>
      <c r="J57" s="136" t="s">
        <v>3602</v>
      </c>
      <c r="K57" s="136" t="s">
        <v>290</v>
      </c>
      <c r="L57" s="137" t="s">
        <v>3376</v>
      </c>
      <c r="M57" s="137" t="s">
        <v>92</v>
      </c>
      <c r="N57" s="137" t="s">
        <v>445</v>
      </c>
      <c r="O57" s="137" t="s">
        <v>445</v>
      </c>
      <c r="P57" s="137" t="s">
        <v>445</v>
      </c>
      <c r="Q57" s="137" t="s">
        <v>445</v>
      </c>
      <c r="R57" s="137" t="s">
        <v>445</v>
      </c>
      <c r="S57" s="136" t="n">
        <v>28</v>
      </c>
      <c r="T57" s="138" t="s">
        <v>76</v>
      </c>
      <c r="U57" s="137" t="s">
        <v>295</v>
      </c>
      <c r="V57" s="138" t="s">
        <v>59</v>
      </c>
      <c r="W57" s="137" t="s">
        <v>294</v>
      </c>
      <c r="X57" s="137" t="s">
        <v>786</v>
      </c>
    </row>
    <row r="58" customFormat="false" ht="34.5" hidden="false" customHeight="true" outlineLevel="0" collapsed="false">
      <c r="A58" s="136" t="s">
        <v>1070</v>
      </c>
      <c r="B58" s="137" t="s">
        <v>1049</v>
      </c>
      <c r="C58" s="137" t="s">
        <v>430</v>
      </c>
      <c r="D58" s="137" t="s">
        <v>808</v>
      </c>
      <c r="E58" s="137" t="s">
        <v>1046</v>
      </c>
      <c r="F58" s="137" t="s">
        <v>60</v>
      </c>
      <c r="G58" s="137" t="s">
        <v>1055</v>
      </c>
      <c r="H58" s="137" t="s">
        <v>1056</v>
      </c>
      <c r="I58" s="136" t="s">
        <v>50</v>
      </c>
      <c r="J58" s="136" t="s">
        <v>3660</v>
      </c>
      <c r="K58" s="136" t="s">
        <v>456</v>
      </c>
      <c r="L58" s="137" t="s">
        <v>3376</v>
      </c>
      <c r="M58" s="137" t="s">
        <v>92</v>
      </c>
      <c r="N58" s="137" t="s">
        <v>445</v>
      </c>
      <c r="O58" s="137" t="s">
        <v>445</v>
      </c>
      <c r="P58" s="137" t="s">
        <v>445</v>
      </c>
      <c r="Q58" s="137" t="s">
        <v>445</v>
      </c>
      <c r="R58" s="137" t="s">
        <v>445</v>
      </c>
      <c r="S58" s="136" t="n">
        <v>18</v>
      </c>
      <c r="T58" s="138" t="s">
        <v>1054</v>
      </c>
      <c r="U58" s="137" t="s">
        <v>463</v>
      </c>
      <c r="V58" s="138" t="s">
        <v>59</v>
      </c>
      <c r="W58" s="137" t="s">
        <v>772</v>
      </c>
      <c r="X58" s="137" t="s">
        <v>786</v>
      </c>
    </row>
  </sheetData>
  <mergeCells count="2">
    <mergeCell ref="A1:W1"/>
    <mergeCell ref="A2:W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20"/>
    <col collapsed="false" customWidth="true" hidden="false" outlineLevel="0" max="4" min="4" style="1" width="18"/>
    <col collapsed="false" customWidth="true" hidden="false" outlineLevel="0" max="5" min="5" style="1" width="22"/>
    <col collapsed="false" customWidth="true" hidden="false" outlineLevel="0" max="6" min="6" style="1" width="7"/>
    <col collapsed="false" customWidth="true" hidden="false" outlineLevel="0" max="7" min="7" style="1" width="24"/>
    <col collapsed="false" customWidth="true" hidden="false" outlineLevel="0" max="8" min="8" style="1" width="20"/>
    <col collapsed="false" customWidth="true" hidden="false" outlineLevel="0" max="9" min="9" style="1" width="26"/>
    <col collapsed="false" customWidth="true" hidden="false" outlineLevel="0" max="10" min="10" style="1" width="38"/>
    <col collapsed="false" customWidth="true" hidden="false" outlineLevel="0" max="11" min="11" style="1" width="70"/>
    <col collapsed="false" customWidth="true" hidden="false" outlineLevel="0" max="12" min="12" style="1" width="14"/>
    <col collapsed="false" customWidth="true" hidden="false" outlineLevel="0" max="13" min="13" style="1" width="11"/>
    <col collapsed="false" customWidth="true" hidden="false" outlineLevel="0" max="16" min="14" style="1" width="16"/>
    <col collapsed="false" customWidth="true" hidden="false" outlineLevel="0" max="19" min="17" style="1" width="52"/>
    <col collapsed="false" customWidth="true" hidden="false" outlineLevel="0" max="20" min="20" style="1" width="50"/>
    <col collapsed="false" customWidth="true" hidden="false" outlineLevel="0" max="21" min="21" style="1" width="24"/>
    <col collapsed="false" customWidth="true" hidden="false" outlineLevel="0" max="22" min="22" style="1" width="14"/>
    <col collapsed="false" customWidth="true" hidden="false" outlineLevel="0" max="23" min="23" style="1" width="13"/>
    <col collapsed="false" customWidth="true" hidden="false" outlineLevel="0" max="24" min="24" style="1" width="50"/>
  </cols>
  <sheetData>
    <row r="1" customFormat="false" ht="25.5" hidden="false" customHeight="true" outlineLevel="0" collapsed="false">
      <c r="A1" s="133" t="s">
        <v>3662</v>
      </c>
      <c r="B1" s="133"/>
      <c r="C1" s="133"/>
      <c r="D1" s="133"/>
      <c r="E1" s="133"/>
      <c r="F1" s="133"/>
      <c r="G1" s="133"/>
      <c r="H1" s="133"/>
      <c r="I1" s="133"/>
      <c r="J1" s="133"/>
      <c r="K1" s="133"/>
      <c r="L1" s="133"/>
      <c r="M1" s="133"/>
      <c r="N1" s="133"/>
      <c r="O1" s="133"/>
      <c r="P1" s="133"/>
      <c r="Q1" s="133"/>
      <c r="R1" s="133"/>
      <c r="S1" s="133"/>
      <c r="T1" s="133"/>
      <c r="U1" s="133"/>
      <c r="V1" s="133"/>
      <c r="W1" s="133"/>
    </row>
    <row r="2" customFormat="false" ht="18" hidden="false" customHeight="true" outlineLevel="0" collapsed="false">
      <c r="A2" s="145" t="s">
        <v>3663</v>
      </c>
      <c r="B2" s="145"/>
      <c r="C2" s="145"/>
      <c r="D2" s="145"/>
      <c r="E2" s="145"/>
      <c r="F2" s="145"/>
      <c r="G2" s="145"/>
      <c r="H2" s="145"/>
      <c r="I2" s="145"/>
      <c r="J2" s="145"/>
      <c r="K2" s="145"/>
      <c r="L2" s="145"/>
      <c r="M2" s="145"/>
      <c r="N2" s="145"/>
      <c r="O2" s="145"/>
      <c r="P2" s="145"/>
      <c r="Q2" s="145"/>
      <c r="R2" s="145"/>
      <c r="S2" s="145"/>
      <c r="T2" s="145"/>
      <c r="U2" s="145"/>
      <c r="V2" s="145"/>
      <c r="W2" s="145"/>
    </row>
    <row r="3" customFormat="false" ht="6" hidden="false" customHeight="true" outlineLevel="0" collapsed="false"/>
    <row r="4" customFormat="false" ht="36" hidden="false" customHeight="true" outlineLevel="0" collapsed="false">
      <c r="A4" s="135" t="s">
        <v>3664</v>
      </c>
      <c r="B4" s="135" t="s">
        <v>2441</v>
      </c>
      <c r="C4" s="135" t="s">
        <v>2442</v>
      </c>
      <c r="D4" s="135" t="s">
        <v>2443</v>
      </c>
      <c r="E4" s="135" t="s">
        <v>2444</v>
      </c>
      <c r="F4" s="135" t="s">
        <v>3665</v>
      </c>
      <c r="G4" s="135" t="s">
        <v>3579</v>
      </c>
      <c r="H4" s="135" t="s">
        <v>3666</v>
      </c>
      <c r="I4" s="135" t="s">
        <v>3667</v>
      </c>
      <c r="J4" s="135" t="s">
        <v>3668</v>
      </c>
      <c r="K4" s="135" t="s">
        <v>3669</v>
      </c>
      <c r="L4" s="135" t="s">
        <v>3670</v>
      </c>
      <c r="M4" s="135" t="s">
        <v>3671</v>
      </c>
      <c r="N4" s="135" t="s">
        <v>3672</v>
      </c>
      <c r="O4" s="135" t="s">
        <v>3673</v>
      </c>
      <c r="P4" s="135" t="s">
        <v>3674</v>
      </c>
      <c r="Q4" s="135" t="s">
        <v>3675</v>
      </c>
      <c r="R4" s="135" t="s">
        <v>3676</v>
      </c>
      <c r="S4" s="135" t="s">
        <v>3677</v>
      </c>
      <c r="T4" s="135" t="s">
        <v>3678</v>
      </c>
      <c r="U4" s="135" t="s">
        <v>3679</v>
      </c>
      <c r="V4" s="135" t="s">
        <v>3680</v>
      </c>
      <c r="W4" s="135" t="s">
        <v>2635</v>
      </c>
      <c r="X4" s="135" t="s">
        <v>3681</v>
      </c>
      <c r="Y4" s="135" t="s">
        <v>35</v>
      </c>
    </row>
    <row r="5" customFormat="false" ht="60" hidden="false" customHeight="true" outlineLevel="0" collapsed="false">
      <c r="A5" s="146" t="s">
        <v>3682</v>
      </c>
      <c r="B5" s="146" t="s">
        <v>337</v>
      </c>
      <c r="C5" s="147" t="s">
        <v>338</v>
      </c>
      <c r="D5" s="147" t="s">
        <v>342</v>
      </c>
      <c r="E5" s="147" t="s">
        <v>117</v>
      </c>
      <c r="F5" s="147" t="s">
        <v>49</v>
      </c>
      <c r="G5" s="147" t="s">
        <v>348</v>
      </c>
      <c r="H5" s="147" t="s">
        <v>3683</v>
      </c>
      <c r="I5" s="147" t="s">
        <v>3684</v>
      </c>
      <c r="J5" s="147" t="s">
        <v>3685</v>
      </c>
      <c r="K5" s="147" t="s">
        <v>3686</v>
      </c>
      <c r="L5" s="148" t="n">
        <v>45299</v>
      </c>
      <c r="M5" s="149" t="s">
        <v>3687</v>
      </c>
      <c r="N5" s="146" t="s">
        <v>3688</v>
      </c>
      <c r="O5" s="148" t="n">
        <v>45463</v>
      </c>
      <c r="P5" s="148" t="n">
        <v>45580</v>
      </c>
      <c r="Q5" s="147" t="s">
        <v>3689</v>
      </c>
      <c r="R5" s="147" t="s">
        <v>3690</v>
      </c>
      <c r="S5" s="147" t="s">
        <v>3691</v>
      </c>
      <c r="T5" s="147" t="s">
        <v>3692</v>
      </c>
      <c r="U5" s="146" t="s">
        <v>3693</v>
      </c>
      <c r="V5" s="148" t="n">
        <v>45337</v>
      </c>
      <c r="W5" s="146" t="s">
        <v>3694</v>
      </c>
      <c r="X5" s="147" t="s">
        <v>3695</v>
      </c>
      <c r="Y5" s="147" t="s">
        <v>62</v>
      </c>
    </row>
    <row r="6" customFormat="false" ht="60" hidden="false" customHeight="true" outlineLevel="0" collapsed="false">
      <c r="A6" s="146" t="s">
        <v>3696</v>
      </c>
      <c r="B6" s="146" t="s">
        <v>337</v>
      </c>
      <c r="C6" s="147" t="s">
        <v>338</v>
      </c>
      <c r="D6" s="147" t="s">
        <v>342</v>
      </c>
      <c r="E6" s="147" t="s">
        <v>117</v>
      </c>
      <c r="F6" s="147" t="s">
        <v>49</v>
      </c>
      <c r="G6" s="147" t="s">
        <v>348</v>
      </c>
      <c r="H6" s="147" t="s">
        <v>3697</v>
      </c>
      <c r="I6" s="147" t="s">
        <v>3698</v>
      </c>
      <c r="J6" s="147" t="s">
        <v>3699</v>
      </c>
      <c r="K6" s="147" t="s">
        <v>3700</v>
      </c>
      <c r="L6" s="148" t="n">
        <v>45275</v>
      </c>
      <c r="M6" s="150" t="s">
        <v>3701</v>
      </c>
      <c r="N6" s="146" t="s">
        <v>3702</v>
      </c>
      <c r="O6" s="148" t="n">
        <v>45463</v>
      </c>
      <c r="P6" s="148" t="n">
        <v>45580</v>
      </c>
      <c r="Q6" s="147" t="s">
        <v>3703</v>
      </c>
      <c r="R6" s="147" t="s">
        <v>3704</v>
      </c>
      <c r="S6" s="147" t="s">
        <v>3705</v>
      </c>
      <c r="T6" s="147" t="s">
        <v>3706</v>
      </c>
      <c r="U6" s="146" t="s">
        <v>3707</v>
      </c>
      <c r="V6" s="148" t="n">
        <v>45387</v>
      </c>
      <c r="W6" s="146" t="s">
        <v>92</v>
      </c>
      <c r="X6" s="147" t="s">
        <v>3708</v>
      </c>
      <c r="Y6" s="147" t="s">
        <v>62</v>
      </c>
    </row>
    <row r="7" customFormat="false" ht="60" hidden="false" customHeight="true" outlineLevel="0" collapsed="false">
      <c r="A7" s="146" t="s">
        <v>3709</v>
      </c>
      <c r="B7" s="146" t="s">
        <v>337</v>
      </c>
      <c r="C7" s="147" t="s">
        <v>338</v>
      </c>
      <c r="D7" s="147" t="s">
        <v>342</v>
      </c>
      <c r="E7" s="147" t="s">
        <v>117</v>
      </c>
      <c r="F7" s="147" t="s">
        <v>49</v>
      </c>
      <c r="G7" s="147" t="s">
        <v>348</v>
      </c>
      <c r="H7" s="147" t="s">
        <v>3710</v>
      </c>
      <c r="I7" s="147" t="s">
        <v>3711</v>
      </c>
      <c r="J7" s="147" t="s">
        <v>3712</v>
      </c>
      <c r="K7" s="147" t="s">
        <v>3713</v>
      </c>
      <c r="L7" s="148" t="n">
        <v>45301</v>
      </c>
      <c r="M7" s="150" t="s">
        <v>3701</v>
      </c>
      <c r="N7" s="146" t="s">
        <v>3714</v>
      </c>
      <c r="O7" s="148" t="n">
        <v>45463</v>
      </c>
      <c r="P7" s="148" t="n">
        <v>45580</v>
      </c>
      <c r="Q7" s="147" t="s">
        <v>3715</v>
      </c>
      <c r="R7" s="147" t="s">
        <v>3716</v>
      </c>
      <c r="S7" s="147" t="s">
        <v>3717</v>
      </c>
      <c r="T7" s="147" t="s">
        <v>3718</v>
      </c>
      <c r="U7" s="146" t="s">
        <v>3719</v>
      </c>
      <c r="V7" s="148" t="n">
        <v>45355</v>
      </c>
      <c r="W7" s="146" t="s">
        <v>92</v>
      </c>
      <c r="X7" s="147" t="s">
        <v>3720</v>
      </c>
      <c r="Y7" s="147" t="s">
        <v>62</v>
      </c>
    </row>
    <row r="8" customFormat="false" ht="60" hidden="false" customHeight="true" outlineLevel="0" collapsed="false">
      <c r="A8" s="151" t="s">
        <v>3721</v>
      </c>
      <c r="B8" s="151" t="s">
        <v>354</v>
      </c>
      <c r="C8" s="152" t="s">
        <v>355</v>
      </c>
      <c r="D8" s="152" t="s">
        <v>342</v>
      </c>
      <c r="E8" s="152" t="s">
        <v>48</v>
      </c>
      <c r="F8" s="152" t="s">
        <v>74</v>
      </c>
      <c r="G8" s="152" t="s">
        <v>364</v>
      </c>
      <c r="H8" s="152" t="s">
        <v>3722</v>
      </c>
      <c r="I8" s="152" t="s">
        <v>3723</v>
      </c>
      <c r="J8" s="152" t="s">
        <v>3724</v>
      </c>
      <c r="K8" s="152" t="s">
        <v>3725</v>
      </c>
      <c r="L8" s="153" t="n">
        <v>45309</v>
      </c>
      <c r="M8" s="149" t="s">
        <v>3687</v>
      </c>
      <c r="N8" s="151" t="s">
        <v>3726</v>
      </c>
      <c r="O8" s="153" t="n">
        <v>45792</v>
      </c>
      <c r="P8" s="153" t="n">
        <v>45991</v>
      </c>
      <c r="Q8" s="152" t="s">
        <v>3727</v>
      </c>
      <c r="R8" s="152" t="s">
        <v>3728</v>
      </c>
      <c r="S8" s="152" t="s">
        <v>3729</v>
      </c>
      <c r="T8" s="152" t="s">
        <v>3730</v>
      </c>
      <c r="U8" s="151" t="s">
        <v>3693</v>
      </c>
      <c r="V8" s="153" t="n">
        <v>45352</v>
      </c>
      <c r="W8" s="151" t="s">
        <v>3694</v>
      </c>
      <c r="X8" s="152" t="s">
        <v>3731</v>
      </c>
      <c r="Y8" s="152" t="s">
        <v>62</v>
      </c>
    </row>
    <row r="9" customFormat="false" ht="60" hidden="false" customHeight="true" outlineLevel="0" collapsed="false">
      <c r="A9" s="151" t="s">
        <v>3732</v>
      </c>
      <c r="B9" s="151" t="s">
        <v>354</v>
      </c>
      <c r="C9" s="152" t="s">
        <v>355</v>
      </c>
      <c r="D9" s="152" t="s">
        <v>342</v>
      </c>
      <c r="E9" s="152" t="s">
        <v>48</v>
      </c>
      <c r="F9" s="152" t="s">
        <v>74</v>
      </c>
      <c r="G9" s="152" t="s">
        <v>364</v>
      </c>
      <c r="H9" s="152" t="s">
        <v>363</v>
      </c>
      <c r="I9" s="152" t="s">
        <v>3733</v>
      </c>
      <c r="J9" s="152" t="s">
        <v>3734</v>
      </c>
      <c r="K9" s="152" t="s">
        <v>3735</v>
      </c>
      <c r="L9" s="153" t="n">
        <v>45303</v>
      </c>
      <c r="M9" s="154" t="s">
        <v>3736</v>
      </c>
      <c r="N9" s="151" t="s">
        <v>3737</v>
      </c>
      <c r="O9" s="153" t="n">
        <v>45792</v>
      </c>
      <c r="P9" s="153" t="n">
        <v>45991</v>
      </c>
      <c r="Q9" s="152" t="s">
        <v>3738</v>
      </c>
      <c r="R9" s="152" t="s">
        <v>3739</v>
      </c>
      <c r="S9" s="152" t="s">
        <v>3740</v>
      </c>
      <c r="T9" s="152" t="s">
        <v>3741</v>
      </c>
      <c r="U9" s="151" t="s">
        <v>3693</v>
      </c>
      <c r="V9" s="153" t="n">
        <v>45397</v>
      </c>
      <c r="W9" s="151" t="s">
        <v>3694</v>
      </c>
      <c r="X9" s="152" t="s">
        <v>3742</v>
      </c>
      <c r="Y9" s="152" t="s">
        <v>62</v>
      </c>
    </row>
    <row r="10" customFormat="false" ht="60" hidden="false" customHeight="true" outlineLevel="0" collapsed="false">
      <c r="A10" s="151" t="s">
        <v>3743</v>
      </c>
      <c r="B10" s="151" t="s">
        <v>354</v>
      </c>
      <c r="C10" s="152" t="s">
        <v>355</v>
      </c>
      <c r="D10" s="152" t="s">
        <v>342</v>
      </c>
      <c r="E10" s="152" t="s">
        <v>48</v>
      </c>
      <c r="F10" s="152" t="s">
        <v>74</v>
      </c>
      <c r="G10" s="152" t="s">
        <v>364</v>
      </c>
      <c r="H10" s="152" t="s">
        <v>3697</v>
      </c>
      <c r="I10" s="152" t="s">
        <v>3698</v>
      </c>
      <c r="J10" s="152" t="s">
        <v>3744</v>
      </c>
      <c r="K10" s="152" t="s">
        <v>3745</v>
      </c>
      <c r="L10" s="153" t="n">
        <v>45280</v>
      </c>
      <c r="M10" s="150" t="s">
        <v>3701</v>
      </c>
      <c r="N10" s="151" t="s">
        <v>3702</v>
      </c>
      <c r="O10" s="153" t="n">
        <v>45792</v>
      </c>
      <c r="P10" s="153" t="n">
        <v>45991</v>
      </c>
      <c r="Q10" s="152" t="s">
        <v>3746</v>
      </c>
      <c r="R10" s="152" t="s">
        <v>3747</v>
      </c>
      <c r="S10" s="152" t="s">
        <v>3748</v>
      </c>
      <c r="T10" s="152" t="s">
        <v>3706</v>
      </c>
      <c r="U10" s="151" t="s">
        <v>3693</v>
      </c>
      <c r="V10" s="153" t="n">
        <v>45352</v>
      </c>
      <c r="W10" s="151" t="s">
        <v>92</v>
      </c>
      <c r="X10" s="152" t="s">
        <v>3749</v>
      </c>
      <c r="Y10" s="152" t="s">
        <v>62</v>
      </c>
    </row>
    <row r="11" customFormat="false" ht="57" hidden="false" customHeight="true" outlineLevel="0" collapsed="false">
      <c r="A11" s="146" t="s">
        <v>3750</v>
      </c>
      <c r="B11" s="146" t="s">
        <v>697</v>
      </c>
      <c r="C11" s="147" t="s">
        <v>698</v>
      </c>
      <c r="D11" s="147" t="s">
        <v>342</v>
      </c>
      <c r="E11" s="147" t="s">
        <v>481</v>
      </c>
      <c r="F11" s="147" t="s">
        <v>74</v>
      </c>
      <c r="G11" s="147" t="s">
        <v>703</v>
      </c>
      <c r="H11" s="147" t="s">
        <v>3751</v>
      </c>
      <c r="I11" s="147" t="s">
        <v>3752</v>
      </c>
      <c r="J11" s="147" t="s">
        <v>3753</v>
      </c>
      <c r="K11" s="147" t="s">
        <v>3754</v>
      </c>
      <c r="L11" s="148" t="s">
        <v>3755</v>
      </c>
      <c r="M11" s="149" t="s">
        <v>3687</v>
      </c>
      <c r="N11" s="146" t="s">
        <v>3756</v>
      </c>
      <c r="O11" s="148" t="s">
        <v>3757</v>
      </c>
      <c r="P11" s="148" t="s">
        <v>3758</v>
      </c>
      <c r="Q11" s="147" t="s">
        <v>3759</v>
      </c>
      <c r="R11" s="147" t="s">
        <v>3760</v>
      </c>
      <c r="S11" s="147" t="s">
        <v>3761</v>
      </c>
      <c r="T11" s="147" t="s">
        <v>3762</v>
      </c>
      <c r="U11" s="146" t="s">
        <v>3763</v>
      </c>
      <c r="V11" s="148" t="s">
        <v>3764</v>
      </c>
      <c r="W11" s="146" t="s">
        <v>3694</v>
      </c>
      <c r="X11" s="147" t="s">
        <v>3765</v>
      </c>
      <c r="Y11" s="147" t="s">
        <v>484</v>
      </c>
    </row>
    <row r="12" customFormat="false" ht="34.5" hidden="false" customHeight="true" outlineLevel="0" collapsed="false">
      <c r="A12" s="146" t="s">
        <v>3766</v>
      </c>
      <c r="B12" s="146" t="s">
        <v>697</v>
      </c>
      <c r="C12" s="147" t="s">
        <v>698</v>
      </c>
      <c r="D12" s="147" t="s">
        <v>342</v>
      </c>
      <c r="E12" s="147" t="s">
        <v>481</v>
      </c>
      <c r="F12" s="147" t="s">
        <v>74</v>
      </c>
      <c r="G12" s="147" t="s">
        <v>703</v>
      </c>
      <c r="H12" s="147" t="s">
        <v>3697</v>
      </c>
      <c r="I12" s="147" t="s">
        <v>3698</v>
      </c>
      <c r="J12" s="147" t="s">
        <v>3767</v>
      </c>
      <c r="K12" s="147" t="s">
        <v>3768</v>
      </c>
      <c r="L12" s="148" t="s">
        <v>59</v>
      </c>
      <c r="M12" s="149" t="s">
        <v>3769</v>
      </c>
      <c r="N12" s="146" t="s">
        <v>3770</v>
      </c>
      <c r="O12" s="148" t="s">
        <v>3757</v>
      </c>
      <c r="P12" s="148" t="s">
        <v>3758</v>
      </c>
      <c r="Q12" s="147" t="s">
        <v>3771</v>
      </c>
      <c r="R12" s="147" t="s">
        <v>3772</v>
      </c>
      <c r="S12" s="147" t="s">
        <v>3773</v>
      </c>
      <c r="T12" s="147" t="s">
        <v>60</v>
      </c>
      <c r="U12" s="146" t="s">
        <v>3774</v>
      </c>
      <c r="V12" s="148" t="s">
        <v>3775</v>
      </c>
      <c r="W12" s="146" t="s">
        <v>92</v>
      </c>
      <c r="X12" s="147" t="s">
        <v>3776</v>
      </c>
      <c r="Y12" s="147" t="s">
        <v>484</v>
      </c>
    </row>
    <row r="13" customFormat="false" ht="45.75" hidden="false" customHeight="true" outlineLevel="0" collapsed="false">
      <c r="A13" s="146" t="s">
        <v>3777</v>
      </c>
      <c r="B13" s="146" t="s">
        <v>966</v>
      </c>
      <c r="C13" s="147" t="s">
        <v>967</v>
      </c>
      <c r="D13" s="147" t="s">
        <v>342</v>
      </c>
      <c r="E13" s="147" t="s">
        <v>808</v>
      </c>
      <c r="F13" s="147" t="s">
        <v>74</v>
      </c>
      <c r="G13" s="147" t="s">
        <v>942</v>
      </c>
      <c r="H13" s="147" t="s">
        <v>3778</v>
      </c>
      <c r="I13" s="147" t="s">
        <v>3779</v>
      </c>
      <c r="J13" s="147" t="s">
        <v>3780</v>
      </c>
      <c r="K13" s="147" t="s">
        <v>3781</v>
      </c>
      <c r="L13" s="148" t="s">
        <v>3782</v>
      </c>
      <c r="M13" s="149" t="s">
        <v>3687</v>
      </c>
      <c r="N13" s="146" t="s">
        <v>3688</v>
      </c>
      <c r="O13" s="148" t="s">
        <v>3757</v>
      </c>
      <c r="P13" s="148" t="s">
        <v>3758</v>
      </c>
      <c r="Q13" s="147" t="s">
        <v>3783</v>
      </c>
      <c r="R13" s="147" t="s">
        <v>3784</v>
      </c>
      <c r="S13" s="147" t="s">
        <v>3785</v>
      </c>
      <c r="T13" s="147" t="s">
        <v>3786</v>
      </c>
      <c r="U13" s="146" t="s">
        <v>3787</v>
      </c>
      <c r="V13" s="148" t="s">
        <v>3788</v>
      </c>
      <c r="W13" s="146" t="s">
        <v>3694</v>
      </c>
      <c r="X13" s="147" t="s">
        <v>3789</v>
      </c>
      <c r="Y13" s="147" t="s">
        <v>786</v>
      </c>
    </row>
    <row r="14" customFormat="false" ht="34.5" hidden="false" customHeight="true" outlineLevel="0" collapsed="false">
      <c r="A14" s="146" t="s">
        <v>3790</v>
      </c>
      <c r="B14" s="146" t="s">
        <v>966</v>
      </c>
      <c r="C14" s="147" t="s">
        <v>967</v>
      </c>
      <c r="D14" s="147" t="s">
        <v>342</v>
      </c>
      <c r="E14" s="147" t="s">
        <v>808</v>
      </c>
      <c r="F14" s="147" t="s">
        <v>74</v>
      </c>
      <c r="G14" s="147" t="s">
        <v>942</v>
      </c>
      <c r="H14" s="147" t="s">
        <v>3710</v>
      </c>
      <c r="I14" s="147" t="s">
        <v>3791</v>
      </c>
      <c r="J14" s="147" t="s">
        <v>3792</v>
      </c>
      <c r="K14" s="147" t="s">
        <v>3793</v>
      </c>
      <c r="L14" s="148" t="s">
        <v>3794</v>
      </c>
      <c r="M14" s="149" t="s">
        <v>3701</v>
      </c>
      <c r="N14" s="146" t="s">
        <v>3795</v>
      </c>
      <c r="O14" s="148" t="s">
        <v>3757</v>
      </c>
      <c r="P14" s="148" t="s">
        <v>3758</v>
      </c>
      <c r="Q14" s="147" t="s">
        <v>3796</v>
      </c>
      <c r="R14" s="147" t="s">
        <v>3797</v>
      </c>
      <c r="S14" s="147" t="s">
        <v>3798</v>
      </c>
      <c r="T14" s="147" t="s">
        <v>3799</v>
      </c>
      <c r="U14" s="146" t="s">
        <v>3800</v>
      </c>
      <c r="V14" s="148" t="s">
        <v>3801</v>
      </c>
      <c r="W14" s="146" t="s">
        <v>92</v>
      </c>
      <c r="X14" s="147" t="s">
        <v>3802</v>
      </c>
      <c r="Y14" s="147" t="s">
        <v>786</v>
      </c>
    </row>
  </sheetData>
  <mergeCells count="2">
    <mergeCell ref="A1:W1"/>
    <mergeCell ref="A2:W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55"/>
    <col collapsed="false" customWidth="true" hidden="false" outlineLevel="0" max="4" min="4" style="1" width="30"/>
    <col collapsed="false" customWidth="true" hidden="false" outlineLevel="0" max="5" min="5" style="1" width="20"/>
    <col collapsed="false" customWidth="true" hidden="false" outlineLevel="0" max="6" min="6" style="1" width="28"/>
    <col collapsed="false" customWidth="true" hidden="false" outlineLevel="0" max="7" min="7" style="1" width="18"/>
    <col collapsed="false" customWidth="true" hidden="false" outlineLevel="0" max="8" min="8" style="1" width="35"/>
    <col collapsed="false" customWidth="true" hidden="false" outlineLevel="0" max="9" min="9" style="1" width="7"/>
    <col collapsed="false" customWidth="true" hidden="false" outlineLevel="0" max="10" min="10" style="1" width="42"/>
    <col collapsed="false" customWidth="true" hidden="false" outlineLevel="0" max="11" min="11" style="1" width="9"/>
    <col collapsed="false" customWidth="true" hidden="false" outlineLevel="0" max="12" min="12" style="1" width="14"/>
    <col collapsed="false" customWidth="true" hidden="false" outlineLevel="0" max="13" min="13" style="1" width="65"/>
    <col collapsed="false" customWidth="true" hidden="false" outlineLevel="0" max="14" min="14" style="1" width="22"/>
  </cols>
  <sheetData>
    <row r="1" customFormat="false" ht="25.5" hidden="false" customHeight="true" outlineLevel="0" collapsed="false">
      <c r="A1" s="133" t="s">
        <v>3803</v>
      </c>
      <c r="B1" s="133"/>
      <c r="C1" s="133"/>
      <c r="D1" s="133"/>
      <c r="E1" s="133"/>
      <c r="F1" s="133"/>
      <c r="G1" s="133"/>
      <c r="H1" s="133"/>
      <c r="I1" s="133"/>
      <c r="J1" s="133"/>
      <c r="K1" s="133"/>
      <c r="L1" s="133"/>
      <c r="M1" s="133"/>
      <c r="N1" s="133"/>
    </row>
    <row r="2" customFormat="false" ht="24" hidden="false" customHeight="true" outlineLevel="0" collapsed="false">
      <c r="A2" s="155" t="s">
        <v>3804</v>
      </c>
      <c r="B2" s="155"/>
      <c r="C2" s="155"/>
      <c r="D2" s="155"/>
      <c r="E2" s="155"/>
      <c r="F2" s="155"/>
      <c r="G2" s="155"/>
      <c r="H2" s="155"/>
      <c r="I2" s="155"/>
      <c r="J2" s="155"/>
      <c r="K2" s="155"/>
      <c r="L2" s="155"/>
      <c r="M2" s="155"/>
      <c r="N2" s="155"/>
    </row>
    <row r="3" customFormat="false" ht="6" hidden="false" customHeight="true" outlineLevel="0" collapsed="false"/>
    <row r="4" customFormat="false" ht="36" hidden="false" customHeight="true" outlineLevel="0" collapsed="false">
      <c r="A4" s="135" t="s">
        <v>3805</v>
      </c>
      <c r="B4" s="135" t="s">
        <v>3211</v>
      </c>
      <c r="C4" s="135" t="s">
        <v>3806</v>
      </c>
      <c r="D4" s="135" t="s">
        <v>3807</v>
      </c>
      <c r="E4" s="135" t="s">
        <v>3808</v>
      </c>
      <c r="F4" s="135" t="s">
        <v>3809</v>
      </c>
      <c r="G4" s="135" t="s">
        <v>3810</v>
      </c>
      <c r="H4" s="135" t="s">
        <v>3811</v>
      </c>
      <c r="I4" s="135" t="s">
        <v>3665</v>
      </c>
      <c r="J4" s="135" t="s">
        <v>3812</v>
      </c>
      <c r="K4" s="135" t="s">
        <v>3813</v>
      </c>
      <c r="L4" s="135" t="s">
        <v>3814</v>
      </c>
      <c r="M4" s="135" t="s">
        <v>3815</v>
      </c>
      <c r="N4" s="135" t="s">
        <v>3816</v>
      </c>
      <c r="O4" s="135" t="s">
        <v>35</v>
      </c>
    </row>
    <row r="5" customFormat="false" ht="36" hidden="false" customHeight="true" outlineLevel="0" collapsed="false">
      <c r="A5" s="156" t="s">
        <v>3817</v>
      </c>
      <c r="B5" s="156" t="s">
        <v>3818</v>
      </c>
      <c r="C5" s="157" t="s">
        <v>3819</v>
      </c>
      <c r="D5" s="157" t="s">
        <v>3820</v>
      </c>
      <c r="E5" s="156" t="s">
        <v>3821</v>
      </c>
      <c r="F5" s="156" t="s">
        <v>3822</v>
      </c>
      <c r="G5" s="156" t="s">
        <v>3823</v>
      </c>
      <c r="H5" s="157" t="s">
        <v>3824</v>
      </c>
      <c r="I5" s="156" t="n">
        <v>2023</v>
      </c>
      <c r="J5" s="157" t="s">
        <v>3825</v>
      </c>
      <c r="K5" s="156" t="n">
        <v>5</v>
      </c>
      <c r="L5" s="156" t="s">
        <v>3826</v>
      </c>
      <c r="M5" s="157" t="s">
        <v>3827</v>
      </c>
      <c r="N5" s="157" t="s">
        <v>3828</v>
      </c>
      <c r="O5" s="157" t="s">
        <v>3829</v>
      </c>
    </row>
    <row r="6" customFormat="false" ht="36" hidden="false" customHeight="true" outlineLevel="0" collapsed="false">
      <c r="A6" s="156" t="s">
        <v>3830</v>
      </c>
      <c r="B6" s="156" t="s">
        <v>3818</v>
      </c>
      <c r="C6" s="157" t="s">
        <v>3831</v>
      </c>
      <c r="D6" s="157" t="s">
        <v>3832</v>
      </c>
      <c r="E6" s="156" t="s">
        <v>3833</v>
      </c>
      <c r="F6" s="156" t="s">
        <v>3834</v>
      </c>
      <c r="G6" s="156" t="s">
        <v>3823</v>
      </c>
      <c r="H6" s="157" t="s">
        <v>3835</v>
      </c>
      <c r="I6" s="156" t="n">
        <v>2023</v>
      </c>
      <c r="J6" s="157" t="s">
        <v>3836</v>
      </c>
      <c r="K6" s="156" t="n">
        <v>5</v>
      </c>
      <c r="L6" s="156" t="s">
        <v>3826</v>
      </c>
      <c r="M6" s="157" t="s">
        <v>3837</v>
      </c>
      <c r="N6" s="157" t="s">
        <v>291</v>
      </c>
      <c r="O6" s="157" t="s">
        <v>3829</v>
      </c>
    </row>
    <row r="7" customFormat="false" ht="36" hidden="false" customHeight="true" outlineLevel="0" collapsed="false">
      <c r="A7" s="156" t="s">
        <v>3838</v>
      </c>
      <c r="B7" s="156" t="s">
        <v>3818</v>
      </c>
      <c r="C7" s="157" t="s">
        <v>3839</v>
      </c>
      <c r="D7" s="157" t="s">
        <v>3840</v>
      </c>
      <c r="E7" s="156" t="s">
        <v>3841</v>
      </c>
      <c r="F7" s="156" t="s">
        <v>3842</v>
      </c>
      <c r="G7" s="156" t="s">
        <v>3823</v>
      </c>
      <c r="H7" s="157" t="s">
        <v>3843</v>
      </c>
      <c r="I7" s="156" t="n">
        <v>2022</v>
      </c>
      <c r="J7" s="157" t="s">
        <v>3844</v>
      </c>
      <c r="K7" s="156" t="n">
        <v>5</v>
      </c>
      <c r="L7" s="156" t="s">
        <v>3826</v>
      </c>
      <c r="M7" s="157" t="s">
        <v>3845</v>
      </c>
      <c r="N7" s="157" t="s">
        <v>377</v>
      </c>
      <c r="O7" s="157" t="s">
        <v>3829</v>
      </c>
    </row>
    <row r="8" customFormat="false" ht="36" hidden="false" customHeight="true" outlineLevel="0" collapsed="false">
      <c r="A8" s="156" t="s">
        <v>3846</v>
      </c>
      <c r="B8" s="156" t="s">
        <v>3818</v>
      </c>
      <c r="C8" s="157" t="s">
        <v>3847</v>
      </c>
      <c r="D8" s="157" t="s">
        <v>3820</v>
      </c>
      <c r="E8" s="156" t="s">
        <v>3821</v>
      </c>
      <c r="F8" s="156" t="s">
        <v>3848</v>
      </c>
      <c r="G8" s="156" t="s">
        <v>3823</v>
      </c>
      <c r="H8" s="157" t="s">
        <v>3849</v>
      </c>
      <c r="I8" s="156" t="n">
        <v>2023</v>
      </c>
      <c r="J8" s="157" t="s">
        <v>3850</v>
      </c>
      <c r="K8" s="156" t="n">
        <v>4</v>
      </c>
      <c r="L8" s="156" t="s">
        <v>3826</v>
      </c>
      <c r="M8" s="157" t="s">
        <v>3851</v>
      </c>
      <c r="N8" s="157" t="s">
        <v>1408</v>
      </c>
      <c r="O8" s="157" t="s">
        <v>3829</v>
      </c>
    </row>
    <row r="9" customFormat="false" ht="36" hidden="false" customHeight="true" outlineLevel="0" collapsed="false">
      <c r="A9" s="156" t="s">
        <v>3852</v>
      </c>
      <c r="B9" s="156" t="s">
        <v>3818</v>
      </c>
      <c r="C9" s="157" t="s">
        <v>3853</v>
      </c>
      <c r="D9" s="157" t="s">
        <v>3820</v>
      </c>
      <c r="E9" s="156" t="s">
        <v>3821</v>
      </c>
      <c r="F9" s="156" t="s">
        <v>3854</v>
      </c>
      <c r="G9" s="156" t="s">
        <v>3823</v>
      </c>
      <c r="H9" s="157" t="s">
        <v>3855</v>
      </c>
      <c r="I9" s="156" t="n">
        <v>2020</v>
      </c>
      <c r="J9" s="157" t="s">
        <v>3856</v>
      </c>
      <c r="K9" s="156" t="n">
        <v>5</v>
      </c>
      <c r="L9" s="156" t="s">
        <v>3826</v>
      </c>
      <c r="M9" s="157" t="s">
        <v>3857</v>
      </c>
      <c r="N9" s="157" t="s">
        <v>377</v>
      </c>
      <c r="O9" s="157" t="s">
        <v>3829</v>
      </c>
    </row>
    <row r="10" customFormat="false" ht="36" hidden="false" customHeight="true" outlineLevel="0" collapsed="false">
      <c r="A10" s="156" t="s">
        <v>3858</v>
      </c>
      <c r="B10" s="156" t="s">
        <v>3818</v>
      </c>
      <c r="C10" s="157" t="s">
        <v>3859</v>
      </c>
      <c r="D10" s="157" t="s">
        <v>3820</v>
      </c>
      <c r="E10" s="156" t="s">
        <v>3821</v>
      </c>
      <c r="F10" s="156" t="s">
        <v>3860</v>
      </c>
      <c r="G10" s="156" t="s">
        <v>3823</v>
      </c>
      <c r="H10" s="157" t="s">
        <v>3861</v>
      </c>
      <c r="I10" s="156" t="n">
        <v>2024</v>
      </c>
      <c r="J10" s="157" t="s">
        <v>3862</v>
      </c>
      <c r="K10" s="156" t="n">
        <v>5</v>
      </c>
      <c r="L10" s="156" t="s">
        <v>3826</v>
      </c>
      <c r="M10" s="157" t="s">
        <v>3863</v>
      </c>
      <c r="N10" s="157" t="s">
        <v>1408</v>
      </c>
      <c r="O10" s="157" t="s">
        <v>3829</v>
      </c>
    </row>
    <row r="11" customFormat="false" ht="36" hidden="false" customHeight="true" outlineLevel="0" collapsed="false">
      <c r="A11" s="156" t="s">
        <v>3864</v>
      </c>
      <c r="B11" s="156" t="s">
        <v>3818</v>
      </c>
      <c r="C11" s="157" t="s">
        <v>3865</v>
      </c>
      <c r="D11" s="157" t="s">
        <v>3866</v>
      </c>
      <c r="E11" s="156" t="s">
        <v>3867</v>
      </c>
      <c r="F11" s="156" t="s">
        <v>3854</v>
      </c>
      <c r="G11" s="156" t="s">
        <v>3823</v>
      </c>
      <c r="H11" s="157" t="s">
        <v>3868</v>
      </c>
      <c r="I11" s="156" t="n">
        <v>2023</v>
      </c>
      <c r="J11" s="157" t="s">
        <v>3869</v>
      </c>
      <c r="K11" s="156" t="n">
        <v>5</v>
      </c>
      <c r="L11" s="156" t="s">
        <v>3826</v>
      </c>
      <c r="M11" s="157" t="s">
        <v>3870</v>
      </c>
      <c r="N11" s="157" t="s">
        <v>291</v>
      </c>
      <c r="O11" s="157" t="s">
        <v>3829</v>
      </c>
    </row>
    <row r="12" customFormat="false" ht="36" hidden="false" customHeight="true" outlineLevel="0" collapsed="false">
      <c r="A12" s="156" t="s">
        <v>3871</v>
      </c>
      <c r="B12" s="156" t="s">
        <v>3818</v>
      </c>
      <c r="C12" s="157" t="s">
        <v>3872</v>
      </c>
      <c r="D12" s="157" t="s">
        <v>3873</v>
      </c>
      <c r="E12" s="156" t="s">
        <v>3874</v>
      </c>
      <c r="F12" s="156" t="s">
        <v>3860</v>
      </c>
      <c r="G12" s="156" t="s">
        <v>3875</v>
      </c>
      <c r="H12" s="157" t="s">
        <v>3876</v>
      </c>
      <c r="I12" s="156" t="n">
        <v>2023</v>
      </c>
      <c r="J12" s="157" t="s">
        <v>3877</v>
      </c>
      <c r="K12" s="156" t="n">
        <v>5</v>
      </c>
      <c r="L12" s="156" t="s">
        <v>3878</v>
      </c>
      <c r="M12" s="157" t="s">
        <v>3879</v>
      </c>
      <c r="N12" s="157" t="s">
        <v>364</v>
      </c>
      <c r="O12" s="157" t="s">
        <v>3829</v>
      </c>
    </row>
    <row r="13" customFormat="false" ht="36" hidden="false" customHeight="true" outlineLevel="0" collapsed="false">
      <c r="A13" s="156" t="s">
        <v>3880</v>
      </c>
      <c r="B13" s="156" t="s">
        <v>3818</v>
      </c>
      <c r="C13" s="157" t="s">
        <v>3881</v>
      </c>
      <c r="D13" s="157" t="s">
        <v>3820</v>
      </c>
      <c r="E13" s="156" t="s">
        <v>3882</v>
      </c>
      <c r="F13" s="156" t="s">
        <v>3860</v>
      </c>
      <c r="G13" s="156" t="s">
        <v>3823</v>
      </c>
      <c r="H13" s="157" t="s">
        <v>3883</v>
      </c>
      <c r="I13" s="156" t="n">
        <v>2023</v>
      </c>
      <c r="J13" s="157" t="s">
        <v>3884</v>
      </c>
      <c r="K13" s="156" t="n">
        <v>4</v>
      </c>
      <c r="L13" s="156" t="s">
        <v>3826</v>
      </c>
      <c r="M13" s="157" t="s">
        <v>3885</v>
      </c>
      <c r="N13" s="157" t="s">
        <v>291</v>
      </c>
      <c r="O13" s="157" t="s">
        <v>3829</v>
      </c>
    </row>
    <row r="14" customFormat="false" ht="36" hidden="false" customHeight="true" outlineLevel="0" collapsed="false">
      <c r="A14" s="156" t="s">
        <v>3886</v>
      </c>
      <c r="B14" s="156" t="s">
        <v>3818</v>
      </c>
      <c r="C14" s="157" t="s">
        <v>3887</v>
      </c>
      <c r="D14" s="157" t="s">
        <v>3820</v>
      </c>
      <c r="E14" s="156" t="s">
        <v>3821</v>
      </c>
      <c r="F14" s="156" t="s">
        <v>347</v>
      </c>
      <c r="G14" s="156" t="s">
        <v>3823</v>
      </c>
      <c r="H14" s="157" t="s">
        <v>3888</v>
      </c>
      <c r="I14" s="156" t="n">
        <v>2023</v>
      </c>
      <c r="J14" s="157" t="s">
        <v>3889</v>
      </c>
      <c r="K14" s="156" t="n">
        <v>5</v>
      </c>
      <c r="L14" s="156" t="s">
        <v>3826</v>
      </c>
      <c r="M14" s="157" t="s">
        <v>3890</v>
      </c>
      <c r="N14" s="157" t="s">
        <v>1408</v>
      </c>
      <c r="O14" s="157" t="s">
        <v>3829</v>
      </c>
    </row>
    <row r="15" customFormat="false" ht="36" hidden="false" customHeight="true" outlineLevel="0" collapsed="false">
      <c r="A15" s="156" t="s">
        <v>3891</v>
      </c>
      <c r="B15" s="156" t="s">
        <v>3818</v>
      </c>
      <c r="C15" s="157" t="s">
        <v>3892</v>
      </c>
      <c r="D15" s="157" t="s">
        <v>3820</v>
      </c>
      <c r="E15" s="156" t="s">
        <v>429</v>
      </c>
      <c r="F15" s="156" t="s">
        <v>3893</v>
      </c>
      <c r="G15" s="156" t="s">
        <v>3823</v>
      </c>
      <c r="H15" s="157" t="s">
        <v>3894</v>
      </c>
      <c r="I15" s="156" t="n">
        <v>2024</v>
      </c>
      <c r="J15" s="157" t="s">
        <v>3895</v>
      </c>
      <c r="K15" s="156" t="n">
        <v>5</v>
      </c>
      <c r="L15" s="156" t="s">
        <v>3826</v>
      </c>
      <c r="M15" s="157" t="s">
        <v>3896</v>
      </c>
      <c r="N15" s="157" t="s">
        <v>1408</v>
      </c>
      <c r="O15" s="157" t="s">
        <v>3829</v>
      </c>
    </row>
    <row r="16" customFormat="false" ht="36" hidden="false" customHeight="true" outlineLevel="0" collapsed="false">
      <c r="A16" s="156" t="s">
        <v>3897</v>
      </c>
      <c r="B16" s="156" t="s">
        <v>3818</v>
      </c>
      <c r="C16" s="157" t="s">
        <v>3898</v>
      </c>
      <c r="D16" s="157" t="s">
        <v>3820</v>
      </c>
      <c r="E16" s="156" t="s">
        <v>3821</v>
      </c>
      <c r="F16" s="156" t="s">
        <v>347</v>
      </c>
      <c r="G16" s="156" t="s">
        <v>3823</v>
      </c>
      <c r="H16" s="157" t="s">
        <v>3899</v>
      </c>
      <c r="I16" s="156" t="n">
        <v>2024</v>
      </c>
      <c r="J16" s="157" t="s">
        <v>3900</v>
      </c>
      <c r="K16" s="156" t="n">
        <v>4</v>
      </c>
      <c r="L16" s="156" t="s">
        <v>3826</v>
      </c>
      <c r="M16" s="157" t="s">
        <v>3901</v>
      </c>
      <c r="N16" s="157" t="s">
        <v>1408</v>
      </c>
      <c r="O16" s="157" t="s">
        <v>3829</v>
      </c>
    </row>
    <row r="17" customFormat="false" ht="36" hidden="false" customHeight="true" outlineLevel="0" collapsed="false">
      <c r="A17" s="158" t="s">
        <v>3902</v>
      </c>
      <c r="B17" s="158" t="s">
        <v>3903</v>
      </c>
      <c r="C17" s="159" t="s">
        <v>3904</v>
      </c>
      <c r="D17" s="159" t="s">
        <v>3820</v>
      </c>
      <c r="E17" s="158" t="s">
        <v>3821</v>
      </c>
      <c r="F17" s="158" t="s">
        <v>3905</v>
      </c>
      <c r="G17" s="158" t="s">
        <v>3875</v>
      </c>
      <c r="H17" s="159" t="s">
        <v>3906</v>
      </c>
      <c r="I17" s="158" t="n">
        <v>2024</v>
      </c>
      <c r="J17" s="159" t="s">
        <v>3907</v>
      </c>
      <c r="K17" s="158" t="n">
        <v>5</v>
      </c>
      <c r="L17" s="158" t="s">
        <v>3908</v>
      </c>
      <c r="M17" s="159" t="s">
        <v>3909</v>
      </c>
      <c r="N17" s="159" t="s">
        <v>3828</v>
      </c>
      <c r="O17" s="159" t="s">
        <v>3829</v>
      </c>
    </row>
    <row r="18" customFormat="false" ht="36" hidden="false" customHeight="true" outlineLevel="0" collapsed="false">
      <c r="A18" s="158" t="s">
        <v>3910</v>
      </c>
      <c r="B18" s="158" t="s">
        <v>3903</v>
      </c>
      <c r="C18" s="159" t="s">
        <v>3911</v>
      </c>
      <c r="D18" s="159" t="s">
        <v>3820</v>
      </c>
      <c r="E18" s="158" t="s">
        <v>3821</v>
      </c>
      <c r="F18" s="158" t="s">
        <v>3905</v>
      </c>
      <c r="G18" s="158" t="s">
        <v>3875</v>
      </c>
      <c r="H18" s="159" t="s">
        <v>3912</v>
      </c>
      <c r="I18" s="158" t="n">
        <v>2024</v>
      </c>
      <c r="J18" s="159" t="s">
        <v>3913</v>
      </c>
      <c r="K18" s="158" t="n">
        <v>4</v>
      </c>
      <c r="L18" s="158" t="s">
        <v>3908</v>
      </c>
      <c r="M18" s="159" t="s">
        <v>3914</v>
      </c>
      <c r="N18" s="159" t="s">
        <v>3828</v>
      </c>
      <c r="O18" s="159" t="s">
        <v>3829</v>
      </c>
    </row>
    <row r="19" customFormat="false" ht="36" hidden="false" customHeight="true" outlineLevel="0" collapsed="false">
      <c r="A19" s="156" t="s">
        <v>3915</v>
      </c>
      <c r="B19" s="156" t="s">
        <v>3818</v>
      </c>
      <c r="C19" s="157" t="s">
        <v>3916</v>
      </c>
      <c r="D19" s="157" t="s">
        <v>3917</v>
      </c>
      <c r="E19" s="156" t="s">
        <v>3918</v>
      </c>
      <c r="F19" s="156" t="s">
        <v>3919</v>
      </c>
      <c r="G19" s="156" t="s">
        <v>3875</v>
      </c>
      <c r="H19" s="157" t="s">
        <v>3920</v>
      </c>
      <c r="I19" s="156" t="n">
        <v>2023</v>
      </c>
      <c r="J19" s="157" t="s">
        <v>3921</v>
      </c>
      <c r="K19" s="156" t="n">
        <v>5</v>
      </c>
      <c r="L19" s="156" t="s">
        <v>3922</v>
      </c>
      <c r="M19" s="157" t="s">
        <v>3923</v>
      </c>
      <c r="N19" s="157" t="s">
        <v>364</v>
      </c>
      <c r="O19" s="157" t="s">
        <v>3829</v>
      </c>
    </row>
    <row r="20" customFormat="false" ht="36" hidden="false" customHeight="true" outlineLevel="0" collapsed="false">
      <c r="A20" s="156" t="s">
        <v>3924</v>
      </c>
      <c r="B20" s="156" t="s">
        <v>3818</v>
      </c>
      <c r="C20" s="157" t="s">
        <v>3925</v>
      </c>
      <c r="D20" s="157" t="s">
        <v>3926</v>
      </c>
      <c r="E20" s="156" t="s">
        <v>3918</v>
      </c>
      <c r="F20" s="156" t="s">
        <v>3927</v>
      </c>
      <c r="G20" s="156" t="s">
        <v>3823</v>
      </c>
      <c r="H20" s="157" t="s">
        <v>3928</v>
      </c>
      <c r="I20" s="156" t="n">
        <v>2022</v>
      </c>
      <c r="J20" s="157" t="s">
        <v>3929</v>
      </c>
      <c r="K20" s="156" t="n">
        <v>5</v>
      </c>
      <c r="L20" s="156" t="s">
        <v>3826</v>
      </c>
      <c r="M20" s="157" t="s">
        <v>3930</v>
      </c>
      <c r="N20" s="157" t="s">
        <v>364</v>
      </c>
      <c r="O20" s="157" t="s">
        <v>3829</v>
      </c>
    </row>
    <row r="21" customFormat="false" ht="36" hidden="false" customHeight="true" outlineLevel="0" collapsed="false">
      <c r="A21" s="156" t="s">
        <v>3931</v>
      </c>
      <c r="B21" s="156" t="s">
        <v>3818</v>
      </c>
      <c r="C21" s="157" t="s">
        <v>3932</v>
      </c>
      <c r="D21" s="157" t="s">
        <v>3933</v>
      </c>
      <c r="E21" s="156" t="s">
        <v>3918</v>
      </c>
      <c r="F21" s="156" t="s">
        <v>3860</v>
      </c>
      <c r="G21" s="156" t="s">
        <v>3823</v>
      </c>
      <c r="H21" s="157" t="s">
        <v>3934</v>
      </c>
      <c r="I21" s="156" t="n">
        <v>2023</v>
      </c>
      <c r="J21" s="157" t="s">
        <v>3935</v>
      </c>
      <c r="K21" s="156" t="n">
        <v>5</v>
      </c>
      <c r="L21" s="156" t="s">
        <v>3826</v>
      </c>
      <c r="M21" s="157" t="s">
        <v>3936</v>
      </c>
      <c r="N21" s="157" t="s">
        <v>364</v>
      </c>
      <c r="O21" s="157" t="s">
        <v>3829</v>
      </c>
    </row>
    <row r="22" customFormat="false" ht="36" hidden="false" customHeight="true" outlineLevel="0" collapsed="false">
      <c r="A22" s="139" t="s">
        <v>3937</v>
      </c>
      <c r="B22" s="139" t="s">
        <v>3938</v>
      </c>
      <c r="C22" s="140" t="s">
        <v>3939</v>
      </c>
      <c r="D22" s="140" t="s">
        <v>3940</v>
      </c>
      <c r="E22" s="139" t="s">
        <v>3941</v>
      </c>
      <c r="F22" s="139" t="s">
        <v>3842</v>
      </c>
      <c r="G22" s="139" t="s">
        <v>3823</v>
      </c>
      <c r="H22" s="140" t="s">
        <v>3942</v>
      </c>
      <c r="I22" s="139"/>
      <c r="J22" s="140" t="s">
        <v>3943</v>
      </c>
      <c r="K22" s="139" t="n">
        <v>4</v>
      </c>
      <c r="L22" s="139" t="s">
        <v>3944</v>
      </c>
      <c r="M22" s="140" t="s">
        <v>3945</v>
      </c>
      <c r="N22" s="140" t="s">
        <v>364</v>
      </c>
      <c r="O22" s="140" t="s">
        <v>3829</v>
      </c>
    </row>
    <row r="23" customFormat="false" ht="36" hidden="false" customHeight="true" outlineLevel="0" collapsed="false">
      <c r="A23" s="160" t="s">
        <v>3946</v>
      </c>
      <c r="B23" s="160" t="s">
        <v>3947</v>
      </c>
      <c r="C23" s="161" t="s">
        <v>3948</v>
      </c>
      <c r="D23" s="161" t="s">
        <v>3949</v>
      </c>
      <c r="E23" s="160" t="s">
        <v>3950</v>
      </c>
      <c r="F23" s="160" t="s">
        <v>3951</v>
      </c>
      <c r="G23" s="160" t="s">
        <v>3823</v>
      </c>
      <c r="H23" s="161" t="s">
        <v>3952</v>
      </c>
      <c r="I23" s="160"/>
      <c r="J23" s="161" t="s">
        <v>3953</v>
      </c>
      <c r="K23" s="160" t="n">
        <v>5</v>
      </c>
      <c r="L23" s="160" t="s">
        <v>3947</v>
      </c>
      <c r="M23" s="161" t="s">
        <v>3954</v>
      </c>
      <c r="N23" s="161" t="s">
        <v>275</v>
      </c>
      <c r="O23" s="161" t="s">
        <v>3829</v>
      </c>
    </row>
    <row r="24" customFormat="false" ht="36" hidden="false" customHeight="true" outlineLevel="0" collapsed="false">
      <c r="A24" s="156" t="s">
        <v>3955</v>
      </c>
      <c r="B24" s="156" t="s">
        <v>3818</v>
      </c>
      <c r="C24" s="157" t="s">
        <v>3956</v>
      </c>
      <c r="D24" s="157" t="s">
        <v>3957</v>
      </c>
      <c r="E24" s="156" t="s">
        <v>3958</v>
      </c>
      <c r="F24" s="156" t="s">
        <v>3959</v>
      </c>
      <c r="G24" s="156" t="s">
        <v>3823</v>
      </c>
      <c r="H24" s="157" t="s">
        <v>3960</v>
      </c>
      <c r="I24" s="156" t="n">
        <v>2023</v>
      </c>
      <c r="J24" s="157" t="s">
        <v>3961</v>
      </c>
      <c r="K24" s="156" t="n">
        <v>5</v>
      </c>
      <c r="L24" s="156" t="s">
        <v>3826</v>
      </c>
      <c r="M24" s="157" t="s">
        <v>3962</v>
      </c>
      <c r="N24" s="157" t="s">
        <v>348</v>
      </c>
      <c r="O24" s="157" t="s">
        <v>3829</v>
      </c>
    </row>
    <row r="25" customFormat="false" ht="36" hidden="false" customHeight="true" outlineLevel="0" collapsed="false">
      <c r="A25" s="156" t="s">
        <v>3963</v>
      </c>
      <c r="B25" s="156" t="s">
        <v>3818</v>
      </c>
      <c r="C25" s="157" t="s">
        <v>3964</v>
      </c>
      <c r="D25" s="157" t="s">
        <v>3965</v>
      </c>
      <c r="E25" s="156" t="s">
        <v>3966</v>
      </c>
      <c r="F25" s="156" t="s">
        <v>3860</v>
      </c>
      <c r="G25" s="156" t="s">
        <v>3823</v>
      </c>
      <c r="H25" s="157" t="s">
        <v>3967</v>
      </c>
      <c r="I25" s="156" t="n">
        <v>2021</v>
      </c>
      <c r="J25" s="157" t="s">
        <v>3968</v>
      </c>
      <c r="K25" s="156" t="n">
        <v>5</v>
      </c>
      <c r="L25" s="156" t="s">
        <v>3826</v>
      </c>
      <c r="M25" s="157" t="s">
        <v>3969</v>
      </c>
      <c r="N25" s="157" t="s">
        <v>348</v>
      </c>
      <c r="O25" s="157" t="s">
        <v>3829</v>
      </c>
    </row>
    <row r="26" customFormat="false" ht="36" hidden="false" customHeight="true" outlineLevel="0" collapsed="false">
      <c r="A26" s="156" t="s">
        <v>3970</v>
      </c>
      <c r="B26" s="156" t="s">
        <v>3818</v>
      </c>
      <c r="C26" s="157" t="s">
        <v>3971</v>
      </c>
      <c r="D26" s="157" t="s">
        <v>140</v>
      </c>
      <c r="E26" s="156" t="s">
        <v>3972</v>
      </c>
      <c r="F26" s="156" t="s">
        <v>3973</v>
      </c>
      <c r="G26" s="156" t="s">
        <v>3823</v>
      </c>
      <c r="H26" s="157" t="s">
        <v>3974</v>
      </c>
      <c r="I26" s="156" t="n">
        <v>2023</v>
      </c>
      <c r="J26" s="157" t="s">
        <v>3975</v>
      </c>
      <c r="K26" s="156" t="n">
        <v>5</v>
      </c>
      <c r="L26" s="156" t="s">
        <v>3826</v>
      </c>
      <c r="M26" s="157" t="s">
        <v>3976</v>
      </c>
      <c r="N26" s="157" t="s">
        <v>1354</v>
      </c>
      <c r="O26" s="157" t="s">
        <v>3829</v>
      </c>
    </row>
    <row r="27" customFormat="false" ht="36" hidden="false" customHeight="true" outlineLevel="0" collapsed="false">
      <c r="A27" s="139" t="s">
        <v>3977</v>
      </c>
      <c r="B27" s="139" t="s">
        <v>3938</v>
      </c>
      <c r="C27" s="140" t="s">
        <v>3978</v>
      </c>
      <c r="D27" s="140" t="s">
        <v>3979</v>
      </c>
      <c r="E27" s="139" t="s">
        <v>3980</v>
      </c>
      <c r="F27" s="139" t="s">
        <v>3842</v>
      </c>
      <c r="G27" s="139" t="s">
        <v>3981</v>
      </c>
      <c r="H27" s="140" t="s">
        <v>3982</v>
      </c>
      <c r="I27" s="139"/>
      <c r="J27" s="140" t="s">
        <v>3983</v>
      </c>
      <c r="K27" s="139" t="n">
        <v>4</v>
      </c>
      <c r="L27" s="139" t="s">
        <v>3984</v>
      </c>
      <c r="M27" s="140" t="s">
        <v>3985</v>
      </c>
      <c r="N27" s="140" t="s">
        <v>407</v>
      </c>
      <c r="O27" s="140" t="s">
        <v>3829</v>
      </c>
    </row>
    <row r="28" customFormat="false" ht="36" hidden="false" customHeight="true" outlineLevel="0" collapsed="false">
      <c r="A28" s="160" t="s">
        <v>3986</v>
      </c>
      <c r="B28" s="160" t="s">
        <v>3947</v>
      </c>
      <c r="C28" s="161" t="s">
        <v>3987</v>
      </c>
      <c r="D28" s="161" t="s">
        <v>3988</v>
      </c>
      <c r="E28" s="160" t="s">
        <v>3989</v>
      </c>
      <c r="F28" s="160" t="s">
        <v>3951</v>
      </c>
      <c r="G28" s="160" t="s">
        <v>3990</v>
      </c>
      <c r="H28" s="161" t="s">
        <v>3991</v>
      </c>
      <c r="I28" s="160"/>
      <c r="J28" s="161" t="s">
        <v>3992</v>
      </c>
      <c r="K28" s="160" t="n">
        <v>5</v>
      </c>
      <c r="L28" s="160" t="s">
        <v>3993</v>
      </c>
      <c r="M28" s="161" t="s">
        <v>3994</v>
      </c>
      <c r="N28" s="161" t="s">
        <v>407</v>
      </c>
      <c r="O28" s="161" t="s">
        <v>3829</v>
      </c>
    </row>
    <row r="29" customFormat="false" ht="36" hidden="false" customHeight="true" outlineLevel="0" collapsed="false">
      <c r="A29" s="156" t="s">
        <v>3995</v>
      </c>
      <c r="B29" s="156" t="s">
        <v>3818</v>
      </c>
      <c r="C29" s="157" t="s">
        <v>3996</v>
      </c>
      <c r="D29" s="157" t="s">
        <v>173</v>
      </c>
      <c r="E29" s="156" t="s">
        <v>3997</v>
      </c>
      <c r="F29" s="156" t="s">
        <v>3959</v>
      </c>
      <c r="G29" s="156" t="s">
        <v>3823</v>
      </c>
      <c r="H29" s="157" t="s">
        <v>3998</v>
      </c>
      <c r="I29" s="156" t="n">
        <v>2023</v>
      </c>
      <c r="J29" s="157" t="s">
        <v>3999</v>
      </c>
      <c r="K29" s="156" t="n">
        <v>4</v>
      </c>
      <c r="L29" s="156" t="s">
        <v>3826</v>
      </c>
      <c r="M29" s="157" t="s">
        <v>4000</v>
      </c>
      <c r="N29" s="157" t="s">
        <v>314</v>
      </c>
      <c r="O29" s="157" t="s">
        <v>3829</v>
      </c>
    </row>
    <row r="30" customFormat="false" ht="36" hidden="false" customHeight="true" outlineLevel="0" collapsed="false">
      <c r="A30" s="156" t="s">
        <v>4001</v>
      </c>
      <c r="B30" s="156" t="s">
        <v>3818</v>
      </c>
      <c r="C30" s="157" t="s">
        <v>4002</v>
      </c>
      <c r="D30" s="157" t="s">
        <v>4003</v>
      </c>
      <c r="E30" s="156" t="s">
        <v>4004</v>
      </c>
      <c r="F30" s="156" t="s">
        <v>3919</v>
      </c>
      <c r="G30" s="156" t="s">
        <v>3823</v>
      </c>
      <c r="H30" s="157" t="s">
        <v>4005</v>
      </c>
      <c r="I30" s="156" t="n">
        <v>2022</v>
      </c>
      <c r="J30" s="157" t="s">
        <v>4006</v>
      </c>
      <c r="K30" s="156" t="n">
        <v>5</v>
      </c>
      <c r="L30" s="156" t="s">
        <v>3826</v>
      </c>
      <c r="M30" s="157" t="s">
        <v>4007</v>
      </c>
      <c r="N30" s="157" t="s">
        <v>314</v>
      </c>
      <c r="O30" s="157" t="s">
        <v>3829</v>
      </c>
    </row>
    <row r="31" customFormat="false" ht="36" hidden="false" customHeight="true" outlineLevel="0" collapsed="false">
      <c r="A31" s="156" t="s">
        <v>4008</v>
      </c>
      <c r="B31" s="156" t="s">
        <v>3818</v>
      </c>
      <c r="C31" s="157" t="s">
        <v>4009</v>
      </c>
      <c r="D31" s="157" t="s">
        <v>4010</v>
      </c>
      <c r="E31" s="156" t="s">
        <v>4011</v>
      </c>
      <c r="F31" s="156" t="s">
        <v>3927</v>
      </c>
      <c r="G31" s="156" t="s">
        <v>3875</v>
      </c>
      <c r="H31" s="157" t="s">
        <v>4012</v>
      </c>
      <c r="I31" s="156" t="n">
        <v>2023</v>
      </c>
      <c r="J31" s="157" t="s">
        <v>4013</v>
      </c>
      <c r="K31" s="156" t="n">
        <v>5</v>
      </c>
      <c r="L31" s="156" t="s">
        <v>4014</v>
      </c>
      <c r="M31" s="157" t="s">
        <v>4015</v>
      </c>
      <c r="N31" s="157" t="s">
        <v>314</v>
      </c>
      <c r="O31" s="157" t="s">
        <v>3829</v>
      </c>
    </row>
    <row r="32" customFormat="false" ht="36" hidden="false" customHeight="true" outlineLevel="0" collapsed="false">
      <c r="A32" s="139" t="s">
        <v>4016</v>
      </c>
      <c r="B32" s="139" t="s">
        <v>3938</v>
      </c>
      <c r="C32" s="140" t="s">
        <v>4017</v>
      </c>
      <c r="D32" s="140" t="s">
        <v>173</v>
      </c>
      <c r="E32" s="139" t="s">
        <v>4004</v>
      </c>
      <c r="F32" s="139" t="s">
        <v>3842</v>
      </c>
      <c r="G32" s="139" t="s">
        <v>3823</v>
      </c>
      <c r="H32" s="140" t="s">
        <v>4018</v>
      </c>
      <c r="I32" s="139"/>
      <c r="J32" s="140" t="s">
        <v>4019</v>
      </c>
      <c r="K32" s="139" t="n">
        <v>5</v>
      </c>
      <c r="L32" s="139" t="s">
        <v>3944</v>
      </c>
      <c r="M32" s="140" t="s">
        <v>4020</v>
      </c>
      <c r="N32" s="140" t="s">
        <v>314</v>
      </c>
      <c r="O32" s="140" t="s">
        <v>3829</v>
      </c>
    </row>
    <row r="33" customFormat="false" ht="36" hidden="false" customHeight="true" outlineLevel="0" collapsed="false">
      <c r="A33" s="156" t="s">
        <v>4021</v>
      </c>
      <c r="B33" s="156" t="s">
        <v>3818</v>
      </c>
      <c r="C33" s="157" t="s">
        <v>4022</v>
      </c>
      <c r="D33" s="157" t="s">
        <v>133</v>
      </c>
      <c r="E33" s="156" t="s">
        <v>4023</v>
      </c>
      <c r="F33" s="156" t="s">
        <v>3842</v>
      </c>
      <c r="G33" s="156" t="s">
        <v>3823</v>
      </c>
      <c r="H33" s="157" t="s">
        <v>4024</v>
      </c>
      <c r="I33" s="156" t="n">
        <v>2023</v>
      </c>
      <c r="J33" s="157" t="s">
        <v>4025</v>
      </c>
      <c r="K33" s="156" t="n">
        <v>5</v>
      </c>
      <c r="L33" s="156" t="s">
        <v>3826</v>
      </c>
      <c r="M33" s="157" t="s">
        <v>4026</v>
      </c>
      <c r="N33" s="157" t="s">
        <v>377</v>
      </c>
      <c r="O33" s="157" t="s">
        <v>3829</v>
      </c>
    </row>
    <row r="34" customFormat="false" ht="36" hidden="false" customHeight="true" outlineLevel="0" collapsed="false">
      <c r="A34" s="156" t="s">
        <v>4027</v>
      </c>
      <c r="B34" s="156" t="s">
        <v>3818</v>
      </c>
      <c r="C34" s="157" t="s">
        <v>4028</v>
      </c>
      <c r="D34" s="157" t="s">
        <v>4029</v>
      </c>
      <c r="E34" s="156" t="s">
        <v>4023</v>
      </c>
      <c r="F34" s="156" t="s">
        <v>3959</v>
      </c>
      <c r="G34" s="156" t="s">
        <v>3823</v>
      </c>
      <c r="H34" s="157" t="s">
        <v>4030</v>
      </c>
      <c r="I34" s="156" t="n">
        <v>2023</v>
      </c>
      <c r="J34" s="157" t="s">
        <v>4031</v>
      </c>
      <c r="K34" s="156" t="n">
        <v>5</v>
      </c>
      <c r="L34" s="156" t="s">
        <v>3826</v>
      </c>
      <c r="M34" s="157" t="s">
        <v>4032</v>
      </c>
      <c r="N34" s="157" t="s">
        <v>377</v>
      </c>
      <c r="O34" s="157" t="s">
        <v>3829</v>
      </c>
    </row>
    <row r="35" customFormat="false" ht="36" hidden="false" customHeight="true" outlineLevel="0" collapsed="false">
      <c r="A35" s="139" t="s">
        <v>4033</v>
      </c>
      <c r="B35" s="139" t="s">
        <v>3938</v>
      </c>
      <c r="C35" s="140" t="s">
        <v>4034</v>
      </c>
      <c r="D35" s="140" t="s">
        <v>4029</v>
      </c>
      <c r="E35" s="139" t="s">
        <v>4035</v>
      </c>
      <c r="F35" s="139" t="s">
        <v>3842</v>
      </c>
      <c r="G35" s="139" t="s">
        <v>3823</v>
      </c>
      <c r="H35" s="140" t="s">
        <v>4036</v>
      </c>
      <c r="I35" s="139"/>
      <c r="J35" s="140" t="s">
        <v>4037</v>
      </c>
      <c r="K35" s="139" t="n">
        <v>4</v>
      </c>
      <c r="L35" s="139" t="s">
        <v>3944</v>
      </c>
      <c r="M35" s="140" t="s">
        <v>4038</v>
      </c>
      <c r="O35" s="1" t="s">
        <v>3829</v>
      </c>
    </row>
    <row r="36" customFormat="false" ht="36" hidden="false" customHeight="true" outlineLevel="0" collapsed="false">
      <c r="A36" s="156" t="s">
        <v>4039</v>
      </c>
      <c r="B36" s="156" t="s">
        <v>3818</v>
      </c>
      <c r="C36" s="157" t="s">
        <v>4040</v>
      </c>
      <c r="D36" s="157" t="s">
        <v>4041</v>
      </c>
      <c r="E36" s="156" t="s">
        <v>4042</v>
      </c>
      <c r="F36" s="156" t="s">
        <v>3927</v>
      </c>
      <c r="G36" s="156" t="s">
        <v>3823</v>
      </c>
      <c r="H36" s="157" t="s">
        <v>4043</v>
      </c>
      <c r="I36" s="156" t="n">
        <v>2024</v>
      </c>
      <c r="J36" s="157" t="s">
        <v>4044</v>
      </c>
      <c r="K36" s="156" t="n">
        <v>5</v>
      </c>
      <c r="L36" s="156" t="s">
        <v>3826</v>
      </c>
      <c r="M36" s="157" t="s">
        <v>4045</v>
      </c>
      <c r="N36" s="157" t="s">
        <v>291</v>
      </c>
      <c r="O36" s="157" t="s">
        <v>3829</v>
      </c>
    </row>
    <row r="37" customFormat="false" ht="36" hidden="false" customHeight="true" outlineLevel="0" collapsed="false">
      <c r="A37" s="156" t="s">
        <v>4046</v>
      </c>
      <c r="B37" s="156" t="s">
        <v>3818</v>
      </c>
      <c r="C37" s="157" t="s">
        <v>4047</v>
      </c>
      <c r="D37" s="157" t="s">
        <v>3832</v>
      </c>
      <c r="E37" s="156" t="s">
        <v>4048</v>
      </c>
      <c r="F37" s="156" t="s">
        <v>3959</v>
      </c>
      <c r="G37" s="156" t="s">
        <v>3823</v>
      </c>
      <c r="H37" s="157" t="s">
        <v>4049</v>
      </c>
      <c r="I37" s="156" t="n">
        <v>2008</v>
      </c>
      <c r="J37" s="157" t="s">
        <v>4050</v>
      </c>
      <c r="K37" s="156" t="n">
        <v>5</v>
      </c>
      <c r="L37" s="156" t="s">
        <v>3826</v>
      </c>
      <c r="M37" s="157" t="s">
        <v>4051</v>
      </c>
      <c r="N37" s="157" t="s">
        <v>291</v>
      </c>
      <c r="O37" s="157" t="s">
        <v>3829</v>
      </c>
    </row>
    <row r="38" customFormat="false" ht="36" hidden="false" customHeight="true" outlineLevel="0" collapsed="false">
      <c r="A38" s="156" t="s">
        <v>4052</v>
      </c>
      <c r="B38" s="156" t="s">
        <v>3818</v>
      </c>
      <c r="C38" s="157" t="s">
        <v>4053</v>
      </c>
      <c r="D38" s="157" t="s">
        <v>72</v>
      </c>
      <c r="E38" s="156" t="s">
        <v>4054</v>
      </c>
      <c r="F38" s="156" t="s">
        <v>3919</v>
      </c>
      <c r="G38" s="156" t="s">
        <v>3823</v>
      </c>
      <c r="H38" s="157" t="s">
        <v>4055</v>
      </c>
      <c r="I38" s="156" t="n">
        <v>2022</v>
      </c>
      <c r="J38" s="157" t="s">
        <v>4056</v>
      </c>
      <c r="K38" s="156" t="n">
        <v>5</v>
      </c>
      <c r="L38" s="156" t="s">
        <v>3826</v>
      </c>
      <c r="M38" s="157" t="s">
        <v>4057</v>
      </c>
      <c r="N38" s="157" t="s">
        <v>291</v>
      </c>
      <c r="O38" s="157" t="s">
        <v>3829</v>
      </c>
    </row>
    <row r="39" customFormat="false" ht="36" hidden="false" customHeight="true" outlineLevel="0" collapsed="false">
      <c r="A39" s="139" t="s">
        <v>4058</v>
      </c>
      <c r="B39" s="139" t="s">
        <v>3938</v>
      </c>
      <c r="C39" s="140" t="s">
        <v>4059</v>
      </c>
      <c r="D39" s="140" t="s">
        <v>4060</v>
      </c>
      <c r="E39" s="139" t="s">
        <v>4061</v>
      </c>
      <c r="F39" s="139" t="s">
        <v>3842</v>
      </c>
      <c r="G39" s="139" t="s">
        <v>3823</v>
      </c>
      <c r="H39" s="140" t="s">
        <v>4062</v>
      </c>
      <c r="I39" s="139"/>
      <c r="J39" s="140" t="s">
        <v>4063</v>
      </c>
      <c r="K39" s="139" t="n">
        <v>4</v>
      </c>
      <c r="L39" s="139" t="s">
        <v>3944</v>
      </c>
      <c r="M39" s="140" t="s">
        <v>4064</v>
      </c>
      <c r="N39" s="140" t="s">
        <v>4065</v>
      </c>
      <c r="O39" s="140" t="s">
        <v>3829</v>
      </c>
    </row>
    <row r="40" customFormat="false" ht="36" hidden="false" customHeight="true" outlineLevel="0" collapsed="false">
      <c r="A40" s="160" t="s">
        <v>4066</v>
      </c>
      <c r="B40" s="160" t="s">
        <v>3947</v>
      </c>
      <c r="C40" s="161" t="s">
        <v>4067</v>
      </c>
      <c r="D40" s="161" t="s">
        <v>4068</v>
      </c>
      <c r="E40" s="160" t="s">
        <v>4069</v>
      </c>
      <c r="F40" s="160" t="s">
        <v>3951</v>
      </c>
      <c r="G40" s="160" t="s">
        <v>3823</v>
      </c>
      <c r="H40" s="161" t="s">
        <v>4070</v>
      </c>
      <c r="I40" s="160"/>
      <c r="J40" s="161" t="s">
        <v>4071</v>
      </c>
      <c r="K40" s="160" t="n">
        <v>5</v>
      </c>
      <c r="L40" s="160" t="s">
        <v>3947</v>
      </c>
      <c r="M40" s="161" t="s">
        <v>4072</v>
      </c>
      <c r="N40" s="161" t="s">
        <v>291</v>
      </c>
      <c r="O40" s="161" t="s">
        <v>3829</v>
      </c>
    </row>
    <row r="41" customFormat="false" ht="36" hidden="false" customHeight="true" outlineLevel="0" collapsed="false">
      <c r="A41" s="156" t="s">
        <v>4073</v>
      </c>
      <c r="B41" s="156" t="s">
        <v>3818</v>
      </c>
      <c r="C41" s="157" t="s">
        <v>4074</v>
      </c>
      <c r="D41" s="157" t="s">
        <v>4075</v>
      </c>
      <c r="E41" s="156" t="s">
        <v>4076</v>
      </c>
      <c r="F41" s="156" t="s">
        <v>3919</v>
      </c>
      <c r="G41" s="156" t="s">
        <v>3823</v>
      </c>
      <c r="H41" s="157" t="s">
        <v>4077</v>
      </c>
      <c r="I41" s="156" t="n">
        <v>2024</v>
      </c>
      <c r="J41" s="157" t="s">
        <v>4078</v>
      </c>
      <c r="K41" s="156" t="n">
        <v>5</v>
      </c>
      <c r="L41" s="156" t="s">
        <v>3826</v>
      </c>
      <c r="M41" s="157" t="s">
        <v>4079</v>
      </c>
      <c r="N41" s="157" t="s">
        <v>407</v>
      </c>
      <c r="O41" s="157" t="s">
        <v>3829</v>
      </c>
    </row>
    <row r="42" customFormat="false" ht="36" hidden="false" customHeight="true" outlineLevel="0" collapsed="false">
      <c r="A42" s="156" t="s">
        <v>4080</v>
      </c>
      <c r="B42" s="156" t="s">
        <v>3818</v>
      </c>
      <c r="C42" s="157" t="s">
        <v>4081</v>
      </c>
      <c r="D42" s="157" t="s">
        <v>4082</v>
      </c>
      <c r="E42" s="156" t="s">
        <v>4076</v>
      </c>
      <c r="F42" s="156" t="s">
        <v>3927</v>
      </c>
      <c r="G42" s="156" t="s">
        <v>3823</v>
      </c>
      <c r="H42" s="157" t="s">
        <v>4083</v>
      </c>
      <c r="I42" s="156" t="n">
        <v>2023</v>
      </c>
      <c r="J42" s="157" t="s">
        <v>4084</v>
      </c>
      <c r="K42" s="156" t="n">
        <v>4</v>
      </c>
      <c r="L42" s="156" t="s">
        <v>3826</v>
      </c>
      <c r="M42" s="157" t="s">
        <v>4085</v>
      </c>
      <c r="N42" s="157" t="s">
        <v>407</v>
      </c>
      <c r="O42" s="157" t="s">
        <v>3829</v>
      </c>
    </row>
    <row r="43" customFormat="false" ht="36" hidden="false" customHeight="true" outlineLevel="0" collapsed="false">
      <c r="A43" s="139" t="s">
        <v>4086</v>
      </c>
      <c r="B43" s="139" t="s">
        <v>3938</v>
      </c>
      <c r="C43" s="140" t="s">
        <v>4087</v>
      </c>
      <c r="D43" s="140" t="s">
        <v>4088</v>
      </c>
      <c r="E43" s="139" t="s">
        <v>4089</v>
      </c>
      <c r="F43" s="139" t="s">
        <v>3842</v>
      </c>
      <c r="G43" s="139" t="s">
        <v>3981</v>
      </c>
      <c r="H43" s="140" t="s">
        <v>4090</v>
      </c>
      <c r="I43" s="139"/>
      <c r="J43" s="140" t="s">
        <v>4091</v>
      </c>
      <c r="K43" s="139" t="n">
        <v>5</v>
      </c>
      <c r="L43" s="139" t="s">
        <v>3984</v>
      </c>
      <c r="M43" s="140" t="s">
        <v>4092</v>
      </c>
      <c r="N43" s="140" t="s">
        <v>407</v>
      </c>
      <c r="O43" s="140" t="s">
        <v>3829</v>
      </c>
    </row>
    <row r="44" customFormat="false" ht="36" hidden="false" customHeight="true" outlineLevel="0" collapsed="false">
      <c r="A44" s="156" t="s">
        <v>4093</v>
      </c>
      <c r="B44" s="156" t="s">
        <v>3818</v>
      </c>
      <c r="C44" s="157" t="s">
        <v>4094</v>
      </c>
      <c r="D44" s="157" t="s">
        <v>4095</v>
      </c>
      <c r="E44" s="156" t="s">
        <v>4096</v>
      </c>
      <c r="F44" s="156" t="s">
        <v>3959</v>
      </c>
      <c r="G44" s="156" t="s">
        <v>3823</v>
      </c>
      <c r="H44" s="157" t="s">
        <v>4097</v>
      </c>
      <c r="I44" s="156" t="n">
        <v>2023</v>
      </c>
      <c r="J44" s="157" t="s">
        <v>4098</v>
      </c>
      <c r="K44" s="156" t="n">
        <v>4</v>
      </c>
      <c r="L44" s="156" t="s">
        <v>3826</v>
      </c>
      <c r="M44" s="157" t="s">
        <v>4099</v>
      </c>
      <c r="N44" s="157" t="s">
        <v>392</v>
      </c>
      <c r="O44" s="157" t="s">
        <v>3829</v>
      </c>
    </row>
    <row r="45" customFormat="false" ht="36" hidden="false" customHeight="true" outlineLevel="0" collapsed="false">
      <c r="A45" s="156" t="s">
        <v>4100</v>
      </c>
      <c r="B45" s="156" t="s">
        <v>3818</v>
      </c>
      <c r="C45" s="157" t="s">
        <v>4101</v>
      </c>
      <c r="D45" s="157" t="s">
        <v>4102</v>
      </c>
      <c r="E45" s="156" t="s">
        <v>4103</v>
      </c>
      <c r="F45" s="156" t="s">
        <v>3919</v>
      </c>
      <c r="G45" s="156" t="s">
        <v>3823</v>
      </c>
      <c r="H45" s="157" t="s">
        <v>4104</v>
      </c>
      <c r="I45" s="156" t="n">
        <v>2023</v>
      </c>
      <c r="J45" s="157" t="s">
        <v>4105</v>
      </c>
      <c r="K45" s="156" t="n">
        <v>5</v>
      </c>
      <c r="L45" s="156" t="s">
        <v>3826</v>
      </c>
      <c r="M45" s="157" t="s">
        <v>4106</v>
      </c>
      <c r="N45" s="157" t="s">
        <v>392</v>
      </c>
      <c r="O45" s="157" t="s">
        <v>3829</v>
      </c>
    </row>
    <row r="46" customFormat="false" ht="36" hidden="false" customHeight="true" outlineLevel="0" collapsed="false">
      <c r="A46" s="139" t="s">
        <v>4107</v>
      </c>
      <c r="B46" s="139" t="s">
        <v>3938</v>
      </c>
      <c r="C46" s="140" t="s">
        <v>4108</v>
      </c>
      <c r="D46" s="140" t="s">
        <v>4102</v>
      </c>
      <c r="E46" s="139" t="s">
        <v>4103</v>
      </c>
      <c r="F46" s="139" t="s">
        <v>3842</v>
      </c>
      <c r="G46" s="139" t="s">
        <v>3823</v>
      </c>
      <c r="H46" s="140" t="s">
        <v>4109</v>
      </c>
      <c r="I46" s="139"/>
      <c r="J46" s="140" t="s">
        <v>4110</v>
      </c>
      <c r="K46" s="139" t="n">
        <v>4</v>
      </c>
      <c r="L46" s="139" t="s">
        <v>3944</v>
      </c>
      <c r="M46" s="140" t="s">
        <v>4111</v>
      </c>
      <c r="N46" s="140" t="s">
        <v>392</v>
      </c>
      <c r="O46" s="140" t="s">
        <v>3829</v>
      </c>
    </row>
    <row r="47" customFormat="false" ht="36" hidden="false" customHeight="true" outlineLevel="0" collapsed="false">
      <c r="A47" s="160" t="s">
        <v>4112</v>
      </c>
      <c r="B47" s="160" t="s">
        <v>3947</v>
      </c>
      <c r="C47" s="161" t="s">
        <v>4113</v>
      </c>
      <c r="D47" s="161" t="s">
        <v>3820</v>
      </c>
      <c r="E47" s="160" t="s">
        <v>4114</v>
      </c>
      <c r="F47" s="160" t="s">
        <v>3951</v>
      </c>
      <c r="G47" s="160" t="s">
        <v>3823</v>
      </c>
      <c r="H47" s="161" t="s">
        <v>4115</v>
      </c>
      <c r="I47" s="160"/>
      <c r="J47" s="161" t="s">
        <v>4116</v>
      </c>
      <c r="K47" s="160" t="n">
        <v>5</v>
      </c>
      <c r="L47" s="160" t="s">
        <v>3947</v>
      </c>
      <c r="M47" s="161" t="s">
        <v>4117</v>
      </c>
      <c r="N47" s="161" t="s">
        <v>3828</v>
      </c>
      <c r="O47" s="161" t="s">
        <v>3829</v>
      </c>
    </row>
    <row r="48" customFormat="false" ht="36" hidden="false" customHeight="true" outlineLevel="0" collapsed="false">
      <c r="A48" s="160" t="s">
        <v>4118</v>
      </c>
      <c r="B48" s="160" t="s">
        <v>3947</v>
      </c>
      <c r="C48" s="161" t="s">
        <v>4119</v>
      </c>
      <c r="D48" s="161" t="s">
        <v>3820</v>
      </c>
      <c r="E48" s="160" t="s">
        <v>4114</v>
      </c>
      <c r="F48" s="160" t="s">
        <v>3951</v>
      </c>
      <c r="G48" s="160" t="s">
        <v>3823</v>
      </c>
      <c r="H48" s="161" t="s">
        <v>4120</v>
      </c>
      <c r="I48" s="160"/>
      <c r="J48" s="161" t="s">
        <v>4121</v>
      </c>
      <c r="K48" s="160" t="n">
        <v>5</v>
      </c>
      <c r="L48" s="160" t="s">
        <v>3947</v>
      </c>
      <c r="M48" s="161" t="s">
        <v>4122</v>
      </c>
      <c r="N48" s="161" t="s">
        <v>3828</v>
      </c>
      <c r="O48" s="161" t="s">
        <v>3829</v>
      </c>
    </row>
    <row r="49" customFormat="false" ht="36" hidden="false" customHeight="true" outlineLevel="0" collapsed="false">
      <c r="A49" s="160" t="s">
        <v>4123</v>
      </c>
      <c r="B49" s="160" t="s">
        <v>3947</v>
      </c>
      <c r="C49" s="161" t="s">
        <v>4124</v>
      </c>
      <c r="D49" s="161" t="s">
        <v>4125</v>
      </c>
      <c r="E49" s="160" t="s">
        <v>3841</v>
      </c>
      <c r="F49" s="160" t="s">
        <v>3951</v>
      </c>
      <c r="G49" s="160" t="s">
        <v>3823</v>
      </c>
      <c r="H49" s="161" t="s">
        <v>4126</v>
      </c>
      <c r="I49" s="160"/>
      <c r="J49" s="161" t="s">
        <v>4127</v>
      </c>
      <c r="K49" s="160" t="n">
        <v>4</v>
      </c>
      <c r="L49" s="160" t="s">
        <v>3947</v>
      </c>
      <c r="M49" s="161" t="s">
        <v>4128</v>
      </c>
      <c r="N49" s="161" t="s">
        <v>377</v>
      </c>
      <c r="O49" s="161" t="s">
        <v>3829</v>
      </c>
    </row>
    <row r="50" customFormat="false" ht="36" hidden="false" customHeight="true" outlineLevel="0" collapsed="false">
      <c r="A50" s="160" t="s">
        <v>4129</v>
      </c>
      <c r="B50" s="160" t="s">
        <v>3947</v>
      </c>
      <c r="C50" s="161" t="s">
        <v>4130</v>
      </c>
      <c r="D50" s="161" t="s">
        <v>3820</v>
      </c>
      <c r="E50" s="160" t="s">
        <v>3821</v>
      </c>
      <c r="F50" s="160" t="s">
        <v>3951</v>
      </c>
      <c r="G50" s="160" t="s">
        <v>3990</v>
      </c>
      <c r="H50" s="161" t="s">
        <v>4131</v>
      </c>
      <c r="I50" s="160"/>
      <c r="J50" s="161" t="s">
        <v>4132</v>
      </c>
      <c r="K50" s="160" t="n">
        <v>4</v>
      </c>
      <c r="L50" s="160" t="s">
        <v>3993</v>
      </c>
      <c r="M50" s="161" t="s">
        <v>4133</v>
      </c>
      <c r="N50" s="161" t="s">
        <v>3828</v>
      </c>
      <c r="O50" s="161" t="s">
        <v>3829</v>
      </c>
    </row>
    <row r="51" customFormat="false" ht="36" hidden="false" customHeight="true" outlineLevel="0" collapsed="false">
      <c r="A51" s="160" t="s">
        <v>4134</v>
      </c>
      <c r="B51" s="160" t="s">
        <v>3947</v>
      </c>
      <c r="C51" s="161" t="s">
        <v>4135</v>
      </c>
      <c r="D51" s="161" t="s">
        <v>4136</v>
      </c>
      <c r="E51" s="160" t="s">
        <v>3821</v>
      </c>
      <c r="F51" s="160" t="s">
        <v>3951</v>
      </c>
      <c r="G51" s="160" t="s">
        <v>3823</v>
      </c>
      <c r="H51" s="161" t="s">
        <v>4137</v>
      </c>
      <c r="I51" s="160"/>
      <c r="J51" s="161" t="s">
        <v>4138</v>
      </c>
      <c r="K51" s="160" t="n">
        <v>5</v>
      </c>
      <c r="L51" s="160" t="s">
        <v>3947</v>
      </c>
      <c r="M51" s="161" t="s">
        <v>4139</v>
      </c>
      <c r="N51" s="161" t="s">
        <v>3828</v>
      </c>
      <c r="O51" s="161" t="s">
        <v>3829</v>
      </c>
    </row>
    <row r="52" customFormat="false" ht="36" hidden="false" customHeight="true" outlineLevel="0" collapsed="false">
      <c r="A52" s="160" t="s">
        <v>4140</v>
      </c>
      <c r="B52" s="160" t="s">
        <v>3947</v>
      </c>
      <c r="C52" s="161" t="s">
        <v>4141</v>
      </c>
      <c r="D52" s="161" t="s">
        <v>4142</v>
      </c>
      <c r="E52" s="160" t="s">
        <v>3821</v>
      </c>
      <c r="F52" s="160" t="s">
        <v>3951</v>
      </c>
      <c r="G52" s="160" t="s">
        <v>4143</v>
      </c>
      <c r="H52" s="161" t="s">
        <v>4144</v>
      </c>
      <c r="I52" s="160"/>
      <c r="J52" s="161" t="s">
        <v>4145</v>
      </c>
      <c r="K52" s="160" t="n">
        <v>5</v>
      </c>
      <c r="L52" s="160" t="s">
        <v>3993</v>
      </c>
      <c r="M52" s="161" t="s">
        <v>4146</v>
      </c>
      <c r="N52" s="161" t="s">
        <v>3828</v>
      </c>
      <c r="O52" s="161" t="s">
        <v>3829</v>
      </c>
    </row>
    <row r="53" customFormat="false" ht="36" hidden="false" customHeight="true" outlineLevel="0" collapsed="false">
      <c r="A53" s="160" t="s">
        <v>4147</v>
      </c>
      <c r="B53" s="160" t="s">
        <v>3947</v>
      </c>
      <c r="C53" s="161" t="s">
        <v>4148</v>
      </c>
      <c r="D53" s="161" t="s">
        <v>4149</v>
      </c>
      <c r="E53" s="160" t="s">
        <v>3821</v>
      </c>
      <c r="F53" s="160" t="s">
        <v>3951</v>
      </c>
      <c r="G53" s="160" t="s">
        <v>4150</v>
      </c>
      <c r="H53" s="161" t="s">
        <v>4151</v>
      </c>
      <c r="I53" s="160"/>
      <c r="J53" s="161" t="s">
        <v>4152</v>
      </c>
      <c r="K53" s="160" t="n">
        <v>5</v>
      </c>
      <c r="L53" s="160" t="s">
        <v>3993</v>
      </c>
      <c r="M53" s="161" t="s">
        <v>4153</v>
      </c>
      <c r="N53" s="161" t="s">
        <v>3828</v>
      </c>
      <c r="O53" s="161" t="s">
        <v>3829</v>
      </c>
    </row>
    <row r="54" customFormat="false" ht="36" hidden="false" customHeight="true" outlineLevel="0" collapsed="false">
      <c r="A54" s="162" t="s">
        <v>4154</v>
      </c>
      <c r="B54" s="162" t="s">
        <v>4155</v>
      </c>
      <c r="C54" s="163" t="s">
        <v>4156</v>
      </c>
      <c r="D54" s="163" t="s">
        <v>4157</v>
      </c>
      <c r="E54" s="162" t="s">
        <v>4158</v>
      </c>
      <c r="F54" s="162" t="s">
        <v>363</v>
      </c>
      <c r="G54" s="162" t="s">
        <v>3990</v>
      </c>
      <c r="H54" s="163" t="s">
        <v>4159</v>
      </c>
      <c r="I54" s="162"/>
      <c r="J54" s="163" t="s">
        <v>4160</v>
      </c>
      <c r="K54" s="162" t="n">
        <v>5</v>
      </c>
      <c r="L54" s="162" t="s">
        <v>4161</v>
      </c>
      <c r="M54" s="163" t="s">
        <v>4162</v>
      </c>
      <c r="N54" s="163" t="s">
        <v>4065</v>
      </c>
      <c r="O54" s="163" t="s">
        <v>3829</v>
      </c>
    </row>
    <row r="55" customFormat="false" ht="36" hidden="false" customHeight="true" outlineLevel="0" collapsed="false">
      <c r="A55" s="162" t="s">
        <v>4163</v>
      </c>
      <c r="B55" s="162" t="s">
        <v>4155</v>
      </c>
      <c r="C55" s="163" t="s">
        <v>4164</v>
      </c>
      <c r="D55" s="163" t="s">
        <v>403</v>
      </c>
      <c r="E55" s="162" t="s">
        <v>4076</v>
      </c>
      <c r="F55" s="162" t="s">
        <v>363</v>
      </c>
      <c r="G55" s="162" t="s">
        <v>3990</v>
      </c>
      <c r="H55" s="163" t="s">
        <v>4165</v>
      </c>
      <c r="I55" s="162"/>
      <c r="J55" s="163" t="s">
        <v>4166</v>
      </c>
      <c r="K55" s="162" t="n">
        <v>5</v>
      </c>
      <c r="L55" s="162" t="s">
        <v>4161</v>
      </c>
      <c r="M55" s="163" t="s">
        <v>4167</v>
      </c>
      <c r="N55" s="163" t="s">
        <v>407</v>
      </c>
      <c r="O55" s="163" t="s">
        <v>3829</v>
      </c>
    </row>
    <row r="56" customFormat="false" ht="36" hidden="false" customHeight="true" outlineLevel="0" collapsed="false">
      <c r="A56" s="162" t="s">
        <v>4168</v>
      </c>
      <c r="B56" s="162" t="s">
        <v>4155</v>
      </c>
      <c r="C56" s="163" t="s">
        <v>4169</v>
      </c>
      <c r="D56" s="163" t="s">
        <v>4170</v>
      </c>
      <c r="E56" s="162" t="s">
        <v>4171</v>
      </c>
      <c r="F56" s="162" t="s">
        <v>363</v>
      </c>
      <c r="G56" s="162" t="s">
        <v>3990</v>
      </c>
      <c r="H56" s="163" t="s">
        <v>4172</v>
      </c>
      <c r="I56" s="162"/>
      <c r="J56" s="163" t="s">
        <v>4173</v>
      </c>
      <c r="K56" s="162" t="n">
        <v>5</v>
      </c>
      <c r="L56" s="162" t="s">
        <v>4161</v>
      </c>
      <c r="M56" s="163" t="s">
        <v>4174</v>
      </c>
      <c r="N56" s="163" t="s">
        <v>3828</v>
      </c>
      <c r="O56" s="163" t="s">
        <v>3829</v>
      </c>
    </row>
    <row r="57" customFormat="false" ht="36" hidden="false" customHeight="true" outlineLevel="0" collapsed="false">
      <c r="A57" s="164" t="s">
        <v>4175</v>
      </c>
      <c r="B57" s="164" t="s">
        <v>4176</v>
      </c>
      <c r="C57" s="165" t="s">
        <v>4177</v>
      </c>
      <c r="D57" s="165" t="s">
        <v>3820</v>
      </c>
      <c r="E57" s="164" t="s">
        <v>3821</v>
      </c>
      <c r="F57" s="164" t="s">
        <v>4178</v>
      </c>
      <c r="G57" s="164" t="s">
        <v>4179</v>
      </c>
      <c r="H57" s="165" t="s">
        <v>4180</v>
      </c>
      <c r="I57" s="164" t="n">
        <v>2024</v>
      </c>
      <c r="J57" s="165" t="s">
        <v>4181</v>
      </c>
      <c r="K57" s="164" t="n">
        <v>4</v>
      </c>
      <c r="L57" s="164" t="s">
        <v>4182</v>
      </c>
      <c r="M57" s="165" t="s">
        <v>4183</v>
      </c>
      <c r="N57" s="165" t="s">
        <v>1408</v>
      </c>
      <c r="O57" s="165" t="s">
        <v>3829</v>
      </c>
    </row>
    <row r="58" customFormat="false" ht="36" hidden="false" customHeight="true" outlineLevel="0" collapsed="false">
      <c r="A58" s="164" t="s">
        <v>4184</v>
      </c>
      <c r="B58" s="164" t="s">
        <v>4176</v>
      </c>
      <c r="C58" s="165" t="s">
        <v>4185</v>
      </c>
      <c r="D58" s="165" t="s">
        <v>3917</v>
      </c>
      <c r="E58" s="164" t="s">
        <v>3918</v>
      </c>
      <c r="F58" s="164" t="s">
        <v>3860</v>
      </c>
      <c r="G58" s="164" t="s">
        <v>4179</v>
      </c>
      <c r="H58" s="165" t="s">
        <v>4186</v>
      </c>
      <c r="I58" s="164" t="n">
        <v>2024</v>
      </c>
      <c r="J58" s="165" t="s">
        <v>4187</v>
      </c>
      <c r="K58" s="164" t="n">
        <v>5</v>
      </c>
      <c r="L58" s="164" t="s">
        <v>4188</v>
      </c>
      <c r="M58" s="165" t="s">
        <v>4189</v>
      </c>
      <c r="N58" s="165" t="s">
        <v>364</v>
      </c>
      <c r="O58" s="165" t="s">
        <v>3829</v>
      </c>
    </row>
    <row r="59" customFormat="false" ht="36" hidden="false" customHeight="true" outlineLevel="0" collapsed="false">
      <c r="A59" s="164" t="s">
        <v>4190</v>
      </c>
      <c r="B59" s="164" t="s">
        <v>4176</v>
      </c>
      <c r="C59" s="165" t="s">
        <v>4191</v>
      </c>
      <c r="D59" s="165" t="s">
        <v>4192</v>
      </c>
      <c r="E59" s="164" t="s">
        <v>4193</v>
      </c>
      <c r="F59" s="164" t="s">
        <v>3860</v>
      </c>
      <c r="G59" s="164" t="s">
        <v>4179</v>
      </c>
      <c r="H59" s="165" t="s">
        <v>4194</v>
      </c>
      <c r="I59" s="164" t="n">
        <v>2024</v>
      </c>
      <c r="J59" s="165" t="s">
        <v>4195</v>
      </c>
      <c r="K59" s="164" t="n">
        <v>4</v>
      </c>
      <c r="L59" s="164" t="s">
        <v>4188</v>
      </c>
      <c r="M59" s="165" t="s">
        <v>4196</v>
      </c>
      <c r="N59" s="165" t="s">
        <v>348</v>
      </c>
      <c r="O59" s="165" t="s">
        <v>3829</v>
      </c>
    </row>
    <row r="60" customFormat="false" ht="36" hidden="false" customHeight="true" outlineLevel="0" collapsed="false">
      <c r="A60" s="164" t="s">
        <v>4197</v>
      </c>
      <c r="B60" s="164" t="s">
        <v>4176</v>
      </c>
      <c r="C60" s="165" t="s">
        <v>4198</v>
      </c>
      <c r="D60" s="165" t="s">
        <v>4199</v>
      </c>
      <c r="E60" s="164" t="s">
        <v>4200</v>
      </c>
      <c r="F60" s="164" t="s">
        <v>3842</v>
      </c>
      <c r="G60" s="164" t="s">
        <v>3990</v>
      </c>
      <c r="H60" s="165" t="s">
        <v>4201</v>
      </c>
      <c r="I60" s="164"/>
      <c r="J60" s="165" t="s">
        <v>4202</v>
      </c>
      <c r="K60" s="164" t="n">
        <v>5</v>
      </c>
      <c r="L60" s="164" t="s">
        <v>4203</v>
      </c>
      <c r="M60" s="165" t="s">
        <v>4204</v>
      </c>
      <c r="N60" s="165" t="s">
        <v>1408</v>
      </c>
      <c r="O60" s="165" t="s">
        <v>3829</v>
      </c>
    </row>
    <row r="61" customFormat="false" ht="36" hidden="false" customHeight="true" outlineLevel="0" collapsed="false">
      <c r="A61" s="158" t="s">
        <v>4205</v>
      </c>
      <c r="B61" s="158" t="s">
        <v>3903</v>
      </c>
      <c r="C61" s="159" t="s">
        <v>4206</v>
      </c>
      <c r="D61" s="159" t="s">
        <v>3820</v>
      </c>
      <c r="E61" s="158" t="s">
        <v>3821</v>
      </c>
      <c r="F61" s="158" t="s">
        <v>4207</v>
      </c>
      <c r="G61" s="158" t="s">
        <v>3990</v>
      </c>
      <c r="H61" s="159" t="s">
        <v>4208</v>
      </c>
      <c r="I61" s="158"/>
      <c r="J61" s="159" t="s">
        <v>4209</v>
      </c>
      <c r="K61" s="158" t="n">
        <v>5</v>
      </c>
      <c r="L61" s="158" t="s">
        <v>4210</v>
      </c>
      <c r="M61" s="159" t="s">
        <v>4211</v>
      </c>
      <c r="N61" s="159" t="s">
        <v>3828</v>
      </c>
      <c r="O61" s="159" t="s">
        <v>3829</v>
      </c>
    </row>
    <row r="62" customFormat="false" ht="15" hidden="false" customHeight="true" outlineLevel="0" collapsed="false">
      <c r="O62" s="1" t="s">
        <v>3829</v>
      </c>
    </row>
    <row r="63" customFormat="false" ht="15" hidden="false" customHeight="true" outlineLevel="0" collapsed="false">
      <c r="A63" s="166" t="s">
        <v>4212</v>
      </c>
      <c r="B63" s="166"/>
      <c r="C63" s="166"/>
      <c r="D63" s="166"/>
      <c r="E63" s="166"/>
      <c r="F63" s="166"/>
      <c r="G63" s="166"/>
      <c r="H63" s="166"/>
      <c r="I63" s="166"/>
      <c r="J63" s="166"/>
      <c r="K63" s="166"/>
      <c r="L63" s="166"/>
      <c r="M63" s="166"/>
      <c r="N63" s="166"/>
      <c r="O63" s="1" t="s">
        <v>3829</v>
      </c>
    </row>
  </sheetData>
  <mergeCells count="3">
    <mergeCell ref="A1:N1"/>
    <mergeCell ref="A2:N2"/>
    <mergeCell ref="A63:N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1" width="17"/>
    <col collapsed="false" customWidth="true" hidden="false" outlineLevel="0" max="2" min="2" style="1" width="22"/>
    <col collapsed="false" customWidth="true" hidden="false" outlineLevel="0" max="3" min="3" style="1" width="24"/>
    <col collapsed="false" customWidth="true" hidden="false" outlineLevel="0" max="4" min="4" style="1" width="52"/>
    <col collapsed="false" customWidth="true" hidden="false" outlineLevel="0" max="5" min="5" style="1" width="28"/>
    <col collapsed="false" customWidth="true" hidden="false" outlineLevel="0" max="6" min="6" style="1" width="32"/>
    <col collapsed="false" customWidth="true" hidden="false" outlineLevel="0" max="8" min="7" style="1" width="13"/>
    <col collapsed="false" customWidth="true" hidden="false" outlineLevel="0" max="9" min="9" style="1" width="10"/>
    <col collapsed="false" customWidth="true" hidden="false" outlineLevel="0" max="21" min="10" style="1" width="11"/>
    <col collapsed="false" customWidth="true" hidden="false" outlineLevel="0" max="24" min="22" style="1" width="14"/>
    <col collapsed="false" customWidth="true" hidden="false" outlineLevel="0" max="25" min="25" style="1" width="18"/>
    <col collapsed="false" customWidth="true" hidden="false" outlineLevel="0" max="26" min="26" style="1" width="9"/>
    <col collapsed="false" customWidth="true" hidden="false" outlineLevel="0" max="27" min="27" style="1" width="14"/>
    <col collapsed="false" customWidth="true" hidden="false" outlineLevel="0" max="28" min="28" style="1" width="10"/>
    <col collapsed="false" customWidth="true" hidden="false" outlineLevel="0" max="29" min="29" style="1" width="13"/>
    <col collapsed="false" customWidth="true" hidden="false" outlineLevel="0" max="30" min="30" style="1" width="52"/>
  </cols>
  <sheetData>
    <row r="1" customFormat="false" ht="30" hidden="false" customHeight="true" outlineLevel="0" collapsed="false">
      <c r="A1" s="167" t="s">
        <v>4213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row>
    <row r="2" customFormat="false" ht="15.75" hidden="false" customHeight="true" outlineLevel="0" collapsed="false">
      <c r="A2" s="168" t="s">
        <v>4214</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row>
    <row r="3" customFormat="false" ht="6" hidden="false" customHeight="true" outlineLevel="0" collapsed="false"/>
    <row r="4" customFormat="false" ht="19.5" hidden="false" customHeight="true" outlineLevel="0" collapsed="false">
      <c r="A4" s="169" t="s">
        <v>4215</v>
      </c>
      <c r="B4" s="169"/>
      <c r="C4" s="169"/>
      <c r="D4" s="169"/>
      <c r="E4" s="169"/>
      <c r="F4" s="169"/>
      <c r="G4" s="169"/>
      <c r="H4" s="170" t="s">
        <v>4216</v>
      </c>
      <c r="I4" s="170"/>
      <c r="J4" s="171" t="s">
        <v>4217</v>
      </c>
      <c r="K4" s="171"/>
      <c r="L4" s="171"/>
      <c r="M4" s="171"/>
      <c r="N4" s="171"/>
      <c r="O4" s="171"/>
      <c r="P4" s="171"/>
      <c r="Q4" s="171"/>
      <c r="R4" s="171"/>
      <c r="S4" s="171"/>
      <c r="T4" s="171"/>
      <c r="U4" s="171"/>
      <c r="V4" s="172" t="s">
        <v>4218</v>
      </c>
      <c r="W4" s="172"/>
      <c r="X4" s="172"/>
      <c r="Y4" s="172"/>
      <c r="Z4" s="173" t="s">
        <v>4219</v>
      </c>
      <c r="AA4" s="173"/>
      <c r="AB4" s="173"/>
      <c r="AC4" s="174" t="s">
        <v>4220</v>
      </c>
      <c r="AD4" s="174"/>
    </row>
    <row r="5" customFormat="false" ht="55.5" hidden="false" customHeight="true" outlineLevel="0" collapsed="false">
      <c r="A5" s="175" t="s">
        <v>2441</v>
      </c>
      <c r="B5" s="175" t="s">
        <v>3351</v>
      </c>
      <c r="C5" s="175" t="s">
        <v>4221</v>
      </c>
      <c r="D5" s="175" t="s">
        <v>4222</v>
      </c>
      <c r="E5" s="175" t="s">
        <v>4223</v>
      </c>
      <c r="F5" s="175" t="s">
        <v>4224</v>
      </c>
      <c r="G5" s="175" t="s">
        <v>3352</v>
      </c>
      <c r="H5" s="176" t="s">
        <v>4225</v>
      </c>
      <c r="I5" s="176" t="s">
        <v>4226</v>
      </c>
      <c r="J5" s="177" t="s">
        <v>4227</v>
      </c>
      <c r="K5" s="177" t="s">
        <v>4228</v>
      </c>
      <c r="L5" s="177" t="s">
        <v>4229</v>
      </c>
      <c r="M5" s="177" t="s">
        <v>4230</v>
      </c>
      <c r="N5" s="177" t="s">
        <v>4231</v>
      </c>
      <c r="O5" s="177" t="s">
        <v>4232</v>
      </c>
      <c r="P5" s="177" t="s">
        <v>4233</v>
      </c>
      <c r="Q5" s="177" t="s">
        <v>4234</v>
      </c>
      <c r="R5" s="177" t="s">
        <v>4235</v>
      </c>
      <c r="S5" s="177" t="s">
        <v>4236</v>
      </c>
      <c r="T5" s="177" t="s">
        <v>4237</v>
      </c>
      <c r="U5" s="177" t="s">
        <v>4238</v>
      </c>
      <c r="V5" s="178" t="s">
        <v>4239</v>
      </c>
      <c r="W5" s="178" t="s">
        <v>4240</v>
      </c>
      <c r="X5" s="178" t="s">
        <v>4241</v>
      </c>
      <c r="Y5" s="178" t="s">
        <v>4242</v>
      </c>
      <c r="Z5" s="179" t="s">
        <v>4243</v>
      </c>
      <c r="AA5" s="179" t="s">
        <v>4244</v>
      </c>
      <c r="AB5" s="179" t="s">
        <v>4245</v>
      </c>
      <c r="AC5" s="180" t="s">
        <v>4246</v>
      </c>
      <c r="AD5" s="180" t="s">
        <v>4247</v>
      </c>
      <c r="AE5" s="180" t="s">
        <v>35</v>
      </c>
    </row>
    <row r="6" customFormat="false" ht="54" hidden="false" customHeight="true" outlineLevel="0" collapsed="false">
      <c r="A6" s="181" t="s">
        <v>425</v>
      </c>
      <c r="B6" s="182" t="s">
        <v>426</v>
      </c>
      <c r="C6" s="183" t="s">
        <v>48</v>
      </c>
      <c r="D6" s="183" t="s">
        <v>432</v>
      </c>
      <c r="E6" s="183" t="s">
        <v>364</v>
      </c>
      <c r="F6" s="183" t="s">
        <v>4248</v>
      </c>
      <c r="G6" s="184" t="n">
        <v>45175</v>
      </c>
      <c r="H6" s="181" t="s">
        <v>345</v>
      </c>
      <c r="I6" s="185" t="s">
        <v>4249</v>
      </c>
      <c r="J6" s="186" t="s">
        <v>3376</v>
      </c>
      <c r="K6" s="186" t="s">
        <v>3376</v>
      </c>
      <c r="L6" s="186" t="s">
        <v>3376</v>
      </c>
      <c r="M6" s="186" t="s">
        <v>3376</v>
      </c>
      <c r="N6" s="186" t="s">
        <v>3376</v>
      </c>
      <c r="O6" s="186" t="s">
        <v>3376</v>
      </c>
      <c r="P6" s="187" t="s">
        <v>92</v>
      </c>
      <c r="Q6" s="188" t="s">
        <v>61</v>
      </c>
      <c r="R6" s="188" t="s">
        <v>61</v>
      </c>
      <c r="S6" s="188" t="s">
        <v>61</v>
      </c>
      <c r="T6" s="188" t="s">
        <v>61</v>
      </c>
      <c r="U6" s="188" t="s">
        <v>61</v>
      </c>
      <c r="V6" s="184" t="n">
        <v>46142</v>
      </c>
      <c r="W6" s="184" t="n">
        <v>46203</v>
      </c>
      <c r="X6" s="184" t="n">
        <v>46356</v>
      </c>
      <c r="Y6" s="189" t="s">
        <v>64</v>
      </c>
      <c r="Z6" s="190" t="n">
        <v>3.88</v>
      </c>
      <c r="AA6" s="189" t="s">
        <v>58</v>
      </c>
      <c r="AB6" s="189" t="s">
        <v>57</v>
      </c>
      <c r="AC6" s="184" t="n">
        <v>45306</v>
      </c>
      <c r="AD6" s="191" t="s">
        <v>4250</v>
      </c>
      <c r="AE6" s="191" t="s">
        <v>62</v>
      </c>
    </row>
    <row r="7" customFormat="false" ht="54" hidden="false" customHeight="true" outlineLevel="0" collapsed="false">
      <c r="A7" s="192" t="s">
        <v>438</v>
      </c>
      <c r="B7" s="193" t="s">
        <v>439</v>
      </c>
      <c r="C7" s="66" t="s">
        <v>102</v>
      </c>
      <c r="D7" s="66" t="s">
        <v>444</v>
      </c>
      <c r="E7" s="66" t="s">
        <v>407</v>
      </c>
      <c r="F7" s="66" t="s">
        <v>4251</v>
      </c>
      <c r="G7" s="194" t="n">
        <v>45176</v>
      </c>
      <c r="H7" s="192" t="s">
        <v>443</v>
      </c>
      <c r="I7" s="190" t="s">
        <v>4252</v>
      </c>
      <c r="J7" s="186" t="s">
        <v>3376</v>
      </c>
      <c r="K7" s="186" t="s">
        <v>3376</v>
      </c>
      <c r="L7" s="186" t="s">
        <v>3376</v>
      </c>
      <c r="M7" s="186" t="s">
        <v>3376</v>
      </c>
      <c r="N7" s="186" t="s">
        <v>3376</v>
      </c>
      <c r="O7" s="186" t="s">
        <v>3376</v>
      </c>
      <c r="P7" s="186" t="s">
        <v>3376</v>
      </c>
      <c r="Q7" s="187" t="s">
        <v>92</v>
      </c>
      <c r="R7" s="188" t="s">
        <v>61</v>
      </c>
      <c r="S7" s="188" t="s">
        <v>61</v>
      </c>
      <c r="T7" s="188" t="s">
        <v>61</v>
      </c>
      <c r="U7" s="188" t="s">
        <v>61</v>
      </c>
      <c r="V7" s="194" t="n">
        <v>45930</v>
      </c>
      <c r="W7" s="194" t="n">
        <v>45991</v>
      </c>
      <c r="X7" s="194" t="n">
        <v>46081</v>
      </c>
      <c r="Y7" s="65" t="s">
        <v>64</v>
      </c>
      <c r="Z7" s="190" t="n">
        <v>3.71</v>
      </c>
      <c r="AA7" s="65" t="s">
        <v>58</v>
      </c>
      <c r="AB7" s="65" t="s">
        <v>57</v>
      </c>
      <c r="AC7" s="194" t="n">
        <v>45306</v>
      </c>
      <c r="AD7" s="195" t="s">
        <v>4253</v>
      </c>
      <c r="AE7" s="195" t="s">
        <v>62</v>
      </c>
    </row>
    <row r="8" customFormat="false" ht="54" hidden="false" customHeight="true" outlineLevel="0" collapsed="false">
      <c r="A8" s="181" t="s">
        <v>451</v>
      </c>
      <c r="B8" s="182" t="s">
        <v>452</v>
      </c>
      <c r="C8" s="183" t="s">
        <v>73</v>
      </c>
      <c r="D8" s="183" t="s">
        <v>457</v>
      </c>
      <c r="E8" s="183" t="s">
        <v>291</v>
      </c>
      <c r="F8" s="183" t="s">
        <v>4254</v>
      </c>
      <c r="G8" s="184" t="n">
        <v>45173</v>
      </c>
      <c r="H8" s="181" t="s">
        <v>418</v>
      </c>
      <c r="I8" s="196" t="s">
        <v>3473</v>
      </c>
      <c r="J8" s="186" t="s">
        <v>3376</v>
      </c>
      <c r="K8" s="187" t="s">
        <v>92</v>
      </c>
      <c r="L8" s="187" t="s">
        <v>92</v>
      </c>
      <c r="M8" s="187" t="s">
        <v>92</v>
      </c>
      <c r="N8" s="188" t="s">
        <v>61</v>
      </c>
      <c r="O8" s="188" t="s">
        <v>61</v>
      </c>
      <c r="P8" s="188" t="s">
        <v>61</v>
      </c>
      <c r="Q8" s="188" t="s">
        <v>61</v>
      </c>
      <c r="R8" s="188" t="s">
        <v>61</v>
      </c>
      <c r="S8" s="188" t="s">
        <v>61</v>
      </c>
      <c r="T8" s="188" t="s">
        <v>61</v>
      </c>
      <c r="U8" s="188" t="s">
        <v>61</v>
      </c>
      <c r="V8" s="184" t="n">
        <v>46203</v>
      </c>
      <c r="W8" s="184" t="n">
        <v>46265</v>
      </c>
      <c r="X8" s="184" t="n">
        <v>46356</v>
      </c>
      <c r="Y8" s="189" t="s">
        <v>64</v>
      </c>
      <c r="Z8" s="185" t="n">
        <v>3.65</v>
      </c>
      <c r="AA8" s="189" t="s">
        <v>58</v>
      </c>
      <c r="AB8" s="189" t="s">
        <v>57</v>
      </c>
      <c r="AC8" s="184" t="n">
        <v>45306</v>
      </c>
      <c r="AD8" s="191" t="s">
        <v>4255</v>
      </c>
      <c r="AE8" s="191" t="s">
        <v>62</v>
      </c>
    </row>
    <row r="9" customFormat="false" ht="54" hidden="false" customHeight="true" outlineLevel="0" collapsed="false">
      <c r="A9" s="192" t="s">
        <v>464</v>
      </c>
      <c r="B9" s="193" t="s">
        <v>465</v>
      </c>
      <c r="C9" s="66" t="s">
        <v>117</v>
      </c>
      <c r="D9" s="66" t="s">
        <v>469</v>
      </c>
      <c r="E9" s="66" t="s">
        <v>314</v>
      </c>
      <c r="F9" s="66" t="s">
        <v>4256</v>
      </c>
      <c r="G9" s="194" t="n">
        <v>45540</v>
      </c>
      <c r="H9" s="192" t="s">
        <v>361</v>
      </c>
      <c r="I9" s="196" t="s">
        <v>4257</v>
      </c>
      <c r="J9" s="186" t="s">
        <v>3376</v>
      </c>
      <c r="K9" s="186" t="s">
        <v>3376</v>
      </c>
      <c r="L9" s="186" t="s">
        <v>3376</v>
      </c>
      <c r="M9" s="186" t="s">
        <v>3376</v>
      </c>
      <c r="N9" s="187" t="s">
        <v>92</v>
      </c>
      <c r="O9" s="188" t="s">
        <v>61</v>
      </c>
      <c r="P9" s="188" t="s">
        <v>61</v>
      </c>
      <c r="Q9" s="188" t="s">
        <v>61</v>
      </c>
      <c r="R9" s="188" t="s">
        <v>61</v>
      </c>
      <c r="S9" s="188" t="s">
        <v>61</v>
      </c>
      <c r="T9" s="188" t="s">
        <v>61</v>
      </c>
      <c r="U9" s="188" t="s">
        <v>61</v>
      </c>
      <c r="V9" s="194" t="n">
        <v>46387</v>
      </c>
      <c r="W9" s="194" t="n">
        <v>46387</v>
      </c>
      <c r="X9" s="194" t="n">
        <v>46387</v>
      </c>
      <c r="Y9" s="65" t="s">
        <v>64</v>
      </c>
      <c r="Z9" s="185" t="n">
        <v>3.42</v>
      </c>
      <c r="AA9" s="65" t="s">
        <v>58</v>
      </c>
      <c r="AB9" s="65" t="s">
        <v>57</v>
      </c>
      <c r="AC9" s="194" t="n">
        <v>45306</v>
      </c>
      <c r="AD9" s="195" t="s">
        <v>4258</v>
      </c>
      <c r="AE9" s="195" t="s">
        <v>62</v>
      </c>
    </row>
    <row r="10" customFormat="false" ht="21.75" hidden="false" customHeight="true" outlineLevel="0" collapsed="false">
      <c r="A10" s="181" t="s">
        <v>742</v>
      </c>
      <c r="B10" s="182" t="s">
        <v>743</v>
      </c>
      <c r="C10" s="183" t="s">
        <v>481</v>
      </c>
      <c r="D10" s="183" t="s">
        <v>747</v>
      </c>
      <c r="E10" s="183" t="s">
        <v>703</v>
      </c>
      <c r="F10" s="183" t="s">
        <v>748</v>
      </c>
      <c r="G10" s="184" t="s">
        <v>483</v>
      </c>
      <c r="H10" s="181" t="s">
        <v>345</v>
      </c>
      <c r="I10" s="185" t="s">
        <v>4259</v>
      </c>
      <c r="J10" s="186" t="s">
        <v>3376</v>
      </c>
      <c r="K10" s="186" t="s">
        <v>3376</v>
      </c>
      <c r="L10" s="186" t="s">
        <v>3376</v>
      </c>
      <c r="M10" s="186" t="s">
        <v>3376</v>
      </c>
      <c r="N10" s="186" t="s">
        <v>3376</v>
      </c>
      <c r="O10" s="186" t="s">
        <v>3376</v>
      </c>
      <c r="P10" s="187" t="s">
        <v>92</v>
      </c>
      <c r="Q10" s="188" t="s">
        <v>61</v>
      </c>
      <c r="R10" s="188" t="s">
        <v>61</v>
      </c>
      <c r="S10" s="188" t="s">
        <v>61</v>
      </c>
      <c r="T10" s="188" t="s">
        <v>61</v>
      </c>
      <c r="U10" s="188" t="s">
        <v>61</v>
      </c>
      <c r="V10" s="184" t="s">
        <v>53</v>
      </c>
      <c r="W10" s="184" t="s">
        <v>4260</v>
      </c>
      <c r="X10" s="184" t="s">
        <v>4261</v>
      </c>
      <c r="Y10" s="189" t="s">
        <v>64</v>
      </c>
      <c r="Z10" s="190" t="n">
        <v>3.81</v>
      </c>
      <c r="AA10" s="189" t="s">
        <v>58</v>
      </c>
      <c r="AB10" s="189" t="s">
        <v>57</v>
      </c>
      <c r="AC10" s="184" t="s">
        <v>59</v>
      </c>
      <c r="AD10" s="191" t="s">
        <v>750</v>
      </c>
      <c r="AE10" s="191" t="s">
        <v>484</v>
      </c>
    </row>
    <row r="11" customFormat="false" ht="15.75" hidden="false" customHeight="true" outlineLevel="0" collapsed="false">
      <c r="A11" s="181" t="s">
        <v>753</v>
      </c>
      <c r="B11" s="182" t="s">
        <v>754</v>
      </c>
      <c r="C11" s="183" t="s">
        <v>509</v>
      </c>
      <c r="D11" s="183" t="s">
        <v>758</v>
      </c>
      <c r="E11" s="183" t="s">
        <v>643</v>
      </c>
      <c r="F11" s="183" t="s">
        <v>692</v>
      </c>
      <c r="G11" s="184" t="s">
        <v>564</v>
      </c>
      <c r="H11" s="181" t="s">
        <v>443</v>
      </c>
      <c r="I11" s="185" t="s">
        <v>4262</v>
      </c>
      <c r="J11" s="186" t="s">
        <v>3376</v>
      </c>
      <c r="K11" s="186" t="s">
        <v>3376</v>
      </c>
      <c r="L11" s="186" t="s">
        <v>3376</v>
      </c>
      <c r="M11" s="186" t="s">
        <v>3376</v>
      </c>
      <c r="N11" s="186" t="s">
        <v>3376</v>
      </c>
      <c r="O11" s="186" t="s">
        <v>3376</v>
      </c>
      <c r="P11" s="186" t="s">
        <v>3376</v>
      </c>
      <c r="Q11" s="187" t="s">
        <v>92</v>
      </c>
      <c r="R11" s="188" t="s">
        <v>61</v>
      </c>
      <c r="S11" s="188" t="s">
        <v>61</v>
      </c>
      <c r="T11" s="188" t="s">
        <v>61</v>
      </c>
      <c r="U11" s="188" t="s">
        <v>61</v>
      </c>
      <c r="V11" s="184" t="s">
        <v>89</v>
      </c>
      <c r="W11" s="184" t="s">
        <v>4263</v>
      </c>
      <c r="X11" s="184" t="s">
        <v>4264</v>
      </c>
      <c r="Y11" s="189" t="s">
        <v>64</v>
      </c>
      <c r="Z11" s="190" t="n">
        <v>3.73</v>
      </c>
      <c r="AA11" s="189" t="s">
        <v>58</v>
      </c>
      <c r="AB11" s="189" t="s">
        <v>57</v>
      </c>
      <c r="AC11" s="184" t="s">
        <v>59</v>
      </c>
      <c r="AD11" s="191" t="s">
        <v>760</v>
      </c>
      <c r="AE11" s="191" t="s">
        <v>484</v>
      </c>
    </row>
    <row r="12" customFormat="false" ht="21.75" hidden="false" customHeight="true" outlineLevel="0" collapsed="false">
      <c r="A12" s="181" t="s">
        <v>763</v>
      </c>
      <c r="B12" s="182" t="s">
        <v>764</v>
      </c>
      <c r="C12" s="183" t="s">
        <v>499</v>
      </c>
      <c r="D12" s="183" t="s">
        <v>769</v>
      </c>
      <c r="E12" s="183" t="s">
        <v>658</v>
      </c>
      <c r="F12" s="183" t="s">
        <v>715</v>
      </c>
      <c r="G12" s="184" t="s">
        <v>768</v>
      </c>
      <c r="H12" s="181" t="s">
        <v>418</v>
      </c>
      <c r="I12" s="185" t="s">
        <v>4265</v>
      </c>
      <c r="J12" s="186" t="s">
        <v>3376</v>
      </c>
      <c r="K12" s="187" t="s">
        <v>92</v>
      </c>
      <c r="L12" s="188" t="s">
        <v>61</v>
      </c>
      <c r="M12" s="188" t="s">
        <v>61</v>
      </c>
      <c r="N12" s="188" t="s">
        <v>61</v>
      </c>
      <c r="O12" s="188" t="s">
        <v>61</v>
      </c>
      <c r="P12" s="188" t="s">
        <v>61</v>
      </c>
      <c r="Q12" s="188" t="s">
        <v>61</v>
      </c>
      <c r="R12" s="188" t="s">
        <v>61</v>
      </c>
      <c r="S12" s="188" t="s">
        <v>61</v>
      </c>
      <c r="T12" s="188" t="s">
        <v>61</v>
      </c>
      <c r="U12" s="188" t="s">
        <v>61</v>
      </c>
      <c r="V12" s="184" t="s">
        <v>121</v>
      </c>
      <c r="W12" s="184" t="s">
        <v>4266</v>
      </c>
      <c r="X12" s="184" t="s">
        <v>4267</v>
      </c>
      <c r="Y12" s="189" t="s">
        <v>64</v>
      </c>
      <c r="Z12" s="190" t="n">
        <v>3.55</v>
      </c>
      <c r="AA12" s="189" t="s">
        <v>58</v>
      </c>
      <c r="AB12" s="189" t="s">
        <v>57</v>
      </c>
      <c r="AC12" s="184" t="s">
        <v>59</v>
      </c>
      <c r="AD12" s="191" t="s">
        <v>771</v>
      </c>
      <c r="AE12" s="191" t="s">
        <v>484</v>
      </c>
    </row>
    <row r="13" customFormat="false" ht="21.75" hidden="false" customHeight="true" outlineLevel="0" collapsed="false">
      <c r="A13" s="181" t="s">
        <v>773</v>
      </c>
      <c r="B13" s="182" t="s">
        <v>774</v>
      </c>
      <c r="C13" s="183" t="s">
        <v>491</v>
      </c>
      <c r="D13" s="183" t="s">
        <v>778</v>
      </c>
      <c r="E13" s="183" t="s">
        <v>667</v>
      </c>
      <c r="F13" s="183" t="s">
        <v>704</v>
      </c>
      <c r="G13" s="184" t="s">
        <v>141</v>
      </c>
      <c r="H13" s="181" t="s">
        <v>361</v>
      </c>
      <c r="I13" s="185" t="s">
        <v>4268</v>
      </c>
      <c r="J13" s="186" t="s">
        <v>3376</v>
      </c>
      <c r="K13" s="186" t="s">
        <v>3376</v>
      </c>
      <c r="L13" s="186" t="s">
        <v>3376</v>
      </c>
      <c r="M13" s="186" t="s">
        <v>3376</v>
      </c>
      <c r="N13" s="187" t="s">
        <v>92</v>
      </c>
      <c r="O13" s="188" t="s">
        <v>61</v>
      </c>
      <c r="P13" s="188" t="s">
        <v>61</v>
      </c>
      <c r="Q13" s="188" t="s">
        <v>61</v>
      </c>
      <c r="R13" s="188" t="s">
        <v>61</v>
      </c>
      <c r="S13" s="188" t="s">
        <v>61</v>
      </c>
      <c r="T13" s="188" t="s">
        <v>61</v>
      </c>
      <c r="U13" s="188" t="s">
        <v>61</v>
      </c>
      <c r="V13" s="184" t="s">
        <v>76</v>
      </c>
      <c r="W13" s="184" t="s">
        <v>4269</v>
      </c>
      <c r="X13" s="184" t="s">
        <v>4270</v>
      </c>
      <c r="Y13" s="189" t="s">
        <v>64</v>
      </c>
      <c r="Z13" s="190" t="n">
        <v>3.38</v>
      </c>
      <c r="AA13" s="189" t="s">
        <v>58</v>
      </c>
      <c r="AB13" s="189" t="s">
        <v>57</v>
      </c>
      <c r="AC13" s="184" t="s">
        <v>59</v>
      </c>
      <c r="AD13" s="191" t="s">
        <v>780</v>
      </c>
      <c r="AE13" s="191" t="s">
        <v>484</v>
      </c>
    </row>
    <row r="14" customFormat="false" ht="21.75" hidden="false" customHeight="true" outlineLevel="0" collapsed="false">
      <c r="A14" s="181" t="s">
        <v>1003</v>
      </c>
      <c r="B14" s="182" t="s">
        <v>1004</v>
      </c>
      <c r="C14" s="183" t="s">
        <v>134</v>
      </c>
      <c r="D14" s="183" t="s">
        <v>1008</v>
      </c>
      <c r="E14" s="183" t="s">
        <v>921</v>
      </c>
      <c r="F14" s="183" t="s">
        <v>1009</v>
      </c>
      <c r="G14" s="184" t="s">
        <v>483</v>
      </c>
      <c r="H14" s="181" t="s">
        <v>345</v>
      </c>
      <c r="I14" s="185" t="s">
        <v>4271</v>
      </c>
      <c r="J14" s="186" t="s">
        <v>3376</v>
      </c>
      <c r="K14" s="186" t="s">
        <v>3376</v>
      </c>
      <c r="L14" s="186" t="s">
        <v>3376</v>
      </c>
      <c r="M14" s="186" t="s">
        <v>3376</v>
      </c>
      <c r="N14" s="186" t="s">
        <v>3376</v>
      </c>
      <c r="O14" s="186" t="s">
        <v>3376</v>
      </c>
      <c r="P14" s="187" t="s">
        <v>92</v>
      </c>
      <c r="Q14" s="188" t="s">
        <v>61</v>
      </c>
      <c r="R14" s="188" t="s">
        <v>61</v>
      </c>
      <c r="S14" s="188" t="s">
        <v>61</v>
      </c>
      <c r="T14" s="188" t="s">
        <v>61</v>
      </c>
      <c r="U14" s="188" t="s">
        <v>61</v>
      </c>
      <c r="V14" s="184" t="s">
        <v>53</v>
      </c>
      <c r="W14" s="184" t="s">
        <v>4260</v>
      </c>
      <c r="X14" s="184" t="s">
        <v>4261</v>
      </c>
      <c r="Y14" s="189" t="s">
        <v>64</v>
      </c>
      <c r="Z14" s="190" t="n">
        <v>3.69</v>
      </c>
      <c r="AA14" s="189" t="s">
        <v>58</v>
      </c>
      <c r="AB14" s="189" t="s">
        <v>57</v>
      </c>
      <c r="AC14" s="184" t="s">
        <v>59</v>
      </c>
      <c r="AD14" s="191" t="s">
        <v>750</v>
      </c>
      <c r="AE14" s="191" t="s">
        <v>786</v>
      </c>
    </row>
    <row r="15" customFormat="false" ht="32.25" hidden="false" customHeight="true" outlineLevel="0" collapsed="false">
      <c r="A15" s="181" t="s">
        <v>1012</v>
      </c>
      <c r="B15" s="182" t="s">
        <v>1013</v>
      </c>
      <c r="C15" s="183" t="s">
        <v>819</v>
      </c>
      <c r="D15" s="183" t="s">
        <v>1017</v>
      </c>
      <c r="E15" s="183" t="s">
        <v>949</v>
      </c>
      <c r="F15" s="183" t="s">
        <v>963</v>
      </c>
      <c r="G15" s="184" t="s">
        <v>564</v>
      </c>
      <c r="H15" s="181" t="s">
        <v>443</v>
      </c>
      <c r="I15" s="185" t="s">
        <v>4272</v>
      </c>
      <c r="J15" s="186" t="s">
        <v>3376</v>
      </c>
      <c r="K15" s="186" t="s">
        <v>3376</v>
      </c>
      <c r="L15" s="186" t="s">
        <v>3376</v>
      </c>
      <c r="M15" s="186" t="s">
        <v>3376</v>
      </c>
      <c r="N15" s="186" t="s">
        <v>3376</v>
      </c>
      <c r="O15" s="186" t="s">
        <v>3376</v>
      </c>
      <c r="P15" s="186" t="s">
        <v>3376</v>
      </c>
      <c r="Q15" s="187" t="s">
        <v>92</v>
      </c>
      <c r="R15" s="188" t="s">
        <v>61</v>
      </c>
      <c r="S15" s="188" t="s">
        <v>61</v>
      </c>
      <c r="T15" s="188" t="s">
        <v>61</v>
      </c>
      <c r="U15" s="188" t="s">
        <v>61</v>
      </c>
      <c r="V15" s="184" t="s">
        <v>89</v>
      </c>
      <c r="W15" s="184" t="s">
        <v>4263</v>
      </c>
      <c r="X15" s="184" t="s">
        <v>4264</v>
      </c>
      <c r="Y15" s="189" t="s">
        <v>64</v>
      </c>
      <c r="Z15" s="190" t="n">
        <v>3.77</v>
      </c>
      <c r="AA15" s="189" t="s">
        <v>58</v>
      </c>
      <c r="AB15" s="189" t="s">
        <v>57</v>
      </c>
      <c r="AC15" s="184" t="s">
        <v>59</v>
      </c>
      <c r="AD15" s="191" t="s">
        <v>760</v>
      </c>
      <c r="AE15" s="191" t="s">
        <v>786</v>
      </c>
    </row>
    <row r="16" customFormat="false" ht="21.75" hidden="false" customHeight="true" outlineLevel="0" collapsed="false">
      <c r="A16" s="181" t="s">
        <v>1020</v>
      </c>
      <c r="B16" s="182" t="s">
        <v>1021</v>
      </c>
      <c r="C16" s="183" t="s">
        <v>793</v>
      </c>
      <c r="D16" s="183" t="s">
        <v>1025</v>
      </c>
      <c r="E16" s="183" t="s">
        <v>928</v>
      </c>
      <c r="F16" s="183" t="s">
        <v>1026</v>
      </c>
      <c r="G16" s="184" t="s">
        <v>768</v>
      </c>
      <c r="H16" s="181" t="s">
        <v>418</v>
      </c>
      <c r="I16" s="185" t="s">
        <v>3473</v>
      </c>
      <c r="J16" s="186" t="s">
        <v>3376</v>
      </c>
      <c r="K16" s="187" t="s">
        <v>92</v>
      </c>
      <c r="L16" s="188" t="s">
        <v>61</v>
      </c>
      <c r="M16" s="188" t="s">
        <v>61</v>
      </c>
      <c r="N16" s="188" t="s">
        <v>61</v>
      </c>
      <c r="O16" s="188" t="s">
        <v>61</v>
      </c>
      <c r="P16" s="188" t="s">
        <v>61</v>
      </c>
      <c r="Q16" s="188" t="s">
        <v>61</v>
      </c>
      <c r="R16" s="188" t="s">
        <v>61</v>
      </c>
      <c r="S16" s="188" t="s">
        <v>61</v>
      </c>
      <c r="T16" s="188" t="s">
        <v>61</v>
      </c>
      <c r="U16" s="188" t="s">
        <v>61</v>
      </c>
      <c r="V16" s="184" t="s">
        <v>121</v>
      </c>
      <c r="W16" s="184" t="s">
        <v>4266</v>
      </c>
      <c r="X16" s="184" t="s">
        <v>4267</v>
      </c>
      <c r="Y16" s="189" t="s">
        <v>64</v>
      </c>
      <c r="Z16" s="190" t="n">
        <v>3.58</v>
      </c>
      <c r="AA16" s="189" t="s">
        <v>58</v>
      </c>
      <c r="AB16" s="189" t="s">
        <v>57</v>
      </c>
      <c r="AC16" s="184" t="s">
        <v>59</v>
      </c>
      <c r="AD16" s="191" t="s">
        <v>771</v>
      </c>
      <c r="AE16" s="191" t="s">
        <v>786</v>
      </c>
    </row>
    <row r="17" customFormat="false" ht="21.75" hidden="false" customHeight="true" outlineLevel="0" collapsed="false">
      <c r="A17" s="181" t="s">
        <v>1028</v>
      </c>
      <c r="B17" s="182" t="s">
        <v>1029</v>
      </c>
      <c r="C17" s="183" t="s">
        <v>808</v>
      </c>
      <c r="D17" s="183" t="s">
        <v>1032</v>
      </c>
      <c r="E17" s="183" t="s">
        <v>942</v>
      </c>
      <c r="F17" s="183" t="s">
        <v>972</v>
      </c>
      <c r="G17" s="184" t="s">
        <v>141</v>
      </c>
      <c r="H17" s="181" t="s">
        <v>361</v>
      </c>
      <c r="I17" s="185" t="s">
        <v>4273</v>
      </c>
      <c r="J17" s="186" t="s">
        <v>3376</v>
      </c>
      <c r="K17" s="186" t="s">
        <v>3376</v>
      </c>
      <c r="L17" s="186" t="s">
        <v>3376</v>
      </c>
      <c r="M17" s="186" t="s">
        <v>3376</v>
      </c>
      <c r="N17" s="187" t="s">
        <v>92</v>
      </c>
      <c r="O17" s="188" t="s">
        <v>61</v>
      </c>
      <c r="P17" s="188" t="s">
        <v>61</v>
      </c>
      <c r="Q17" s="188" t="s">
        <v>61</v>
      </c>
      <c r="R17" s="188" t="s">
        <v>61</v>
      </c>
      <c r="S17" s="188" t="s">
        <v>61</v>
      </c>
      <c r="T17" s="188" t="s">
        <v>61</v>
      </c>
      <c r="U17" s="188" t="s">
        <v>61</v>
      </c>
      <c r="V17" s="184" t="s">
        <v>76</v>
      </c>
      <c r="W17" s="184" t="s">
        <v>4269</v>
      </c>
      <c r="X17" s="184" t="s">
        <v>4270</v>
      </c>
      <c r="Y17" s="189" t="s">
        <v>64</v>
      </c>
      <c r="Z17" s="190" t="n">
        <v>3.41</v>
      </c>
      <c r="AA17" s="189" t="s">
        <v>58</v>
      </c>
      <c r="AB17" s="189" t="s">
        <v>57</v>
      </c>
      <c r="AC17" s="184" t="s">
        <v>59</v>
      </c>
      <c r="AD17" s="191" t="s">
        <v>780</v>
      </c>
      <c r="AE17" s="191" t="s">
        <v>786</v>
      </c>
    </row>
    <row r="18" customFormat="false" ht="21.75" hidden="false" customHeight="true" outlineLevel="0" collapsed="false">
      <c r="A18" s="181" t="s">
        <v>1048</v>
      </c>
      <c r="B18" s="182" t="s">
        <v>1049</v>
      </c>
      <c r="C18" s="183" t="s">
        <v>48</v>
      </c>
      <c r="D18" s="183" t="s">
        <v>1055</v>
      </c>
      <c r="E18" s="183" t="s">
        <v>1046</v>
      </c>
      <c r="F18" s="183" t="s">
        <v>60</v>
      </c>
      <c r="G18" s="184" t="s">
        <v>1053</v>
      </c>
      <c r="H18" s="181" t="s">
        <v>418</v>
      </c>
      <c r="I18" s="185" t="s">
        <v>3476</v>
      </c>
      <c r="J18" s="186" t="s">
        <v>3376</v>
      </c>
      <c r="K18" s="187" t="s">
        <v>92</v>
      </c>
      <c r="L18" s="188" t="s">
        <v>61</v>
      </c>
      <c r="M18" s="188" t="s">
        <v>61</v>
      </c>
      <c r="N18" s="188" t="s">
        <v>61</v>
      </c>
      <c r="O18" s="188" t="s">
        <v>61</v>
      </c>
      <c r="P18" s="188" t="s">
        <v>61</v>
      </c>
      <c r="Q18" s="188" t="s">
        <v>61</v>
      </c>
      <c r="R18" s="188" t="s">
        <v>61</v>
      </c>
      <c r="S18" s="188" t="s">
        <v>61</v>
      </c>
      <c r="T18" s="188" t="s">
        <v>61</v>
      </c>
      <c r="U18" s="188" t="s">
        <v>61</v>
      </c>
      <c r="V18" s="184" t="s">
        <v>1054</v>
      </c>
      <c r="W18" s="184" t="s">
        <v>4274</v>
      </c>
      <c r="X18" s="184" t="s">
        <v>4275</v>
      </c>
      <c r="Y18" s="189" t="s">
        <v>64</v>
      </c>
      <c r="Z18" s="190" t="n">
        <v>3.5</v>
      </c>
      <c r="AA18" s="189" t="s">
        <v>58</v>
      </c>
      <c r="AB18" s="189" t="s">
        <v>57</v>
      </c>
      <c r="AC18" s="184" t="s">
        <v>59</v>
      </c>
      <c r="AD18" s="191" t="s">
        <v>771</v>
      </c>
      <c r="AE18" s="191" t="s">
        <v>62</v>
      </c>
    </row>
    <row r="19" customFormat="false" ht="15" hidden="false" customHeight="true" outlineLevel="0" collapsed="false">
      <c r="A19" s="181" t="s">
        <v>1063</v>
      </c>
      <c r="B19" s="182" t="s">
        <v>1049</v>
      </c>
      <c r="C19" s="183" t="s">
        <v>481</v>
      </c>
      <c r="D19" s="183" t="s">
        <v>1055</v>
      </c>
      <c r="E19" s="183" t="s">
        <v>1046</v>
      </c>
      <c r="F19" s="183" t="s">
        <v>60</v>
      </c>
      <c r="G19" s="184" t="s">
        <v>1053</v>
      </c>
      <c r="H19" s="181" t="s">
        <v>418</v>
      </c>
      <c r="I19" s="185" t="s">
        <v>3476</v>
      </c>
      <c r="J19" s="186" t="s">
        <v>3376</v>
      </c>
      <c r="K19" s="187" t="s">
        <v>92</v>
      </c>
      <c r="L19" s="188" t="s">
        <v>61</v>
      </c>
      <c r="M19" s="188" t="s">
        <v>61</v>
      </c>
      <c r="N19" s="188" t="s">
        <v>61</v>
      </c>
      <c r="O19" s="188" t="s">
        <v>61</v>
      </c>
      <c r="P19" s="188" t="s">
        <v>61</v>
      </c>
      <c r="Q19" s="188" t="s">
        <v>61</v>
      </c>
      <c r="R19" s="188" t="s">
        <v>61</v>
      </c>
      <c r="S19" s="188" t="s">
        <v>61</v>
      </c>
      <c r="T19" s="188" t="s">
        <v>61</v>
      </c>
      <c r="U19" s="188" t="s">
        <v>61</v>
      </c>
      <c r="V19" s="184" t="s">
        <v>1054</v>
      </c>
      <c r="W19" s="184" t="s">
        <v>4274</v>
      </c>
      <c r="X19" s="184" t="s">
        <v>4275</v>
      </c>
      <c r="Y19" s="189" t="s">
        <v>64</v>
      </c>
      <c r="Z19" s="190" t="n">
        <v>3.5</v>
      </c>
      <c r="AA19" s="189" t="s">
        <v>58</v>
      </c>
      <c r="AB19" s="189" t="s">
        <v>57</v>
      </c>
      <c r="AC19" s="184" t="s">
        <v>59</v>
      </c>
      <c r="AD19" s="191" t="s">
        <v>771</v>
      </c>
      <c r="AE19" s="191" t="s">
        <v>484</v>
      </c>
    </row>
    <row r="20" customFormat="false" ht="21.75" hidden="false" customHeight="true" outlineLevel="0" collapsed="false">
      <c r="A20" s="181" t="s">
        <v>1070</v>
      </c>
      <c r="B20" s="182" t="s">
        <v>1049</v>
      </c>
      <c r="C20" s="183" t="s">
        <v>808</v>
      </c>
      <c r="D20" s="183" t="s">
        <v>1055</v>
      </c>
      <c r="E20" s="183" t="s">
        <v>1046</v>
      </c>
      <c r="F20" s="183" t="s">
        <v>60</v>
      </c>
      <c r="G20" s="184" t="s">
        <v>1053</v>
      </c>
      <c r="H20" s="181" t="s">
        <v>418</v>
      </c>
      <c r="I20" s="185" t="s">
        <v>3476</v>
      </c>
      <c r="J20" s="186" t="s">
        <v>3376</v>
      </c>
      <c r="K20" s="187" t="s">
        <v>92</v>
      </c>
      <c r="L20" s="188" t="s">
        <v>61</v>
      </c>
      <c r="M20" s="188" t="s">
        <v>61</v>
      </c>
      <c r="N20" s="188" t="s">
        <v>61</v>
      </c>
      <c r="O20" s="188" t="s">
        <v>61</v>
      </c>
      <c r="P20" s="188" t="s">
        <v>61</v>
      </c>
      <c r="Q20" s="188" t="s">
        <v>61</v>
      </c>
      <c r="R20" s="188" t="s">
        <v>61</v>
      </c>
      <c r="S20" s="188" t="s">
        <v>61</v>
      </c>
      <c r="T20" s="188" t="s">
        <v>61</v>
      </c>
      <c r="U20" s="188" t="s">
        <v>61</v>
      </c>
      <c r="V20" s="184" t="s">
        <v>1054</v>
      </c>
      <c r="W20" s="184" t="s">
        <v>4274</v>
      </c>
      <c r="X20" s="184" t="s">
        <v>4275</v>
      </c>
      <c r="Y20" s="189" t="s">
        <v>64</v>
      </c>
      <c r="Z20" s="190" t="n">
        <v>3.5</v>
      </c>
      <c r="AA20" s="189" t="s">
        <v>58</v>
      </c>
      <c r="AB20" s="189" t="s">
        <v>57</v>
      </c>
      <c r="AC20" s="184" t="s">
        <v>59</v>
      </c>
      <c r="AD20" s="191" t="s">
        <v>771</v>
      </c>
      <c r="AE20" s="191" t="s">
        <v>786</v>
      </c>
    </row>
    <row r="22" customFormat="false" ht="15" hidden="false" customHeight="true" outlineLevel="0" collapsed="false">
      <c r="A22" s="197" t="s">
        <v>4276</v>
      </c>
      <c r="B22" s="197"/>
      <c r="C22" s="197"/>
      <c r="D22" s="197"/>
      <c r="E22" s="197"/>
      <c r="F22" s="197"/>
      <c r="G22" s="197"/>
      <c r="H22" s="197"/>
      <c r="I22" s="197"/>
      <c r="J22" s="197"/>
      <c r="K22" s="197"/>
      <c r="L22" s="197"/>
      <c r="M22" s="197"/>
      <c r="N22" s="197"/>
      <c r="O22" s="197"/>
      <c r="P22" s="197"/>
      <c r="Q22" s="197"/>
      <c r="R22" s="197"/>
      <c r="S22" s="197"/>
      <c r="T22" s="197"/>
      <c r="U22" s="197"/>
      <c r="V22" s="197"/>
      <c r="W22" s="197"/>
      <c r="X22" s="197"/>
      <c r="Y22" s="197"/>
      <c r="Z22" s="197"/>
      <c r="AA22" s="197"/>
      <c r="AB22" s="197"/>
      <c r="AC22" s="197"/>
      <c r="AD22" s="197"/>
    </row>
  </sheetData>
  <mergeCells count="9">
    <mergeCell ref="A1:AD1"/>
    <mergeCell ref="A2:AD2"/>
    <mergeCell ref="A4:G4"/>
    <mergeCell ref="H4:I4"/>
    <mergeCell ref="J4:U4"/>
    <mergeCell ref="V4:Y4"/>
    <mergeCell ref="Z4:AB4"/>
    <mergeCell ref="AC4:AD4"/>
    <mergeCell ref="A22:A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10"/>
    <col collapsed="false" customWidth="true" hidden="false" outlineLevel="0" max="4" min="4" style="1" width="13"/>
    <col collapsed="false" customWidth="true" hidden="false" outlineLevel="0" max="5" min="5" style="1" width="52"/>
    <col collapsed="false" customWidth="true" hidden="false" outlineLevel="0" max="6" min="6" style="1" width="45"/>
    <col collapsed="false" customWidth="true" hidden="false" outlineLevel="0" max="7" min="7" style="1" width="42"/>
    <col collapsed="false" customWidth="true" hidden="false" outlineLevel="0" max="8" min="8" style="1" width="40"/>
    <col collapsed="false" customWidth="true" hidden="false" outlineLevel="0" max="9" min="9" style="1" width="38"/>
    <col collapsed="false" customWidth="true" hidden="false" outlineLevel="0" max="10" min="10" style="1" width="48"/>
    <col collapsed="false" customWidth="true" hidden="false" outlineLevel="0" max="11" min="11" style="1" width="36"/>
    <col collapsed="false" customWidth="true" hidden="false" outlineLevel="0" max="12" min="12" style="1" width="34"/>
  </cols>
  <sheetData>
    <row r="1" customFormat="false" ht="30" hidden="false" customHeight="true" outlineLevel="0" collapsed="false">
      <c r="A1" s="167" t="s">
        <v>4277</v>
      </c>
      <c r="B1" s="167"/>
      <c r="C1" s="167"/>
      <c r="D1" s="167"/>
      <c r="E1" s="167"/>
      <c r="F1" s="167"/>
      <c r="G1" s="167"/>
      <c r="H1" s="167"/>
      <c r="I1" s="167"/>
      <c r="J1" s="167"/>
      <c r="K1" s="167"/>
      <c r="L1" s="167"/>
    </row>
    <row r="2" customFormat="false" ht="15.75" hidden="false" customHeight="true" outlineLevel="0" collapsed="false">
      <c r="A2" s="168" t="s">
        <v>4278</v>
      </c>
      <c r="B2" s="168"/>
      <c r="C2" s="168"/>
      <c r="D2" s="168"/>
      <c r="E2" s="168"/>
      <c r="F2" s="168"/>
      <c r="G2" s="168"/>
      <c r="H2" s="168"/>
      <c r="I2" s="168"/>
      <c r="J2" s="168"/>
      <c r="K2" s="168"/>
      <c r="L2" s="168"/>
    </row>
    <row r="3" customFormat="false" ht="6" hidden="false" customHeight="true" outlineLevel="0" collapsed="false"/>
    <row r="4" customFormat="false" ht="21.75" hidden="false" customHeight="true" outlineLevel="0" collapsed="false">
      <c r="A4" s="198" t="s">
        <v>4279</v>
      </c>
      <c r="B4" s="198"/>
      <c r="C4" s="198"/>
      <c r="D4" s="198"/>
      <c r="E4" s="198"/>
      <c r="F4" s="198"/>
      <c r="G4" s="198"/>
      <c r="H4" s="198"/>
      <c r="I4" s="198"/>
      <c r="J4" s="198"/>
      <c r="K4" s="198"/>
      <c r="L4" s="198"/>
    </row>
    <row r="5" customFormat="false" ht="43.5" hidden="false" customHeight="true" outlineLevel="0" collapsed="false">
      <c r="A5" s="175" t="s">
        <v>4280</v>
      </c>
      <c r="B5" s="175" t="s">
        <v>4281</v>
      </c>
      <c r="C5" s="175" t="s">
        <v>4282</v>
      </c>
      <c r="D5" s="175" t="s">
        <v>4283</v>
      </c>
      <c r="E5" s="175" t="s">
        <v>4284</v>
      </c>
      <c r="F5" s="175" t="s">
        <v>4285</v>
      </c>
      <c r="G5" s="175" t="s">
        <v>4286</v>
      </c>
      <c r="H5" s="175" t="s">
        <v>4287</v>
      </c>
      <c r="I5" s="175" t="s">
        <v>4288</v>
      </c>
      <c r="J5" s="175" t="s">
        <v>4289</v>
      </c>
      <c r="K5" s="175" t="s">
        <v>4290</v>
      </c>
      <c r="L5" s="175" t="s">
        <v>4291</v>
      </c>
      <c r="M5" s="175" t="s">
        <v>35</v>
      </c>
    </row>
    <row r="6" customFormat="false" ht="99.75" hidden="false" customHeight="true" outlineLevel="0" collapsed="false">
      <c r="A6" s="199" t="n">
        <v>1</v>
      </c>
      <c r="B6" s="200" t="s">
        <v>4292</v>
      </c>
      <c r="C6" s="201" t="s">
        <v>4293</v>
      </c>
      <c r="D6" s="201" t="s">
        <v>4294</v>
      </c>
      <c r="E6" s="202" t="s">
        <v>4295</v>
      </c>
      <c r="F6" s="202" t="s">
        <v>4296</v>
      </c>
      <c r="G6" s="202" t="s">
        <v>4297</v>
      </c>
      <c r="H6" s="202" t="s">
        <v>4298</v>
      </c>
      <c r="I6" s="202" t="s">
        <v>4299</v>
      </c>
      <c r="J6" s="202" t="s">
        <v>4300</v>
      </c>
      <c r="K6" s="202" t="s">
        <v>4301</v>
      </c>
      <c r="L6" s="202" t="s">
        <v>4302</v>
      </c>
      <c r="M6" s="202" t="s">
        <v>3829</v>
      </c>
    </row>
    <row r="7" customFormat="false" ht="99.75" hidden="false" customHeight="true" outlineLevel="0" collapsed="false">
      <c r="A7" s="203" t="n">
        <v>2</v>
      </c>
      <c r="B7" s="204" t="s">
        <v>4303</v>
      </c>
      <c r="C7" s="205" t="s">
        <v>4304</v>
      </c>
      <c r="D7" s="205" t="s">
        <v>4305</v>
      </c>
      <c r="E7" s="206" t="s">
        <v>4306</v>
      </c>
      <c r="F7" s="206" t="s">
        <v>4307</v>
      </c>
      <c r="G7" s="206" t="s">
        <v>4308</v>
      </c>
      <c r="H7" s="206" t="s">
        <v>4309</v>
      </c>
      <c r="I7" s="206" t="s">
        <v>4310</v>
      </c>
      <c r="J7" s="206" t="s">
        <v>4311</v>
      </c>
      <c r="K7" s="206" t="s">
        <v>4312</v>
      </c>
      <c r="L7" s="206" t="s">
        <v>4313</v>
      </c>
      <c r="M7" s="206" t="s">
        <v>3829</v>
      </c>
    </row>
    <row r="8" customFormat="false" ht="99.75" hidden="false" customHeight="true" outlineLevel="0" collapsed="false">
      <c r="A8" s="207" t="n">
        <v>3</v>
      </c>
      <c r="B8" s="208" t="s">
        <v>4314</v>
      </c>
      <c r="C8" s="209" t="s">
        <v>4315</v>
      </c>
      <c r="D8" s="209" t="s">
        <v>4316</v>
      </c>
      <c r="E8" s="210" t="s">
        <v>4317</v>
      </c>
      <c r="F8" s="210" t="s">
        <v>4318</v>
      </c>
      <c r="G8" s="210" t="s">
        <v>4319</v>
      </c>
      <c r="H8" s="210" t="s">
        <v>4320</v>
      </c>
      <c r="I8" s="210" t="s">
        <v>4321</v>
      </c>
      <c r="J8" s="210" t="s">
        <v>4322</v>
      </c>
      <c r="K8" s="210" t="s">
        <v>4323</v>
      </c>
      <c r="L8" s="210" t="s">
        <v>4324</v>
      </c>
      <c r="M8" s="210" t="s">
        <v>3829</v>
      </c>
    </row>
    <row r="9" customFormat="false" ht="99.75" hidden="false" customHeight="true" outlineLevel="0" collapsed="false">
      <c r="A9" s="211" t="n">
        <v>4</v>
      </c>
      <c r="B9" s="212" t="s">
        <v>4325</v>
      </c>
      <c r="C9" s="213" t="s">
        <v>4326</v>
      </c>
      <c r="D9" s="213" t="s">
        <v>4327</v>
      </c>
      <c r="E9" s="214" t="s">
        <v>4328</v>
      </c>
      <c r="F9" s="214" t="s">
        <v>4329</v>
      </c>
      <c r="G9" s="214" t="s">
        <v>4330</v>
      </c>
      <c r="H9" s="214" t="s">
        <v>4331</v>
      </c>
      <c r="I9" s="214" t="s">
        <v>4332</v>
      </c>
      <c r="J9" s="214" t="s">
        <v>4333</v>
      </c>
      <c r="K9" s="214" t="s">
        <v>4334</v>
      </c>
      <c r="L9" s="214" t="s">
        <v>4335</v>
      </c>
      <c r="M9" s="214" t="s">
        <v>3829</v>
      </c>
    </row>
    <row r="10" customFormat="false" ht="99.75" hidden="false" customHeight="true" outlineLevel="0" collapsed="false">
      <c r="A10" s="199" t="n">
        <v>5</v>
      </c>
      <c r="B10" s="200" t="s">
        <v>4336</v>
      </c>
      <c r="C10" s="201" t="s">
        <v>4337</v>
      </c>
      <c r="D10" s="201" t="s">
        <v>4338</v>
      </c>
      <c r="E10" s="202" t="s">
        <v>4339</v>
      </c>
      <c r="F10" s="202" t="s">
        <v>4340</v>
      </c>
      <c r="G10" s="202" t="s">
        <v>4341</v>
      </c>
      <c r="H10" s="202" t="s">
        <v>4342</v>
      </c>
      <c r="I10" s="202" t="s">
        <v>4343</v>
      </c>
      <c r="J10" s="202" t="s">
        <v>4344</v>
      </c>
      <c r="K10" s="202" t="s">
        <v>4345</v>
      </c>
      <c r="L10" s="202" t="s">
        <v>4346</v>
      </c>
      <c r="M10" s="202" t="s">
        <v>3829</v>
      </c>
    </row>
    <row r="11" customFormat="false" ht="99.75" hidden="false" customHeight="true" outlineLevel="0" collapsed="false">
      <c r="A11" s="203" t="n">
        <v>6</v>
      </c>
      <c r="B11" s="204" t="s">
        <v>4347</v>
      </c>
      <c r="C11" s="205" t="s">
        <v>4348</v>
      </c>
      <c r="D11" s="205" t="s">
        <v>4349</v>
      </c>
      <c r="E11" s="206" t="s">
        <v>4350</v>
      </c>
      <c r="F11" s="206" t="s">
        <v>4351</v>
      </c>
      <c r="G11" s="206" t="s">
        <v>4352</v>
      </c>
      <c r="H11" s="206" t="s">
        <v>4353</v>
      </c>
      <c r="I11" s="206" t="s">
        <v>4354</v>
      </c>
      <c r="J11" s="206" t="s">
        <v>4355</v>
      </c>
      <c r="K11" s="206" t="s">
        <v>4356</v>
      </c>
      <c r="L11" s="206" t="s">
        <v>4357</v>
      </c>
      <c r="M11" s="206" t="s">
        <v>3829</v>
      </c>
    </row>
    <row r="12" customFormat="false" ht="99.75" hidden="false" customHeight="true" outlineLevel="0" collapsed="false">
      <c r="A12" s="207" t="n">
        <v>7</v>
      </c>
      <c r="B12" s="208" t="s">
        <v>363</v>
      </c>
      <c r="C12" s="209" t="s">
        <v>4358</v>
      </c>
      <c r="D12" s="209" t="s">
        <v>4359</v>
      </c>
      <c r="E12" s="210" t="s">
        <v>4360</v>
      </c>
      <c r="F12" s="210" t="s">
        <v>4361</v>
      </c>
      <c r="G12" s="210" t="s">
        <v>4362</v>
      </c>
      <c r="H12" s="210" t="s">
        <v>4363</v>
      </c>
      <c r="I12" s="210" t="s">
        <v>4364</v>
      </c>
      <c r="J12" s="210" t="s">
        <v>4365</v>
      </c>
      <c r="K12" s="210" t="s">
        <v>4366</v>
      </c>
      <c r="L12" s="210" t="s">
        <v>4367</v>
      </c>
      <c r="M12" s="210" t="s">
        <v>3829</v>
      </c>
    </row>
    <row r="13" customFormat="false" ht="99.75" hidden="false" customHeight="true" outlineLevel="0" collapsed="false">
      <c r="A13" s="211" t="n">
        <v>8</v>
      </c>
      <c r="B13" s="212" t="s">
        <v>4368</v>
      </c>
      <c r="C13" s="213" t="s">
        <v>4369</v>
      </c>
      <c r="D13" s="213" t="s">
        <v>4370</v>
      </c>
      <c r="E13" s="214" t="s">
        <v>4371</v>
      </c>
      <c r="F13" s="214" t="s">
        <v>4372</v>
      </c>
      <c r="G13" s="214" t="s">
        <v>4373</v>
      </c>
      <c r="H13" s="214" t="s">
        <v>4374</v>
      </c>
      <c r="I13" s="214" t="s">
        <v>4375</v>
      </c>
      <c r="J13" s="214" t="s">
        <v>4376</v>
      </c>
      <c r="K13" s="214" t="s">
        <v>4377</v>
      </c>
      <c r="L13" s="214" t="s">
        <v>4378</v>
      </c>
      <c r="M13" s="214" t="s">
        <v>3829</v>
      </c>
    </row>
    <row r="14" customFormat="false" ht="99.75" hidden="false" customHeight="true" outlineLevel="0" collapsed="false">
      <c r="A14" s="199" t="n">
        <v>9</v>
      </c>
      <c r="B14" s="200" t="s">
        <v>4379</v>
      </c>
      <c r="C14" s="201" t="s">
        <v>4380</v>
      </c>
      <c r="D14" s="201" t="s">
        <v>4338</v>
      </c>
      <c r="E14" s="202" t="s">
        <v>4381</v>
      </c>
      <c r="F14" s="202" t="s">
        <v>4382</v>
      </c>
      <c r="G14" s="202" t="s">
        <v>4383</v>
      </c>
      <c r="H14" s="202" t="s">
        <v>4384</v>
      </c>
      <c r="I14" s="202" t="s">
        <v>4385</v>
      </c>
      <c r="J14" s="202" t="s">
        <v>4386</v>
      </c>
      <c r="K14" s="202" t="s">
        <v>4387</v>
      </c>
      <c r="L14" s="202" t="s">
        <v>4388</v>
      </c>
      <c r="M14" s="202" t="s">
        <v>3829</v>
      </c>
    </row>
    <row r="15" customFormat="false" ht="99.75" hidden="false" customHeight="true" outlineLevel="0" collapsed="false">
      <c r="A15" s="203" t="n">
        <v>10</v>
      </c>
      <c r="B15" s="204" t="s">
        <v>3363</v>
      </c>
      <c r="C15" s="205" t="s">
        <v>4389</v>
      </c>
      <c r="D15" s="205" t="s">
        <v>4390</v>
      </c>
      <c r="E15" s="206" t="s">
        <v>4391</v>
      </c>
      <c r="F15" s="206" t="s">
        <v>4392</v>
      </c>
      <c r="G15" s="206" t="s">
        <v>4393</v>
      </c>
      <c r="H15" s="206" t="s">
        <v>4394</v>
      </c>
      <c r="I15" s="206" t="s">
        <v>4395</v>
      </c>
      <c r="J15" s="206" t="s">
        <v>4396</v>
      </c>
      <c r="K15" s="206" t="s">
        <v>4397</v>
      </c>
      <c r="L15" s="206" t="s">
        <v>4398</v>
      </c>
      <c r="M15" s="206" t="s">
        <v>3829</v>
      </c>
    </row>
    <row r="16" customFormat="false" ht="99.75" hidden="false" customHeight="true" outlineLevel="0" collapsed="false">
      <c r="A16" s="207" t="n">
        <v>11</v>
      </c>
      <c r="B16" s="208" t="s">
        <v>4399</v>
      </c>
      <c r="C16" s="209" t="s">
        <v>4400</v>
      </c>
      <c r="D16" s="209" t="s">
        <v>4401</v>
      </c>
      <c r="E16" s="210" t="s">
        <v>4402</v>
      </c>
      <c r="F16" s="210" t="s">
        <v>4403</v>
      </c>
      <c r="G16" s="210" t="s">
        <v>4404</v>
      </c>
      <c r="H16" s="210" t="s">
        <v>4405</v>
      </c>
      <c r="I16" s="210" t="s">
        <v>4406</v>
      </c>
      <c r="J16" s="210" t="s">
        <v>4407</v>
      </c>
      <c r="K16" s="210" t="s">
        <v>4408</v>
      </c>
      <c r="L16" s="210" t="s">
        <v>4409</v>
      </c>
      <c r="M16" s="210" t="s">
        <v>3829</v>
      </c>
    </row>
    <row r="17" customFormat="false" ht="99.75" hidden="false" customHeight="true" outlineLevel="0" collapsed="false">
      <c r="A17" s="215" t="n">
        <v>12</v>
      </c>
      <c r="B17" s="216" t="s">
        <v>4410</v>
      </c>
      <c r="C17" s="217" t="s">
        <v>4400</v>
      </c>
      <c r="D17" s="217" t="s">
        <v>4411</v>
      </c>
      <c r="E17" s="218" t="s">
        <v>4412</v>
      </c>
      <c r="F17" s="218" t="s">
        <v>4413</v>
      </c>
      <c r="G17" s="218" t="s">
        <v>4414</v>
      </c>
      <c r="H17" s="218" t="s">
        <v>4415</v>
      </c>
      <c r="I17" s="218" t="s">
        <v>4416</v>
      </c>
      <c r="J17" s="218" t="s">
        <v>4417</v>
      </c>
      <c r="K17" s="218" t="s">
        <v>4418</v>
      </c>
      <c r="L17" s="218" t="s">
        <v>4419</v>
      </c>
      <c r="M17" s="218" t="s">
        <v>3829</v>
      </c>
    </row>
    <row r="18" customFormat="false" ht="12" hidden="false" customHeight="true" outlineLevel="0" collapsed="false">
      <c r="M18" s="1" t="s">
        <v>3829</v>
      </c>
    </row>
    <row r="19" customFormat="false" ht="19.5" hidden="false" customHeight="true" outlineLevel="0" collapsed="false">
      <c r="A19" s="219" t="s">
        <v>4420</v>
      </c>
      <c r="B19" s="219"/>
      <c r="C19" s="219"/>
      <c r="D19" s="219"/>
      <c r="E19" s="219"/>
      <c r="F19" s="219"/>
      <c r="G19" s="219"/>
      <c r="H19" s="219"/>
      <c r="I19" s="219"/>
      <c r="J19" s="219"/>
      <c r="K19" s="219"/>
      <c r="L19" s="219"/>
      <c r="M19" s="1" t="s">
        <v>3829</v>
      </c>
    </row>
    <row r="20" customFormat="false" ht="30" hidden="false" customHeight="true" outlineLevel="0" collapsed="false">
      <c r="A20" s="220" t="s">
        <v>4421</v>
      </c>
      <c r="B20" s="220" t="s">
        <v>4422</v>
      </c>
      <c r="C20" s="220" t="s">
        <v>4423</v>
      </c>
      <c r="D20" s="220" t="s">
        <v>4424</v>
      </c>
      <c r="E20" s="220" t="s">
        <v>4425</v>
      </c>
      <c r="F20" s="220" t="s">
        <v>4426</v>
      </c>
      <c r="G20" s="221" t="s">
        <v>4427</v>
      </c>
      <c r="H20" s="221"/>
      <c r="I20" s="221"/>
      <c r="J20" s="221"/>
      <c r="K20" s="221"/>
      <c r="L20" s="221"/>
      <c r="M20" s="1" t="s">
        <v>3829</v>
      </c>
    </row>
    <row r="21" customFormat="false" ht="36" hidden="false" customHeight="true" outlineLevel="0" collapsed="false">
      <c r="A21" s="189" t="s">
        <v>4428</v>
      </c>
      <c r="B21" s="183" t="s">
        <v>1408</v>
      </c>
      <c r="C21" s="183" t="s">
        <v>4429</v>
      </c>
      <c r="D21" s="183" t="s">
        <v>4430</v>
      </c>
      <c r="E21" s="183" t="s">
        <v>4431</v>
      </c>
      <c r="F21" s="183" t="s">
        <v>4432</v>
      </c>
      <c r="G21" s="222"/>
      <c r="H21" s="222"/>
      <c r="I21" s="222"/>
      <c r="J21" s="222"/>
      <c r="K21" s="222"/>
      <c r="L21" s="222"/>
      <c r="M21" s="1" t="s">
        <v>3829</v>
      </c>
    </row>
    <row r="22" customFormat="false" ht="36" hidden="false" customHeight="true" outlineLevel="0" collapsed="false">
      <c r="A22" s="65" t="s">
        <v>4433</v>
      </c>
      <c r="B22" s="66" t="s">
        <v>4434</v>
      </c>
      <c r="C22" s="66" t="s">
        <v>4435</v>
      </c>
      <c r="D22" s="66" t="s">
        <v>4436</v>
      </c>
      <c r="E22" s="66" t="s">
        <v>4437</v>
      </c>
      <c r="F22" s="66" t="s">
        <v>4438</v>
      </c>
      <c r="G22" s="222"/>
      <c r="H22" s="222"/>
      <c r="I22" s="222"/>
      <c r="J22" s="222"/>
      <c r="K22" s="222"/>
      <c r="L22" s="222"/>
      <c r="M22" s="1" t="s">
        <v>3829</v>
      </c>
    </row>
    <row r="23" customFormat="false" ht="36" hidden="false" customHeight="true" outlineLevel="0" collapsed="false">
      <c r="A23" s="189" t="s">
        <v>4439</v>
      </c>
      <c r="B23" s="183" t="s">
        <v>4440</v>
      </c>
      <c r="C23" s="183" t="s">
        <v>4441</v>
      </c>
      <c r="D23" s="183" t="s">
        <v>4442</v>
      </c>
      <c r="E23" s="183" t="s">
        <v>4443</v>
      </c>
      <c r="F23" s="183" t="s">
        <v>4444</v>
      </c>
      <c r="G23" s="222"/>
      <c r="H23" s="222"/>
      <c r="I23" s="222"/>
      <c r="J23" s="222"/>
      <c r="K23" s="222"/>
      <c r="L23" s="222"/>
      <c r="M23" s="1" t="s">
        <v>3829</v>
      </c>
    </row>
    <row r="24" customFormat="false" ht="36" hidden="false" customHeight="true" outlineLevel="0" collapsed="false">
      <c r="A24" s="65" t="s">
        <v>4445</v>
      </c>
      <c r="B24" s="66" t="s">
        <v>4446</v>
      </c>
      <c r="C24" s="66" t="s">
        <v>4447</v>
      </c>
      <c r="D24" s="66" t="s">
        <v>4448</v>
      </c>
      <c r="E24" s="66" t="s">
        <v>4449</v>
      </c>
      <c r="F24" s="66" t="s">
        <v>4450</v>
      </c>
      <c r="G24" s="222"/>
      <c r="H24" s="222"/>
      <c r="I24" s="222"/>
      <c r="J24" s="222"/>
      <c r="K24" s="222"/>
      <c r="L24" s="222"/>
      <c r="M24" s="1" t="s">
        <v>3829</v>
      </c>
    </row>
    <row r="25" customFormat="false" ht="36" hidden="false" customHeight="true" outlineLevel="0" collapsed="false">
      <c r="A25" s="189" t="s">
        <v>4451</v>
      </c>
      <c r="B25" s="183" t="s">
        <v>4452</v>
      </c>
      <c r="C25" s="183" t="s">
        <v>4453</v>
      </c>
      <c r="D25" s="183" t="s">
        <v>4454</v>
      </c>
      <c r="E25" s="183" t="s">
        <v>4455</v>
      </c>
      <c r="F25" s="183" t="s">
        <v>4456</v>
      </c>
      <c r="G25" s="222"/>
      <c r="H25" s="222"/>
      <c r="I25" s="222"/>
      <c r="J25" s="222"/>
      <c r="K25" s="222"/>
      <c r="L25" s="222"/>
      <c r="M25" s="1" t="s">
        <v>3829</v>
      </c>
    </row>
    <row r="26" customFormat="false" ht="36" hidden="false" customHeight="true" outlineLevel="0" collapsed="false">
      <c r="A26" s="65" t="s">
        <v>4457</v>
      </c>
      <c r="B26" s="66" t="s">
        <v>4458</v>
      </c>
      <c r="C26" s="66" t="s">
        <v>4459</v>
      </c>
      <c r="D26" s="66" t="s">
        <v>4460</v>
      </c>
      <c r="E26" s="66" t="s">
        <v>4461</v>
      </c>
      <c r="F26" s="66" t="s">
        <v>4462</v>
      </c>
      <c r="G26" s="222"/>
      <c r="H26" s="222"/>
      <c r="I26" s="222"/>
      <c r="J26" s="222"/>
      <c r="K26" s="222"/>
      <c r="L26" s="222"/>
      <c r="M26" s="1" t="s">
        <v>3829</v>
      </c>
    </row>
    <row r="27" customFormat="false" ht="36" hidden="false" customHeight="true" outlineLevel="0" collapsed="false">
      <c r="A27" s="189" t="s">
        <v>4463</v>
      </c>
      <c r="B27" s="183" t="s">
        <v>4464</v>
      </c>
      <c r="C27" s="183" t="s">
        <v>4465</v>
      </c>
      <c r="D27" s="183" t="s">
        <v>4466</v>
      </c>
      <c r="E27" s="183" t="s">
        <v>4467</v>
      </c>
      <c r="F27" s="183" t="s">
        <v>4468</v>
      </c>
      <c r="G27" s="222"/>
      <c r="H27" s="222"/>
      <c r="I27" s="222"/>
      <c r="J27" s="222"/>
      <c r="K27" s="222"/>
      <c r="L27" s="222"/>
      <c r="M27" s="1" t="s">
        <v>3829</v>
      </c>
    </row>
    <row r="28" customFormat="false" ht="36" hidden="false" customHeight="true" outlineLevel="0" collapsed="false">
      <c r="A28" s="65" t="s">
        <v>4469</v>
      </c>
      <c r="B28" s="66" t="s">
        <v>4470</v>
      </c>
      <c r="C28" s="66" t="s">
        <v>4471</v>
      </c>
      <c r="D28" s="66" t="s">
        <v>4472</v>
      </c>
      <c r="E28" s="66" t="s">
        <v>4473</v>
      </c>
      <c r="F28" s="66" t="s">
        <v>4474</v>
      </c>
      <c r="G28" s="222"/>
      <c r="H28" s="222"/>
      <c r="I28" s="222"/>
      <c r="J28" s="222"/>
      <c r="K28" s="222"/>
      <c r="L28" s="222"/>
      <c r="M28" s="1" t="s">
        <v>3829</v>
      </c>
    </row>
    <row r="29" customFormat="false" ht="36" hidden="false" customHeight="true" outlineLevel="0" collapsed="false">
      <c r="A29" s="189" t="s">
        <v>4475</v>
      </c>
      <c r="B29" s="183" t="s">
        <v>4476</v>
      </c>
      <c r="C29" s="183" t="s">
        <v>4477</v>
      </c>
      <c r="D29" s="183" t="s">
        <v>4478</v>
      </c>
      <c r="E29" s="183" t="s">
        <v>4479</v>
      </c>
      <c r="F29" s="183" t="s">
        <v>4480</v>
      </c>
      <c r="G29" s="222"/>
      <c r="H29" s="222"/>
      <c r="I29" s="222"/>
      <c r="J29" s="222"/>
      <c r="K29" s="222"/>
      <c r="L29" s="222"/>
      <c r="M29" s="1" t="s">
        <v>3829</v>
      </c>
    </row>
    <row r="30" customFormat="false" ht="36" hidden="false" customHeight="true" outlineLevel="0" collapsed="false">
      <c r="A30" s="65" t="s">
        <v>4481</v>
      </c>
      <c r="B30" s="66" t="s">
        <v>4482</v>
      </c>
      <c r="C30" s="66" t="s">
        <v>4483</v>
      </c>
      <c r="D30" s="66" t="s">
        <v>4484</v>
      </c>
      <c r="E30" s="66" t="s">
        <v>4485</v>
      </c>
      <c r="F30" s="66" t="s">
        <v>4486</v>
      </c>
      <c r="G30" s="222"/>
      <c r="H30" s="222"/>
      <c r="I30" s="222"/>
      <c r="J30" s="222"/>
      <c r="K30" s="222"/>
      <c r="L30" s="222"/>
      <c r="M30" s="1" t="s">
        <v>3829</v>
      </c>
    </row>
    <row r="31" customFormat="false" ht="15" hidden="false" customHeight="true" outlineLevel="0" collapsed="false">
      <c r="M31" s="1" t="s">
        <v>3829</v>
      </c>
    </row>
    <row r="32" customFormat="false" ht="12" hidden="false" customHeight="true" outlineLevel="0" collapsed="false">
      <c r="M32" s="1" t="s">
        <v>3829</v>
      </c>
    </row>
    <row r="33" customFormat="false" ht="19.5" hidden="false" customHeight="true" outlineLevel="0" collapsed="false">
      <c r="A33" s="219" t="s">
        <v>4487</v>
      </c>
      <c r="B33" s="219"/>
      <c r="C33" s="219"/>
      <c r="D33" s="219"/>
      <c r="E33" s="219"/>
      <c r="F33" s="219"/>
      <c r="G33" s="219"/>
      <c r="H33" s="219"/>
      <c r="I33" s="219"/>
      <c r="J33" s="219"/>
      <c r="K33" s="219"/>
      <c r="L33" s="219"/>
      <c r="M33" s="1" t="s">
        <v>3829</v>
      </c>
    </row>
    <row r="34" customFormat="false" ht="27.75" hidden="false" customHeight="true" outlineLevel="0" collapsed="false">
      <c r="A34" s="220" t="s">
        <v>4488</v>
      </c>
      <c r="B34" s="220" t="s">
        <v>4489</v>
      </c>
      <c r="C34" s="220" t="s">
        <v>4490</v>
      </c>
      <c r="D34" s="220" t="s">
        <v>4491</v>
      </c>
      <c r="E34" s="220" t="s">
        <v>4492</v>
      </c>
      <c r="F34" s="220" t="s">
        <v>4493</v>
      </c>
      <c r="G34" s="222"/>
      <c r="H34" s="222"/>
      <c r="I34" s="222"/>
      <c r="J34" s="222"/>
      <c r="K34" s="222"/>
      <c r="L34" s="222"/>
      <c r="M34" s="1" t="s">
        <v>3829</v>
      </c>
    </row>
    <row r="35" customFormat="false" ht="67.5" hidden="false" customHeight="true" outlineLevel="0" collapsed="false">
      <c r="A35" s="223" t="s">
        <v>4494</v>
      </c>
      <c r="B35" s="223" t="s">
        <v>118</v>
      </c>
      <c r="C35" s="223" t="s">
        <v>4495</v>
      </c>
      <c r="D35" s="223" t="s">
        <v>4496</v>
      </c>
      <c r="E35" s="223" t="s">
        <v>4497</v>
      </c>
      <c r="F35" s="223" t="s">
        <v>4498</v>
      </c>
      <c r="G35" s="222"/>
      <c r="H35" s="222"/>
      <c r="I35" s="222"/>
      <c r="J35" s="222"/>
      <c r="K35" s="222"/>
      <c r="L35" s="222"/>
      <c r="M35" s="1" t="s">
        <v>3829</v>
      </c>
    </row>
    <row r="36" customFormat="false" ht="67.5" hidden="false" customHeight="true" outlineLevel="0" collapsed="false">
      <c r="A36" s="224" t="s">
        <v>4499</v>
      </c>
      <c r="B36" s="224" t="s">
        <v>4500</v>
      </c>
      <c r="C36" s="224" t="s">
        <v>4501</v>
      </c>
      <c r="D36" s="224" t="s">
        <v>4502</v>
      </c>
      <c r="E36" s="224" t="s">
        <v>4503</v>
      </c>
      <c r="F36" s="224" t="s">
        <v>4504</v>
      </c>
      <c r="G36" s="222"/>
      <c r="H36" s="222"/>
      <c r="I36" s="222"/>
      <c r="J36" s="222"/>
      <c r="K36" s="222"/>
      <c r="L36" s="222"/>
      <c r="M36" s="1" t="s">
        <v>3829</v>
      </c>
    </row>
    <row r="37" customFormat="false" ht="67.5" hidden="false" customHeight="true" outlineLevel="0" collapsed="false">
      <c r="A37" s="223" t="s">
        <v>4505</v>
      </c>
      <c r="B37" s="223" t="s">
        <v>49</v>
      </c>
      <c r="C37" s="223" t="s">
        <v>4506</v>
      </c>
      <c r="D37" s="223" t="s">
        <v>4507</v>
      </c>
      <c r="E37" s="223" t="s">
        <v>4508</v>
      </c>
      <c r="F37" s="223" t="s">
        <v>4509</v>
      </c>
      <c r="G37" s="222"/>
      <c r="H37" s="222"/>
      <c r="I37" s="222"/>
      <c r="J37" s="222"/>
      <c r="K37" s="222"/>
      <c r="L37" s="222"/>
      <c r="M37" s="1" t="s">
        <v>3829</v>
      </c>
    </row>
    <row r="38" customFormat="false" ht="67.5" hidden="false" customHeight="true" outlineLevel="0" collapsed="false">
      <c r="A38" s="224" t="s">
        <v>4510</v>
      </c>
      <c r="B38" s="224" t="s">
        <v>4511</v>
      </c>
      <c r="C38" s="224" t="s">
        <v>4512</v>
      </c>
      <c r="D38" s="224" t="s">
        <v>4513</v>
      </c>
      <c r="E38" s="224" t="s">
        <v>4514</v>
      </c>
      <c r="F38" s="224" t="s">
        <v>4515</v>
      </c>
      <c r="G38" s="222"/>
      <c r="H38" s="222"/>
      <c r="I38" s="222"/>
      <c r="J38" s="222"/>
      <c r="K38" s="222"/>
      <c r="L38" s="222"/>
      <c r="M38" s="1" t="s">
        <v>3829</v>
      </c>
    </row>
    <row r="39" customFormat="false" ht="15" hidden="false" customHeight="true" outlineLevel="0" collapsed="false">
      <c r="M39" s="1" t="s">
        <v>3829</v>
      </c>
    </row>
    <row r="40" customFormat="false" ht="12" hidden="false" customHeight="true" outlineLevel="0" collapsed="false">
      <c r="M40" s="1" t="s">
        <v>3829</v>
      </c>
    </row>
    <row r="41" customFormat="false" ht="19.5" hidden="false" customHeight="true" outlineLevel="0" collapsed="false">
      <c r="A41" s="219" t="s">
        <v>4516</v>
      </c>
      <c r="B41" s="219"/>
      <c r="C41" s="219"/>
      <c r="D41" s="219"/>
      <c r="E41" s="219"/>
      <c r="F41" s="219"/>
      <c r="G41" s="219"/>
      <c r="H41" s="219"/>
      <c r="I41" s="219"/>
      <c r="J41" s="219"/>
      <c r="K41" s="219"/>
      <c r="L41" s="219"/>
      <c r="M41" s="1" t="s">
        <v>3829</v>
      </c>
    </row>
    <row r="42" customFormat="false" ht="27.75" hidden="false" customHeight="true" outlineLevel="0" collapsed="false">
      <c r="A42" s="170" t="s">
        <v>4517</v>
      </c>
      <c r="B42" s="170"/>
      <c r="C42" s="170" t="s">
        <v>4518</v>
      </c>
      <c r="D42" s="170"/>
      <c r="E42" s="170" t="s">
        <v>4519</v>
      </c>
      <c r="F42" s="170"/>
      <c r="G42" s="170"/>
      <c r="H42" s="170"/>
      <c r="I42" s="170"/>
      <c r="J42" s="170"/>
      <c r="K42" s="170"/>
      <c r="L42" s="170"/>
      <c r="M42" s="1" t="s">
        <v>3829</v>
      </c>
    </row>
    <row r="43" customFormat="false" ht="51.75" hidden="false" customHeight="true" outlineLevel="0" collapsed="false">
      <c r="A43" s="225" t="s">
        <v>4520</v>
      </c>
      <c r="B43" s="225"/>
      <c r="C43" s="226" t="s">
        <v>4521</v>
      </c>
      <c r="D43" s="226"/>
      <c r="E43" s="227" t="s">
        <v>4522</v>
      </c>
      <c r="F43" s="227"/>
      <c r="G43" s="227"/>
      <c r="H43" s="227"/>
      <c r="I43" s="227"/>
      <c r="J43" s="227"/>
      <c r="K43" s="227"/>
      <c r="L43" s="227"/>
      <c r="M43" s="1" t="s">
        <v>3829</v>
      </c>
    </row>
    <row r="44" customFormat="false" ht="51.75" hidden="false" customHeight="true" outlineLevel="0" collapsed="false">
      <c r="A44" s="228" t="s">
        <v>4523</v>
      </c>
      <c r="B44" s="228"/>
      <c r="C44" s="226" t="s">
        <v>4521</v>
      </c>
      <c r="D44" s="226"/>
      <c r="E44" s="229" t="s">
        <v>4524</v>
      </c>
      <c r="F44" s="229"/>
      <c r="G44" s="229"/>
      <c r="H44" s="229"/>
      <c r="I44" s="229"/>
      <c r="J44" s="229"/>
      <c r="K44" s="229"/>
      <c r="L44" s="229"/>
      <c r="M44" s="1" t="s">
        <v>3829</v>
      </c>
    </row>
    <row r="45" customFormat="false" ht="51.75" hidden="false" customHeight="true" outlineLevel="0" collapsed="false">
      <c r="A45" s="225" t="s">
        <v>4525</v>
      </c>
      <c r="B45" s="225"/>
      <c r="C45" s="226" t="s">
        <v>4526</v>
      </c>
      <c r="D45" s="226"/>
      <c r="E45" s="227" t="s">
        <v>4527</v>
      </c>
      <c r="F45" s="227"/>
      <c r="G45" s="227"/>
      <c r="H45" s="227"/>
      <c r="I45" s="227"/>
      <c r="J45" s="227"/>
      <c r="K45" s="227"/>
      <c r="L45" s="227"/>
      <c r="M45" s="1" t="s">
        <v>3829</v>
      </c>
    </row>
    <row r="46" customFormat="false" ht="51.75" hidden="false" customHeight="true" outlineLevel="0" collapsed="false">
      <c r="A46" s="228" t="s">
        <v>4528</v>
      </c>
      <c r="B46" s="228"/>
      <c r="C46" s="226" t="s">
        <v>4526</v>
      </c>
      <c r="D46" s="226"/>
      <c r="E46" s="229" t="s">
        <v>4529</v>
      </c>
      <c r="F46" s="229"/>
      <c r="G46" s="229"/>
      <c r="H46" s="229"/>
      <c r="I46" s="229"/>
      <c r="J46" s="229"/>
      <c r="K46" s="229"/>
      <c r="L46" s="229"/>
      <c r="M46" s="1" t="s">
        <v>3829</v>
      </c>
    </row>
    <row r="47" customFormat="false" ht="51.75" hidden="false" customHeight="true" outlineLevel="0" collapsed="false">
      <c r="A47" s="225" t="s">
        <v>4530</v>
      </c>
      <c r="B47" s="225"/>
      <c r="C47" s="226" t="s">
        <v>4531</v>
      </c>
      <c r="D47" s="226"/>
      <c r="E47" s="227" t="s">
        <v>4532</v>
      </c>
      <c r="F47" s="227"/>
      <c r="G47" s="227"/>
      <c r="H47" s="227"/>
      <c r="I47" s="227"/>
      <c r="J47" s="227"/>
      <c r="K47" s="227"/>
      <c r="L47" s="227"/>
      <c r="M47" s="1" t="s">
        <v>3829</v>
      </c>
    </row>
    <row r="48" customFormat="false" ht="51.75" hidden="false" customHeight="true" outlineLevel="0" collapsed="false">
      <c r="A48" s="228" t="s">
        <v>4533</v>
      </c>
      <c r="B48" s="228"/>
      <c r="C48" s="226" t="s">
        <v>4531</v>
      </c>
      <c r="D48" s="226"/>
      <c r="E48" s="229" t="s">
        <v>4534</v>
      </c>
      <c r="F48" s="229"/>
      <c r="G48" s="229"/>
      <c r="H48" s="229"/>
      <c r="I48" s="229"/>
      <c r="J48" s="229"/>
      <c r="K48" s="229"/>
      <c r="L48" s="229"/>
      <c r="M48" s="1" t="s">
        <v>3829</v>
      </c>
    </row>
    <row r="49" customFormat="false" ht="51.75" hidden="false" customHeight="true" outlineLevel="0" collapsed="false">
      <c r="A49" s="225" t="s">
        <v>4535</v>
      </c>
      <c r="B49" s="225"/>
      <c r="C49" s="226" t="s">
        <v>4536</v>
      </c>
      <c r="D49" s="226"/>
      <c r="E49" s="227" t="s">
        <v>4537</v>
      </c>
      <c r="F49" s="227"/>
      <c r="G49" s="227"/>
      <c r="H49" s="227"/>
      <c r="I49" s="227"/>
      <c r="J49" s="227"/>
      <c r="K49" s="227"/>
      <c r="L49" s="227"/>
      <c r="M49" s="1" t="s">
        <v>3829</v>
      </c>
    </row>
    <row r="50" customFormat="false" ht="51.75" hidden="false" customHeight="true" outlineLevel="0" collapsed="false">
      <c r="A50" s="228" t="s">
        <v>4538</v>
      </c>
      <c r="B50" s="228"/>
      <c r="C50" s="226" t="s">
        <v>4539</v>
      </c>
      <c r="D50" s="226"/>
      <c r="E50" s="229" t="s">
        <v>4540</v>
      </c>
      <c r="F50" s="229"/>
      <c r="G50" s="229"/>
      <c r="H50" s="229"/>
      <c r="I50" s="229"/>
      <c r="J50" s="229"/>
      <c r="K50" s="229"/>
      <c r="L50" s="229"/>
      <c r="M50" s="1" t="s">
        <v>3829</v>
      </c>
    </row>
    <row r="51" customFormat="false" ht="51.75" hidden="false" customHeight="true" outlineLevel="0" collapsed="false">
      <c r="A51" s="225" t="s">
        <v>4541</v>
      </c>
      <c r="B51" s="225"/>
      <c r="C51" s="226" t="s">
        <v>4542</v>
      </c>
      <c r="D51" s="226"/>
      <c r="E51" s="227" t="s">
        <v>4543</v>
      </c>
      <c r="F51" s="227"/>
      <c r="G51" s="227"/>
      <c r="H51" s="227"/>
      <c r="I51" s="227"/>
      <c r="J51" s="227"/>
      <c r="K51" s="227"/>
      <c r="L51" s="227"/>
      <c r="M51" s="1" t="s">
        <v>3829</v>
      </c>
    </row>
    <row r="52" customFormat="false" ht="51.75" hidden="false" customHeight="true" outlineLevel="0" collapsed="false">
      <c r="A52" s="228" t="s">
        <v>4544</v>
      </c>
      <c r="B52" s="228"/>
      <c r="C52" s="226" t="s">
        <v>4542</v>
      </c>
      <c r="D52" s="226"/>
      <c r="E52" s="229" t="s">
        <v>4545</v>
      </c>
      <c r="F52" s="229"/>
      <c r="G52" s="229"/>
      <c r="H52" s="229"/>
      <c r="I52" s="229"/>
      <c r="J52" s="229"/>
      <c r="K52" s="229"/>
      <c r="L52" s="229"/>
      <c r="M52" s="1" t="s">
        <v>3829</v>
      </c>
    </row>
    <row r="53" customFormat="false" ht="15" hidden="false" customHeight="true" outlineLevel="0" collapsed="false">
      <c r="M53" s="1" t="s">
        <v>3829</v>
      </c>
    </row>
    <row r="54" customFormat="false" ht="18" hidden="false" customHeight="true" outlineLevel="0" collapsed="false">
      <c r="A54" s="197" t="s">
        <v>4546</v>
      </c>
      <c r="B54" s="197"/>
      <c r="C54" s="197"/>
      <c r="D54" s="197"/>
      <c r="E54" s="197"/>
      <c r="F54" s="197"/>
      <c r="G54" s="197"/>
      <c r="H54" s="197"/>
      <c r="I54" s="197"/>
      <c r="J54" s="197"/>
      <c r="K54" s="197"/>
      <c r="L54" s="197"/>
      <c r="M54" s="1" t="s">
        <v>3829</v>
      </c>
    </row>
  </sheetData>
  <mergeCells count="56">
    <mergeCell ref="A1:L1"/>
    <mergeCell ref="A2:L2"/>
    <mergeCell ref="A4:L4"/>
    <mergeCell ref="A19:L19"/>
    <mergeCell ref="G20:L20"/>
    <mergeCell ref="G21:L21"/>
    <mergeCell ref="G22:L22"/>
    <mergeCell ref="G23:L23"/>
    <mergeCell ref="G24:L24"/>
    <mergeCell ref="G25:L25"/>
    <mergeCell ref="G26:L26"/>
    <mergeCell ref="G27:L27"/>
    <mergeCell ref="G28:L28"/>
    <mergeCell ref="G29:L29"/>
    <mergeCell ref="G30:L30"/>
    <mergeCell ref="A33:L33"/>
    <mergeCell ref="G34:L34"/>
    <mergeCell ref="G35:L35"/>
    <mergeCell ref="G36:L36"/>
    <mergeCell ref="G37:L37"/>
    <mergeCell ref="G38:L38"/>
    <mergeCell ref="A41:L41"/>
    <mergeCell ref="A42:B42"/>
    <mergeCell ref="C42:D42"/>
    <mergeCell ref="E42:L42"/>
    <mergeCell ref="A43:B43"/>
    <mergeCell ref="C43:D43"/>
    <mergeCell ref="E43:L43"/>
    <mergeCell ref="A44:B44"/>
    <mergeCell ref="C44:D44"/>
    <mergeCell ref="E44:L44"/>
    <mergeCell ref="A45:B45"/>
    <mergeCell ref="C45:D45"/>
    <mergeCell ref="E45:L45"/>
    <mergeCell ref="A46:B46"/>
    <mergeCell ref="C46:D46"/>
    <mergeCell ref="E46:L46"/>
    <mergeCell ref="A47:B47"/>
    <mergeCell ref="C47:D47"/>
    <mergeCell ref="E47:L47"/>
    <mergeCell ref="A48:B48"/>
    <mergeCell ref="C48:D48"/>
    <mergeCell ref="E48:L48"/>
    <mergeCell ref="A49:B49"/>
    <mergeCell ref="C49:D49"/>
    <mergeCell ref="E49:L49"/>
    <mergeCell ref="A50:B50"/>
    <mergeCell ref="C50:D50"/>
    <mergeCell ref="E50:L50"/>
    <mergeCell ref="A51:B51"/>
    <mergeCell ref="C51:D51"/>
    <mergeCell ref="E51:L51"/>
    <mergeCell ref="A52:B52"/>
    <mergeCell ref="C52:D52"/>
    <mergeCell ref="E52:L52"/>
    <mergeCell ref="A54:L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30"/>
    <col collapsed="false" customWidth="true" hidden="false" outlineLevel="0" max="4" min="4" style="1" width="20"/>
    <col collapsed="false" customWidth="true" hidden="false" outlineLevel="0" max="5" min="5" style="1" width="34"/>
    <col collapsed="false" customWidth="true" hidden="false" outlineLevel="0" max="6" min="6" style="1" width="24"/>
    <col collapsed="false" customWidth="true" hidden="false" outlineLevel="0" max="7" min="7" style="1" width="42"/>
    <col collapsed="false" customWidth="true" hidden="false" outlineLevel="0" max="8" min="8" style="1" width="50"/>
  </cols>
  <sheetData>
    <row r="1" customFormat="false" ht="15.75" hidden="false" customHeight="true" outlineLevel="0" collapsed="false">
      <c r="A1" s="48" t="s">
        <v>4547</v>
      </c>
      <c r="B1" s="48"/>
      <c r="C1" s="48"/>
      <c r="D1" s="48"/>
      <c r="E1" s="48"/>
      <c r="F1" s="48"/>
      <c r="G1" s="48"/>
      <c r="H1" s="48"/>
    </row>
    <row r="2" customFormat="false" ht="15" hidden="false" customHeight="true" outlineLevel="0" collapsed="false">
      <c r="A2" s="49" t="s">
        <v>4548</v>
      </c>
      <c r="B2" s="49"/>
      <c r="C2" s="49"/>
      <c r="D2" s="49"/>
      <c r="E2" s="49"/>
      <c r="F2" s="49"/>
      <c r="G2" s="49"/>
      <c r="H2" s="49"/>
    </row>
    <row r="4" customFormat="false" ht="15" hidden="false" customHeight="true" outlineLevel="0" collapsed="false">
      <c r="A4" s="50" t="s">
        <v>35</v>
      </c>
      <c r="B4" s="50" t="s">
        <v>4421</v>
      </c>
      <c r="C4" s="50" t="s">
        <v>4549</v>
      </c>
      <c r="D4" s="50" t="s">
        <v>3351</v>
      </c>
      <c r="E4" s="50" t="s">
        <v>4550</v>
      </c>
      <c r="F4" s="50" t="s">
        <v>4551</v>
      </c>
      <c r="G4" s="50" t="s">
        <v>4552</v>
      </c>
      <c r="H4" s="50" t="s">
        <v>4553</v>
      </c>
    </row>
    <row r="5" customFormat="false" ht="15" hidden="false" customHeight="true" outlineLevel="0" collapsed="false">
      <c r="A5" s="51" t="s">
        <v>62</v>
      </c>
      <c r="B5" s="52" t="s">
        <v>4554</v>
      </c>
      <c r="C5" s="51" t="s">
        <v>1038</v>
      </c>
      <c r="D5" s="63" t="s">
        <v>1036</v>
      </c>
      <c r="E5" s="63" t="s">
        <v>48</v>
      </c>
      <c r="F5" s="63" t="s">
        <v>1035</v>
      </c>
      <c r="G5" s="63" t="s">
        <v>4555</v>
      </c>
      <c r="H5" s="63"/>
    </row>
    <row r="6" customFormat="false" ht="15" hidden="false" customHeight="true" outlineLevel="0" collapsed="false">
      <c r="A6" s="51" t="s">
        <v>62</v>
      </c>
      <c r="B6" s="52" t="s">
        <v>4556</v>
      </c>
      <c r="C6" s="51" t="s">
        <v>1043</v>
      </c>
      <c r="D6" s="63" t="s">
        <v>1041</v>
      </c>
      <c r="E6" s="63" t="s">
        <v>48</v>
      </c>
      <c r="F6" s="63" t="s">
        <v>1040</v>
      </c>
      <c r="G6" s="63" t="s">
        <v>4555</v>
      </c>
      <c r="H6" s="63"/>
    </row>
    <row r="7" customFormat="false" ht="15" hidden="false" customHeight="true" outlineLevel="0" collapsed="false">
      <c r="A7" s="51" t="s">
        <v>62</v>
      </c>
      <c r="B7" s="52" t="s">
        <v>4557</v>
      </c>
      <c r="C7" s="51" t="s">
        <v>1051</v>
      </c>
      <c r="D7" s="63" t="s">
        <v>1049</v>
      </c>
      <c r="E7" s="63" t="s">
        <v>48</v>
      </c>
      <c r="F7" s="63" t="s">
        <v>1048</v>
      </c>
      <c r="G7" s="63" t="s">
        <v>4555</v>
      </c>
      <c r="H7" s="63"/>
    </row>
    <row r="8" customFormat="false" ht="23.25" hidden="false" customHeight="true" outlineLevel="0" collapsed="false">
      <c r="A8" s="51" t="s">
        <v>62</v>
      </c>
      <c r="B8" s="52" t="s">
        <v>4558</v>
      </c>
      <c r="C8" s="51" t="s">
        <v>4559</v>
      </c>
      <c r="D8" s="63" t="s">
        <v>1046</v>
      </c>
      <c r="E8" s="63" t="s">
        <v>48</v>
      </c>
      <c r="F8" s="63" t="s">
        <v>4560</v>
      </c>
      <c r="G8" s="63" t="s">
        <v>4561</v>
      </c>
      <c r="H8" s="63" t="s">
        <v>4562</v>
      </c>
    </row>
    <row r="9" customFormat="false" ht="15" hidden="false" customHeight="true" outlineLevel="0" collapsed="false">
      <c r="A9" s="51" t="s">
        <v>484</v>
      </c>
      <c r="B9" s="52" t="s">
        <v>4554</v>
      </c>
      <c r="C9" s="51" t="s">
        <v>1058</v>
      </c>
      <c r="D9" s="63" t="s">
        <v>1036</v>
      </c>
      <c r="E9" s="63" t="s">
        <v>481</v>
      </c>
      <c r="F9" s="63" t="s">
        <v>1057</v>
      </c>
      <c r="G9" s="63" t="s">
        <v>4555</v>
      </c>
      <c r="H9" s="63"/>
    </row>
    <row r="10" customFormat="false" ht="15" hidden="false" customHeight="true" outlineLevel="0" collapsed="false">
      <c r="A10" s="51" t="s">
        <v>484</v>
      </c>
      <c r="B10" s="52" t="s">
        <v>4556</v>
      </c>
      <c r="C10" s="51" t="s">
        <v>1061</v>
      </c>
      <c r="D10" s="63" t="s">
        <v>1041</v>
      </c>
      <c r="E10" s="63" t="s">
        <v>481</v>
      </c>
      <c r="F10" s="63" t="s">
        <v>1060</v>
      </c>
      <c r="G10" s="63" t="s">
        <v>4555</v>
      </c>
      <c r="H10" s="63"/>
    </row>
    <row r="11" customFormat="false" ht="15" hidden="false" customHeight="true" outlineLevel="0" collapsed="false">
      <c r="A11" s="51" t="s">
        <v>484</v>
      </c>
      <c r="B11" s="52" t="s">
        <v>4557</v>
      </c>
      <c r="C11" s="51" t="s">
        <v>1064</v>
      </c>
      <c r="D11" s="63" t="s">
        <v>1049</v>
      </c>
      <c r="E11" s="63" t="s">
        <v>481</v>
      </c>
      <c r="F11" s="63" t="s">
        <v>1063</v>
      </c>
      <c r="G11" s="63" t="s">
        <v>4555</v>
      </c>
      <c r="H11" s="63"/>
    </row>
    <row r="12" customFormat="false" ht="23.25" hidden="false" customHeight="true" outlineLevel="0" collapsed="false">
      <c r="A12" s="51" t="s">
        <v>484</v>
      </c>
      <c r="B12" s="52" t="s">
        <v>4558</v>
      </c>
      <c r="C12" s="51" t="s">
        <v>4563</v>
      </c>
      <c r="D12" s="63" t="s">
        <v>1046</v>
      </c>
      <c r="E12" s="63" t="s">
        <v>481</v>
      </c>
      <c r="F12" s="63" t="s">
        <v>4564</v>
      </c>
      <c r="G12" s="63" t="s">
        <v>4561</v>
      </c>
      <c r="H12" s="63" t="s">
        <v>4562</v>
      </c>
    </row>
    <row r="13" customFormat="false" ht="23.25" hidden="false" customHeight="true" outlineLevel="0" collapsed="false">
      <c r="A13" s="51" t="s">
        <v>786</v>
      </c>
      <c r="B13" s="52" t="s">
        <v>4554</v>
      </c>
      <c r="C13" s="51" t="s">
        <v>1067</v>
      </c>
      <c r="D13" s="63" t="s">
        <v>1036</v>
      </c>
      <c r="E13" s="63" t="s">
        <v>808</v>
      </c>
      <c r="F13" s="63" t="s">
        <v>1066</v>
      </c>
      <c r="G13" s="63" t="s">
        <v>4555</v>
      </c>
      <c r="H13" s="63"/>
    </row>
    <row r="14" customFormat="false" ht="23.25" hidden="false" customHeight="true" outlineLevel="0" collapsed="false">
      <c r="A14" s="51" t="s">
        <v>786</v>
      </c>
      <c r="B14" s="52" t="s">
        <v>4556</v>
      </c>
      <c r="C14" s="51" t="s">
        <v>1069</v>
      </c>
      <c r="D14" s="63" t="s">
        <v>1041</v>
      </c>
      <c r="E14" s="63" t="s">
        <v>808</v>
      </c>
      <c r="F14" s="63" t="s">
        <v>1068</v>
      </c>
      <c r="G14" s="63" t="s">
        <v>4555</v>
      </c>
      <c r="H14" s="63"/>
    </row>
    <row r="15" customFormat="false" ht="23.25" hidden="false" customHeight="true" outlineLevel="0" collapsed="false">
      <c r="A15" s="51" t="s">
        <v>786</v>
      </c>
      <c r="B15" s="52" t="s">
        <v>4557</v>
      </c>
      <c r="C15" s="51" t="s">
        <v>1071</v>
      </c>
      <c r="D15" s="63" t="s">
        <v>1049</v>
      </c>
      <c r="E15" s="63" t="s">
        <v>808</v>
      </c>
      <c r="F15" s="63" t="s">
        <v>1070</v>
      </c>
      <c r="G15" s="63" t="s">
        <v>4555</v>
      </c>
      <c r="H15" s="63"/>
    </row>
    <row r="16" customFormat="false" ht="23.25" hidden="false" customHeight="true" outlineLevel="0" collapsed="false">
      <c r="A16" s="51" t="s">
        <v>786</v>
      </c>
      <c r="B16" s="52" t="s">
        <v>4558</v>
      </c>
      <c r="C16" s="51" t="s">
        <v>4565</v>
      </c>
      <c r="D16" s="63" t="s">
        <v>1046</v>
      </c>
      <c r="E16" s="63" t="s">
        <v>808</v>
      </c>
      <c r="F16" s="63" t="s">
        <v>4566</v>
      </c>
      <c r="G16" s="63" t="s">
        <v>4561</v>
      </c>
      <c r="H16" s="63" t="s">
        <v>4562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16"/>
    <col collapsed="false" customWidth="true" hidden="false" outlineLevel="0" max="4" min="4" style="1" width="24"/>
    <col collapsed="false" customWidth="true" hidden="false" outlineLevel="0" max="5" min="5" style="1" width="12"/>
    <col collapsed="false" customWidth="true" hidden="false" outlineLevel="0" max="6" min="6" style="1" width="20"/>
    <col collapsed="false" customWidth="true" hidden="false" outlineLevel="0" max="7" min="7" style="1" width="30"/>
    <col collapsed="false" customWidth="true" hidden="false" outlineLevel="0" max="8" min="8" style="1" width="13"/>
    <col collapsed="false" customWidth="true" hidden="false" outlineLevel="0" max="9" min="9" style="1" width="26"/>
    <col collapsed="false" customWidth="true" hidden="false" outlineLevel="0" max="10" min="10" style="1" width="15"/>
    <col collapsed="false" customWidth="true" hidden="false" outlineLevel="0" max="11" min="11" style="1" width="16"/>
    <col collapsed="false" customWidth="true" hidden="false" outlineLevel="0" max="12" min="12" style="1" width="14"/>
    <col collapsed="false" customWidth="true" hidden="false" outlineLevel="0" max="13" min="13" style="1" width="15"/>
    <col collapsed="false" customWidth="true" hidden="false" outlineLevel="0" max="15" min="14" style="1" width="16"/>
    <col collapsed="false" customWidth="true" hidden="false" outlineLevel="0" max="17" min="16" style="1" width="17"/>
    <col collapsed="false" customWidth="true" hidden="false" outlineLevel="0" max="18" min="18" style="1" width="16"/>
    <col collapsed="false" customWidth="true" hidden="false" outlineLevel="0" max="19" min="19" style="1" width="8"/>
    <col collapsed="false" customWidth="true" hidden="false" outlineLevel="0" max="21" min="20" style="1" width="12"/>
    <col collapsed="false" customWidth="true" hidden="false" outlineLevel="0" max="22" min="22" style="1" width="14"/>
    <col collapsed="false" customWidth="true" hidden="false" outlineLevel="0" max="23" min="23" style="1" width="12"/>
    <col collapsed="false" customWidth="true" hidden="false" outlineLevel="0" max="25" min="24" style="1" width="14"/>
    <col collapsed="false" customWidth="true" hidden="false" outlineLevel="0" max="26" min="26" style="1" width="20"/>
    <col collapsed="false" customWidth="true" hidden="false" outlineLevel="0" max="27" min="27" style="1" width="46"/>
    <col collapsed="false" customWidth="true" hidden="false" outlineLevel="0" max="28" min="28" style="1" width="20"/>
  </cols>
  <sheetData>
    <row r="1" customFormat="false" ht="25.5" hidden="false" customHeight="true" outlineLevel="0" collapsed="false">
      <c r="A1" s="48" t="s">
        <v>4567</v>
      </c>
      <c r="B1" s="48"/>
      <c r="C1" s="48"/>
      <c r="D1" s="48"/>
      <c r="E1" s="48"/>
      <c r="F1" s="48"/>
      <c r="G1" s="48"/>
      <c r="H1" s="48"/>
      <c r="I1" s="48"/>
      <c r="J1" s="48"/>
      <c r="K1" s="48"/>
      <c r="L1" s="48"/>
      <c r="M1" s="48"/>
      <c r="N1" s="48"/>
      <c r="O1" s="48"/>
      <c r="P1" s="48"/>
      <c r="Q1" s="48"/>
      <c r="R1" s="48"/>
      <c r="S1" s="48"/>
      <c r="T1" s="48"/>
      <c r="U1" s="48"/>
      <c r="V1" s="48"/>
      <c r="W1" s="48"/>
      <c r="X1" s="48"/>
      <c r="Y1" s="48"/>
      <c r="Z1" s="48"/>
      <c r="AA1" s="48"/>
      <c r="AB1" s="48"/>
    </row>
    <row r="2" customFormat="false" ht="15.75" hidden="false" customHeight="true" outlineLevel="0" collapsed="false">
      <c r="A2" s="49" t="s">
        <v>4568</v>
      </c>
      <c r="B2" s="49"/>
      <c r="C2" s="49"/>
      <c r="D2" s="49"/>
      <c r="E2" s="49"/>
      <c r="F2" s="49"/>
      <c r="G2" s="49"/>
      <c r="H2" s="49"/>
      <c r="I2" s="49"/>
      <c r="J2" s="49"/>
      <c r="K2" s="49"/>
      <c r="L2" s="49"/>
      <c r="M2" s="49"/>
      <c r="N2" s="49"/>
      <c r="O2" s="49"/>
      <c r="P2" s="49"/>
      <c r="Q2" s="49"/>
      <c r="R2" s="49"/>
      <c r="S2" s="49"/>
      <c r="T2" s="49"/>
      <c r="U2" s="49"/>
      <c r="V2" s="49"/>
      <c r="W2" s="49"/>
      <c r="X2" s="49"/>
      <c r="Y2" s="49"/>
      <c r="Z2" s="49"/>
      <c r="AA2" s="49"/>
      <c r="AB2" s="49"/>
    </row>
    <row r="4" customFormat="false" ht="33.75" hidden="false" customHeight="true" outlineLevel="0" collapsed="false">
      <c r="A4" s="230" t="s">
        <v>2441</v>
      </c>
      <c r="B4" s="230" t="s">
        <v>3351</v>
      </c>
      <c r="C4" s="230" t="s">
        <v>2443</v>
      </c>
      <c r="D4" s="230" t="s">
        <v>2444</v>
      </c>
      <c r="E4" s="230" t="s">
        <v>4569</v>
      </c>
      <c r="F4" s="230" t="s">
        <v>4570</v>
      </c>
      <c r="G4" s="230" t="s">
        <v>4571</v>
      </c>
      <c r="H4" s="230" t="s">
        <v>37</v>
      </c>
      <c r="I4" s="230" t="s">
        <v>38</v>
      </c>
      <c r="J4" s="230" t="s">
        <v>4572</v>
      </c>
      <c r="K4" s="230" t="s">
        <v>4573</v>
      </c>
      <c r="L4" s="230" t="s">
        <v>4574</v>
      </c>
      <c r="M4" s="230" t="s">
        <v>4575</v>
      </c>
      <c r="N4" s="230" t="s">
        <v>4576</v>
      </c>
      <c r="O4" s="230" t="s">
        <v>4577</v>
      </c>
      <c r="P4" s="230" t="s">
        <v>4578</v>
      </c>
      <c r="Q4" s="230" t="s">
        <v>4579</v>
      </c>
      <c r="R4" s="230" t="s">
        <v>4580</v>
      </c>
      <c r="S4" s="230" t="s">
        <v>3338</v>
      </c>
      <c r="T4" s="230" t="s">
        <v>4581</v>
      </c>
      <c r="U4" s="230" t="s">
        <v>4582</v>
      </c>
      <c r="V4" s="230" t="s">
        <v>22</v>
      </c>
      <c r="W4" s="230" t="s">
        <v>4583</v>
      </c>
      <c r="X4" s="230" t="s">
        <v>4584</v>
      </c>
      <c r="Y4" s="230" t="s">
        <v>4585</v>
      </c>
      <c r="Z4" s="230" t="s">
        <v>4586</v>
      </c>
      <c r="AA4" s="230" t="s">
        <v>4587</v>
      </c>
      <c r="AB4" s="230" t="s">
        <v>4588</v>
      </c>
    </row>
    <row r="5" customFormat="false" ht="15" hidden="false" customHeight="true" outlineLevel="0" collapsed="false">
      <c r="A5" s="231" t="s">
        <v>1072</v>
      </c>
      <c r="B5" s="52" t="s">
        <v>1073</v>
      </c>
      <c r="C5" s="52" t="s">
        <v>46</v>
      </c>
      <c r="D5" s="52" t="s">
        <v>48</v>
      </c>
      <c r="E5" s="231" t="s">
        <v>74</v>
      </c>
      <c r="F5" s="231" t="s">
        <v>4589</v>
      </c>
      <c r="G5" s="52" t="s">
        <v>4590</v>
      </c>
      <c r="H5" s="231" t="str">
        <f aca="false">IFERROR(INDEX(Students!$A$2:$AN$173,MATCH($A5,Students!$A$2:$A$173,0),38),"No")</f>
        <v>No</v>
      </c>
      <c r="I5" s="52" t="str">
        <f aca="false">IFERROR(INDEX(Students!$A$2:$AN$173,MATCH($A5,Students!$A$2:$A$173,0),39),"None")</f>
        <v>None</v>
      </c>
      <c r="J5" s="232" t="n">
        <v>150000</v>
      </c>
      <c r="K5" s="232" t="n">
        <f aca="false">$B$50</f>
        <v>130000</v>
      </c>
      <c r="L5" s="232" t="n">
        <v>0</v>
      </c>
      <c r="M5" s="232" t="n">
        <f aca="false">IF(H5="Yes",$B$53,$B$52)</f>
        <v>45000</v>
      </c>
      <c r="N5" s="232" t="n">
        <f aca="false">IF(H5="Yes",$B$55,$B$54)</f>
        <v>15000</v>
      </c>
      <c r="O5" s="232" t="n">
        <f aca="false">IF(H5="Yes",$B$56,0)</f>
        <v>0</v>
      </c>
      <c r="P5" s="232" t="n">
        <f aca="false">SUM(J5:O5)</f>
        <v>340000</v>
      </c>
      <c r="Q5" s="232" t="n">
        <f aca="false">IF(IFERROR(INDEX(Students!$A$2:$AN$173,MATCH($A5,Students!$A$2:$A$173,0),13),"")="On Leave",0,IF(F5="Fully Funded",P5,IF(F5="Provisionally Funded",J5+N5,IF(F5="Appeal Pending",0,IF(F5="Funding Discontinued",ROUND(P5*0.4,0),P5)))))</f>
        <v>340000</v>
      </c>
      <c r="R5" s="232" t="n">
        <f aca="false">IFERROR(INDEX(Students!$A$2:$AN$173,MATCH($A5,Students!$A$2:$A$173,0),22),0)</f>
        <v>0</v>
      </c>
      <c r="S5" s="233" t="n">
        <f aca="false">IFERROR(INDEX(Students!$A$2:$AN$173,MATCH($A5,Students!$A$2:$A$173,0),11),"")</f>
        <v>3.62</v>
      </c>
      <c r="T5" s="231" t="n">
        <f aca="false">IFERROR(INDEX(Students!$A$2:$AN$173,MATCH($A5,Students!$A$2:$A$173,0),12),0)</f>
        <v>48</v>
      </c>
      <c r="U5" s="231" t="n">
        <f aca="false">IFERROR(ROUND(AVERAGEIF(Attendance!$B:$B,$A5,Attendance!$J:$J),0),"")</f>
        <v>87</v>
      </c>
      <c r="V5" s="231" t="str">
        <f aca="false">IFERROR(INDEX(Students!$A$2:$AN$173,MATCH($A5,Students!$A$2:$A$173,0),23),"")</f>
        <v>Good Standing</v>
      </c>
      <c r="W5" s="231" t="n">
        <v>2</v>
      </c>
      <c r="X5" s="231" t="n">
        <f aca="false">$B$48+$B$49</f>
        <v>6</v>
      </c>
      <c r="Y5" s="231" t="n">
        <f aca="false">X5-W5</f>
        <v>4</v>
      </c>
      <c r="Z5" s="52" t="str">
        <f aca="false">IF(V5="Suspended","Critical — Funding Discontinued",IF(OR(V5="Probation",Y5&lt;=1),"High Risk",IF(S5&lt;2.5,"Medium Risk","Low Risk")))</f>
        <v>Low Risk</v>
      </c>
      <c r="AA5" s="52" t="s">
        <v>4591</v>
      </c>
      <c r="AB5" s="231" t="s">
        <v>4592</v>
      </c>
    </row>
    <row r="6" customFormat="false" ht="15" hidden="false" customHeight="true" outlineLevel="0" collapsed="false">
      <c r="A6" s="231" t="s">
        <v>1078</v>
      </c>
      <c r="B6" s="52" t="s">
        <v>1079</v>
      </c>
      <c r="C6" s="52" t="s">
        <v>71</v>
      </c>
      <c r="D6" s="52" t="s">
        <v>73</v>
      </c>
      <c r="E6" s="231" t="s">
        <v>49</v>
      </c>
      <c r="F6" s="231" t="s">
        <v>4593</v>
      </c>
      <c r="G6" s="52" t="s">
        <v>4594</v>
      </c>
      <c r="H6" s="231" t="str">
        <f aca="false">IFERROR(INDEX(Students!$A$2:$AN$173,MATCH($A6,Students!$A$2:$A$173,0),38),"No")</f>
        <v>No</v>
      </c>
      <c r="I6" s="52" t="str">
        <f aca="false">IFERROR(INDEX(Students!$A$2:$AN$173,MATCH($A6,Students!$A$2:$A$173,0),39),"None")</f>
        <v>None</v>
      </c>
      <c r="J6" s="232" t="n">
        <v>130000</v>
      </c>
      <c r="K6" s="232" t="n">
        <v>0</v>
      </c>
      <c r="L6" s="232" t="n">
        <f aca="false">$B$51</f>
        <v>20000</v>
      </c>
      <c r="M6" s="232" t="n">
        <f aca="false">IF(H6="Yes",$B$53,$B$52)</f>
        <v>45000</v>
      </c>
      <c r="N6" s="232" t="n">
        <f aca="false">IF(H6="Yes",$B$55,$B$54)</f>
        <v>15000</v>
      </c>
      <c r="O6" s="232" t="n">
        <f aca="false">IF(H6="Yes",$B$56,0)</f>
        <v>0</v>
      </c>
      <c r="P6" s="232" t="n">
        <f aca="false">SUM(J6:O6)</f>
        <v>210000</v>
      </c>
      <c r="Q6" s="232" t="n">
        <f aca="false">IF(IFERROR(INDEX(Students!$A$2:$AN$173,MATCH($A6,Students!$A$2:$A$173,0),13),"")="On Leave",0,IF(F6="Fully Funded",P6,IF(F6="Provisionally Funded",J6+N6,IF(F6="Appeal Pending",0,IF(F6="Funding Discontinued",ROUND(P6*0.4,0),P6)))))</f>
        <v>145000</v>
      </c>
      <c r="R6" s="232" t="n">
        <f aca="false">IFERROR(INDEX(Students!$A$2:$AN$173,MATCH($A6,Students!$A$2:$A$173,0),22),0)</f>
        <v>65000</v>
      </c>
      <c r="S6" s="233" t="n">
        <f aca="false">IFERROR(INDEX(Students!$A$2:$AN$173,MATCH($A6,Students!$A$2:$A$173,0),11),"")</f>
        <v>2.35</v>
      </c>
      <c r="T6" s="231" t="n">
        <f aca="false">IFERROR(INDEX(Students!$A$2:$AN$173,MATCH($A6,Students!$A$2:$A$173,0),12),0)</f>
        <v>80</v>
      </c>
      <c r="U6" s="231" t="n">
        <f aca="false">IFERROR(ROUND(AVERAGEIF(Attendance!$B:$B,$A6,Attendance!$J:$J),0),"")</f>
        <v>68</v>
      </c>
      <c r="V6" s="231" t="str">
        <f aca="false">IFERROR(INDEX(Students!$A$2:$AN$173,MATCH($A6,Students!$A$2:$A$173,0),23),"")</f>
        <v>Probation</v>
      </c>
      <c r="W6" s="231" t="n">
        <v>3</v>
      </c>
      <c r="X6" s="231" t="n">
        <f aca="false">$B$48+$B$49</f>
        <v>6</v>
      </c>
      <c r="Y6" s="231" t="n">
        <f aca="false">X6-W6</f>
        <v>3</v>
      </c>
      <c r="Z6" s="52" t="str">
        <f aca="false">IF(V6="Suspended","Critical — Funding Discontinued",IF(OR(V6="Probation",Y6&lt;=1),"High Risk",IF(S6&lt;2.5,"Medium Risk","Low Risk")))</f>
        <v>High Risk</v>
      </c>
      <c r="AA6" s="52" t="s">
        <v>4595</v>
      </c>
      <c r="AB6" s="231" t="s">
        <v>4592</v>
      </c>
    </row>
    <row r="7" customFormat="false" ht="15" hidden="false" customHeight="true" outlineLevel="0" collapsed="false">
      <c r="A7" s="231" t="s">
        <v>1082</v>
      </c>
      <c r="B7" s="52" t="s">
        <v>1083</v>
      </c>
      <c r="C7" s="52" t="s">
        <v>46</v>
      </c>
      <c r="D7" s="52" t="s">
        <v>102</v>
      </c>
      <c r="E7" s="231" t="s">
        <v>118</v>
      </c>
      <c r="F7" s="231" t="s">
        <v>4589</v>
      </c>
      <c r="G7" s="52" t="s">
        <v>4596</v>
      </c>
      <c r="H7" s="231" t="str">
        <f aca="false">IFERROR(INDEX(Students!$A$2:$AN$173,MATCH($A7,Students!$A$2:$A$173,0),38),"No")</f>
        <v>Yes</v>
      </c>
      <c r="I7" s="52" t="str">
        <f aca="false">IFERROR(INDEX(Students!$A$2:$AN$173,MATCH($A7,Students!$A$2:$A$173,0),39),"None")</f>
        <v>Visual Impairment</v>
      </c>
      <c r="J7" s="232" t="n">
        <v>150000</v>
      </c>
      <c r="K7" s="232" t="n">
        <f aca="false">$B$50</f>
        <v>130000</v>
      </c>
      <c r="L7" s="232" t="n">
        <v>0</v>
      </c>
      <c r="M7" s="232" t="n">
        <f aca="false">IF(H7="Yes",$B$53,$B$52)</f>
        <v>55000</v>
      </c>
      <c r="N7" s="232" t="n">
        <f aca="false">IF(H7="Yes",$B$55,$B$54)</f>
        <v>16500</v>
      </c>
      <c r="O7" s="232" t="n">
        <f aca="false">IF(H7="Yes",$B$56,0)</f>
        <v>60000</v>
      </c>
      <c r="P7" s="232" t="n">
        <f aca="false">SUM(J7:O7)</f>
        <v>411500</v>
      </c>
      <c r="Q7" s="232" t="n">
        <f aca="false">IF(IFERROR(INDEX(Students!$A$2:$AN$173,MATCH($A7,Students!$A$2:$A$173,0),13),"")="On Leave",0,IF(F7="Fully Funded",P7,IF(F7="Provisionally Funded",J7+N7,IF(F7="Appeal Pending",0,IF(F7="Funding Discontinued",ROUND(P7*0.4,0),P7)))))</f>
        <v>411500</v>
      </c>
      <c r="R7" s="232" t="n">
        <f aca="false">IFERROR(INDEX(Students!$A$2:$AN$173,MATCH($A7,Students!$A$2:$A$173,0),22),0)</f>
        <v>0</v>
      </c>
      <c r="S7" s="233" t="n">
        <f aca="false">IFERROR(INDEX(Students!$A$2:$AN$173,MATCH($A7,Students!$A$2:$A$173,0),11),"")</f>
        <v>3.15</v>
      </c>
      <c r="T7" s="231" t="n">
        <f aca="false">IFERROR(INDEX(Students!$A$2:$AN$173,MATCH($A7,Students!$A$2:$A$173,0),12),0)</f>
        <v>16</v>
      </c>
      <c r="U7" s="231" t="n">
        <f aca="false">IFERROR(ROUND(AVERAGEIF(Attendance!$B:$B,$A7,Attendance!$J:$J),0),"")</f>
        <v>76</v>
      </c>
      <c r="V7" s="231" t="str">
        <f aca="false">IFERROR(INDEX(Students!$A$2:$AN$173,MATCH($A7,Students!$A$2:$A$173,0),23),"")</f>
        <v>Good Standing</v>
      </c>
      <c r="W7" s="231" t="n">
        <v>1</v>
      </c>
      <c r="X7" s="231" t="n">
        <f aca="false">$B$48+$B$49</f>
        <v>6</v>
      </c>
      <c r="Y7" s="231" t="n">
        <f aca="false">X7-W7</f>
        <v>5</v>
      </c>
      <c r="Z7" s="52" t="str">
        <f aca="false">IF(V7="Suspended","Critical — Funding Discontinued",IF(OR(V7="Probation",Y7&lt;=1),"High Risk",IF(S7&lt;2.5,"Medium Risk","Low Risk")))</f>
        <v>Low Risk</v>
      </c>
      <c r="AA7" s="52" t="s">
        <v>4591</v>
      </c>
      <c r="AB7" s="231" t="s">
        <v>4592</v>
      </c>
    </row>
    <row r="8" customFormat="false" ht="15" hidden="false" customHeight="true" outlineLevel="0" collapsed="false">
      <c r="A8" s="231" t="s">
        <v>1089</v>
      </c>
      <c r="B8" s="52" t="s">
        <v>1090</v>
      </c>
      <c r="C8" s="52" t="s">
        <v>147</v>
      </c>
      <c r="D8" s="52" t="s">
        <v>149</v>
      </c>
      <c r="E8" s="231" t="s">
        <v>86</v>
      </c>
      <c r="F8" s="231" t="s">
        <v>4589</v>
      </c>
      <c r="G8" s="52" t="s">
        <v>4590</v>
      </c>
      <c r="H8" s="231" t="str">
        <f aca="false">IFERROR(INDEX(Students!$A$2:$AN$173,MATCH($A8,Students!$A$2:$A$173,0),38),"No")</f>
        <v>No</v>
      </c>
      <c r="I8" s="52" t="str">
        <f aca="false">IFERROR(INDEX(Students!$A$2:$AN$173,MATCH($A8,Students!$A$2:$A$173,0),39),"None")</f>
        <v>None</v>
      </c>
      <c r="J8" s="232" t="n">
        <v>140000</v>
      </c>
      <c r="K8" s="232" t="n">
        <v>0</v>
      </c>
      <c r="L8" s="232" t="n">
        <f aca="false">$B$51</f>
        <v>20000</v>
      </c>
      <c r="M8" s="232" t="n">
        <f aca="false">IF(H8="Yes",$B$53,$B$52)</f>
        <v>45000</v>
      </c>
      <c r="N8" s="232" t="n">
        <f aca="false">IF(H8="Yes",$B$55,$B$54)</f>
        <v>15000</v>
      </c>
      <c r="O8" s="232" t="n">
        <f aca="false">IF(H8="Yes",$B$56,0)</f>
        <v>0</v>
      </c>
      <c r="P8" s="232" t="n">
        <f aca="false">SUM(J8:O8)</f>
        <v>220000</v>
      </c>
      <c r="Q8" s="232" t="n">
        <f aca="false">IF(IFERROR(INDEX(Students!$A$2:$AN$173,MATCH($A8,Students!$A$2:$A$173,0),13),"")="On Leave",0,IF(F8="Fully Funded",P8,IF(F8="Provisionally Funded",J8+N8,IF(F8="Appeal Pending",0,IF(F8="Funding Discontinued",ROUND(P8*0.4,0),P8)))))</f>
        <v>220000</v>
      </c>
      <c r="R8" s="232" t="n">
        <f aca="false">IFERROR(INDEX(Students!$A$2:$AN$173,MATCH($A8,Students!$A$2:$A$173,0),22),0)</f>
        <v>0</v>
      </c>
      <c r="S8" s="233" t="n">
        <f aca="false">IFERROR(INDEX(Students!$A$2:$AN$173,MATCH($A8,Students!$A$2:$A$173,0),11),"")</f>
        <v>3.81</v>
      </c>
      <c r="T8" s="231" t="n">
        <f aca="false">IFERROR(INDEX(Students!$A$2:$AN$173,MATCH($A8,Students!$A$2:$A$173,0),12),0)</f>
        <v>112</v>
      </c>
      <c r="U8" s="231" t="n">
        <f aca="false">IFERROR(ROUND(AVERAGEIF(Attendance!$B:$B,$A8,Attendance!$J:$J),0),"")</f>
        <v>94</v>
      </c>
      <c r="V8" s="231" t="str">
        <f aca="false">IFERROR(INDEX(Students!$A$2:$AN$173,MATCH($A8,Students!$A$2:$A$173,0),23),"")</f>
        <v>Good Standing</v>
      </c>
      <c r="W8" s="231" t="n">
        <v>4</v>
      </c>
      <c r="X8" s="231" t="n">
        <f aca="false">$B$48+$B$49</f>
        <v>6</v>
      </c>
      <c r="Y8" s="231" t="n">
        <f aca="false">X8-W8</f>
        <v>2</v>
      </c>
      <c r="Z8" s="52" t="str">
        <f aca="false">IF(V8="Suspended","Critical — Funding Discontinued",IF(OR(V8="Probation",Y8&lt;=1),"High Risk",IF(S8&lt;2.5,"Medium Risk","Low Risk")))</f>
        <v>Low Risk</v>
      </c>
      <c r="AA8" s="52" t="s">
        <v>4591</v>
      </c>
      <c r="AB8" s="231" t="s">
        <v>4597</v>
      </c>
    </row>
    <row r="9" customFormat="false" ht="15" hidden="false" customHeight="true" outlineLevel="0" collapsed="false">
      <c r="A9" s="231" t="s">
        <v>1094</v>
      </c>
      <c r="B9" s="52" t="s">
        <v>1095</v>
      </c>
      <c r="C9" s="52" t="s">
        <v>132</v>
      </c>
      <c r="D9" s="52" t="s">
        <v>134</v>
      </c>
      <c r="E9" s="231" t="s">
        <v>74</v>
      </c>
      <c r="F9" s="231" t="s">
        <v>4589</v>
      </c>
      <c r="G9" s="52" t="s">
        <v>4590</v>
      </c>
      <c r="H9" s="231" t="str">
        <f aca="false">IFERROR(INDEX(Students!$A$2:$AN$173,MATCH($A9,Students!$A$2:$A$173,0),38),"No")</f>
        <v>No</v>
      </c>
      <c r="I9" s="52" t="str">
        <f aca="false">IFERROR(INDEX(Students!$A$2:$AN$173,MATCH($A9,Students!$A$2:$A$173,0),39),"None")</f>
        <v>None</v>
      </c>
      <c r="J9" s="232" t="n">
        <v>120000</v>
      </c>
      <c r="K9" s="232" t="n">
        <f aca="false">$B$50</f>
        <v>130000</v>
      </c>
      <c r="L9" s="232" t="n">
        <v>0</v>
      </c>
      <c r="M9" s="232" t="n">
        <f aca="false">IF(H9="Yes",$B$53,$B$52)</f>
        <v>45000</v>
      </c>
      <c r="N9" s="232" t="n">
        <f aca="false">IF(H9="Yes",$B$55,$B$54)</f>
        <v>15000</v>
      </c>
      <c r="O9" s="232" t="n">
        <f aca="false">IF(H9="Yes",$B$56,0)</f>
        <v>0</v>
      </c>
      <c r="P9" s="232" t="n">
        <f aca="false">SUM(J9:O9)</f>
        <v>310000</v>
      </c>
      <c r="Q9" s="232" t="n">
        <f aca="false">IF(IFERROR(INDEX(Students!$A$2:$AN$173,MATCH($A9,Students!$A$2:$A$173,0),13),"")="On Leave",0,IF(F9="Fully Funded",P9,IF(F9="Provisionally Funded",J9+N9,IF(F9="Appeal Pending",0,IF(F9="Funding Discontinued",ROUND(P9*0.4,0),P9)))))</f>
        <v>310000</v>
      </c>
      <c r="R9" s="232" t="n">
        <f aca="false">IFERROR(INDEX(Students!$A$2:$AN$173,MATCH($A9,Students!$A$2:$A$173,0),22),0)</f>
        <v>0</v>
      </c>
      <c r="S9" s="233" t="n">
        <f aca="false">IFERROR(INDEX(Students!$A$2:$AN$173,MATCH($A9,Students!$A$2:$A$173,0),11),"")</f>
        <v>2.92</v>
      </c>
      <c r="T9" s="231" t="n">
        <f aca="false">IFERROR(INDEX(Students!$A$2:$AN$173,MATCH($A9,Students!$A$2:$A$173,0),12),0)</f>
        <v>48</v>
      </c>
      <c r="U9" s="231" t="n">
        <f aca="false">IFERROR(ROUND(AVERAGEIF(Attendance!$B:$B,$A9,Attendance!$J:$J),0),"")</f>
        <v>80</v>
      </c>
      <c r="V9" s="231" t="str">
        <f aca="false">IFERROR(INDEX(Students!$A$2:$AN$173,MATCH($A9,Students!$A$2:$A$173,0),23),"")</f>
        <v>Good Standing</v>
      </c>
      <c r="W9" s="231" t="n">
        <v>2</v>
      </c>
      <c r="X9" s="231" t="n">
        <f aca="false">$B$48+$B$49</f>
        <v>6</v>
      </c>
      <c r="Y9" s="231" t="n">
        <f aca="false">X9-W9</f>
        <v>4</v>
      </c>
      <c r="Z9" s="52" t="str">
        <f aca="false">IF(V9="Suspended","Critical — Funding Discontinued",IF(OR(V9="Probation",Y9&lt;=1),"High Risk",IF(S9&lt;2.5,"Medium Risk","Low Risk")))</f>
        <v>Low Risk</v>
      </c>
      <c r="AA9" s="52" t="s">
        <v>4591</v>
      </c>
      <c r="AB9" s="231" t="s">
        <v>4598</v>
      </c>
    </row>
    <row r="10" customFormat="false" ht="15" hidden="false" customHeight="true" outlineLevel="0" collapsed="false">
      <c r="A10" s="231" t="s">
        <v>1099</v>
      </c>
      <c r="B10" s="52" t="s">
        <v>1100</v>
      </c>
      <c r="C10" s="52" t="s">
        <v>156</v>
      </c>
      <c r="D10" s="52" t="s">
        <v>73</v>
      </c>
      <c r="E10" s="231" t="s">
        <v>86</v>
      </c>
      <c r="F10" s="231" t="s">
        <v>4599</v>
      </c>
      <c r="G10" s="52" t="s">
        <v>4590</v>
      </c>
      <c r="H10" s="231" t="str">
        <f aca="false">IFERROR(INDEX(Students!$A$2:$AN$173,MATCH($A10,Students!$A$2:$A$173,0),38),"No")</f>
        <v>No</v>
      </c>
      <c r="I10" s="52" t="str">
        <f aca="false">IFERROR(INDEX(Students!$A$2:$AN$173,MATCH($A10,Students!$A$2:$A$173,0),39),"None")</f>
        <v>None</v>
      </c>
      <c r="J10" s="232" t="n">
        <v>130000</v>
      </c>
      <c r="K10" s="232" t="n">
        <v>0</v>
      </c>
      <c r="L10" s="232" t="n">
        <f aca="false">$B$51</f>
        <v>20000</v>
      </c>
      <c r="M10" s="232" t="n">
        <f aca="false">IF(H10="Yes",$B$53,$B$52)</f>
        <v>45000</v>
      </c>
      <c r="N10" s="232" t="n">
        <f aca="false">IF(H10="Yes",$B$55,$B$54)</f>
        <v>15000</v>
      </c>
      <c r="O10" s="232" t="n">
        <f aca="false">IF(H10="Yes",$B$56,0)</f>
        <v>0</v>
      </c>
      <c r="P10" s="232" t="n">
        <f aca="false">SUM(J10:O10)</f>
        <v>210000</v>
      </c>
      <c r="Q10" s="232" t="n">
        <f aca="false">IF(IFERROR(INDEX(Students!$A$2:$AN$173,MATCH($A10,Students!$A$2:$A$173,0),13),"")="On Leave",0,IF(F10="Fully Funded",P10,IF(F10="Provisionally Funded",J10+N10,IF(F10="Appeal Pending",0,IF(F10="Funding Discontinued",ROUND(P10*0.4,0),P10)))))</f>
        <v>84000</v>
      </c>
      <c r="R10" s="232" t="n">
        <f aca="false">IFERROR(INDEX(Students!$A$2:$AN$173,MATCH($A10,Students!$A$2:$A$173,0),22),0)</f>
        <v>50000</v>
      </c>
      <c r="S10" s="233" t="n">
        <f aca="false">IFERROR(INDEX(Students!$A$2:$AN$173,MATCH($A10,Students!$A$2:$A$173,0),11),"")</f>
        <v>1.95</v>
      </c>
      <c r="T10" s="231" t="n">
        <f aca="false">IFERROR(INDEX(Students!$A$2:$AN$173,MATCH($A10,Students!$A$2:$A$173,0),12),0)</f>
        <v>112</v>
      </c>
      <c r="U10" s="231" t="n">
        <f aca="false">IFERROR(ROUND(AVERAGEIF(Attendance!$B:$B,$A10,Attendance!$J:$J),0),"")</f>
        <v>45</v>
      </c>
      <c r="V10" s="231" t="str">
        <f aca="false">IFERROR(INDEX(Students!$A$2:$AN$173,MATCH($A10,Students!$A$2:$A$173,0),23),"")</f>
        <v>Suspended</v>
      </c>
      <c r="W10" s="231" t="n">
        <v>4</v>
      </c>
      <c r="X10" s="231" t="n">
        <f aca="false">$B$48+$B$49</f>
        <v>6</v>
      </c>
      <c r="Y10" s="231" t="n">
        <f aca="false">X10-W10</f>
        <v>2</v>
      </c>
      <c r="Z10" s="52" t="str">
        <f aca="false">IF(V10="Suspended","Critical — Funding Discontinued",IF(OR(V10="Probation",Y10&lt;=1),"High Risk",IF(S10&lt;2.5,"Medium Risk","Low Risk")))</f>
        <v>Critical — Funding Discontinued</v>
      </c>
      <c r="AA10" s="52" t="s">
        <v>4600</v>
      </c>
      <c r="AB10" s="231" t="s">
        <v>4598</v>
      </c>
    </row>
    <row r="11" customFormat="false" ht="15" hidden="false" customHeight="true" outlineLevel="0" collapsed="false">
      <c r="A11" s="231" t="s">
        <v>1104</v>
      </c>
      <c r="B11" s="52" t="s">
        <v>1105</v>
      </c>
      <c r="C11" s="52" t="s">
        <v>46</v>
      </c>
      <c r="D11" s="52" t="s">
        <v>85</v>
      </c>
      <c r="E11" s="231" t="s">
        <v>49</v>
      </c>
      <c r="F11" s="231" t="s">
        <v>4589</v>
      </c>
      <c r="G11" s="52" t="s">
        <v>4596</v>
      </c>
      <c r="H11" s="231" t="str">
        <f aca="false">IFERROR(INDEX(Students!$A$2:$AN$173,MATCH($A11,Students!$A$2:$A$173,0),38),"No")</f>
        <v>Yes</v>
      </c>
      <c r="I11" s="52" t="str">
        <f aca="false">IFERROR(INDEX(Students!$A$2:$AN$173,MATCH($A11,Students!$A$2:$A$173,0),39),"None")</f>
        <v>Physical / Mobility Impairment</v>
      </c>
      <c r="J11" s="232" t="n">
        <v>150000</v>
      </c>
      <c r="K11" s="232" t="n">
        <f aca="false">$B$50</f>
        <v>130000</v>
      </c>
      <c r="L11" s="232" t="n">
        <v>0</v>
      </c>
      <c r="M11" s="232" t="n">
        <f aca="false">IF(H11="Yes",$B$53,$B$52)</f>
        <v>55000</v>
      </c>
      <c r="N11" s="232" t="n">
        <f aca="false">IF(H11="Yes",$B$55,$B$54)</f>
        <v>16500</v>
      </c>
      <c r="O11" s="232" t="n">
        <f aca="false">IF(H11="Yes",$B$56,0)</f>
        <v>60000</v>
      </c>
      <c r="P11" s="232" t="n">
        <f aca="false">SUM(J11:O11)</f>
        <v>411500</v>
      </c>
      <c r="Q11" s="232" t="n">
        <f aca="false">IF(IFERROR(INDEX(Students!$A$2:$AN$173,MATCH($A11,Students!$A$2:$A$173,0),13),"")="On Leave",0,IF(F11="Fully Funded",P11,IF(F11="Provisionally Funded",J11+N11,IF(F11="Appeal Pending",0,IF(F11="Funding Discontinued",ROUND(P11*0.4,0),P11)))))</f>
        <v>411500</v>
      </c>
      <c r="R11" s="232" t="n">
        <f aca="false">IFERROR(INDEX(Students!$A$2:$AN$173,MATCH($A11,Students!$A$2:$A$173,0),22),0)</f>
        <v>0</v>
      </c>
      <c r="S11" s="233" t="n">
        <f aca="false">IFERROR(INDEX(Students!$A$2:$AN$173,MATCH($A11,Students!$A$2:$A$173,0),11),"")</f>
        <v>3.45</v>
      </c>
      <c r="T11" s="231" t="n">
        <f aca="false">IFERROR(INDEX(Students!$A$2:$AN$173,MATCH($A11,Students!$A$2:$A$173,0),12),0)</f>
        <v>80</v>
      </c>
      <c r="U11" s="231" t="n">
        <f aca="false">IFERROR(ROUND(AVERAGEIF(Attendance!$B:$B,$A11,Attendance!$J:$J),0),"")</f>
        <v>91</v>
      </c>
      <c r="V11" s="231" t="str">
        <f aca="false">IFERROR(INDEX(Students!$A$2:$AN$173,MATCH($A11,Students!$A$2:$A$173,0),23),"")</f>
        <v>Good Standing</v>
      </c>
      <c r="W11" s="231" t="n">
        <v>3</v>
      </c>
      <c r="X11" s="231" t="n">
        <f aca="false">$B$48+$B$49</f>
        <v>6</v>
      </c>
      <c r="Y11" s="231" t="n">
        <f aca="false">X11-W11</f>
        <v>3</v>
      </c>
      <c r="Z11" s="52" t="str">
        <f aca="false">IF(V11="Suspended","Critical — Funding Discontinued",IF(OR(V11="Probation",Y11&lt;=1),"High Risk",IF(S11&lt;2.5,"Medium Risk","Low Risk")))</f>
        <v>Low Risk</v>
      </c>
      <c r="AA11" s="52" t="s">
        <v>4591</v>
      </c>
      <c r="AB11" s="231" t="s">
        <v>4601</v>
      </c>
    </row>
    <row r="12" customFormat="false" ht="15" hidden="false" customHeight="true" outlineLevel="0" collapsed="false">
      <c r="A12" s="231" t="s">
        <v>1110</v>
      </c>
      <c r="B12" s="52" t="s">
        <v>1111</v>
      </c>
      <c r="C12" s="52" t="s">
        <v>46</v>
      </c>
      <c r="D12" s="52" t="s">
        <v>48</v>
      </c>
      <c r="E12" s="231" t="s">
        <v>118</v>
      </c>
      <c r="F12" s="231" t="s">
        <v>4593</v>
      </c>
      <c r="G12" s="52" t="s">
        <v>4594</v>
      </c>
      <c r="H12" s="231" t="str">
        <f aca="false">IFERROR(INDEX(Students!$A$2:$AN$173,MATCH($A12,Students!$A$2:$A$173,0),38),"No")</f>
        <v>No</v>
      </c>
      <c r="I12" s="52" t="str">
        <f aca="false">IFERROR(INDEX(Students!$A$2:$AN$173,MATCH($A12,Students!$A$2:$A$173,0),39),"None")</f>
        <v>None</v>
      </c>
      <c r="J12" s="232" t="n">
        <v>150000</v>
      </c>
      <c r="K12" s="232" t="n">
        <v>0</v>
      </c>
      <c r="L12" s="232" t="n">
        <f aca="false">$B$51</f>
        <v>20000</v>
      </c>
      <c r="M12" s="232" t="n">
        <f aca="false">IF(H12="Yes",$B$53,$B$52)</f>
        <v>45000</v>
      </c>
      <c r="N12" s="232" t="n">
        <f aca="false">IF(H12="Yes",$B$55,$B$54)</f>
        <v>15000</v>
      </c>
      <c r="O12" s="232" t="n">
        <f aca="false">IF(H12="Yes",$B$56,0)</f>
        <v>0</v>
      </c>
      <c r="P12" s="232" t="n">
        <f aca="false">SUM(J12:O12)</f>
        <v>230000</v>
      </c>
      <c r="Q12" s="232" t="n">
        <f aca="false">IF(IFERROR(INDEX(Students!$A$2:$AN$173,MATCH($A12,Students!$A$2:$A$173,0),13),"")="On Leave",0,IF(F12="Fully Funded",P12,IF(F12="Provisionally Funded",J12+N12,IF(F12="Appeal Pending",0,IF(F12="Funding Discontinued",ROUND(P12*0.4,0),P12)))))</f>
        <v>165000</v>
      </c>
      <c r="R12" s="232" t="n">
        <f aca="false">IFERROR(INDEX(Students!$A$2:$AN$173,MATCH($A12,Students!$A$2:$A$173,0),22),0)</f>
        <v>75000</v>
      </c>
      <c r="S12" s="233" t="n">
        <f aca="false">IFERROR(INDEX(Students!$A$2:$AN$173,MATCH($A12,Students!$A$2:$A$173,0),11),"")</f>
        <v>3.05</v>
      </c>
      <c r="T12" s="231" t="n">
        <f aca="false">IFERROR(INDEX(Students!$A$2:$AN$173,MATCH($A12,Students!$A$2:$A$173,0),12),0)</f>
        <v>16</v>
      </c>
      <c r="U12" s="231" t="n">
        <f aca="false">IFERROR(ROUND(AVERAGEIF(Attendance!$B:$B,$A12,Attendance!$J:$J),0),"")</f>
        <v>76</v>
      </c>
      <c r="V12" s="231" t="str">
        <f aca="false">IFERROR(INDEX(Students!$A$2:$AN$173,MATCH($A12,Students!$A$2:$A$173,0),23),"")</f>
        <v>Good Standing</v>
      </c>
      <c r="W12" s="231" t="n">
        <v>1</v>
      </c>
      <c r="X12" s="231" t="n">
        <f aca="false">$B$48+$B$49</f>
        <v>6</v>
      </c>
      <c r="Y12" s="231" t="n">
        <f aca="false">X12-W12</f>
        <v>5</v>
      </c>
      <c r="Z12" s="52" t="str">
        <f aca="false">IF(V12="Suspended","Critical — Funding Discontinued",IF(OR(V12="Probation",Y12&lt;=1),"High Risk",IF(S12&lt;2.5,"Medium Risk","Low Risk")))</f>
        <v>Low Risk</v>
      </c>
      <c r="AA12" s="52" t="s">
        <v>4595</v>
      </c>
      <c r="AB12" s="231" t="s">
        <v>4592</v>
      </c>
    </row>
    <row r="13" customFormat="false" ht="15" hidden="false" customHeight="true" outlineLevel="0" collapsed="false">
      <c r="A13" s="231" t="s">
        <v>1115</v>
      </c>
      <c r="B13" s="52" t="s">
        <v>1116</v>
      </c>
      <c r="C13" s="52" t="s">
        <v>193</v>
      </c>
      <c r="D13" s="52" t="s">
        <v>102</v>
      </c>
      <c r="E13" s="231" t="s">
        <v>86</v>
      </c>
      <c r="F13" s="231" t="s">
        <v>4589</v>
      </c>
      <c r="G13" s="52" t="s">
        <v>4590</v>
      </c>
      <c r="H13" s="231" t="str">
        <f aca="false">IFERROR(INDEX(Students!$A$2:$AN$173,MATCH($A13,Students!$A$2:$A$173,0),38),"No")</f>
        <v>No</v>
      </c>
      <c r="I13" s="52" t="str">
        <f aca="false">IFERROR(INDEX(Students!$A$2:$AN$173,MATCH($A13,Students!$A$2:$A$173,0),39),"None")</f>
        <v>None</v>
      </c>
      <c r="J13" s="232" t="n">
        <v>160000</v>
      </c>
      <c r="K13" s="232" t="n">
        <f aca="false">$B$50</f>
        <v>130000</v>
      </c>
      <c r="L13" s="232" t="n">
        <v>0</v>
      </c>
      <c r="M13" s="232" t="n">
        <f aca="false">IF(H13="Yes",$B$53,$B$52)</f>
        <v>45000</v>
      </c>
      <c r="N13" s="232" t="n">
        <f aca="false">IF(H13="Yes",$B$55,$B$54)</f>
        <v>15000</v>
      </c>
      <c r="O13" s="232" t="n">
        <f aca="false">IF(H13="Yes",$B$56,0)</f>
        <v>0</v>
      </c>
      <c r="P13" s="232" t="n">
        <f aca="false">SUM(J13:O13)</f>
        <v>350000</v>
      </c>
      <c r="Q13" s="232" t="n">
        <f aca="false">IF(IFERROR(INDEX(Students!$A$2:$AN$173,MATCH($A13,Students!$A$2:$A$173,0),13),"")="On Leave",0,IF(F13="Fully Funded",P13,IF(F13="Provisionally Funded",J13+N13,IF(F13="Appeal Pending",0,IF(F13="Funding Discontinued",ROUND(P13*0.4,0),P13)))))</f>
        <v>350000</v>
      </c>
      <c r="R13" s="232" t="n">
        <f aca="false">IFERROR(INDEX(Students!$A$2:$AN$173,MATCH($A13,Students!$A$2:$A$173,0),22),0)</f>
        <v>0</v>
      </c>
      <c r="S13" s="233" t="n">
        <f aca="false">IFERROR(INDEX(Students!$A$2:$AN$173,MATCH($A13,Students!$A$2:$A$173,0),11),"")</f>
        <v>3.7</v>
      </c>
      <c r="T13" s="231" t="n">
        <f aca="false">IFERROR(INDEX(Students!$A$2:$AN$173,MATCH($A13,Students!$A$2:$A$173,0),12),0)</f>
        <v>128</v>
      </c>
      <c r="U13" s="231" t="n">
        <f aca="false">IFERROR(ROUND(AVERAGEIF(Attendance!$B:$B,$A13,Attendance!$J:$J),0),"")</f>
        <v>96</v>
      </c>
      <c r="V13" s="231" t="str">
        <f aca="false">IFERROR(INDEX(Students!$A$2:$AN$173,MATCH($A13,Students!$A$2:$A$173,0),23),"")</f>
        <v>Cleared</v>
      </c>
      <c r="W13" s="231" t="n">
        <v>4</v>
      </c>
      <c r="X13" s="231" t="n">
        <f aca="false">$B$48+$B$49</f>
        <v>6</v>
      </c>
      <c r="Y13" s="231" t="n">
        <f aca="false">X13-W13</f>
        <v>2</v>
      </c>
      <c r="Z13" s="52" t="str">
        <f aca="false">IF(V13="Suspended","Critical — Funding Discontinued",IF(OR(V13="Probation",Y13&lt;=1),"High Risk",IF(S13&lt;2.5,"Medium Risk","Low Risk")))</f>
        <v>Low Risk</v>
      </c>
      <c r="AA13" s="52" t="s">
        <v>4591</v>
      </c>
      <c r="AB13" s="231" t="s">
        <v>4592</v>
      </c>
    </row>
    <row r="14" customFormat="false" ht="15" hidden="false" customHeight="true" outlineLevel="0" collapsed="false">
      <c r="A14" s="231" t="s">
        <v>1120</v>
      </c>
      <c r="B14" s="52" t="s">
        <v>1121</v>
      </c>
      <c r="C14" s="52" t="s">
        <v>46</v>
      </c>
      <c r="D14" s="52" t="s">
        <v>117</v>
      </c>
      <c r="E14" s="231" t="s">
        <v>74</v>
      </c>
      <c r="F14" s="231" t="s">
        <v>4589</v>
      </c>
      <c r="G14" s="52" t="s">
        <v>4590</v>
      </c>
      <c r="H14" s="231" t="str">
        <f aca="false">IFERROR(INDEX(Students!$A$2:$AN$173,MATCH($A14,Students!$A$2:$A$173,0),38),"No")</f>
        <v>No</v>
      </c>
      <c r="I14" s="52" t="str">
        <f aca="false">IFERROR(INDEX(Students!$A$2:$AN$173,MATCH($A14,Students!$A$2:$A$173,0),39),"None")</f>
        <v>None</v>
      </c>
      <c r="J14" s="232" t="n">
        <v>150000</v>
      </c>
      <c r="K14" s="232" t="n">
        <v>0</v>
      </c>
      <c r="L14" s="232" t="n">
        <f aca="false">$B$51</f>
        <v>20000</v>
      </c>
      <c r="M14" s="232" t="n">
        <f aca="false">IF(H14="Yes",$B$53,$B$52)</f>
        <v>45000</v>
      </c>
      <c r="N14" s="232" t="n">
        <f aca="false">IF(H14="Yes",$B$55,$B$54)</f>
        <v>15000</v>
      </c>
      <c r="O14" s="232" t="n">
        <f aca="false">IF(H14="Yes",$B$56,0)</f>
        <v>0</v>
      </c>
      <c r="P14" s="232" t="n">
        <f aca="false">SUM(J14:O14)</f>
        <v>230000</v>
      </c>
      <c r="Q14" s="232" t="n">
        <f aca="false">IF(IFERROR(INDEX(Students!$A$2:$AN$173,MATCH($A14,Students!$A$2:$A$173,0),13),"")="On Leave",0,IF(F14="Fully Funded",P14,IF(F14="Provisionally Funded",J14+N14,IF(F14="Appeal Pending",0,IF(F14="Funding Discontinued",ROUND(P14*0.4,0),P14)))))</f>
        <v>230000</v>
      </c>
      <c r="R14" s="232" t="n">
        <f aca="false">IFERROR(INDEX(Students!$A$2:$AN$173,MATCH($A14,Students!$A$2:$A$173,0),22),0)</f>
        <v>0</v>
      </c>
      <c r="S14" s="233" t="n">
        <f aca="false">IFERROR(INDEX(Students!$A$2:$AN$173,MATCH($A14,Students!$A$2:$A$173,0),11),"")</f>
        <v>2.55</v>
      </c>
      <c r="T14" s="231" t="n">
        <f aca="false">IFERROR(INDEX(Students!$A$2:$AN$173,MATCH($A14,Students!$A$2:$A$173,0),12),0)</f>
        <v>48</v>
      </c>
      <c r="U14" s="231" t="n">
        <f aca="false">IFERROR(ROUND(AVERAGEIF(Attendance!$B:$B,$A14,Attendance!$J:$J),0),"")</f>
        <v>64</v>
      </c>
      <c r="V14" s="231" t="str">
        <f aca="false">IFERROR(INDEX(Students!$A$2:$AN$173,MATCH($A14,Students!$A$2:$A$173,0),23),"")</f>
        <v>Good Standing</v>
      </c>
      <c r="W14" s="231" t="n">
        <v>2</v>
      </c>
      <c r="X14" s="231" t="n">
        <f aca="false">$B$48+$B$49</f>
        <v>6</v>
      </c>
      <c r="Y14" s="231" t="n">
        <f aca="false">X14-W14</f>
        <v>4</v>
      </c>
      <c r="Z14" s="52" t="str">
        <f aca="false">IF(V14="Suspended","Critical — Funding Discontinued",IF(OR(V14="Probation",Y14&lt;=1),"High Risk",IF(S14&lt;2.5,"Medium Risk","Low Risk")))</f>
        <v>Low Risk</v>
      </c>
      <c r="AA14" s="52" t="s">
        <v>4591</v>
      </c>
      <c r="AB14" s="231" t="s">
        <v>4601</v>
      </c>
    </row>
    <row r="15" customFormat="false" ht="15" hidden="false" customHeight="true" outlineLevel="0" collapsed="false">
      <c r="A15" s="231" t="s">
        <v>1125</v>
      </c>
      <c r="B15" s="52" t="s">
        <v>1126</v>
      </c>
      <c r="C15" s="52" t="s">
        <v>71</v>
      </c>
      <c r="D15" s="52" t="s">
        <v>187</v>
      </c>
      <c r="E15" s="231" t="s">
        <v>49</v>
      </c>
      <c r="F15" s="231" t="s">
        <v>4589</v>
      </c>
      <c r="G15" s="52" t="s">
        <v>4596</v>
      </c>
      <c r="H15" s="231" t="str">
        <f aca="false">IFERROR(INDEX(Students!$A$2:$AN$173,MATCH($A15,Students!$A$2:$A$173,0),38),"No")</f>
        <v>Yes</v>
      </c>
      <c r="I15" s="52" t="str">
        <f aca="false">IFERROR(INDEX(Students!$A$2:$AN$173,MATCH($A15,Students!$A$2:$A$173,0),39),"None")</f>
        <v>Hearing Impairment</v>
      </c>
      <c r="J15" s="232" t="n">
        <v>130000</v>
      </c>
      <c r="K15" s="232" t="n">
        <f aca="false">$B$50</f>
        <v>130000</v>
      </c>
      <c r="L15" s="232" t="n">
        <v>0</v>
      </c>
      <c r="M15" s="232" t="n">
        <f aca="false">IF(H15="Yes",$B$53,$B$52)</f>
        <v>55000</v>
      </c>
      <c r="N15" s="232" t="n">
        <f aca="false">IF(H15="Yes",$B$55,$B$54)</f>
        <v>16500</v>
      </c>
      <c r="O15" s="232" t="n">
        <f aca="false">IF(H15="Yes",$B$56,0)</f>
        <v>60000</v>
      </c>
      <c r="P15" s="232" t="n">
        <f aca="false">SUM(J15:O15)</f>
        <v>391500</v>
      </c>
      <c r="Q15" s="232" t="n">
        <f aca="false">IF(IFERROR(INDEX(Students!$A$2:$AN$173,MATCH($A15,Students!$A$2:$A$173,0),13),"")="On Leave",0,IF(F15="Fully Funded",P15,IF(F15="Provisionally Funded",J15+N15,IF(F15="Appeal Pending",0,IF(F15="Funding Discontinued",ROUND(P15*0.4,0),P15)))))</f>
        <v>391500</v>
      </c>
      <c r="R15" s="232" t="n">
        <f aca="false">IFERROR(INDEX(Students!$A$2:$AN$173,MATCH($A15,Students!$A$2:$A$173,0),22),0)</f>
        <v>0</v>
      </c>
      <c r="S15" s="233" t="n">
        <f aca="false">IFERROR(INDEX(Students!$A$2:$AN$173,MATCH($A15,Students!$A$2:$A$173,0),11),"")</f>
        <v>3.3</v>
      </c>
      <c r="T15" s="231" t="n">
        <f aca="false">IFERROR(INDEX(Students!$A$2:$AN$173,MATCH($A15,Students!$A$2:$A$173,0),12),0)</f>
        <v>80</v>
      </c>
      <c r="U15" s="231" t="n">
        <f aca="false">IFERROR(ROUND(AVERAGEIF(Attendance!$B:$B,$A15,Attendance!$J:$J),0),"")</f>
        <v>89</v>
      </c>
      <c r="V15" s="231" t="str">
        <f aca="false">IFERROR(INDEX(Students!$A$2:$AN$173,MATCH($A15,Students!$A$2:$A$173,0),23),"")</f>
        <v>Good Standing</v>
      </c>
      <c r="W15" s="231" t="n">
        <v>3</v>
      </c>
      <c r="X15" s="231" t="n">
        <f aca="false">$B$48+$B$49</f>
        <v>6</v>
      </c>
      <c r="Y15" s="231" t="n">
        <f aca="false">X15-W15</f>
        <v>3</v>
      </c>
      <c r="Z15" s="52" t="str">
        <f aca="false">IF(V15="Suspended","Critical — Funding Discontinued",IF(OR(V15="Probation",Y15&lt;=1),"High Risk",IF(S15&lt;2.5,"Medium Risk","Low Risk")))</f>
        <v>Low Risk</v>
      </c>
      <c r="AA15" s="52" t="s">
        <v>4591</v>
      </c>
      <c r="AB15" s="231" t="s">
        <v>4602</v>
      </c>
    </row>
    <row r="16" customFormat="false" ht="15" hidden="false" customHeight="true" outlineLevel="0" collapsed="false">
      <c r="A16" s="231" t="s">
        <v>1130</v>
      </c>
      <c r="B16" s="52" t="s">
        <v>1131</v>
      </c>
      <c r="C16" s="52" t="s">
        <v>46</v>
      </c>
      <c r="D16" s="52" t="s">
        <v>117</v>
      </c>
      <c r="E16" s="231" t="s">
        <v>118</v>
      </c>
      <c r="F16" s="231" t="s">
        <v>4603</v>
      </c>
      <c r="G16" s="52" t="s">
        <v>4590</v>
      </c>
      <c r="H16" s="231" t="str">
        <f aca="false">IFERROR(INDEX(Students!$A$2:$AN$173,MATCH($A16,Students!$A$2:$A$173,0),38),"No")</f>
        <v>No</v>
      </c>
      <c r="I16" s="52" t="str">
        <f aca="false">IFERROR(INDEX(Students!$A$2:$AN$173,MATCH($A16,Students!$A$2:$A$173,0),39),"None")</f>
        <v>None</v>
      </c>
      <c r="J16" s="232" t="n">
        <v>150000</v>
      </c>
      <c r="K16" s="232" t="n">
        <v>0</v>
      </c>
      <c r="L16" s="232" t="n">
        <f aca="false">$B$51</f>
        <v>20000</v>
      </c>
      <c r="M16" s="232" t="n">
        <f aca="false">IF(H16="Yes",$B$53,$B$52)</f>
        <v>45000</v>
      </c>
      <c r="N16" s="232" t="n">
        <f aca="false">IF(H16="Yes",$B$55,$B$54)</f>
        <v>15000</v>
      </c>
      <c r="O16" s="232" t="n">
        <f aca="false">IF(H16="Yes",$B$56,0)</f>
        <v>0</v>
      </c>
      <c r="P16" s="232" t="n">
        <f aca="false">SUM(J16:O16)</f>
        <v>230000</v>
      </c>
      <c r="Q16" s="232" t="n">
        <f aca="false">IF(IFERROR(INDEX(Students!$A$2:$AN$173,MATCH($A16,Students!$A$2:$A$173,0),13),"")="On Leave",0,IF(F16="Fully Funded",P16,IF(F16="Provisionally Funded",J16+N16,IF(F16="Appeal Pending",0,IF(F16="Funding Discontinued",ROUND(P16*0.4,0),P16)))))</f>
        <v>0</v>
      </c>
      <c r="R16" s="232" t="n">
        <f aca="false">IFERROR(INDEX(Students!$A$2:$AN$173,MATCH($A16,Students!$A$2:$A$173,0),22),0)</f>
        <v>80000</v>
      </c>
      <c r="S16" s="233" t="n">
        <f aca="false">IFERROR(INDEX(Students!$A$2:$AN$173,MATCH($A16,Students!$A$2:$A$173,0),11),"")</f>
        <v>2.1</v>
      </c>
      <c r="T16" s="231" t="n">
        <f aca="false">IFERROR(INDEX(Students!$A$2:$AN$173,MATCH($A16,Students!$A$2:$A$173,0),12),0)</f>
        <v>16</v>
      </c>
      <c r="U16" s="231" t="n">
        <f aca="false">IFERROR(ROUND(AVERAGEIF(Attendance!$B:$B,$A16,Attendance!$J:$J),0),"")</f>
        <v>68</v>
      </c>
      <c r="V16" s="231" t="str">
        <f aca="false">IFERROR(INDEX(Students!$A$2:$AN$173,MATCH($A16,Students!$A$2:$A$173,0),23),"")</f>
        <v>Probation</v>
      </c>
      <c r="W16" s="231" t="n">
        <v>1</v>
      </c>
      <c r="X16" s="231" t="n">
        <f aca="false">$B$48+$B$49</f>
        <v>6</v>
      </c>
      <c r="Y16" s="231" t="n">
        <f aca="false">X16-W16</f>
        <v>5</v>
      </c>
      <c r="Z16" s="52" t="str">
        <f aca="false">IF(V16="Suspended","Critical — Funding Discontinued",IF(OR(V16="Probation",Y16&lt;=1),"High Risk",IF(S16&lt;2.5,"Medium Risk","Low Risk")))</f>
        <v>High Risk</v>
      </c>
      <c r="AA16" s="52" t="s">
        <v>4604</v>
      </c>
      <c r="AB16" s="231" t="s">
        <v>4598</v>
      </c>
    </row>
    <row r="17" customFormat="false" ht="15" hidden="false" customHeight="true" outlineLevel="0" collapsed="false">
      <c r="A17" s="231" t="s">
        <v>1135</v>
      </c>
      <c r="B17" s="52" t="s">
        <v>1136</v>
      </c>
      <c r="C17" s="52" t="s">
        <v>46</v>
      </c>
      <c r="D17" s="52" t="s">
        <v>117</v>
      </c>
      <c r="E17" s="231" t="s">
        <v>74</v>
      </c>
      <c r="F17" s="231" t="s">
        <v>4589</v>
      </c>
      <c r="G17" s="52" t="s">
        <v>4590</v>
      </c>
      <c r="H17" s="231" t="str">
        <f aca="false">IFERROR(INDEX(Students!$A$2:$AN$173,MATCH($A17,Students!$A$2:$A$173,0),38),"No")</f>
        <v>No</v>
      </c>
      <c r="I17" s="52" t="str">
        <f aca="false">IFERROR(INDEX(Students!$A$2:$AN$173,MATCH($A17,Students!$A$2:$A$173,0),39),"None")</f>
        <v>None</v>
      </c>
      <c r="J17" s="232" t="n">
        <v>150000</v>
      </c>
      <c r="K17" s="232" t="n">
        <f aca="false">$B$50</f>
        <v>130000</v>
      </c>
      <c r="L17" s="232" t="n">
        <v>0</v>
      </c>
      <c r="M17" s="232" t="n">
        <f aca="false">IF(H17="Yes",$B$53,$B$52)</f>
        <v>45000</v>
      </c>
      <c r="N17" s="232" t="n">
        <f aca="false">IF(H17="Yes",$B$55,$B$54)</f>
        <v>15000</v>
      </c>
      <c r="O17" s="232" t="n">
        <f aca="false">IF(H17="Yes",$B$56,0)</f>
        <v>0</v>
      </c>
      <c r="P17" s="232" t="n">
        <f aca="false">SUM(J17:O17)</f>
        <v>340000</v>
      </c>
      <c r="Q17" s="232" t="n">
        <f aca="false">IF(IFERROR(INDEX(Students!$A$2:$AN$173,MATCH($A17,Students!$A$2:$A$173,0),13),"")="On Leave",0,IF(F17="Fully Funded",P17,IF(F17="Provisionally Funded",J17+N17,IF(F17="Appeal Pending",0,IF(F17="Funding Discontinued",ROUND(P17*0.4,0),P17)))))</f>
        <v>340000</v>
      </c>
      <c r="R17" s="232" t="n">
        <f aca="false">IFERROR(INDEX(Students!$A$2:$AN$173,MATCH($A17,Students!$A$2:$A$173,0),22),0)</f>
        <v>0</v>
      </c>
      <c r="S17" s="233" t="n">
        <f aca="false">IFERROR(INDEX(Students!$A$2:$AN$173,MATCH($A17,Students!$A$2:$A$173,0),11),"")</f>
        <v>3.88</v>
      </c>
      <c r="T17" s="231" t="n">
        <f aca="false">IFERROR(INDEX(Students!$A$2:$AN$173,MATCH($A17,Students!$A$2:$A$173,0),12),0)</f>
        <v>48</v>
      </c>
      <c r="U17" s="231" t="n">
        <f aca="false">IFERROR(ROUND(AVERAGEIF(Attendance!$B:$B,$A17,Attendance!$J:$J),0),"")</f>
        <v>95</v>
      </c>
      <c r="V17" s="231" t="str">
        <f aca="false">IFERROR(INDEX(Students!$A$2:$AN$173,MATCH($A17,Students!$A$2:$A$173,0),23),"")</f>
        <v>Good Standing</v>
      </c>
      <c r="W17" s="231" t="n">
        <v>2</v>
      </c>
      <c r="X17" s="231" t="n">
        <f aca="false">$B$48+$B$49</f>
        <v>6</v>
      </c>
      <c r="Y17" s="231" t="n">
        <f aca="false">X17-W17</f>
        <v>4</v>
      </c>
      <c r="Z17" s="52" t="str">
        <f aca="false">IF(V17="Suspended","Critical — Funding Discontinued",IF(OR(V17="Probation",Y17&lt;=1),"High Risk",IF(S17&lt;2.5,"Medium Risk","Low Risk")))</f>
        <v>Low Risk</v>
      </c>
      <c r="AA17" s="52" t="s">
        <v>4591</v>
      </c>
      <c r="AB17" s="231" t="s">
        <v>4602</v>
      </c>
    </row>
    <row r="18" customFormat="false" ht="15" hidden="false" customHeight="true" outlineLevel="0" collapsed="false">
      <c r="A18" s="231" t="s">
        <v>1140</v>
      </c>
      <c r="B18" s="52" t="s">
        <v>1141</v>
      </c>
      <c r="C18" s="52" t="s">
        <v>71</v>
      </c>
      <c r="D18" s="52" t="s">
        <v>187</v>
      </c>
      <c r="E18" s="231" t="s">
        <v>86</v>
      </c>
      <c r="F18" s="231" t="s">
        <v>4589</v>
      </c>
      <c r="G18" s="52" t="s">
        <v>4590</v>
      </c>
      <c r="H18" s="231" t="str">
        <f aca="false">IFERROR(INDEX(Students!$A$2:$AN$173,MATCH($A18,Students!$A$2:$A$173,0),38),"No")</f>
        <v>No</v>
      </c>
      <c r="I18" s="52" t="str">
        <f aca="false">IFERROR(INDEX(Students!$A$2:$AN$173,MATCH($A18,Students!$A$2:$A$173,0),39),"None")</f>
        <v>None</v>
      </c>
      <c r="J18" s="232" t="n">
        <v>130000</v>
      </c>
      <c r="K18" s="232" t="n">
        <v>0</v>
      </c>
      <c r="L18" s="232" t="n">
        <f aca="false">$B$51</f>
        <v>20000</v>
      </c>
      <c r="M18" s="232" t="n">
        <f aca="false">IF(H18="Yes",$B$53,$B$52)</f>
        <v>45000</v>
      </c>
      <c r="N18" s="232" t="n">
        <f aca="false">IF(H18="Yes",$B$55,$B$54)</f>
        <v>15000</v>
      </c>
      <c r="O18" s="232" t="n">
        <f aca="false">IF(H18="Yes",$B$56,0)</f>
        <v>0</v>
      </c>
      <c r="P18" s="232" t="n">
        <f aca="false">SUM(J18:O18)</f>
        <v>210000</v>
      </c>
      <c r="Q18" s="232" t="n">
        <f aca="false">IF(IFERROR(INDEX(Students!$A$2:$AN$173,MATCH($A18,Students!$A$2:$A$173,0),13),"")="On Leave",0,IF(F18="Fully Funded",P18,IF(F18="Provisionally Funded",J18+N18,IF(F18="Appeal Pending",0,IF(F18="Funding Discontinued",ROUND(P18*0.4,0),P18)))))</f>
        <v>210000</v>
      </c>
      <c r="R18" s="232" t="n">
        <f aca="false">IFERROR(INDEX(Students!$A$2:$AN$173,MATCH($A18,Students!$A$2:$A$173,0),22),0)</f>
        <v>0</v>
      </c>
      <c r="S18" s="233" t="n">
        <f aca="false">IFERROR(INDEX(Students!$A$2:$AN$173,MATCH($A18,Students!$A$2:$A$173,0),11),"")</f>
        <v>3</v>
      </c>
      <c r="T18" s="231" t="n">
        <f aca="false">IFERROR(INDEX(Students!$A$2:$AN$173,MATCH($A18,Students!$A$2:$A$173,0),12),0)</f>
        <v>112</v>
      </c>
      <c r="U18" s="231" t="n">
        <f aca="false">IFERROR(ROUND(AVERAGEIF(Attendance!$B:$B,$A18,Attendance!$J:$J),0),"")</f>
        <v>83</v>
      </c>
      <c r="V18" s="231" t="str">
        <f aca="false">IFERROR(INDEX(Students!$A$2:$AN$173,MATCH($A18,Students!$A$2:$A$173,0),23),"")</f>
        <v>Good Standing</v>
      </c>
      <c r="W18" s="231" t="n">
        <v>4</v>
      </c>
      <c r="X18" s="231" t="n">
        <f aca="false">$B$48+$B$49</f>
        <v>6</v>
      </c>
      <c r="Y18" s="231" t="n">
        <f aca="false">X18-W18</f>
        <v>2</v>
      </c>
      <c r="Z18" s="52" t="str">
        <f aca="false">IF(V18="Suspended","Critical — Funding Discontinued",IF(OR(V18="Probation",Y18&lt;=1),"High Risk",IF(S18&lt;2.5,"Medium Risk","Low Risk")))</f>
        <v>Low Risk</v>
      </c>
      <c r="AA18" s="52" t="s">
        <v>4591</v>
      </c>
      <c r="AB18" s="231" t="s">
        <v>4605</v>
      </c>
    </row>
    <row r="19" customFormat="false" ht="15" hidden="false" customHeight="true" outlineLevel="0" collapsed="false">
      <c r="A19" s="231" t="s">
        <v>1145</v>
      </c>
      <c r="B19" s="52" t="s">
        <v>1146</v>
      </c>
      <c r="C19" s="52" t="s">
        <v>46</v>
      </c>
      <c r="D19" s="52" t="s">
        <v>117</v>
      </c>
      <c r="E19" s="231" t="s">
        <v>74</v>
      </c>
      <c r="F19" s="231" t="s">
        <v>4593</v>
      </c>
      <c r="G19" s="52" t="s">
        <v>4594</v>
      </c>
      <c r="H19" s="231" t="str">
        <f aca="false">IFERROR(INDEX(Students!$A$2:$AN$173,MATCH($A19,Students!$A$2:$A$173,0),38),"No")</f>
        <v>No</v>
      </c>
      <c r="I19" s="52" t="str">
        <f aca="false">IFERROR(INDEX(Students!$A$2:$AN$173,MATCH($A19,Students!$A$2:$A$173,0),39),"None")</f>
        <v>None</v>
      </c>
      <c r="J19" s="232" t="n">
        <v>150000</v>
      </c>
      <c r="K19" s="232" t="n">
        <f aca="false">$B$50</f>
        <v>130000</v>
      </c>
      <c r="L19" s="232" t="n">
        <v>0</v>
      </c>
      <c r="M19" s="232" t="n">
        <f aca="false">IF(H19="Yes",$B$53,$B$52)</f>
        <v>45000</v>
      </c>
      <c r="N19" s="232" t="n">
        <f aca="false">IF(H19="Yes",$B$55,$B$54)</f>
        <v>15000</v>
      </c>
      <c r="O19" s="232" t="n">
        <f aca="false">IF(H19="Yes",$B$56,0)</f>
        <v>0</v>
      </c>
      <c r="P19" s="232" t="n">
        <f aca="false">SUM(J19:O19)</f>
        <v>340000</v>
      </c>
      <c r="Q19" s="232" t="n">
        <f aca="false">IF(IFERROR(INDEX(Students!$A$2:$AN$173,MATCH($A19,Students!$A$2:$A$173,0),13),"")="On Leave",0,IF(F19="Fully Funded",P19,IF(F19="Provisionally Funded",J19+N19,IF(F19="Appeal Pending",0,IF(F19="Funding Discontinued",ROUND(P19*0.4,0),P19)))))</f>
        <v>165000</v>
      </c>
      <c r="R19" s="232" t="n">
        <f aca="false">IFERROR(INDEX(Students!$A$2:$AN$173,MATCH($A19,Students!$A$2:$A$173,0),22),0)</f>
        <v>75000</v>
      </c>
      <c r="S19" s="233" t="n">
        <f aca="false">IFERROR(INDEX(Students!$A$2:$AN$173,MATCH($A19,Students!$A$2:$A$173,0),11),"")</f>
        <v>2.7</v>
      </c>
      <c r="T19" s="231" t="n">
        <f aca="false">IFERROR(INDEX(Students!$A$2:$AN$173,MATCH($A19,Students!$A$2:$A$173,0),12),0)</f>
        <v>48</v>
      </c>
      <c r="U19" s="231" t="n">
        <f aca="false">IFERROR(ROUND(AVERAGEIF(Attendance!$B:$B,$A19,Attendance!$J:$J),0),"")</f>
        <v>64</v>
      </c>
      <c r="V19" s="231" t="str">
        <f aca="false">IFERROR(INDEX(Students!$A$2:$AN$173,MATCH($A19,Students!$A$2:$A$173,0),23),"")</f>
        <v>Good Standing</v>
      </c>
      <c r="W19" s="231" t="n">
        <v>2</v>
      </c>
      <c r="X19" s="231" t="n">
        <f aca="false">$B$48+$B$49</f>
        <v>6</v>
      </c>
      <c r="Y19" s="231" t="n">
        <f aca="false">X19-W19</f>
        <v>4</v>
      </c>
      <c r="Z19" s="52" t="str">
        <f aca="false">IF(V19="Suspended","Critical — Funding Discontinued",IF(OR(V19="Probation",Y19&lt;=1),"High Risk",IF(S19&lt;2.5,"Medium Risk","Low Risk")))</f>
        <v>Low Risk</v>
      </c>
      <c r="AA19" s="52" t="s">
        <v>4595</v>
      </c>
      <c r="AB19" s="231" t="s">
        <v>4605</v>
      </c>
    </row>
    <row r="20" customFormat="false" ht="15" hidden="false" customHeight="true" outlineLevel="0" collapsed="false">
      <c r="A20" s="231" t="s">
        <v>1150</v>
      </c>
      <c r="B20" s="52" t="s">
        <v>1151</v>
      </c>
      <c r="C20" s="52" t="s">
        <v>156</v>
      </c>
      <c r="D20" s="52" t="s">
        <v>73</v>
      </c>
      <c r="E20" s="231" t="s">
        <v>49</v>
      </c>
      <c r="F20" s="231" t="s">
        <v>4589</v>
      </c>
      <c r="G20" s="52" t="s">
        <v>4596</v>
      </c>
      <c r="H20" s="231" t="str">
        <f aca="false">IFERROR(INDEX(Students!$A$2:$AN$173,MATCH($A20,Students!$A$2:$A$173,0),38),"No")</f>
        <v>Yes</v>
      </c>
      <c r="I20" s="52" t="str">
        <f aca="false">IFERROR(INDEX(Students!$A$2:$AN$173,MATCH($A20,Students!$A$2:$A$173,0),39),"None")</f>
        <v>Chronic Illness (Epilepsy)</v>
      </c>
      <c r="J20" s="232" t="n">
        <v>130000</v>
      </c>
      <c r="K20" s="232" t="n">
        <v>0</v>
      </c>
      <c r="L20" s="232" t="n">
        <f aca="false">$B$51</f>
        <v>20000</v>
      </c>
      <c r="M20" s="232" t="n">
        <f aca="false">IF(H20="Yes",$B$53,$B$52)</f>
        <v>55000</v>
      </c>
      <c r="N20" s="232" t="n">
        <f aca="false">IF(H20="Yes",$B$55,$B$54)</f>
        <v>16500</v>
      </c>
      <c r="O20" s="232" t="n">
        <f aca="false">IF(H20="Yes",$B$56,0)</f>
        <v>60000</v>
      </c>
      <c r="P20" s="232" t="n">
        <f aca="false">SUM(J20:O20)</f>
        <v>281500</v>
      </c>
      <c r="Q20" s="232" t="n">
        <f aca="false">IF(IFERROR(INDEX(Students!$A$2:$AN$173,MATCH($A20,Students!$A$2:$A$173,0),13),"")="On Leave",0,IF(F20="Fully Funded",P20,IF(F20="Provisionally Funded",J20+N20,IF(F20="Appeal Pending",0,IF(F20="Funding Discontinued",ROUND(P20*0.4,0),P20)))))</f>
        <v>281500</v>
      </c>
      <c r="R20" s="232" t="n">
        <f aca="false">IFERROR(INDEX(Students!$A$2:$AN$173,MATCH($A20,Students!$A$2:$A$173,0),22),0)</f>
        <v>0</v>
      </c>
      <c r="S20" s="233" t="n">
        <f aca="false">IFERROR(INDEX(Students!$A$2:$AN$173,MATCH($A20,Students!$A$2:$A$173,0),11),"")</f>
        <v>3.58</v>
      </c>
      <c r="T20" s="231" t="n">
        <f aca="false">IFERROR(INDEX(Students!$A$2:$AN$173,MATCH($A20,Students!$A$2:$A$173,0),12),0)</f>
        <v>80</v>
      </c>
      <c r="U20" s="231" t="n">
        <f aca="false">IFERROR(ROUND(AVERAGEIF(Attendance!$B:$B,$A20,Attendance!$J:$J),0),"")</f>
        <v>89</v>
      </c>
      <c r="V20" s="231" t="str">
        <f aca="false">IFERROR(INDEX(Students!$A$2:$AN$173,MATCH($A20,Students!$A$2:$A$173,0),23),"")</f>
        <v>Good Standing</v>
      </c>
      <c r="W20" s="231" t="n">
        <v>3</v>
      </c>
      <c r="X20" s="231" t="n">
        <f aca="false">$B$48+$B$49</f>
        <v>6</v>
      </c>
      <c r="Y20" s="231" t="n">
        <f aca="false">X20-W20</f>
        <v>3</v>
      </c>
      <c r="Z20" s="52" t="str">
        <f aca="false">IF(V20="Suspended","Critical — Funding Discontinued",IF(OR(V20="Probation",Y20&lt;=1),"High Risk",IF(S20&lt;2.5,"Medium Risk","Low Risk")))</f>
        <v>Low Risk</v>
      </c>
      <c r="AA20" s="52" t="s">
        <v>4591</v>
      </c>
      <c r="AB20" s="231" t="s">
        <v>4606</v>
      </c>
    </row>
    <row r="21" customFormat="false" ht="15" hidden="false" customHeight="true" outlineLevel="0" collapsed="false">
      <c r="A21" s="231" t="s">
        <v>1155</v>
      </c>
      <c r="B21" s="52" t="s">
        <v>1156</v>
      </c>
      <c r="C21" s="52" t="s">
        <v>46</v>
      </c>
      <c r="D21" s="52" t="s">
        <v>85</v>
      </c>
      <c r="E21" s="231" t="s">
        <v>118</v>
      </c>
      <c r="F21" s="231" t="s">
        <v>4589</v>
      </c>
      <c r="G21" s="52" t="s">
        <v>4590</v>
      </c>
      <c r="H21" s="231" t="str">
        <f aca="false">IFERROR(INDEX(Students!$A$2:$AN$173,MATCH($A21,Students!$A$2:$A$173,0),38),"No")</f>
        <v>No</v>
      </c>
      <c r="I21" s="52" t="str">
        <f aca="false">IFERROR(INDEX(Students!$A$2:$AN$173,MATCH($A21,Students!$A$2:$A$173,0),39),"None")</f>
        <v>None</v>
      </c>
      <c r="J21" s="232" t="n">
        <v>150000</v>
      </c>
      <c r="K21" s="232" t="n">
        <f aca="false">$B$50</f>
        <v>130000</v>
      </c>
      <c r="L21" s="232" t="n">
        <v>0</v>
      </c>
      <c r="M21" s="232" t="n">
        <f aca="false">IF(H21="Yes",$B$53,$B$52)</f>
        <v>45000</v>
      </c>
      <c r="N21" s="232" t="n">
        <f aca="false">IF(H21="Yes",$B$55,$B$54)</f>
        <v>15000</v>
      </c>
      <c r="O21" s="232" t="n">
        <f aca="false">IF(H21="Yes",$B$56,0)</f>
        <v>0</v>
      </c>
      <c r="P21" s="232" t="n">
        <f aca="false">SUM(J21:O21)</f>
        <v>340000</v>
      </c>
      <c r="Q21" s="232" t="n">
        <f aca="false">IF(IFERROR(INDEX(Students!$A$2:$AN$173,MATCH($A21,Students!$A$2:$A$173,0),13),"")="On Leave",0,IF(F21="Fully Funded",P21,IF(F21="Provisionally Funded",J21+N21,IF(F21="Appeal Pending",0,IF(F21="Funding Discontinued",ROUND(P21*0.4,0),P21)))))</f>
        <v>340000</v>
      </c>
      <c r="R21" s="232" t="n">
        <f aca="false">IFERROR(INDEX(Students!$A$2:$AN$173,MATCH($A21,Students!$A$2:$A$173,0),22),0)</f>
        <v>0</v>
      </c>
      <c r="S21" s="233" t="n">
        <f aca="false">IFERROR(INDEX(Students!$A$2:$AN$173,MATCH($A21,Students!$A$2:$A$173,0),11),"")</f>
        <v>3.2</v>
      </c>
      <c r="T21" s="231" t="n">
        <f aca="false">IFERROR(INDEX(Students!$A$2:$AN$173,MATCH($A21,Students!$A$2:$A$173,0),12),0)</f>
        <v>16</v>
      </c>
      <c r="U21" s="231" t="n">
        <f aca="false">IFERROR(ROUND(AVERAGEIF(Attendance!$B:$B,$A21,Attendance!$J:$J),0),"")</f>
        <v>80</v>
      </c>
      <c r="V21" s="231" t="str">
        <f aca="false">IFERROR(INDEX(Students!$A$2:$AN$173,MATCH($A21,Students!$A$2:$A$173,0),23),"")</f>
        <v>Good Standing</v>
      </c>
      <c r="W21" s="231" t="n">
        <v>1</v>
      </c>
      <c r="X21" s="231" t="n">
        <f aca="false">$B$48+$B$49</f>
        <v>6</v>
      </c>
      <c r="Y21" s="231" t="n">
        <f aca="false">X21-W21</f>
        <v>5</v>
      </c>
      <c r="Z21" s="52" t="str">
        <f aca="false">IF(V21="Suspended","Critical — Funding Discontinued",IF(OR(V21="Probation",Y21&lt;=1),"High Risk",IF(S21&lt;2.5,"Medium Risk","Low Risk")))</f>
        <v>Low Risk</v>
      </c>
      <c r="AA21" s="52" t="s">
        <v>4591</v>
      </c>
      <c r="AB21" s="231" t="s">
        <v>4597</v>
      </c>
    </row>
    <row r="22" customFormat="false" ht="15" hidden="false" customHeight="true" outlineLevel="0" collapsed="false">
      <c r="A22" s="231" t="s">
        <v>1160</v>
      </c>
      <c r="B22" s="52" t="s">
        <v>1161</v>
      </c>
      <c r="C22" s="52" t="s">
        <v>71</v>
      </c>
      <c r="D22" s="52" t="s">
        <v>204</v>
      </c>
      <c r="E22" s="231" t="s">
        <v>86</v>
      </c>
      <c r="F22" s="231" t="s">
        <v>4593</v>
      </c>
      <c r="G22" s="52" t="s">
        <v>4594</v>
      </c>
      <c r="H22" s="231" t="str">
        <f aca="false">IFERROR(INDEX(Students!$A$2:$AN$173,MATCH($A22,Students!$A$2:$A$173,0),38),"No")</f>
        <v>No</v>
      </c>
      <c r="I22" s="52" t="str">
        <f aca="false">IFERROR(INDEX(Students!$A$2:$AN$173,MATCH($A22,Students!$A$2:$A$173,0),39),"None")</f>
        <v>None</v>
      </c>
      <c r="J22" s="232" t="n">
        <v>130000</v>
      </c>
      <c r="K22" s="232" t="n">
        <v>0</v>
      </c>
      <c r="L22" s="232" t="n">
        <f aca="false">$B$51</f>
        <v>20000</v>
      </c>
      <c r="M22" s="232" t="n">
        <f aca="false">IF(H22="Yes",$B$53,$B$52)</f>
        <v>45000</v>
      </c>
      <c r="N22" s="232" t="n">
        <f aca="false">IF(H22="Yes",$B$55,$B$54)</f>
        <v>15000</v>
      </c>
      <c r="O22" s="232" t="n">
        <f aca="false">IF(H22="Yes",$B$56,0)</f>
        <v>0</v>
      </c>
      <c r="P22" s="232" t="n">
        <f aca="false">SUM(J22:O22)</f>
        <v>210000</v>
      </c>
      <c r="Q22" s="232" t="n">
        <f aca="false">IF(IFERROR(INDEX(Students!$A$2:$AN$173,MATCH($A22,Students!$A$2:$A$173,0),13),"")="On Leave",0,IF(F22="Fully Funded",P22,IF(F22="Provisionally Funded",J22+N22,IF(F22="Appeal Pending",0,IF(F22="Funding Discontinued",ROUND(P22*0.4,0),P22)))))</f>
        <v>0</v>
      </c>
      <c r="R22" s="232" t="n">
        <f aca="false">IFERROR(INDEX(Students!$A$2:$AN$173,MATCH($A22,Students!$A$2:$A$173,0),22),0)</f>
        <v>0</v>
      </c>
      <c r="S22" s="233" t="n">
        <f aca="false">IFERROR(INDEX(Students!$A$2:$AN$173,MATCH($A22,Students!$A$2:$A$173,0),11),"")</f>
        <v>2.4</v>
      </c>
      <c r="T22" s="231" t="n">
        <f aca="false">IFERROR(INDEX(Students!$A$2:$AN$173,MATCH($A22,Students!$A$2:$A$173,0),12),0)</f>
        <v>112</v>
      </c>
      <c r="U22" s="231" t="n">
        <f aca="false">IFERROR(ROUND(AVERAGEIF(Attendance!$B:$B,$A22,Attendance!$J:$J),0),"")</f>
        <v>61</v>
      </c>
      <c r="V22" s="231" t="str">
        <f aca="false">IFERROR(INDEX(Students!$A$2:$AN$173,MATCH($A22,Students!$A$2:$A$173,0),23),"")</f>
        <v>Good Standing</v>
      </c>
      <c r="W22" s="231" t="n">
        <v>4</v>
      </c>
      <c r="X22" s="231" t="n">
        <f aca="false">$B$48+$B$49</f>
        <v>6</v>
      </c>
      <c r="Y22" s="231" t="n">
        <f aca="false">X22-W22</f>
        <v>2</v>
      </c>
      <c r="Z22" s="52" t="str">
        <f aca="false">IF(V22="Suspended","Critical — Funding Discontinued",IF(OR(V22="Probation",Y22&lt;=1),"High Risk",IF(S22&lt;2.5,"Medium Risk","Low Risk")))</f>
        <v>Medium Risk</v>
      </c>
      <c r="AA22" s="52" t="s">
        <v>4607</v>
      </c>
      <c r="AB22" s="231" t="s">
        <v>4598</v>
      </c>
    </row>
    <row r="23" customFormat="false" ht="15" hidden="false" customHeight="true" outlineLevel="0" collapsed="false">
      <c r="A23" s="231" t="s">
        <v>1165</v>
      </c>
      <c r="B23" s="52" t="s">
        <v>1166</v>
      </c>
      <c r="C23" s="52" t="s">
        <v>46</v>
      </c>
      <c r="D23" s="52" t="s">
        <v>102</v>
      </c>
      <c r="E23" s="231" t="s">
        <v>74</v>
      </c>
      <c r="F23" s="231" t="s">
        <v>4589</v>
      </c>
      <c r="G23" s="52" t="s">
        <v>4590</v>
      </c>
      <c r="H23" s="231" t="str">
        <f aca="false">IFERROR(INDEX(Students!$A$2:$AN$173,MATCH($A23,Students!$A$2:$A$173,0),38),"No")</f>
        <v>No</v>
      </c>
      <c r="I23" s="52" t="str">
        <f aca="false">IFERROR(INDEX(Students!$A$2:$AN$173,MATCH($A23,Students!$A$2:$A$173,0),39),"None")</f>
        <v>None</v>
      </c>
      <c r="J23" s="232" t="n">
        <v>150000</v>
      </c>
      <c r="K23" s="232" t="n">
        <f aca="false">$B$50</f>
        <v>130000</v>
      </c>
      <c r="L23" s="232" t="n">
        <v>0</v>
      </c>
      <c r="M23" s="232" t="n">
        <f aca="false">IF(H23="Yes",$B$53,$B$52)</f>
        <v>45000</v>
      </c>
      <c r="N23" s="232" t="n">
        <f aca="false">IF(H23="Yes",$B$55,$B$54)</f>
        <v>15000</v>
      </c>
      <c r="O23" s="232" t="n">
        <f aca="false">IF(H23="Yes",$B$56,0)</f>
        <v>0</v>
      </c>
      <c r="P23" s="232" t="n">
        <f aca="false">SUM(J23:O23)</f>
        <v>340000</v>
      </c>
      <c r="Q23" s="232" t="n">
        <f aca="false">IF(IFERROR(INDEX(Students!$A$2:$AN$173,MATCH($A23,Students!$A$2:$A$173,0),13),"")="On Leave",0,IF(F23="Fully Funded",P23,IF(F23="Provisionally Funded",J23+N23,IF(F23="Appeal Pending",0,IF(F23="Funding Discontinued",ROUND(P23*0.4,0),P23)))))</f>
        <v>340000</v>
      </c>
      <c r="R23" s="232" t="n">
        <f aca="false">IFERROR(INDEX(Students!$A$2:$AN$173,MATCH($A23,Students!$A$2:$A$173,0),22),0)</f>
        <v>0</v>
      </c>
      <c r="S23" s="233" t="n">
        <f aca="false">IFERROR(INDEX(Students!$A$2:$AN$173,MATCH($A23,Students!$A$2:$A$173,0),11),"")</f>
        <v>3.4</v>
      </c>
      <c r="T23" s="231" t="n">
        <f aca="false">IFERROR(INDEX(Students!$A$2:$AN$173,MATCH($A23,Students!$A$2:$A$173,0),12),0)</f>
        <v>48</v>
      </c>
      <c r="U23" s="231" t="n">
        <f aca="false">IFERROR(ROUND(AVERAGEIF(Attendance!$B:$B,$A23,Attendance!$J:$J),0),"")</f>
        <v>91</v>
      </c>
      <c r="V23" s="231" t="str">
        <f aca="false">IFERROR(INDEX(Students!$A$2:$AN$173,MATCH($A23,Students!$A$2:$A$173,0),23),"")</f>
        <v>Good Standing</v>
      </c>
      <c r="W23" s="231" t="n">
        <v>2</v>
      </c>
      <c r="X23" s="231" t="n">
        <f aca="false">$B$48+$B$49</f>
        <v>6</v>
      </c>
      <c r="Y23" s="231" t="n">
        <f aca="false">X23-W23</f>
        <v>4</v>
      </c>
      <c r="Z23" s="52" t="str">
        <f aca="false">IF(V23="Suspended","Critical — Funding Discontinued",IF(OR(V23="Probation",Y23&lt;=1),"High Risk",IF(S23&lt;2.5,"Medium Risk","Low Risk")))</f>
        <v>Low Risk</v>
      </c>
      <c r="AA23" s="52" t="s">
        <v>4591</v>
      </c>
      <c r="AB23" s="231" t="s">
        <v>4605</v>
      </c>
    </row>
    <row r="24" customFormat="false" ht="15" hidden="false" customHeight="true" outlineLevel="0" collapsed="false">
      <c r="A24" s="231" t="s">
        <v>1170</v>
      </c>
      <c r="B24" s="52" t="s">
        <v>1171</v>
      </c>
      <c r="C24" s="52" t="s">
        <v>46</v>
      </c>
      <c r="D24" s="52" t="s">
        <v>48</v>
      </c>
      <c r="E24" s="231" t="s">
        <v>74</v>
      </c>
      <c r="F24" s="231" t="s">
        <v>4603</v>
      </c>
      <c r="G24" s="52" t="s">
        <v>4596</v>
      </c>
      <c r="H24" s="231" t="str">
        <f aca="false">IFERROR(INDEX(Students!$A$2:$AN$173,MATCH($A24,Students!$A$2:$A$173,0),38),"No")</f>
        <v>Yes</v>
      </c>
      <c r="I24" s="52" t="str">
        <f aca="false">IFERROR(INDEX(Students!$A$2:$AN$173,MATCH($A24,Students!$A$2:$A$173,0),39),"None")</f>
        <v>Specific Learning Disability (Dyslexia)</v>
      </c>
      <c r="J24" s="232" t="n">
        <v>150000</v>
      </c>
      <c r="K24" s="232" t="n">
        <v>0</v>
      </c>
      <c r="L24" s="232" t="n">
        <f aca="false">$B$51</f>
        <v>20000</v>
      </c>
      <c r="M24" s="232" t="n">
        <f aca="false">IF(H24="Yes",$B$53,$B$52)</f>
        <v>55000</v>
      </c>
      <c r="N24" s="232" t="n">
        <f aca="false">IF(H24="Yes",$B$55,$B$54)</f>
        <v>16500</v>
      </c>
      <c r="O24" s="232" t="n">
        <f aca="false">IF(H24="Yes",$B$56,0)</f>
        <v>60000</v>
      </c>
      <c r="P24" s="232" t="n">
        <f aca="false">SUM(J24:O24)</f>
        <v>301500</v>
      </c>
      <c r="Q24" s="232" t="n">
        <f aca="false">IF(IFERROR(INDEX(Students!$A$2:$AN$173,MATCH($A24,Students!$A$2:$A$173,0),13),"")="On Leave",0,IF(F24="Fully Funded",P24,IF(F24="Provisionally Funded",J24+N24,IF(F24="Appeal Pending",0,IF(F24="Funding Discontinued",ROUND(P24*0.4,0),P24)))))</f>
        <v>0</v>
      </c>
      <c r="R24" s="232" t="n">
        <f aca="false">IFERROR(INDEX(Students!$A$2:$AN$173,MATCH($A24,Students!$A$2:$A$173,0),22),0)</f>
        <v>80000</v>
      </c>
      <c r="S24" s="233" t="n">
        <f aca="false">IFERROR(INDEX(Students!$A$2:$AN$173,MATCH($A24,Students!$A$2:$A$173,0),11),"")</f>
        <v>1.8</v>
      </c>
      <c r="T24" s="231" t="n">
        <f aca="false">IFERROR(INDEX(Students!$A$2:$AN$173,MATCH($A24,Students!$A$2:$A$173,0),12),0)</f>
        <v>48</v>
      </c>
      <c r="U24" s="231" t="n">
        <f aca="false">IFERROR(ROUND(AVERAGEIF(Attendance!$B:$B,$A24,Attendance!$J:$J),0),"")</f>
        <v>49</v>
      </c>
      <c r="V24" s="231" t="str">
        <f aca="false">IFERROR(INDEX(Students!$A$2:$AN$173,MATCH($A24,Students!$A$2:$A$173,0),23),"")</f>
        <v>Probation</v>
      </c>
      <c r="W24" s="231" t="n">
        <v>2</v>
      </c>
      <c r="X24" s="231" t="n">
        <f aca="false">$B$48+$B$49</f>
        <v>6</v>
      </c>
      <c r="Y24" s="231" t="n">
        <f aca="false">X24-W24</f>
        <v>4</v>
      </c>
      <c r="Z24" s="52" t="str">
        <f aca="false">IF(V24="Suspended","Critical — Funding Discontinued",IF(OR(V24="Probation",Y24&lt;=1),"High Risk",IF(S24&lt;2.5,"Medium Risk","Low Risk")))</f>
        <v>High Risk</v>
      </c>
      <c r="AA24" s="52" t="s">
        <v>4604</v>
      </c>
      <c r="AB24" s="231" t="s">
        <v>4602</v>
      </c>
    </row>
    <row r="25" customFormat="false" ht="15" hidden="false" customHeight="true" outlineLevel="0" collapsed="false">
      <c r="A25" s="231" t="s">
        <v>1175</v>
      </c>
      <c r="B25" s="52" t="s">
        <v>1176</v>
      </c>
      <c r="C25" s="52" t="s">
        <v>46</v>
      </c>
      <c r="D25" s="52" t="s">
        <v>48</v>
      </c>
      <c r="E25" s="231" t="s">
        <v>49</v>
      </c>
      <c r="F25" s="231" t="s">
        <v>4589</v>
      </c>
      <c r="G25" s="52" t="s">
        <v>4590</v>
      </c>
      <c r="H25" s="231" t="str">
        <f aca="false">IFERROR(INDEX(Students!$A$2:$AN$173,MATCH($A25,Students!$A$2:$A$173,0),38),"No")</f>
        <v>No</v>
      </c>
      <c r="I25" s="52" t="str">
        <f aca="false">IFERROR(INDEX(Students!$A$2:$AN$173,MATCH($A25,Students!$A$2:$A$173,0),39),"None")</f>
        <v>None</v>
      </c>
      <c r="J25" s="232" t="n">
        <v>150000</v>
      </c>
      <c r="K25" s="232" t="n">
        <f aca="false">$B$50</f>
        <v>130000</v>
      </c>
      <c r="L25" s="232" t="n">
        <v>0</v>
      </c>
      <c r="M25" s="232" t="n">
        <f aca="false">IF(H25="Yes",$B$53,$B$52)</f>
        <v>45000</v>
      </c>
      <c r="N25" s="232" t="n">
        <f aca="false">IF(H25="Yes",$B$55,$B$54)</f>
        <v>15000</v>
      </c>
      <c r="O25" s="232" t="n">
        <f aca="false">IF(H25="Yes",$B$56,0)</f>
        <v>0</v>
      </c>
      <c r="P25" s="232" t="n">
        <f aca="false">SUM(J25:O25)</f>
        <v>340000</v>
      </c>
      <c r="Q25" s="232" t="n">
        <f aca="false">IF(IFERROR(INDEX(Students!$A$2:$AN$173,MATCH($A25,Students!$A$2:$A$173,0),13),"")="On Leave",0,IF(F25="Fully Funded",P25,IF(F25="Provisionally Funded",J25+N25,IF(F25="Appeal Pending",0,IF(F25="Funding Discontinued",ROUND(P25*0.4,0),P25)))))</f>
        <v>340000</v>
      </c>
      <c r="R25" s="232" t="n">
        <f aca="false">IFERROR(INDEX(Students!$A$2:$AN$173,MATCH($A25,Students!$A$2:$A$173,0),22),0)</f>
        <v>0</v>
      </c>
      <c r="S25" s="233" t="n">
        <f aca="false">IFERROR(INDEX(Students!$A$2:$AN$173,MATCH($A25,Students!$A$2:$A$173,0),11),"")</f>
        <v>3.55</v>
      </c>
      <c r="T25" s="231" t="n">
        <f aca="false">IFERROR(INDEX(Students!$A$2:$AN$173,MATCH($A25,Students!$A$2:$A$173,0),12),0)</f>
        <v>80</v>
      </c>
      <c r="U25" s="231" t="n">
        <f aca="false">IFERROR(ROUND(AVERAGEIF(Attendance!$B:$B,$A25,Attendance!$J:$J),0),"")</f>
        <v>89</v>
      </c>
      <c r="V25" s="231" t="str">
        <f aca="false">IFERROR(INDEX(Students!$A$2:$AN$173,MATCH($A25,Students!$A$2:$A$173,0),23),"")</f>
        <v>Good Standing</v>
      </c>
      <c r="W25" s="231" t="n">
        <v>3</v>
      </c>
      <c r="X25" s="231" t="n">
        <f aca="false">$B$48+$B$49</f>
        <v>6</v>
      </c>
      <c r="Y25" s="231" t="n">
        <f aca="false">X25-W25</f>
        <v>3</v>
      </c>
      <c r="Z25" s="52" t="str">
        <f aca="false">IF(V25="Suspended","Critical — Funding Discontinued",IF(OR(V25="Probation",Y25&lt;=1),"High Risk",IF(S25&lt;2.5,"Medium Risk","Low Risk")))</f>
        <v>Low Risk</v>
      </c>
      <c r="AA25" s="52" t="s">
        <v>4591</v>
      </c>
      <c r="AB25" s="231" t="s">
        <v>4602</v>
      </c>
    </row>
    <row r="26" customFormat="false" ht="15" hidden="false" customHeight="true" outlineLevel="0" collapsed="false">
      <c r="A26" s="231" t="s">
        <v>1180</v>
      </c>
      <c r="B26" s="52" t="s">
        <v>1181</v>
      </c>
      <c r="C26" s="52" t="s">
        <v>71</v>
      </c>
      <c r="D26" s="52" t="s">
        <v>187</v>
      </c>
      <c r="E26" s="231" t="s">
        <v>74</v>
      </c>
      <c r="F26" s="231" t="s">
        <v>4589</v>
      </c>
      <c r="G26" s="52" t="s">
        <v>4590</v>
      </c>
      <c r="H26" s="231" t="str">
        <f aca="false">IFERROR(INDEX(Students!$A$2:$AN$173,MATCH($A26,Students!$A$2:$A$173,0),38),"No")</f>
        <v>No</v>
      </c>
      <c r="I26" s="52" t="str">
        <f aca="false">IFERROR(INDEX(Students!$A$2:$AN$173,MATCH($A26,Students!$A$2:$A$173,0),39),"None")</f>
        <v>None</v>
      </c>
      <c r="J26" s="232" t="n">
        <v>130000</v>
      </c>
      <c r="K26" s="232" t="n">
        <v>0</v>
      </c>
      <c r="L26" s="232" t="n">
        <f aca="false">$B$51</f>
        <v>20000</v>
      </c>
      <c r="M26" s="232" t="n">
        <f aca="false">IF(H26="Yes",$B$53,$B$52)</f>
        <v>45000</v>
      </c>
      <c r="N26" s="232" t="n">
        <f aca="false">IF(H26="Yes",$B$55,$B$54)</f>
        <v>15000</v>
      </c>
      <c r="O26" s="232" t="n">
        <f aca="false">IF(H26="Yes",$B$56,0)</f>
        <v>0</v>
      </c>
      <c r="P26" s="232" t="n">
        <f aca="false">SUM(J26:O26)</f>
        <v>210000</v>
      </c>
      <c r="Q26" s="232" t="n">
        <f aca="false">IF(IFERROR(INDEX(Students!$A$2:$AN$173,MATCH($A26,Students!$A$2:$A$173,0),13),"")="On Leave",0,IF(F26="Fully Funded",P26,IF(F26="Provisionally Funded",J26+N26,IF(F26="Appeal Pending",0,IF(F26="Funding Discontinued",ROUND(P26*0.4,0),P26)))))</f>
        <v>210000</v>
      </c>
      <c r="R26" s="232" t="n">
        <f aca="false">IFERROR(INDEX(Students!$A$2:$AN$173,MATCH($A26,Students!$A$2:$A$173,0),22),0)</f>
        <v>0</v>
      </c>
      <c r="S26" s="233" t="n">
        <f aca="false">IFERROR(INDEX(Students!$A$2:$AN$173,MATCH($A26,Students!$A$2:$A$173,0),11),"")</f>
        <v>2.85</v>
      </c>
      <c r="T26" s="231" t="n">
        <f aca="false">IFERROR(INDEX(Students!$A$2:$AN$173,MATCH($A26,Students!$A$2:$A$173,0),12),0)</f>
        <v>48</v>
      </c>
      <c r="U26" s="231" t="n">
        <f aca="false">IFERROR(ROUND(AVERAGEIF(Attendance!$B:$B,$A26,Attendance!$J:$J),0),"")</f>
        <v>80</v>
      </c>
      <c r="V26" s="231" t="str">
        <f aca="false">IFERROR(INDEX(Students!$A$2:$AN$173,MATCH($A26,Students!$A$2:$A$173,0),23),"")</f>
        <v>Good Standing</v>
      </c>
      <c r="W26" s="231" t="n">
        <v>2</v>
      </c>
      <c r="X26" s="231" t="n">
        <f aca="false">$B$48+$B$49</f>
        <v>6</v>
      </c>
      <c r="Y26" s="231" t="n">
        <f aca="false">X26-W26</f>
        <v>4</v>
      </c>
      <c r="Z26" s="52" t="str">
        <f aca="false">IF(V26="Suspended","Critical — Funding Discontinued",IF(OR(V26="Probation",Y26&lt;=1),"High Risk",IF(S26&lt;2.5,"Medium Risk","Low Risk")))</f>
        <v>Low Risk</v>
      </c>
      <c r="AA26" s="52" t="s">
        <v>4591</v>
      </c>
      <c r="AB26" s="231" t="s">
        <v>4601</v>
      </c>
    </row>
    <row r="27" customFormat="false" ht="15" hidden="false" customHeight="true" outlineLevel="0" collapsed="false">
      <c r="A27" s="231" t="s">
        <v>1186</v>
      </c>
      <c r="B27" s="52" t="s">
        <v>1187</v>
      </c>
      <c r="C27" s="52" t="s">
        <v>156</v>
      </c>
      <c r="D27" s="52" t="s">
        <v>73</v>
      </c>
      <c r="E27" s="231" t="s">
        <v>86</v>
      </c>
      <c r="F27" s="231" t="s">
        <v>4593</v>
      </c>
      <c r="G27" s="52" t="s">
        <v>4594</v>
      </c>
      <c r="H27" s="231" t="str">
        <f aca="false">IFERROR(INDEX(Students!$A$2:$AN$173,MATCH($A27,Students!$A$2:$A$173,0),38),"No")</f>
        <v>No</v>
      </c>
      <c r="I27" s="52" t="str">
        <f aca="false">IFERROR(INDEX(Students!$A$2:$AN$173,MATCH($A27,Students!$A$2:$A$173,0),39),"None")</f>
        <v>None</v>
      </c>
      <c r="J27" s="232" t="n">
        <v>130000</v>
      </c>
      <c r="K27" s="232" t="n">
        <f aca="false">$B$50</f>
        <v>130000</v>
      </c>
      <c r="L27" s="232" t="n">
        <v>0</v>
      </c>
      <c r="M27" s="232" t="n">
        <f aca="false">IF(H27="Yes",$B$53,$B$52)</f>
        <v>45000</v>
      </c>
      <c r="N27" s="232" t="n">
        <f aca="false">IF(H27="Yes",$B$55,$B$54)</f>
        <v>15000</v>
      </c>
      <c r="O27" s="232" t="n">
        <f aca="false">IF(H27="Yes",$B$56,0)</f>
        <v>0</v>
      </c>
      <c r="P27" s="232" t="n">
        <f aca="false">SUM(J27:O27)</f>
        <v>320000</v>
      </c>
      <c r="Q27" s="232" t="n">
        <f aca="false">IF(IFERROR(INDEX(Students!$A$2:$AN$173,MATCH($A27,Students!$A$2:$A$173,0),13),"")="On Leave",0,IF(F27="Fully Funded",P27,IF(F27="Provisionally Funded",J27+N27,IF(F27="Appeal Pending",0,IF(F27="Funding Discontinued",ROUND(P27*0.4,0),P27)))))</f>
        <v>145000</v>
      </c>
      <c r="R27" s="232" t="n">
        <f aca="false">IFERROR(INDEX(Students!$A$2:$AN$173,MATCH($A27,Students!$A$2:$A$173,0),22),0)</f>
        <v>65000</v>
      </c>
      <c r="S27" s="233" t="n">
        <f aca="false">IFERROR(INDEX(Students!$A$2:$AN$173,MATCH($A27,Students!$A$2:$A$173,0),11),"")</f>
        <v>3.1</v>
      </c>
      <c r="T27" s="231" t="n">
        <f aca="false">IFERROR(INDEX(Students!$A$2:$AN$173,MATCH($A27,Students!$A$2:$A$173,0),12),0)</f>
        <v>112</v>
      </c>
      <c r="U27" s="231" t="n">
        <f aca="false">IFERROR(ROUND(AVERAGEIF(Attendance!$B:$B,$A27,Attendance!$J:$J),0),"")</f>
        <v>76</v>
      </c>
      <c r="V27" s="231" t="str">
        <f aca="false">IFERROR(INDEX(Students!$A$2:$AN$173,MATCH($A27,Students!$A$2:$A$173,0),23),"")</f>
        <v>Good Standing</v>
      </c>
      <c r="W27" s="231" t="n">
        <v>4</v>
      </c>
      <c r="X27" s="231" t="n">
        <f aca="false">$B$48+$B$49</f>
        <v>6</v>
      </c>
      <c r="Y27" s="231" t="n">
        <f aca="false">X27-W27</f>
        <v>2</v>
      </c>
      <c r="Z27" s="52" t="str">
        <f aca="false">IF(V27="Suspended","Critical — Funding Discontinued",IF(OR(V27="Probation",Y27&lt;=1),"High Risk",IF(S27&lt;2.5,"Medium Risk","Low Risk")))</f>
        <v>Low Risk</v>
      </c>
      <c r="AA27" s="52" t="s">
        <v>4595</v>
      </c>
      <c r="AB27" s="231" t="s">
        <v>4608</v>
      </c>
    </row>
    <row r="28" customFormat="false" ht="15" hidden="false" customHeight="true" outlineLevel="0" collapsed="false">
      <c r="A28" s="231" t="s">
        <v>1191</v>
      </c>
      <c r="B28" s="52" t="s">
        <v>1192</v>
      </c>
      <c r="C28" s="52" t="s">
        <v>46</v>
      </c>
      <c r="D28" s="52" t="s">
        <v>102</v>
      </c>
      <c r="E28" s="231" t="s">
        <v>118</v>
      </c>
      <c r="F28" s="231" t="s">
        <v>4589</v>
      </c>
      <c r="G28" s="52" t="s">
        <v>4596</v>
      </c>
      <c r="H28" s="231" t="str">
        <f aca="false">IFERROR(INDEX(Students!$A$2:$AN$173,MATCH($A28,Students!$A$2:$A$173,0),38),"No")</f>
        <v>Yes</v>
      </c>
      <c r="I28" s="52" t="str">
        <f aca="false">IFERROR(INDEX(Students!$A$2:$AN$173,MATCH($A28,Students!$A$2:$A$173,0),39),"None")</f>
        <v>Visual Impairment</v>
      </c>
      <c r="J28" s="232" t="n">
        <v>150000</v>
      </c>
      <c r="K28" s="232" t="n">
        <v>0</v>
      </c>
      <c r="L28" s="232" t="n">
        <f aca="false">$B$51</f>
        <v>20000</v>
      </c>
      <c r="M28" s="232" t="n">
        <f aca="false">IF(H28="Yes",$B$53,$B$52)</f>
        <v>55000</v>
      </c>
      <c r="N28" s="232" t="n">
        <f aca="false">IF(H28="Yes",$B$55,$B$54)</f>
        <v>16500</v>
      </c>
      <c r="O28" s="232" t="n">
        <f aca="false">IF(H28="Yes",$B$56,0)</f>
        <v>60000</v>
      </c>
      <c r="P28" s="232" t="n">
        <f aca="false">SUM(J28:O28)</f>
        <v>301500</v>
      </c>
      <c r="Q28" s="232" t="n">
        <f aca="false">IF(IFERROR(INDEX(Students!$A$2:$AN$173,MATCH($A28,Students!$A$2:$A$173,0),13),"")="On Leave",0,IF(F28="Fully Funded",P28,IF(F28="Provisionally Funded",J28+N28,IF(F28="Appeal Pending",0,IF(F28="Funding Discontinued",ROUND(P28*0.4,0),P28)))))</f>
        <v>301500</v>
      </c>
      <c r="R28" s="232" t="n">
        <f aca="false">IFERROR(INDEX(Students!$A$2:$AN$173,MATCH($A28,Students!$A$2:$A$173,0),22),0)</f>
        <v>0</v>
      </c>
      <c r="S28" s="233" t="n">
        <f aca="false">IFERROR(INDEX(Students!$A$2:$AN$173,MATCH($A28,Students!$A$2:$A$173,0),11),"")</f>
        <v>3.3</v>
      </c>
      <c r="T28" s="231" t="n">
        <f aca="false">IFERROR(INDEX(Students!$A$2:$AN$173,MATCH($A28,Students!$A$2:$A$173,0),12),0)</f>
        <v>16</v>
      </c>
      <c r="U28" s="231" t="n">
        <f aca="false">IFERROR(ROUND(AVERAGEIF(Attendance!$B:$B,$A28,Attendance!$J:$J),0),"")</f>
        <v>91</v>
      </c>
      <c r="V28" s="231" t="str">
        <f aca="false">IFERROR(INDEX(Students!$A$2:$AN$173,MATCH($A28,Students!$A$2:$A$173,0),23),"")</f>
        <v>Good Standing</v>
      </c>
      <c r="W28" s="231" t="n">
        <v>1</v>
      </c>
      <c r="X28" s="231" t="n">
        <f aca="false">$B$48+$B$49</f>
        <v>6</v>
      </c>
      <c r="Y28" s="231" t="n">
        <f aca="false">X28-W28</f>
        <v>5</v>
      </c>
      <c r="Z28" s="52" t="str">
        <f aca="false">IF(V28="Suspended","Critical — Funding Discontinued",IF(OR(V28="Probation",Y28&lt;=1),"High Risk",IF(S28&lt;2.5,"Medium Risk","Low Risk")))</f>
        <v>Low Risk</v>
      </c>
      <c r="AA28" s="52" t="s">
        <v>4591</v>
      </c>
      <c r="AB28" s="231" t="s">
        <v>4601</v>
      </c>
    </row>
    <row r="29" customFormat="false" ht="15" hidden="false" customHeight="true" outlineLevel="0" collapsed="false">
      <c r="A29" s="231" t="s">
        <v>1196</v>
      </c>
      <c r="B29" s="52" t="s">
        <v>1197</v>
      </c>
      <c r="C29" s="52" t="s">
        <v>147</v>
      </c>
      <c r="D29" s="52" t="s">
        <v>149</v>
      </c>
      <c r="E29" s="231" t="s">
        <v>49</v>
      </c>
      <c r="F29" s="231" t="s">
        <v>4603</v>
      </c>
      <c r="G29" s="52" t="s">
        <v>4590</v>
      </c>
      <c r="H29" s="231" t="str">
        <f aca="false">IFERROR(INDEX(Students!$A$2:$AN$173,MATCH($A29,Students!$A$2:$A$173,0),38),"No")</f>
        <v>No</v>
      </c>
      <c r="I29" s="52" t="str">
        <f aca="false">IFERROR(INDEX(Students!$A$2:$AN$173,MATCH($A29,Students!$A$2:$A$173,0),39),"None")</f>
        <v>None</v>
      </c>
      <c r="J29" s="232" t="n">
        <v>140000</v>
      </c>
      <c r="K29" s="232" t="n">
        <f aca="false">$B$50</f>
        <v>130000</v>
      </c>
      <c r="L29" s="232" t="n">
        <v>0</v>
      </c>
      <c r="M29" s="232" t="n">
        <f aca="false">IF(H29="Yes",$B$53,$B$52)</f>
        <v>45000</v>
      </c>
      <c r="N29" s="232" t="n">
        <f aca="false">IF(H29="Yes",$B$55,$B$54)</f>
        <v>15000</v>
      </c>
      <c r="O29" s="232" t="n">
        <f aca="false">IF(H29="Yes",$B$56,0)</f>
        <v>0</v>
      </c>
      <c r="P29" s="232" t="n">
        <f aca="false">SUM(J29:O29)</f>
        <v>330000</v>
      </c>
      <c r="Q29" s="232" t="n">
        <f aca="false">IF(IFERROR(INDEX(Students!$A$2:$AN$173,MATCH($A29,Students!$A$2:$A$173,0),13),"")="On Leave",0,IF(F29="Fully Funded",P29,IF(F29="Provisionally Funded",J29+N29,IF(F29="Appeal Pending",0,IF(F29="Funding Discontinued",ROUND(P29*0.4,0),P29)))))</f>
        <v>0</v>
      </c>
      <c r="R29" s="232" t="n">
        <f aca="false">IFERROR(INDEX(Students!$A$2:$AN$173,MATCH($A29,Students!$A$2:$A$173,0),22),0)</f>
        <v>75000</v>
      </c>
      <c r="S29" s="233" t="n">
        <f aca="false">IFERROR(INDEX(Students!$A$2:$AN$173,MATCH($A29,Students!$A$2:$A$173,0),11),"")</f>
        <v>2.6</v>
      </c>
      <c r="T29" s="231" t="n">
        <f aca="false">IFERROR(INDEX(Students!$A$2:$AN$173,MATCH($A29,Students!$A$2:$A$173,0),12),0)</f>
        <v>80</v>
      </c>
      <c r="U29" s="231" t="n">
        <f aca="false">IFERROR(ROUND(AVERAGEIF(Attendance!$B:$B,$A29,Attendance!$J:$J),0),"")</f>
        <v>61</v>
      </c>
      <c r="V29" s="231" t="str">
        <f aca="false">IFERROR(INDEX(Students!$A$2:$AN$173,MATCH($A29,Students!$A$2:$A$173,0),23),"")</f>
        <v>Probation</v>
      </c>
      <c r="W29" s="231" t="n">
        <v>3</v>
      </c>
      <c r="X29" s="231" t="n">
        <f aca="false">$B$48+$B$49</f>
        <v>6</v>
      </c>
      <c r="Y29" s="231" t="n">
        <f aca="false">X29-W29</f>
        <v>3</v>
      </c>
      <c r="Z29" s="52" t="str">
        <f aca="false">IF(V29="Suspended","Critical — Funding Discontinued",IF(OR(V29="Probation",Y29&lt;=1),"High Risk",IF(S29&lt;2.5,"Medium Risk","Low Risk")))</f>
        <v>High Risk</v>
      </c>
      <c r="AA29" s="52" t="s">
        <v>4604</v>
      </c>
      <c r="AB29" s="231" t="s">
        <v>4602</v>
      </c>
    </row>
    <row r="30" customFormat="false" ht="15" hidden="false" customHeight="true" outlineLevel="0" collapsed="false">
      <c r="A30" s="231" t="s">
        <v>1201</v>
      </c>
      <c r="B30" s="52" t="s">
        <v>1202</v>
      </c>
      <c r="C30" s="52" t="s">
        <v>132</v>
      </c>
      <c r="D30" s="52" t="s">
        <v>134</v>
      </c>
      <c r="E30" s="231" t="s">
        <v>74</v>
      </c>
      <c r="F30" s="231" t="s">
        <v>4589</v>
      </c>
      <c r="G30" s="52" t="s">
        <v>4590</v>
      </c>
      <c r="H30" s="231" t="str">
        <f aca="false">IFERROR(INDEX(Students!$A$2:$AN$173,MATCH($A30,Students!$A$2:$A$173,0),38),"No")</f>
        <v>No</v>
      </c>
      <c r="I30" s="52" t="str">
        <f aca="false">IFERROR(INDEX(Students!$A$2:$AN$173,MATCH($A30,Students!$A$2:$A$173,0),39),"None")</f>
        <v>None</v>
      </c>
      <c r="J30" s="232" t="n">
        <v>120000</v>
      </c>
      <c r="K30" s="232" t="n">
        <v>0</v>
      </c>
      <c r="L30" s="232" t="n">
        <f aca="false">$B$51</f>
        <v>20000</v>
      </c>
      <c r="M30" s="232" t="n">
        <f aca="false">IF(H30="Yes",$B$53,$B$52)</f>
        <v>45000</v>
      </c>
      <c r="N30" s="232" t="n">
        <f aca="false">IF(H30="Yes",$B$55,$B$54)</f>
        <v>15000</v>
      </c>
      <c r="O30" s="232" t="n">
        <f aca="false">IF(H30="Yes",$B$56,0)</f>
        <v>0</v>
      </c>
      <c r="P30" s="232" t="n">
        <f aca="false">SUM(J30:O30)</f>
        <v>200000</v>
      </c>
      <c r="Q30" s="232" t="n">
        <f aca="false">IF(IFERROR(INDEX(Students!$A$2:$AN$173,MATCH($A30,Students!$A$2:$A$173,0),13),"")="On Leave",0,IF(F30="Fully Funded",P30,IF(F30="Provisionally Funded",J30+N30,IF(F30="Appeal Pending",0,IF(F30="Funding Discontinued",ROUND(P30*0.4,0),P30)))))</f>
        <v>200000</v>
      </c>
      <c r="R30" s="232" t="n">
        <f aca="false">IFERROR(INDEX(Students!$A$2:$AN$173,MATCH($A30,Students!$A$2:$A$173,0),22),0)</f>
        <v>0</v>
      </c>
      <c r="S30" s="233" t="n">
        <f aca="false">IFERROR(INDEX(Students!$A$2:$AN$173,MATCH($A30,Students!$A$2:$A$173,0),11),"")</f>
        <v>3.05</v>
      </c>
      <c r="T30" s="231" t="n">
        <f aca="false">IFERROR(INDEX(Students!$A$2:$AN$173,MATCH($A30,Students!$A$2:$A$173,0),12),0)</f>
        <v>48</v>
      </c>
      <c r="U30" s="231" t="n">
        <f aca="false">IFERROR(ROUND(AVERAGEIF(Attendance!$B:$B,$A30,Attendance!$J:$J),0),"")</f>
        <v>77</v>
      </c>
      <c r="V30" s="231" t="str">
        <f aca="false">IFERROR(INDEX(Students!$A$2:$AN$173,MATCH($A30,Students!$A$2:$A$173,0),23),"")</f>
        <v>Good Standing</v>
      </c>
      <c r="W30" s="231" t="n">
        <v>2</v>
      </c>
      <c r="X30" s="231" t="n">
        <f aca="false">$B$48+$B$49</f>
        <v>6</v>
      </c>
      <c r="Y30" s="231" t="n">
        <f aca="false">X30-W30</f>
        <v>4</v>
      </c>
      <c r="Z30" s="52" t="str">
        <f aca="false">IF(V30="Suspended","Critical — Funding Discontinued",IF(OR(V30="Probation",Y30&lt;=1),"High Risk",IF(S30&lt;2.5,"Medium Risk","Low Risk")))</f>
        <v>Low Risk</v>
      </c>
      <c r="AA30" s="52" t="s">
        <v>4591</v>
      </c>
      <c r="AB30" s="231" t="s">
        <v>4605</v>
      </c>
    </row>
    <row r="31" customFormat="false" ht="15" hidden="false" customHeight="true" outlineLevel="0" collapsed="false">
      <c r="A31" s="231" t="s">
        <v>1206</v>
      </c>
      <c r="B31" s="52" t="s">
        <v>1207</v>
      </c>
      <c r="C31" s="52" t="s">
        <v>46</v>
      </c>
      <c r="D31" s="52" t="s">
        <v>85</v>
      </c>
      <c r="E31" s="231" t="s">
        <v>86</v>
      </c>
      <c r="F31" s="231" t="s">
        <v>4589</v>
      </c>
      <c r="G31" s="52" t="s">
        <v>4590</v>
      </c>
      <c r="H31" s="231" t="str">
        <f aca="false">IFERROR(INDEX(Students!$A$2:$AN$173,MATCH($A31,Students!$A$2:$A$173,0),38),"No")</f>
        <v>No</v>
      </c>
      <c r="I31" s="52" t="str">
        <f aca="false">IFERROR(INDEX(Students!$A$2:$AN$173,MATCH($A31,Students!$A$2:$A$173,0),39),"None")</f>
        <v>None</v>
      </c>
      <c r="J31" s="232" t="n">
        <v>150000</v>
      </c>
      <c r="K31" s="232" t="n">
        <f aca="false">$B$50</f>
        <v>130000</v>
      </c>
      <c r="L31" s="232" t="n">
        <v>0</v>
      </c>
      <c r="M31" s="232" t="n">
        <f aca="false">IF(H31="Yes",$B$53,$B$52)</f>
        <v>45000</v>
      </c>
      <c r="N31" s="232" t="n">
        <f aca="false">IF(H31="Yes",$B$55,$B$54)</f>
        <v>15000</v>
      </c>
      <c r="O31" s="232" t="n">
        <f aca="false">IF(H31="Yes",$B$56,0)</f>
        <v>0</v>
      </c>
      <c r="P31" s="232" t="n">
        <f aca="false">SUM(J31:O31)</f>
        <v>340000</v>
      </c>
      <c r="Q31" s="232" t="n">
        <f aca="false">IF(IFERROR(INDEX(Students!$A$2:$AN$173,MATCH($A31,Students!$A$2:$A$173,0),13),"")="On Leave",0,IF(F31="Fully Funded",P31,IF(F31="Provisionally Funded",J31+N31,IF(F31="Appeal Pending",0,IF(F31="Funding Discontinued",ROUND(P31*0.4,0),P31)))))</f>
        <v>340000</v>
      </c>
      <c r="R31" s="232" t="n">
        <f aca="false">IFERROR(INDEX(Students!$A$2:$AN$173,MATCH($A31,Students!$A$2:$A$173,0),22),0)</f>
        <v>0</v>
      </c>
      <c r="S31" s="233" t="n">
        <f aca="false">IFERROR(INDEX(Students!$A$2:$AN$173,MATCH($A31,Students!$A$2:$A$173,0),11),"")</f>
        <v>3.75</v>
      </c>
      <c r="T31" s="231" t="n">
        <f aca="false">IFERROR(INDEX(Students!$A$2:$AN$173,MATCH($A31,Students!$A$2:$A$173,0),12),0)</f>
        <v>112</v>
      </c>
      <c r="U31" s="231" t="n">
        <f aca="false">IFERROR(ROUND(AVERAGEIF(Attendance!$B:$B,$A31,Attendance!$J:$J),0),"")</f>
        <v>96</v>
      </c>
      <c r="V31" s="231" t="str">
        <f aca="false">IFERROR(INDEX(Students!$A$2:$AN$173,MATCH($A31,Students!$A$2:$A$173,0),23),"")</f>
        <v>Good Standing</v>
      </c>
      <c r="W31" s="231" t="n">
        <v>4</v>
      </c>
      <c r="X31" s="231" t="n">
        <f aca="false">$B$48+$B$49</f>
        <v>6</v>
      </c>
      <c r="Y31" s="231" t="n">
        <f aca="false">X31-W31</f>
        <v>2</v>
      </c>
      <c r="Z31" s="52" t="str">
        <f aca="false">IF(V31="Suspended","Critical — Funding Discontinued",IF(OR(V31="Probation",Y31&lt;=1),"High Risk",IF(S31&lt;2.5,"Medium Risk","Low Risk")))</f>
        <v>Low Risk</v>
      </c>
      <c r="AA31" s="52" t="s">
        <v>4591</v>
      </c>
      <c r="AB31" s="231" t="s">
        <v>4609</v>
      </c>
    </row>
    <row r="32" customFormat="false" ht="15" hidden="false" customHeight="true" outlineLevel="0" collapsed="false">
      <c r="A32" s="231" t="s">
        <v>1211</v>
      </c>
      <c r="B32" s="52" t="s">
        <v>1212</v>
      </c>
      <c r="C32" s="52" t="s">
        <v>46</v>
      </c>
      <c r="D32" s="52" t="s">
        <v>117</v>
      </c>
      <c r="E32" s="231" t="s">
        <v>118</v>
      </c>
      <c r="F32" s="231" t="s">
        <v>4593</v>
      </c>
      <c r="G32" s="52" t="s">
        <v>4594</v>
      </c>
      <c r="H32" s="231" t="str">
        <f aca="false">IFERROR(INDEX(Students!$A$2:$AN$173,MATCH($A32,Students!$A$2:$A$173,0),38),"No")</f>
        <v>No</v>
      </c>
      <c r="I32" s="52" t="str">
        <f aca="false">IFERROR(INDEX(Students!$A$2:$AN$173,MATCH($A32,Students!$A$2:$A$173,0),39),"None")</f>
        <v>None</v>
      </c>
      <c r="J32" s="232" t="n">
        <v>150000</v>
      </c>
      <c r="K32" s="232" t="n">
        <v>0</v>
      </c>
      <c r="L32" s="232" t="n">
        <f aca="false">$B$51</f>
        <v>20000</v>
      </c>
      <c r="M32" s="232" t="n">
        <f aca="false">IF(H32="Yes",$B$53,$B$52)</f>
        <v>45000</v>
      </c>
      <c r="N32" s="232" t="n">
        <f aca="false">IF(H32="Yes",$B$55,$B$54)</f>
        <v>15000</v>
      </c>
      <c r="O32" s="232" t="n">
        <f aca="false">IF(H32="Yes",$B$56,0)</f>
        <v>0</v>
      </c>
      <c r="P32" s="232" t="n">
        <f aca="false">SUM(J32:O32)</f>
        <v>230000</v>
      </c>
      <c r="Q32" s="232" t="n">
        <f aca="false">IF(IFERROR(INDEX(Students!$A$2:$AN$173,MATCH($A32,Students!$A$2:$A$173,0),13),"")="On Leave",0,IF(F32="Fully Funded",P32,IF(F32="Provisionally Funded",J32+N32,IF(F32="Appeal Pending",0,IF(F32="Funding Discontinued",ROUND(P32*0.4,0),P32)))))</f>
        <v>165000</v>
      </c>
      <c r="R32" s="232" t="n">
        <f aca="false">IFERROR(INDEX(Students!$A$2:$AN$173,MATCH($A32,Students!$A$2:$A$173,0),22),0)</f>
        <v>75000</v>
      </c>
      <c r="S32" s="233" t="n">
        <f aca="false">IFERROR(INDEX(Students!$A$2:$AN$173,MATCH($A32,Students!$A$2:$A$173,0),11),"")</f>
        <v>2.2</v>
      </c>
      <c r="T32" s="231" t="n">
        <f aca="false">IFERROR(INDEX(Students!$A$2:$AN$173,MATCH($A32,Students!$A$2:$A$173,0),12),0)</f>
        <v>16</v>
      </c>
      <c r="U32" s="231" t="n">
        <f aca="false">IFERROR(ROUND(AVERAGEIF(Attendance!$B:$B,$A32,Attendance!$J:$J),0),"")</f>
        <v>61</v>
      </c>
      <c r="V32" s="231" t="str">
        <f aca="false">IFERROR(INDEX(Students!$A$2:$AN$173,MATCH($A32,Students!$A$2:$A$173,0),23),"")</f>
        <v>Probation</v>
      </c>
      <c r="W32" s="231" t="n">
        <v>1</v>
      </c>
      <c r="X32" s="231" t="n">
        <f aca="false">$B$48+$B$49</f>
        <v>6</v>
      </c>
      <c r="Y32" s="231" t="n">
        <f aca="false">X32-W32</f>
        <v>5</v>
      </c>
      <c r="Z32" s="52" t="str">
        <f aca="false">IF(V32="Suspended","Critical — Funding Discontinued",IF(OR(V32="Probation",Y32&lt;=1),"High Risk",IF(S32&lt;2.5,"Medium Risk","Low Risk")))</f>
        <v>High Risk</v>
      </c>
      <c r="AA32" s="52" t="s">
        <v>4595</v>
      </c>
      <c r="AB32" s="231" t="s">
        <v>4606</v>
      </c>
    </row>
    <row r="33" customFormat="false" ht="15" hidden="false" customHeight="true" outlineLevel="0" collapsed="false">
      <c r="A33" s="231" t="s">
        <v>1216</v>
      </c>
      <c r="B33" s="52" t="s">
        <v>1217</v>
      </c>
      <c r="C33" s="52" t="s">
        <v>156</v>
      </c>
      <c r="D33" s="52" t="s">
        <v>73</v>
      </c>
      <c r="E33" s="231" t="s">
        <v>49</v>
      </c>
      <c r="F33" s="231" t="s">
        <v>4599</v>
      </c>
      <c r="G33" s="52" t="s">
        <v>4590</v>
      </c>
      <c r="H33" s="231" t="str">
        <f aca="false">IFERROR(INDEX(Students!$A$2:$AN$173,MATCH($A33,Students!$A$2:$A$173,0),38),"No")</f>
        <v>No</v>
      </c>
      <c r="I33" s="52" t="str">
        <f aca="false">IFERROR(INDEX(Students!$A$2:$AN$173,MATCH($A33,Students!$A$2:$A$173,0),39),"None")</f>
        <v>None</v>
      </c>
      <c r="J33" s="232" t="n">
        <v>130000</v>
      </c>
      <c r="K33" s="232" t="n">
        <f aca="false">$B$50</f>
        <v>130000</v>
      </c>
      <c r="L33" s="232" t="n">
        <v>0</v>
      </c>
      <c r="M33" s="232" t="n">
        <f aca="false">IF(H33="Yes",$B$53,$B$52)</f>
        <v>45000</v>
      </c>
      <c r="N33" s="232" t="n">
        <f aca="false">IF(H33="Yes",$B$55,$B$54)</f>
        <v>15000</v>
      </c>
      <c r="O33" s="232" t="n">
        <f aca="false">IF(H33="Yes",$B$56,0)</f>
        <v>0</v>
      </c>
      <c r="P33" s="232" t="n">
        <f aca="false">SUM(J33:O33)</f>
        <v>320000</v>
      </c>
      <c r="Q33" s="232" t="n">
        <f aca="false">IF(IFERROR(INDEX(Students!$A$2:$AN$173,MATCH($A33,Students!$A$2:$A$173,0),13),"")="On Leave",0,IF(F33="Fully Funded",P33,IF(F33="Provisionally Funded",J33+N33,IF(F33="Appeal Pending",0,IF(F33="Funding Discontinued",ROUND(P33*0.4,0),P33)))))</f>
        <v>128000</v>
      </c>
      <c r="R33" s="232" t="n">
        <f aca="false">IFERROR(INDEX(Students!$A$2:$AN$173,MATCH($A33,Students!$A$2:$A$173,0),22),0)</f>
        <v>50000</v>
      </c>
      <c r="S33" s="233" t="n">
        <f aca="false">IFERROR(INDEX(Students!$A$2:$AN$173,MATCH($A33,Students!$A$2:$A$173,0),11),"")</f>
        <v>1.9</v>
      </c>
      <c r="T33" s="231" t="n">
        <f aca="false">IFERROR(INDEX(Students!$A$2:$AN$173,MATCH($A33,Students!$A$2:$A$173,0),12),0)</f>
        <v>80</v>
      </c>
      <c r="U33" s="231" t="n">
        <f aca="false">IFERROR(ROUND(AVERAGEIF(Attendance!$B:$B,$A33,Attendance!$J:$J),0),"")</f>
        <v>53</v>
      </c>
      <c r="V33" s="231" t="str">
        <f aca="false">IFERROR(INDEX(Students!$A$2:$AN$173,MATCH($A33,Students!$A$2:$A$173,0),23),"")</f>
        <v>Suspended</v>
      </c>
      <c r="W33" s="231" t="n">
        <v>3</v>
      </c>
      <c r="X33" s="231" t="n">
        <f aca="false">$B$48+$B$49</f>
        <v>6</v>
      </c>
      <c r="Y33" s="231" t="n">
        <f aca="false">X33-W33</f>
        <v>3</v>
      </c>
      <c r="Z33" s="52" t="str">
        <f aca="false">IF(V33="Suspended","Critical — Funding Discontinued",IF(OR(V33="Probation",Y33&lt;=1),"High Risk",IF(S33&lt;2.5,"Medium Risk","Low Risk")))</f>
        <v>Critical — Funding Discontinued</v>
      </c>
      <c r="AA33" s="52" t="s">
        <v>4600</v>
      </c>
      <c r="AB33" s="231" t="s">
        <v>4592</v>
      </c>
    </row>
    <row r="34" customFormat="false" ht="15" hidden="false" customHeight="true" outlineLevel="0" collapsed="false">
      <c r="A34" s="231" t="s">
        <v>1221</v>
      </c>
      <c r="B34" s="52" t="s">
        <v>1222</v>
      </c>
      <c r="C34" s="52" t="s">
        <v>193</v>
      </c>
      <c r="D34" s="52" t="s">
        <v>102</v>
      </c>
      <c r="E34" s="231" t="s">
        <v>86</v>
      </c>
      <c r="F34" s="231" t="s">
        <v>4589</v>
      </c>
      <c r="G34" s="52" t="s">
        <v>4596</v>
      </c>
      <c r="H34" s="231" t="str">
        <f aca="false">IFERROR(INDEX(Students!$A$2:$AN$173,MATCH($A34,Students!$A$2:$A$173,0),38),"No")</f>
        <v>Yes</v>
      </c>
      <c r="I34" s="52" t="str">
        <f aca="false">IFERROR(INDEX(Students!$A$2:$AN$173,MATCH($A34,Students!$A$2:$A$173,0),39),"None")</f>
        <v>Chronic Illness (Type 1 Diabetes)</v>
      </c>
      <c r="J34" s="232" t="n">
        <v>160000</v>
      </c>
      <c r="K34" s="232" t="n">
        <v>0</v>
      </c>
      <c r="L34" s="232" t="n">
        <f aca="false">$B$51</f>
        <v>20000</v>
      </c>
      <c r="M34" s="232" t="n">
        <f aca="false">IF(H34="Yes",$B$53,$B$52)</f>
        <v>55000</v>
      </c>
      <c r="N34" s="232" t="n">
        <f aca="false">IF(H34="Yes",$B$55,$B$54)</f>
        <v>16500</v>
      </c>
      <c r="O34" s="232" t="n">
        <f aca="false">IF(H34="Yes",$B$56,0)</f>
        <v>60000</v>
      </c>
      <c r="P34" s="232" t="n">
        <f aca="false">SUM(J34:O34)</f>
        <v>311500</v>
      </c>
      <c r="Q34" s="232" t="n">
        <f aca="false">IF(IFERROR(INDEX(Students!$A$2:$AN$173,MATCH($A34,Students!$A$2:$A$173,0),13),"")="On Leave",0,IF(F34="Fully Funded",P34,IF(F34="Provisionally Funded",J34+N34,IF(F34="Appeal Pending",0,IF(F34="Funding Discontinued",ROUND(P34*0.4,0),P34)))))</f>
        <v>311500</v>
      </c>
      <c r="R34" s="232" t="n">
        <f aca="false">IFERROR(INDEX(Students!$A$2:$AN$173,MATCH($A34,Students!$A$2:$A$173,0),22),0)</f>
        <v>0</v>
      </c>
      <c r="S34" s="233" t="n">
        <f aca="false">IFERROR(INDEX(Students!$A$2:$AN$173,MATCH($A34,Students!$A$2:$A$173,0),11),"")</f>
        <v>3.65</v>
      </c>
      <c r="T34" s="231" t="n">
        <f aca="false">IFERROR(INDEX(Students!$A$2:$AN$173,MATCH($A34,Students!$A$2:$A$173,0),12),0)</f>
        <v>112</v>
      </c>
      <c r="U34" s="231" t="n">
        <f aca="false">IFERROR(ROUND(AVERAGEIF(Attendance!$B:$B,$A34,Attendance!$J:$J),0),"")</f>
        <v>87</v>
      </c>
      <c r="V34" s="231" t="str">
        <f aca="false">IFERROR(INDEX(Students!$A$2:$AN$173,MATCH($A34,Students!$A$2:$A$173,0),23),"")</f>
        <v>Good Standing</v>
      </c>
      <c r="W34" s="231" t="n">
        <v>4</v>
      </c>
      <c r="X34" s="231" t="n">
        <f aca="false">$B$48+$B$49</f>
        <v>6</v>
      </c>
      <c r="Y34" s="231" t="n">
        <f aca="false">X34-W34</f>
        <v>2</v>
      </c>
      <c r="Z34" s="52" t="str">
        <f aca="false">IF(V34="Suspended","Critical — Funding Discontinued",IF(OR(V34="Probation",Y34&lt;=1),"High Risk",IF(S34&lt;2.5,"Medium Risk","Low Risk")))</f>
        <v>Low Risk</v>
      </c>
      <c r="AA34" s="52" t="s">
        <v>4591</v>
      </c>
      <c r="AB34" s="231" t="s">
        <v>4592</v>
      </c>
    </row>
    <row r="35" customFormat="false" ht="15" hidden="false" customHeight="true" outlineLevel="0" collapsed="false">
      <c r="A35" s="231" t="s">
        <v>1228</v>
      </c>
      <c r="B35" s="52" t="s">
        <v>1229</v>
      </c>
      <c r="C35" s="52" t="s">
        <v>46</v>
      </c>
      <c r="D35" s="52" t="s">
        <v>117</v>
      </c>
      <c r="E35" s="231" t="s">
        <v>74</v>
      </c>
      <c r="F35" s="231" t="s">
        <v>4589</v>
      </c>
      <c r="G35" s="52" t="s">
        <v>4590</v>
      </c>
      <c r="H35" s="231" t="str">
        <f aca="false">IFERROR(INDEX(Students!$A$2:$AN$173,MATCH($A35,Students!$A$2:$A$173,0),38),"No")</f>
        <v>No</v>
      </c>
      <c r="I35" s="52" t="str">
        <f aca="false">IFERROR(INDEX(Students!$A$2:$AN$173,MATCH($A35,Students!$A$2:$A$173,0),39),"None")</f>
        <v>None</v>
      </c>
      <c r="J35" s="232" t="n">
        <v>150000</v>
      </c>
      <c r="K35" s="232" t="n">
        <f aca="false">$B$50</f>
        <v>130000</v>
      </c>
      <c r="L35" s="232" t="n">
        <v>0</v>
      </c>
      <c r="M35" s="232" t="n">
        <f aca="false">IF(H35="Yes",$B$53,$B$52)</f>
        <v>45000</v>
      </c>
      <c r="N35" s="232" t="n">
        <f aca="false">IF(H35="Yes",$B$55,$B$54)</f>
        <v>15000</v>
      </c>
      <c r="O35" s="232" t="n">
        <f aca="false">IF(H35="Yes",$B$56,0)</f>
        <v>0</v>
      </c>
      <c r="P35" s="232" t="n">
        <f aca="false">SUM(J35:O35)</f>
        <v>340000</v>
      </c>
      <c r="Q35" s="232" t="n">
        <f aca="false">IF(IFERROR(INDEX(Students!$A$2:$AN$173,MATCH($A35,Students!$A$2:$A$173,0),13),"")="On Leave",0,IF(F35="Fully Funded",P35,IF(F35="Provisionally Funded",J35+N35,IF(F35="Appeal Pending",0,IF(F35="Funding Discontinued",ROUND(P35*0.4,0),P35)))))</f>
        <v>340000</v>
      </c>
      <c r="R35" s="232" t="n">
        <f aca="false">IFERROR(INDEX(Students!$A$2:$AN$173,MATCH($A35,Students!$A$2:$A$173,0),22),0)</f>
        <v>0</v>
      </c>
      <c r="S35" s="233" t="n">
        <f aca="false">IFERROR(INDEX(Students!$A$2:$AN$173,MATCH($A35,Students!$A$2:$A$173,0),11),"")</f>
        <v>3.4</v>
      </c>
      <c r="T35" s="231" t="n">
        <f aca="false">IFERROR(INDEX(Students!$A$2:$AN$173,MATCH($A35,Students!$A$2:$A$173,0),12),0)</f>
        <v>48</v>
      </c>
      <c r="U35" s="231" t="n">
        <f aca="false">IFERROR(ROUND(AVERAGEIF(Attendance!$B:$B,$A35,Attendance!$J:$J),0),"")</f>
        <v>91</v>
      </c>
      <c r="V35" s="231" t="str">
        <f aca="false">IFERROR(INDEX(Students!$A$2:$AN$173,MATCH($A35,Students!$A$2:$A$173,0),23),"")</f>
        <v>Good Standing</v>
      </c>
      <c r="W35" s="231" t="n">
        <v>2</v>
      </c>
      <c r="X35" s="231" t="n">
        <f aca="false">$B$48+$B$49</f>
        <v>6</v>
      </c>
      <c r="Y35" s="231" t="n">
        <f aca="false">X35-W35</f>
        <v>4</v>
      </c>
      <c r="Z35" s="52" t="str">
        <f aca="false">IF(V35="Suspended","Critical — Funding Discontinued",IF(OR(V35="Probation",Y35&lt;=1),"High Risk",IF(S35&lt;2.5,"Medium Risk","Low Risk")))</f>
        <v>Low Risk</v>
      </c>
      <c r="AA35" s="52" t="s">
        <v>4591</v>
      </c>
      <c r="AB35" s="231" t="s">
        <v>4608</v>
      </c>
    </row>
    <row r="36" customFormat="false" ht="15" hidden="false" customHeight="true" outlineLevel="0" collapsed="false">
      <c r="A36" s="231" t="s">
        <v>1233</v>
      </c>
      <c r="B36" s="52" t="s">
        <v>1234</v>
      </c>
      <c r="C36" s="52" t="s">
        <v>71</v>
      </c>
      <c r="D36" s="52" t="s">
        <v>204</v>
      </c>
      <c r="E36" s="231" t="s">
        <v>118</v>
      </c>
      <c r="F36" s="231" t="s">
        <v>4603</v>
      </c>
      <c r="G36" s="52" t="s">
        <v>4590</v>
      </c>
      <c r="H36" s="231" t="str">
        <f aca="false">IFERROR(INDEX(Students!$A$2:$AN$173,MATCH($A36,Students!$A$2:$A$173,0),38),"No")</f>
        <v>No</v>
      </c>
      <c r="I36" s="52" t="str">
        <f aca="false">IFERROR(INDEX(Students!$A$2:$AN$173,MATCH($A36,Students!$A$2:$A$173,0),39),"None")</f>
        <v>None</v>
      </c>
      <c r="J36" s="232" t="n">
        <v>130000</v>
      </c>
      <c r="K36" s="232" t="n">
        <v>0</v>
      </c>
      <c r="L36" s="232" t="n">
        <f aca="false">$B$51</f>
        <v>20000</v>
      </c>
      <c r="M36" s="232" t="n">
        <f aca="false">IF(H36="Yes",$B$53,$B$52)</f>
        <v>45000</v>
      </c>
      <c r="N36" s="232" t="n">
        <f aca="false">IF(H36="Yes",$B$55,$B$54)</f>
        <v>15000</v>
      </c>
      <c r="O36" s="232" t="n">
        <f aca="false">IF(H36="Yes",$B$56,0)</f>
        <v>0</v>
      </c>
      <c r="P36" s="232" t="n">
        <f aca="false">SUM(J36:O36)</f>
        <v>210000</v>
      </c>
      <c r="Q36" s="232" t="n">
        <f aca="false">IF(IFERROR(INDEX(Students!$A$2:$AN$173,MATCH($A36,Students!$A$2:$A$173,0),13),"")="On Leave",0,IF(F36="Fully Funded",P36,IF(F36="Provisionally Funded",J36+N36,IF(F36="Appeal Pending",0,IF(F36="Funding Discontinued",ROUND(P36*0.4,0),P36)))))</f>
        <v>0</v>
      </c>
      <c r="R36" s="232" t="n">
        <f aca="false">IFERROR(INDEX(Students!$A$2:$AN$173,MATCH($A36,Students!$A$2:$A$173,0),22),0)</f>
        <v>70000</v>
      </c>
      <c r="S36" s="233" t="n">
        <f aca="false">IFERROR(INDEX(Students!$A$2:$AN$173,MATCH($A36,Students!$A$2:$A$173,0),11),"")</f>
        <v>2.95</v>
      </c>
      <c r="T36" s="231" t="n">
        <f aca="false">IFERROR(INDEX(Students!$A$2:$AN$173,MATCH($A36,Students!$A$2:$A$173,0),12),0)</f>
        <v>16</v>
      </c>
      <c r="U36" s="231" t="n">
        <f aca="false">IFERROR(ROUND(AVERAGEIF(Attendance!$B:$B,$A36,Attendance!$J:$J),0),"")</f>
        <v>80</v>
      </c>
      <c r="V36" s="231" t="str">
        <f aca="false">IFERROR(INDEX(Students!$A$2:$AN$173,MATCH($A36,Students!$A$2:$A$173,0),23),"")</f>
        <v>Probation</v>
      </c>
      <c r="W36" s="231" t="n">
        <v>1</v>
      </c>
      <c r="X36" s="231" t="n">
        <f aca="false">$B$48+$B$49</f>
        <v>6</v>
      </c>
      <c r="Y36" s="231" t="n">
        <f aca="false">X36-W36</f>
        <v>5</v>
      </c>
      <c r="Z36" s="52" t="str">
        <f aca="false">IF(V36="Suspended","Critical — Funding Discontinued",IF(OR(V36="Probation",Y36&lt;=1),"High Risk",IF(S36&lt;2.5,"Medium Risk","Low Risk")))</f>
        <v>High Risk</v>
      </c>
      <c r="AA36" s="52" t="s">
        <v>4604</v>
      </c>
      <c r="AB36" s="231" t="s">
        <v>4598</v>
      </c>
    </row>
    <row r="37" customFormat="false" ht="15" hidden="false" customHeight="true" outlineLevel="0" collapsed="false">
      <c r="A37" s="231" t="s">
        <v>1238</v>
      </c>
      <c r="B37" s="52" t="s">
        <v>1239</v>
      </c>
      <c r="C37" s="52" t="s">
        <v>273</v>
      </c>
      <c r="D37" s="52" t="s">
        <v>48</v>
      </c>
      <c r="E37" s="231" t="s">
        <v>118</v>
      </c>
      <c r="F37" s="231" t="s">
        <v>4589</v>
      </c>
      <c r="G37" s="52" t="s">
        <v>4590</v>
      </c>
      <c r="H37" s="231" t="str">
        <f aca="false">IFERROR(INDEX(Students!$A$2:$AN$173,MATCH($A37,Students!$A$2:$A$173,0),38),"No")</f>
        <v>No</v>
      </c>
      <c r="I37" s="52" t="str">
        <f aca="false">IFERROR(INDEX(Students!$A$2:$AN$173,MATCH($A37,Students!$A$2:$A$173,0),39),"None")</f>
        <v>None</v>
      </c>
      <c r="J37" s="232" t="n">
        <v>220000</v>
      </c>
      <c r="K37" s="232" t="n">
        <f aca="false">$B$50</f>
        <v>130000</v>
      </c>
      <c r="L37" s="232" t="n">
        <v>0</v>
      </c>
      <c r="M37" s="232" t="n">
        <f aca="false">IF(H37="Yes",$B$53,$B$52)</f>
        <v>45000</v>
      </c>
      <c r="N37" s="232" t="n">
        <f aca="false">IF(H37="Yes",$B$55,$B$54)</f>
        <v>15000</v>
      </c>
      <c r="O37" s="232" t="n">
        <f aca="false">IF(H37="Yes",$B$56,0)</f>
        <v>0</v>
      </c>
      <c r="P37" s="232" t="n">
        <f aca="false">SUM(J37:O37)</f>
        <v>410000</v>
      </c>
      <c r="Q37" s="232" t="n">
        <f aca="false">IF(IFERROR(INDEX(Students!$A$2:$AN$173,MATCH($A37,Students!$A$2:$A$173,0),13),"")="On Leave",0,IF(F37="Fully Funded",P37,IF(F37="Provisionally Funded",J37+N37,IF(F37="Appeal Pending",0,IF(F37="Funding Discontinued",ROUND(P37*0.4,0),P37)))))</f>
        <v>410000</v>
      </c>
      <c r="R37" s="232" t="n">
        <f aca="false">IFERROR(INDEX(Students!$A$2:$AN$173,MATCH($A37,Students!$A$2:$A$173,0),22),0)</f>
        <v>0</v>
      </c>
      <c r="S37" s="233" t="n">
        <f aca="false">IFERROR(INDEX(Students!$A$2:$AN$173,MATCH($A37,Students!$A$2:$A$173,0),11),"")</f>
        <v>3.5</v>
      </c>
      <c r="T37" s="231" t="n">
        <f aca="false">IFERROR(INDEX(Students!$A$2:$AN$173,MATCH($A37,Students!$A$2:$A$173,0),12),0)</f>
        <v>24</v>
      </c>
      <c r="U37" s="231" t="n">
        <f aca="false">IFERROR(ROUND(AVERAGEIF(Attendance!$B:$B,$A37,Attendance!$J:$J),0),"")</f>
        <v>89</v>
      </c>
      <c r="V37" s="231" t="str">
        <f aca="false">IFERROR(INDEX(Students!$A$2:$AN$173,MATCH($A37,Students!$A$2:$A$173,0),23),"")</f>
        <v>Good Standing</v>
      </c>
      <c r="W37" s="231" t="n">
        <v>1</v>
      </c>
      <c r="X37" s="231" t="n">
        <f aca="false">$B$48+$B$49</f>
        <v>6</v>
      </c>
      <c r="Y37" s="231" t="n">
        <f aca="false">X37-W37</f>
        <v>5</v>
      </c>
      <c r="Z37" s="52" t="str">
        <f aca="false">IF(V37="Suspended","Critical — Funding Discontinued",IF(OR(V37="Probation",Y37&lt;=1),"High Risk",IF(S37&lt;2.5,"Medium Risk","Low Risk")))</f>
        <v>Low Risk</v>
      </c>
      <c r="AA37" s="52" t="s">
        <v>4591</v>
      </c>
      <c r="AB37" s="231" t="s">
        <v>4592</v>
      </c>
    </row>
    <row r="38" customFormat="false" ht="15" hidden="false" customHeight="true" outlineLevel="0" collapsed="false">
      <c r="A38" s="231" t="s">
        <v>1244</v>
      </c>
      <c r="B38" s="52" t="s">
        <v>1245</v>
      </c>
      <c r="C38" s="52" t="s">
        <v>289</v>
      </c>
      <c r="D38" s="52" t="s">
        <v>73</v>
      </c>
      <c r="E38" s="231" t="s">
        <v>118</v>
      </c>
      <c r="F38" s="231" t="s">
        <v>4593</v>
      </c>
      <c r="G38" s="52" t="s">
        <v>4594</v>
      </c>
      <c r="H38" s="231" t="str">
        <f aca="false">IFERROR(INDEX(Students!$A$2:$AN$173,MATCH($A38,Students!$A$2:$A$173,0),38),"No")</f>
        <v>No</v>
      </c>
      <c r="I38" s="52" t="str">
        <f aca="false">IFERROR(INDEX(Students!$A$2:$AN$173,MATCH($A38,Students!$A$2:$A$173,0),39),"None")</f>
        <v>None</v>
      </c>
      <c r="J38" s="232" t="n">
        <v>320000</v>
      </c>
      <c r="K38" s="232" t="n">
        <v>0</v>
      </c>
      <c r="L38" s="232" t="n">
        <f aca="false">$B$51</f>
        <v>20000</v>
      </c>
      <c r="M38" s="232" t="n">
        <f aca="false">IF(H38="Yes",$B$53,$B$52)</f>
        <v>45000</v>
      </c>
      <c r="N38" s="232" t="n">
        <f aca="false">IF(H38="Yes",$B$55,$B$54)</f>
        <v>15000</v>
      </c>
      <c r="O38" s="232" t="n">
        <f aca="false">IF(H38="Yes",$B$56,0)</f>
        <v>0</v>
      </c>
      <c r="P38" s="232" t="n">
        <f aca="false">SUM(J38:O38)</f>
        <v>400000</v>
      </c>
      <c r="Q38" s="232" t="n">
        <f aca="false">IF(IFERROR(INDEX(Students!$A$2:$AN$173,MATCH($A38,Students!$A$2:$A$173,0),13),"")="On Leave",0,IF(F38="Fully Funded",P38,IF(F38="Provisionally Funded",J38+N38,IF(F38="Appeal Pending",0,IF(F38="Funding Discontinued",ROUND(P38*0.4,0),P38)))))</f>
        <v>335000</v>
      </c>
      <c r="R38" s="232" t="n">
        <f aca="false">IFERROR(INDEX(Students!$A$2:$AN$173,MATCH($A38,Students!$A$2:$A$173,0),22),0)</f>
        <v>160000</v>
      </c>
      <c r="S38" s="233" t="n">
        <f aca="false">IFERROR(INDEX(Students!$A$2:$AN$173,MATCH($A38,Students!$A$2:$A$173,0),11),"")</f>
        <v>3.2</v>
      </c>
      <c r="T38" s="231" t="n">
        <f aca="false">IFERROR(INDEX(Students!$A$2:$AN$173,MATCH($A38,Students!$A$2:$A$173,0),12),0)</f>
        <v>24</v>
      </c>
      <c r="U38" s="231" t="n">
        <f aca="false">IFERROR(ROUND(AVERAGEIF(Attendance!$B:$B,$A38,Attendance!$J:$J),0),"")</f>
        <v>80</v>
      </c>
      <c r="V38" s="231" t="str">
        <f aca="false">IFERROR(INDEX(Students!$A$2:$AN$173,MATCH($A38,Students!$A$2:$A$173,0),23),"")</f>
        <v>Good Standing</v>
      </c>
      <c r="W38" s="231" t="n">
        <v>1</v>
      </c>
      <c r="X38" s="231" t="n">
        <f aca="false">$B$48+$B$49</f>
        <v>6</v>
      </c>
      <c r="Y38" s="231" t="n">
        <f aca="false">X38-W38</f>
        <v>5</v>
      </c>
      <c r="Z38" s="52" t="str">
        <f aca="false">IF(V38="Suspended","Critical — Funding Discontinued",IF(OR(V38="Probation",Y38&lt;=1),"High Risk",IF(S38&lt;2.5,"Medium Risk","Low Risk")))</f>
        <v>Low Risk</v>
      </c>
      <c r="AA38" s="52" t="s">
        <v>4595</v>
      </c>
      <c r="AB38" s="231" t="s">
        <v>4592</v>
      </c>
    </row>
    <row r="39" customFormat="false" ht="15" hidden="false" customHeight="true" outlineLevel="0" collapsed="false">
      <c r="A39" s="231" t="s">
        <v>1253</v>
      </c>
      <c r="B39" s="52" t="s">
        <v>1254</v>
      </c>
      <c r="C39" s="52" t="s">
        <v>920</v>
      </c>
      <c r="D39" s="52" t="s">
        <v>134</v>
      </c>
      <c r="E39" s="231" t="s">
        <v>74</v>
      </c>
      <c r="F39" s="231" t="s">
        <v>4589</v>
      </c>
      <c r="G39" s="52" t="s">
        <v>4590</v>
      </c>
      <c r="H39" s="231" t="str">
        <f aca="false">IFERROR(INDEX(Students!$A$2:$AN$173,MATCH($A39,Students!$A$2:$A$173,0),38),"No")</f>
        <v>No</v>
      </c>
      <c r="I39" s="52" t="str">
        <f aca="false">IFERROR(INDEX(Students!$A$2:$AN$173,MATCH($A39,Students!$A$2:$A$173,0),39),"None")</f>
        <v>None</v>
      </c>
      <c r="J39" s="232" t="n">
        <v>180000</v>
      </c>
      <c r="K39" s="232" t="n">
        <f aca="false">$B$50</f>
        <v>130000</v>
      </c>
      <c r="L39" s="232" t="n">
        <v>0</v>
      </c>
      <c r="M39" s="232" t="n">
        <f aca="false">IF(H39="Yes",$B$53,$B$52)</f>
        <v>45000</v>
      </c>
      <c r="N39" s="232" t="n">
        <f aca="false">IF(H39="Yes",$B$55,$B$54)</f>
        <v>15000</v>
      </c>
      <c r="O39" s="232" t="n">
        <f aca="false">IF(H39="Yes",$B$56,0)</f>
        <v>0</v>
      </c>
      <c r="P39" s="232" t="n">
        <f aca="false">SUM(J39:O39)</f>
        <v>370000</v>
      </c>
      <c r="Q39" s="232" t="n">
        <f aca="false">IF(IFERROR(INDEX(Students!$A$2:$AN$173,MATCH($A39,Students!$A$2:$A$173,0),13),"")="On Leave",0,IF(F39="Fully Funded",P39,IF(F39="Provisionally Funded",J39+N39,IF(F39="Appeal Pending",0,IF(F39="Funding Discontinued",ROUND(P39*0.4,0),P39)))))</f>
        <v>370000</v>
      </c>
      <c r="R39" s="232" t="n">
        <f aca="false">IFERROR(INDEX(Students!$A$2:$AN$173,MATCH($A39,Students!$A$2:$A$173,0),22),0)</f>
        <v>0</v>
      </c>
      <c r="S39" s="233" t="n">
        <f aca="false">IFERROR(INDEX(Students!$A$2:$AN$173,MATCH($A39,Students!$A$2:$A$173,0),11),"")</f>
        <v>3.65</v>
      </c>
      <c r="T39" s="231" t="n">
        <f aca="false">IFERROR(INDEX(Students!$A$2:$AN$173,MATCH($A39,Students!$A$2:$A$173,0),12),0)</f>
        <v>48</v>
      </c>
      <c r="U39" s="231" t="n">
        <f aca="false">IFERROR(ROUND(AVERAGEIF(Attendance!$B:$B,$A39,Attendance!$J:$J),0),"")</f>
        <v>87</v>
      </c>
      <c r="V39" s="231" t="str">
        <f aca="false">IFERROR(INDEX(Students!$A$2:$AN$173,MATCH($A39,Students!$A$2:$A$173,0),23),"")</f>
        <v>Good Standing</v>
      </c>
      <c r="W39" s="231" t="n">
        <v>2</v>
      </c>
      <c r="X39" s="231" t="n">
        <f aca="false">$B$48+$B$49</f>
        <v>6</v>
      </c>
      <c r="Y39" s="231" t="n">
        <f aca="false">X39-W39</f>
        <v>4</v>
      </c>
      <c r="Z39" s="52" t="str">
        <f aca="false">IF(V39="Suspended","Critical — Funding Discontinued",IF(OR(V39="Probation",Y39&lt;=1),"High Risk",IF(S39&lt;2.5,"Medium Risk","Low Risk")))</f>
        <v>Low Risk</v>
      </c>
      <c r="AA39" s="52" t="s">
        <v>4591</v>
      </c>
      <c r="AB39" s="231" t="s">
        <v>4592</v>
      </c>
    </row>
    <row r="40" customFormat="false" ht="15" hidden="false" customHeight="true" outlineLevel="0" collapsed="false">
      <c r="A40" s="231" t="s">
        <v>1260</v>
      </c>
      <c r="B40" s="52" t="s">
        <v>1261</v>
      </c>
      <c r="C40" s="52" t="s">
        <v>375</v>
      </c>
      <c r="D40" s="52" t="s">
        <v>187</v>
      </c>
      <c r="E40" s="231" t="s">
        <v>74</v>
      </c>
      <c r="F40" s="231" t="s">
        <v>4589</v>
      </c>
      <c r="G40" s="52" t="s">
        <v>4590</v>
      </c>
      <c r="H40" s="231" t="str">
        <f aca="false">IFERROR(INDEX(Students!$A$2:$AN$173,MATCH($A40,Students!$A$2:$A$173,0),38),"No")</f>
        <v>No</v>
      </c>
      <c r="I40" s="52" t="str">
        <f aca="false">IFERROR(INDEX(Students!$A$2:$AN$173,MATCH($A40,Students!$A$2:$A$173,0),39),"None")</f>
        <v>None</v>
      </c>
      <c r="J40" s="232" t="n">
        <v>160000</v>
      </c>
      <c r="K40" s="232" t="n">
        <v>0</v>
      </c>
      <c r="L40" s="232" t="n">
        <f aca="false">$B$51</f>
        <v>20000</v>
      </c>
      <c r="M40" s="232" t="n">
        <f aca="false">IF(H40="Yes",$B$53,$B$52)</f>
        <v>45000</v>
      </c>
      <c r="N40" s="232" t="n">
        <f aca="false">IF(H40="Yes",$B$55,$B$54)</f>
        <v>15000</v>
      </c>
      <c r="O40" s="232" t="n">
        <f aca="false">IF(H40="Yes",$B$56,0)</f>
        <v>0</v>
      </c>
      <c r="P40" s="232" t="n">
        <f aca="false">SUM(J40:O40)</f>
        <v>240000</v>
      </c>
      <c r="Q40" s="232" t="n">
        <f aca="false">IF(IFERROR(INDEX(Students!$A$2:$AN$173,MATCH($A40,Students!$A$2:$A$173,0),13),"")="On Leave",0,IF(F40="Fully Funded",P40,IF(F40="Provisionally Funded",J40+N40,IF(F40="Appeal Pending",0,IF(F40="Funding Discontinued",ROUND(P40*0.4,0),P40)))))</f>
        <v>240000</v>
      </c>
      <c r="R40" s="232" t="n">
        <f aca="false">IFERROR(INDEX(Students!$A$2:$AN$173,MATCH($A40,Students!$A$2:$A$173,0),22),0)</f>
        <v>0</v>
      </c>
      <c r="S40" s="233" t="n">
        <f aca="false">IFERROR(INDEX(Students!$A$2:$AN$173,MATCH($A40,Students!$A$2:$A$173,0),11),"")</f>
        <v>3.1</v>
      </c>
      <c r="T40" s="231" t="n">
        <f aca="false">IFERROR(INDEX(Students!$A$2:$AN$173,MATCH($A40,Students!$A$2:$A$173,0),12),0)</f>
        <v>36</v>
      </c>
      <c r="U40" s="231" t="n">
        <f aca="false">IFERROR(ROUND(AVERAGEIF(Attendance!$B:$B,$A40,Attendance!$J:$J),0),"")</f>
        <v>83</v>
      </c>
      <c r="V40" s="231" t="str">
        <f aca="false">IFERROR(INDEX(Students!$A$2:$AN$173,MATCH($A40,Students!$A$2:$A$173,0),23),"")</f>
        <v>Good Standing</v>
      </c>
      <c r="W40" s="231" t="n">
        <v>2</v>
      </c>
      <c r="X40" s="231" t="n">
        <f aca="false">$B$48+$B$49</f>
        <v>6</v>
      </c>
      <c r="Y40" s="231" t="n">
        <f aca="false">X40-W40</f>
        <v>4</v>
      </c>
      <c r="Z40" s="52" t="str">
        <f aca="false">IF(V40="Suspended","Critical — Funding Discontinued",IF(OR(V40="Probation",Y40&lt;=1),"High Risk",IF(S40&lt;2.5,"Medium Risk","Low Risk")))</f>
        <v>Low Risk</v>
      </c>
      <c r="AA40" s="52" t="s">
        <v>4591</v>
      </c>
      <c r="AB40" s="231" t="s">
        <v>4605</v>
      </c>
    </row>
    <row r="41" customFormat="false" ht="15" hidden="false" customHeight="true" outlineLevel="0" collapsed="false">
      <c r="A41" s="231" t="s">
        <v>1271</v>
      </c>
      <c r="B41" s="52" t="s">
        <v>1272</v>
      </c>
      <c r="C41" s="52" t="s">
        <v>342</v>
      </c>
      <c r="D41" s="52" t="s">
        <v>117</v>
      </c>
      <c r="E41" s="231" t="s">
        <v>74</v>
      </c>
      <c r="F41" s="231" t="s">
        <v>4603</v>
      </c>
      <c r="G41" s="52" t="s">
        <v>4590</v>
      </c>
      <c r="H41" s="231" t="str">
        <f aca="false">IFERROR(INDEX(Students!$A$2:$AN$173,MATCH($A41,Students!$A$2:$A$173,0),38),"No")</f>
        <v>No</v>
      </c>
      <c r="I41" s="52" t="str">
        <f aca="false">IFERROR(INDEX(Students!$A$2:$AN$173,MATCH($A41,Students!$A$2:$A$173,0),39),"None")</f>
        <v>None</v>
      </c>
      <c r="J41" s="232" t="n">
        <v>170000</v>
      </c>
      <c r="K41" s="232" t="n">
        <f aca="false">$B$50</f>
        <v>130000</v>
      </c>
      <c r="L41" s="232" t="n">
        <v>0</v>
      </c>
      <c r="M41" s="232" t="n">
        <f aca="false">IF(H41="Yes",$B$53,$B$52)</f>
        <v>45000</v>
      </c>
      <c r="N41" s="232" t="n">
        <f aca="false">IF(H41="Yes",$B$55,$B$54)</f>
        <v>15000</v>
      </c>
      <c r="O41" s="232" t="n">
        <f aca="false">IF(H41="Yes",$B$56,0)</f>
        <v>0</v>
      </c>
      <c r="P41" s="232" t="n">
        <f aca="false">SUM(J41:O41)</f>
        <v>360000</v>
      </c>
      <c r="Q41" s="232" t="n">
        <f aca="false">IF(IFERROR(INDEX(Students!$A$2:$AN$173,MATCH($A41,Students!$A$2:$A$173,0),13),"")="On Leave",0,IF(F41="Fully Funded",P41,IF(F41="Provisionally Funded",J41+N41,IF(F41="Appeal Pending",0,IF(F41="Funding Discontinued",ROUND(P41*0.4,0),P41)))))</f>
        <v>0</v>
      </c>
      <c r="R41" s="232" t="n">
        <f aca="false">IFERROR(INDEX(Students!$A$2:$AN$173,MATCH($A41,Students!$A$2:$A$173,0),22),0)</f>
        <v>91000</v>
      </c>
      <c r="S41" s="233" t="n">
        <f aca="false">IFERROR(INDEX(Students!$A$2:$AN$173,MATCH($A41,Students!$A$2:$A$173,0),11),"")</f>
        <v>3.45</v>
      </c>
      <c r="T41" s="231" t="n">
        <f aca="false">IFERROR(INDEX(Students!$A$2:$AN$173,MATCH($A41,Students!$A$2:$A$173,0),12),0)</f>
        <v>36</v>
      </c>
      <c r="U41" s="231" t="n">
        <f aca="false">IFERROR(ROUND(AVERAGEIF(Attendance!$B:$B,$A41,Attendance!$J:$J),0),"")</f>
        <v>87</v>
      </c>
      <c r="V41" s="231" t="str">
        <f aca="false">IFERROR(INDEX(Students!$A$2:$AN$173,MATCH($A41,Students!$A$2:$A$173,0),23),"")</f>
        <v>Probation</v>
      </c>
      <c r="W41" s="231" t="n">
        <v>2</v>
      </c>
      <c r="X41" s="231" t="n">
        <f aca="false">$B$48+$B$49</f>
        <v>6</v>
      </c>
      <c r="Y41" s="231" t="n">
        <f aca="false">X41-W41</f>
        <v>4</v>
      </c>
      <c r="Z41" s="52" t="str">
        <f aca="false">IF(V41="Suspended","Critical — Funding Discontinued",IF(OR(V41="Probation",Y41&lt;=1),"High Risk",IF(S41&lt;2.5,"Medium Risk","Low Risk")))</f>
        <v>High Risk</v>
      </c>
      <c r="AA41" s="52" t="s">
        <v>4604</v>
      </c>
      <c r="AB41" s="231" t="s">
        <v>4605</v>
      </c>
    </row>
    <row r="42" customFormat="false" ht="15" hidden="false" customHeight="true" outlineLevel="0" collapsed="false">
      <c r="A42" s="231" t="s">
        <v>1282</v>
      </c>
      <c r="B42" s="52" t="s">
        <v>1283</v>
      </c>
      <c r="C42" s="52" t="s">
        <v>430</v>
      </c>
      <c r="D42" s="52" t="s">
        <v>48</v>
      </c>
      <c r="E42" s="231" t="s">
        <v>74</v>
      </c>
      <c r="F42" s="231" t="s">
        <v>4589</v>
      </c>
      <c r="G42" s="52" t="s">
        <v>4596</v>
      </c>
      <c r="H42" s="231" t="str">
        <f aca="false">IFERROR(INDEX(Students!$A$2:$AN$173,MATCH($A42,Students!$A$2:$A$173,0),38),"No")</f>
        <v>Yes</v>
      </c>
      <c r="I42" s="52" t="str">
        <f aca="false">IFERROR(INDEX(Students!$A$2:$AN$173,MATCH($A42,Students!$A$2:$A$173,0),39),"None")</f>
        <v>Physical / Mobility Impairment</v>
      </c>
      <c r="J42" s="232" t="n">
        <v>190000</v>
      </c>
      <c r="K42" s="232" t="n">
        <v>0</v>
      </c>
      <c r="L42" s="232" t="n">
        <f aca="false">$B$51</f>
        <v>20000</v>
      </c>
      <c r="M42" s="232" t="n">
        <f aca="false">IF(H42="Yes",$B$53,$B$52)</f>
        <v>55000</v>
      </c>
      <c r="N42" s="232" t="n">
        <f aca="false">IF(H42="Yes",$B$55,$B$54)</f>
        <v>16500</v>
      </c>
      <c r="O42" s="232" t="n">
        <f aca="false">IF(H42="Yes",$B$56,0)</f>
        <v>60000</v>
      </c>
      <c r="P42" s="232" t="n">
        <f aca="false">SUM(J42:O42)</f>
        <v>341500</v>
      </c>
      <c r="Q42" s="232" t="n">
        <f aca="false">IF(IFERROR(INDEX(Students!$A$2:$AN$173,MATCH($A42,Students!$A$2:$A$173,0),13),"")="On Leave",0,IF(F42="Fully Funded",P42,IF(F42="Provisionally Funded",J42+N42,IF(F42="Appeal Pending",0,IF(F42="Funding Discontinued",ROUND(P42*0.4,0),P42)))))</f>
        <v>341500</v>
      </c>
      <c r="R42" s="232" t="n">
        <f aca="false">IFERROR(INDEX(Students!$A$2:$AN$173,MATCH($A42,Students!$A$2:$A$173,0),22),0)</f>
        <v>0</v>
      </c>
      <c r="S42" s="233" t="n">
        <f aca="false">IFERROR(INDEX(Students!$A$2:$AN$173,MATCH($A42,Students!$A$2:$A$173,0),11),"")</f>
        <v>3.8</v>
      </c>
      <c r="T42" s="231" t="n">
        <f aca="false">IFERROR(INDEX(Students!$A$2:$AN$173,MATCH($A42,Students!$A$2:$A$173,0),12),0)</f>
        <v>36</v>
      </c>
      <c r="U42" s="231" t="n">
        <f aca="false">IFERROR(ROUND(AVERAGEIF(Attendance!$B:$B,$A42,Attendance!$J:$J),0),"")</f>
        <v>94</v>
      </c>
      <c r="V42" s="231" t="str">
        <f aca="false">IFERROR(INDEX(Students!$A$2:$AN$173,MATCH($A42,Students!$A$2:$A$173,0),23),"")</f>
        <v>Good Standing</v>
      </c>
      <c r="W42" s="231" t="n">
        <v>2</v>
      </c>
      <c r="X42" s="231" t="n">
        <f aca="false">$B$48+$B$49</f>
        <v>6</v>
      </c>
      <c r="Y42" s="231" t="n">
        <f aca="false">X42-W42</f>
        <v>4</v>
      </c>
      <c r="Z42" s="52" t="str">
        <f aca="false">IF(V42="Suspended","Critical — Funding Discontinued",IF(OR(V42="Probation",Y42&lt;=1),"High Risk",IF(S42&lt;2.5,"Medium Risk","Low Risk")))</f>
        <v>Low Risk</v>
      </c>
      <c r="AA42" s="52" t="s">
        <v>4591</v>
      </c>
      <c r="AB42" s="231" t="s">
        <v>4605</v>
      </c>
    </row>
    <row r="43" customFormat="false" ht="15" hidden="false" customHeight="true" outlineLevel="0" collapsed="false">
      <c r="A43" s="231" t="s">
        <v>1294</v>
      </c>
      <c r="B43" s="52" t="s">
        <v>1295</v>
      </c>
      <c r="C43" s="52" t="s">
        <v>430</v>
      </c>
      <c r="D43" s="52" t="s">
        <v>102</v>
      </c>
      <c r="E43" s="231" t="s">
        <v>49</v>
      </c>
      <c r="F43" s="231" t="s">
        <v>4589</v>
      </c>
      <c r="G43" s="52" t="s">
        <v>4590</v>
      </c>
      <c r="H43" s="231" t="str">
        <f aca="false">IFERROR(INDEX(Students!$A$2:$AN$173,MATCH($A43,Students!$A$2:$A$173,0),38),"No")</f>
        <v>No</v>
      </c>
      <c r="I43" s="52" t="str">
        <f aca="false">IFERROR(INDEX(Students!$A$2:$AN$173,MATCH($A43,Students!$A$2:$A$173,0),39),"None")</f>
        <v>None</v>
      </c>
      <c r="J43" s="232" t="n">
        <v>190000</v>
      </c>
      <c r="K43" s="232" t="n">
        <f aca="false">$B$50</f>
        <v>130000</v>
      </c>
      <c r="L43" s="232" t="n">
        <v>0</v>
      </c>
      <c r="M43" s="232" t="n">
        <f aca="false">IF(H43="Yes",$B$53,$B$52)</f>
        <v>45000</v>
      </c>
      <c r="N43" s="232" t="n">
        <f aca="false">IF(H43="Yes",$B$55,$B$54)</f>
        <v>15000</v>
      </c>
      <c r="O43" s="232" t="n">
        <f aca="false">IF(H43="Yes",$B$56,0)</f>
        <v>0</v>
      </c>
      <c r="P43" s="232" t="n">
        <f aca="false">SUM(J43:O43)</f>
        <v>380000</v>
      </c>
      <c r="Q43" s="232" t="n">
        <f aca="false">IF(IFERROR(INDEX(Students!$A$2:$AN$173,MATCH($A43,Students!$A$2:$A$173,0),13),"")="On Leave",0,IF(F43="Fully Funded",P43,IF(F43="Provisionally Funded",J43+N43,IF(F43="Appeal Pending",0,IF(F43="Funding Discontinued",ROUND(P43*0.4,0),P43)))))</f>
        <v>380000</v>
      </c>
      <c r="R43" s="232" t="n">
        <f aca="false">IFERROR(INDEX(Students!$A$2:$AN$173,MATCH($A43,Students!$A$2:$A$173,0),22),0)</f>
        <v>0</v>
      </c>
      <c r="S43" s="233" t="n">
        <f aca="false">IFERROR(INDEX(Students!$A$2:$AN$173,MATCH($A43,Students!$A$2:$A$173,0),11),"")</f>
        <v>3.55</v>
      </c>
      <c r="T43" s="231" t="n">
        <f aca="false">IFERROR(INDEX(Students!$A$2:$AN$173,MATCH($A43,Students!$A$2:$A$173,0),12),0)</f>
        <v>36</v>
      </c>
      <c r="U43" s="231" t="n">
        <f aca="false">IFERROR(ROUND(AVERAGEIF(Attendance!$B:$B,$A43,Attendance!$J:$J),0),"")</f>
        <v>89</v>
      </c>
      <c r="V43" s="231" t="str">
        <f aca="false">IFERROR(INDEX(Students!$A$2:$AN$173,MATCH($A43,Students!$A$2:$A$173,0),23),"")</f>
        <v>Good Standing</v>
      </c>
      <c r="W43" s="231" t="n">
        <v>3</v>
      </c>
      <c r="X43" s="231" t="n">
        <f aca="false">$B$48+$B$49</f>
        <v>6</v>
      </c>
      <c r="Y43" s="231" t="n">
        <f aca="false">X43-W43</f>
        <v>3</v>
      </c>
      <c r="Z43" s="52" t="str">
        <f aca="false">IF(V43="Suspended","Critical — Funding Discontinued",IF(OR(V43="Probation",Y43&lt;=1),"High Risk",IF(S43&lt;2.5,"Medium Risk","Low Risk")))</f>
        <v>Low Risk</v>
      </c>
      <c r="AA43" s="52" t="s">
        <v>4591</v>
      </c>
      <c r="AB43" s="231" t="s">
        <v>4592</v>
      </c>
    </row>
    <row r="44" customFormat="false" ht="15" hidden="false" customHeight="true" outlineLevel="0" collapsed="false">
      <c r="A44" s="231" t="s">
        <v>1305</v>
      </c>
      <c r="B44" s="52" t="s">
        <v>1306</v>
      </c>
      <c r="C44" s="52" t="s">
        <v>302</v>
      </c>
      <c r="D44" s="52" t="s">
        <v>73</v>
      </c>
      <c r="E44" s="231" t="s">
        <v>118</v>
      </c>
      <c r="F44" s="231" t="s">
        <v>4599</v>
      </c>
      <c r="G44" s="52" t="s">
        <v>4590</v>
      </c>
      <c r="H44" s="231" t="str">
        <f aca="false">IFERROR(INDEX(Students!$A$2:$AN$173,MATCH($A44,Students!$A$2:$A$173,0),38),"No")</f>
        <v>No</v>
      </c>
      <c r="I44" s="52" t="str">
        <f aca="false">IFERROR(INDEX(Students!$A$2:$AN$173,MATCH($A44,Students!$A$2:$A$173,0),39),"None")</f>
        <v>None</v>
      </c>
      <c r="J44" s="232" t="n">
        <v>190000</v>
      </c>
      <c r="K44" s="232" t="n">
        <v>0</v>
      </c>
      <c r="L44" s="232" t="n">
        <f aca="false">$B$51</f>
        <v>20000</v>
      </c>
      <c r="M44" s="232" t="n">
        <f aca="false">IF(H44="Yes",$B$53,$B$52)</f>
        <v>45000</v>
      </c>
      <c r="N44" s="232" t="n">
        <f aca="false">IF(H44="Yes",$B$55,$B$54)</f>
        <v>15000</v>
      </c>
      <c r="O44" s="232" t="n">
        <f aca="false">IF(H44="Yes",$B$56,0)</f>
        <v>0</v>
      </c>
      <c r="P44" s="232" t="n">
        <f aca="false">SUM(J44:O44)</f>
        <v>270000</v>
      </c>
      <c r="Q44" s="232" t="n">
        <f aca="false">IF(IFERROR(INDEX(Students!$A$2:$AN$173,MATCH($A44,Students!$A$2:$A$173,0),13),"")="On Leave",0,IF(F44="Fully Funded",P44,IF(F44="Provisionally Funded",J44+N44,IF(F44="Appeal Pending",0,IF(F44="Funding Discontinued",ROUND(P44*0.4,0),P44)))))</f>
        <v>108000</v>
      </c>
      <c r="R44" s="232" t="n">
        <f aca="false">IFERROR(INDEX(Students!$A$2:$AN$173,MATCH($A44,Students!$A$2:$A$173,0),22),0)</f>
        <v>82000</v>
      </c>
      <c r="S44" s="233" t="n">
        <f aca="false">IFERROR(INDEX(Students!$A$2:$AN$173,MATCH($A44,Students!$A$2:$A$173,0),11),"")</f>
        <v>2.75</v>
      </c>
      <c r="T44" s="231" t="n">
        <f aca="false">IFERROR(INDEX(Students!$A$2:$AN$173,MATCH($A44,Students!$A$2:$A$173,0),12),0)</f>
        <v>24</v>
      </c>
      <c r="U44" s="231" t="n">
        <f aca="false">IFERROR(ROUND(AVERAGEIF(Attendance!$B:$B,$A44,Attendance!$J:$J),0),"")</f>
        <v>61</v>
      </c>
      <c r="V44" s="231" t="str">
        <f aca="false">IFERROR(INDEX(Students!$A$2:$AN$173,MATCH($A44,Students!$A$2:$A$173,0),23),"")</f>
        <v>Suspended</v>
      </c>
      <c r="W44" s="231" t="n">
        <v>1</v>
      </c>
      <c r="X44" s="231" t="n">
        <f aca="false">$B$48+$B$49</f>
        <v>6</v>
      </c>
      <c r="Y44" s="231" t="n">
        <f aca="false">X44-W44</f>
        <v>5</v>
      </c>
      <c r="Z44" s="52" t="str">
        <f aca="false">IF(V44="Suspended","Critical — Funding Discontinued",IF(OR(V44="Probation",Y44&lt;=1),"High Risk",IF(S44&lt;2.5,"Medium Risk","Low Risk")))</f>
        <v>Critical — Funding Discontinued</v>
      </c>
      <c r="AA44" s="52" t="s">
        <v>4600</v>
      </c>
      <c r="AB44" s="231" t="s">
        <v>4592</v>
      </c>
    </row>
    <row r="47" customFormat="false" ht="15" hidden="false" customHeight="true" outlineLevel="0" collapsed="false">
      <c r="A47" s="234" t="s">
        <v>4610</v>
      </c>
    </row>
    <row r="48" customFormat="false" ht="15" hidden="false" customHeight="true" outlineLevel="0" collapsed="false">
      <c r="A48" s="235" t="s">
        <v>4611</v>
      </c>
      <c r="B48" s="236" t="n">
        <v>4</v>
      </c>
    </row>
    <row r="49" customFormat="false" ht="15" hidden="false" customHeight="true" outlineLevel="0" collapsed="false">
      <c r="A49" s="235" t="s">
        <v>4612</v>
      </c>
      <c r="B49" s="236" t="n">
        <v>2</v>
      </c>
    </row>
    <row r="50" customFormat="false" ht="15" hidden="false" customHeight="true" outlineLevel="0" collapsed="false">
      <c r="A50" s="235" t="s">
        <v>4613</v>
      </c>
      <c r="B50" s="236" t="n">
        <v>130000</v>
      </c>
    </row>
    <row r="51" customFormat="false" ht="15" hidden="false" customHeight="true" outlineLevel="0" collapsed="false">
      <c r="A51" s="235" t="s">
        <v>4614</v>
      </c>
      <c r="B51" s="236" t="n">
        <v>20000</v>
      </c>
    </row>
    <row r="52" customFormat="false" ht="15" hidden="false" customHeight="true" outlineLevel="0" collapsed="false">
      <c r="A52" s="235" t="s">
        <v>4615</v>
      </c>
      <c r="B52" s="236" t="n">
        <v>45000</v>
      </c>
    </row>
    <row r="53" customFormat="false" ht="15" hidden="false" customHeight="true" outlineLevel="0" collapsed="false">
      <c r="A53" s="235" t="s">
        <v>4616</v>
      </c>
      <c r="B53" s="236" t="n">
        <v>55000</v>
      </c>
    </row>
    <row r="54" customFormat="false" ht="15" hidden="false" customHeight="true" outlineLevel="0" collapsed="false">
      <c r="A54" s="235" t="s">
        <v>4617</v>
      </c>
      <c r="B54" s="236" t="n">
        <v>15000</v>
      </c>
    </row>
    <row r="55" customFormat="false" ht="15" hidden="false" customHeight="true" outlineLevel="0" collapsed="false">
      <c r="A55" s="235" t="s">
        <v>4618</v>
      </c>
      <c r="B55" s="236" t="n">
        <v>16500</v>
      </c>
    </row>
    <row r="56" customFormat="false" ht="15" hidden="false" customHeight="true" outlineLevel="0" collapsed="false">
      <c r="A56" s="235" t="s">
        <v>4619</v>
      </c>
      <c r="B56" s="236" t="n">
        <v>60000</v>
      </c>
    </row>
    <row r="57" customFormat="false" ht="15" hidden="false" customHeight="true" outlineLevel="0" collapsed="false">
      <c r="A57" s="235" t="s">
        <v>4620</v>
      </c>
      <c r="B57" s="236" t="n">
        <v>700000</v>
      </c>
    </row>
    <row r="58" customFormat="false" ht="15" hidden="false" customHeight="true" outlineLevel="0" collapsed="false">
      <c r="A58" s="235" t="s">
        <v>4621</v>
      </c>
      <c r="B58" s="236" t="n">
        <v>1200000</v>
      </c>
    </row>
    <row r="60" customFormat="false" ht="15" hidden="false" customHeight="true" outlineLevel="0" collapsed="false">
      <c r="A60" s="235" t="s">
        <v>4622</v>
      </c>
    </row>
    <row r="61" customFormat="false" ht="15" hidden="false" customHeight="true" outlineLevel="0" collapsed="false">
      <c r="A61" s="235" t="s">
        <v>4623</v>
      </c>
    </row>
  </sheetData>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22"/>
    <col collapsed="false" customWidth="true" hidden="false" outlineLevel="0" max="4" min="4" style="1" width="30"/>
    <col collapsed="false" customWidth="true" hidden="false" outlineLevel="0" max="5" min="5" style="1" width="24"/>
    <col collapsed="false" customWidth="true" hidden="false" outlineLevel="0" max="6" min="6" style="1" width="18"/>
    <col collapsed="false" customWidth="true" hidden="false" outlineLevel="0" max="7" min="7" style="1" width="22"/>
    <col collapsed="false" customWidth="true" hidden="false" outlineLevel="0" max="8" min="8" style="1" width="18"/>
    <col collapsed="false" customWidth="true" hidden="false" outlineLevel="0" max="9" min="9" style="1" width="12"/>
    <col collapsed="false" customWidth="true" hidden="false" outlineLevel="0" max="10" min="10" style="1" width="14"/>
    <col collapsed="false" customWidth="true" hidden="false" outlineLevel="0" max="11" min="11" style="1" width="20"/>
    <col collapsed="false" customWidth="true" hidden="false" outlineLevel="0" max="12" min="12" style="1" width="22"/>
    <col collapsed="false" customWidth="true" hidden="false" outlineLevel="0" max="13" min="13" style="1" width="18"/>
  </cols>
  <sheetData>
    <row r="1" customFormat="false" ht="25.5" hidden="false" customHeight="true" outlineLevel="0" collapsed="false">
      <c r="A1" s="237" t="s">
        <v>4624</v>
      </c>
      <c r="B1" s="237"/>
      <c r="C1" s="237"/>
      <c r="D1" s="237"/>
      <c r="E1" s="237"/>
      <c r="F1" s="237"/>
      <c r="G1" s="237"/>
      <c r="H1" s="237"/>
      <c r="I1" s="237"/>
      <c r="J1" s="237"/>
      <c r="K1" s="237"/>
      <c r="L1" s="237"/>
    </row>
    <row r="2" customFormat="false" ht="15.75" hidden="false" customHeight="true" outlineLevel="0" collapsed="false">
      <c r="A2" s="238" t="s">
        <v>4625</v>
      </c>
      <c r="B2" s="238"/>
      <c r="C2" s="238"/>
      <c r="D2" s="238"/>
      <c r="E2" s="238"/>
      <c r="F2" s="238"/>
      <c r="G2" s="238"/>
      <c r="H2" s="238"/>
      <c r="I2" s="238"/>
      <c r="J2" s="238"/>
      <c r="K2" s="238"/>
      <c r="L2" s="238"/>
    </row>
    <row r="4" customFormat="false" ht="19.5" hidden="false" customHeight="true" outlineLevel="0" collapsed="false">
      <c r="A4" s="239" t="s">
        <v>4626</v>
      </c>
      <c r="B4" s="239"/>
      <c r="C4" s="239"/>
      <c r="D4" s="239"/>
      <c r="E4" s="239"/>
      <c r="F4" s="239"/>
      <c r="G4" s="239"/>
      <c r="H4" s="239"/>
      <c r="I4" s="239"/>
      <c r="J4" s="239"/>
      <c r="K4" s="239"/>
      <c r="L4" s="239"/>
    </row>
    <row r="5" customFormat="false" ht="27.75" hidden="false" customHeight="true" outlineLevel="0" collapsed="false">
      <c r="A5" s="240" t="s">
        <v>4627</v>
      </c>
      <c r="B5" s="240"/>
      <c r="C5" s="240" t="s">
        <v>4628</v>
      </c>
      <c r="D5" s="240"/>
      <c r="E5" s="240" t="s">
        <v>4629</v>
      </c>
      <c r="F5" s="240"/>
      <c r="G5" s="240" t="s">
        <v>4580</v>
      </c>
      <c r="H5" s="240"/>
      <c r="I5" s="240" t="s">
        <v>3327</v>
      </c>
      <c r="J5" s="240"/>
      <c r="K5" s="240" t="s">
        <v>4630</v>
      </c>
      <c r="L5" s="240"/>
    </row>
    <row r="6" customFormat="false" ht="25.5" hidden="false" customHeight="true" outlineLevel="0" collapsed="false">
      <c r="A6" s="241" t="n">
        <f aca="false">COUNTA('NSFAS Student Tracking'!$A$5:$A$44)</f>
        <v>40</v>
      </c>
      <c r="B6" s="241"/>
      <c r="C6" s="242" t="n">
        <f aca="false">SUM('NSFAS Student Tracking'!$P$5:$P$44)</f>
        <v>12132000</v>
      </c>
      <c r="D6" s="242"/>
      <c r="E6" s="242" t="n">
        <f aca="false">SUM('NSFAS Student Tracking'!$Q$5:$Q$44)</f>
        <v>9400500</v>
      </c>
      <c r="F6" s="242"/>
      <c r="G6" s="242" t="n">
        <f aca="false">SUM('NSFAS Student Tracking'!$R$5:$R$44)</f>
        <v>1093000</v>
      </c>
      <c r="H6" s="242"/>
      <c r="I6" s="243" t="n">
        <f aca="false">AVERAGE('NSFAS Student Tracking'!$S$5:$S$44)</f>
        <v>3.08025</v>
      </c>
      <c r="J6" s="243"/>
      <c r="K6" s="241" t="n">
        <f aca="false">AVERAGE('NSFAS Student Tracking'!$U$5:$U$44)</f>
        <v>78.95</v>
      </c>
      <c r="L6" s="241"/>
    </row>
    <row r="8" customFormat="false" ht="27.75" hidden="false" customHeight="true" outlineLevel="0" collapsed="false">
      <c r="A8" s="240" t="s">
        <v>4589</v>
      </c>
      <c r="B8" s="240"/>
      <c r="C8" s="240" t="s">
        <v>4593</v>
      </c>
      <c r="D8" s="240"/>
      <c r="E8" s="240" t="s">
        <v>4603</v>
      </c>
      <c r="F8" s="240"/>
      <c r="G8" s="240" t="s">
        <v>4599</v>
      </c>
      <c r="H8" s="240"/>
      <c r="I8" s="240" t="s">
        <v>4631</v>
      </c>
      <c r="J8" s="240"/>
      <c r="K8" s="240" t="s">
        <v>4632</v>
      </c>
      <c r="L8" s="240"/>
    </row>
    <row r="9" customFormat="false" ht="21.75" hidden="false" customHeight="true" outlineLevel="0" collapsed="false">
      <c r="A9" s="244" t="n">
        <f aca="false">COUNTIF('NSFAS Student Tracking'!$F$5:$F$44,"Fully Funded")</f>
        <v>25</v>
      </c>
      <c r="B9" s="244"/>
      <c r="C9" s="244" t="n">
        <f aca="false">COUNTIF('NSFAS Student Tracking'!$F$5:$F$44,"Provisionally Funded")</f>
        <v>7</v>
      </c>
      <c r="D9" s="244"/>
      <c r="E9" s="244" t="n">
        <f aca="false">COUNTIF('NSFAS Student Tracking'!$F$5:$F$44,"Appeal Pending")</f>
        <v>5</v>
      </c>
      <c r="F9" s="244"/>
      <c r="G9" s="244" t="n">
        <f aca="false">COUNTIF('NSFAS Student Tracking'!$F$5:$F$44,"Funding Discontinued")</f>
        <v>3</v>
      </c>
      <c r="H9" s="244"/>
      <c r="I9" s="244" t="n">
        <f aca="false">COUNTIF('NSFAS Student Tracking'!$H$5:$H$44,"Yes")</f>
        <v>8</v>
      </c>
      <c r="J9" s="244"/>
      <c r="K9" s="244" t="n">
        <f aca="false">COUNTIF('NSFAS Student Tracking'!$Z$5:$Z$44,"High Risk")+COUNTIF('NSFAS Student Tracking'!$Z$5:$Z$44,"Critical — Funding Discontinued")</f>
        <v>10</v>
      </c>
      <c r="L9" s="244"/>
    </row>
    <row r="11" customFormat="false" ht="19.5" hidden="false" customHeight="true" outlineLevel="0" collapsed="false">
      <c r="A11" s="239" t="s">
        <v>4633</v>
      </c>
      <c r="B11" s="239"/>
      <c r="C11" s="239"/>
      <c r="D11" s="239"/>
      <c r="E11" s="239"/>
    </row>
    <row r="12" customFormat="false" ht="24" hidden="false" customHeight="true" outlineLevel="0" collapsed="false">
      <c r="A12" s="230" t="s">
        <v>4570</v>
      </c>
      <c r="B12" s="230" t="s">
        <v>4634</v>
      </c>
      <c r="C12" s="230" t="s">
        <v>4635</v>
      </c>
      <c r="D12" s="230" t="s">
        <v>4636</v>
      </c>
      <c r="E12" s="230" t="s">
        <v>3343</v>
      </c>
    </row>
    <row r="13" customFormat="false" ht="15" hidden="false" customHeight="true" outlineLevel="0" collapsed="false">
      <c r="A13" s="52" t="s">
        <v>4589</v>
      </c>
      <c r="B13" s="232" t="n">
        <f aca="false">COUNTIF('NSFAS Student Tracking'!$F$5:$F$44,"Fully Funded")</f>
        <v>25</v>
      </c>
      <c r="C13" s="232" t="n">
        <f aca="false">SUMIF('NSFAS Student Tracking'!$F$5:$F$44,"Fully Funded",'NSFAS Student Tracking'!$P$5:$P$44)</f>
        <v>7960500</v>
      </c>
      <c r="D13" s="232" t="n">
        <f aca="false">SUMIF('NSFAS Student Tracking'!$F$5:$F$44,"Fully Funded",'NSFAS Student Tracking'!$Q$5:$Q$44)</f>
        <v>7960500</v>
      </c>
      <c r="E13" s="232" t="n">
        <f aca="false">IFERROR(AVERAGEIF('NSFAS Student Tracking'!$F$5:$F$44,"Fully Funded",'NSFAS Student Tracking'!$S$5:$S$44),"")</f>
        <v>3.3884</v>
      </c>
    </row>
    <row r="14" customFormat="false" ht="15" hidden="false" customHeight="true" outlineLevel="0" collapsed="false">
      <c r="A14" s="52" t="s">
        <v>4593</v>
      </c>
      <c r="B14" s="232" t="n">
        <f aca="false">COUNTIF('NSFAS Student Tracking'!$F$5:$F$44,"Provisionally Funded")</f>
        <v>7</v>
      </c>
      <c r="C14" s="232" t="n">
        <f aca="false">SUMIF('NSFAS Student Tracking'!$F$5:$F$44,"Provisionally Funded",'NSFAS Student Tracking'!$P$5:$P$44)</f>
        <v>1940000</v>
      </c>
      <c r="D14" s="232" t="n">
        <f aca="false">SUMIF('NSFAS Student Tracking'!$F$5:$F$44,"Provisionally Funded",'NSFAS Student Tracking'!$Q$5:$Q$44)</f>
        <v>1120000</v>
      </c>
      <c r="E14" s="232" t="n">
        <f aca="false">IFERROR(AVERAGEIF('NSFAS Student Tracking'!$F$5:$F$44,"Provisionally Funded",'NSFAS Student Tracking'!$S$5:$S$44),"")</f>
        <v>2.71428571428571</v>
      </c>
    </row>
    <row r="15" customFormat="false" ht="15" hidden="false" customHeight="true" outlineLevel="0" collapsed="false">
      <c r="A15" s="52" t="s">
        <v>4603</v>
      </c>
      <c r="B15" s="232" t="n">
        <f aca="false">COUNTIF('NSFAS Student Tracking'!$F$5:$F$44,"Appeal Pending")</f>
        <v>5</v>
      </c>
      <c r="C15" s="232" t="n">
        <f aca="false">SUMIF('NSFAS Student Tracking'!$F$5:$F$44,"Appeal Pending",'NSFAS Student Tracking'!$P$5:$P$44)</f>
        <v>1431500</v>
      </c>
      <c r="D15" s="232" t="n">
        <f aca="false">SUMIF('NSFAS Student Tracking'!$F$5:$F$44,"Appeal Pending",'NSFAS Student Tracking'!$Q$5:$Q$44)</f>
        <v>0</v>
      </c>
      <c r="E15" s="232" t="n">
        <f aca="false">IFERROR(AVERAGEIF('NSFAS Student Tracking'!$F$5:$F$44,"Appeal Pending",'NSFAS Student Tracking'!$S$5:$S$44),"")</f>
        <v>2.58</v>
      </c>
    </row>
    <row r="16" customFormat="false" ht="15" hidden="false" customHeight="true" outlineLevel="0" collapsed="false">
      <c r="A16" s="52" t="s">
        <v>4599</v>
      </c>
      <c r="B16" s="232" t="n">
        <f aca="false">COUNTIF('NSFAS Student Tracking'!$F$5:$F$44,"Funding Discontinued")</f>
        <v>3</v>
      </c>
      <c r="C16" s="232" t="n">
        <f aca="false">SUMIF('NSFAS Student Tracking'!$F$5:$F$44,"Funding Discontinued",'NSFAS Student Tracking'!$P$5:$P$44)</f>
        <v>800000</v>
      </c>
      <c r="D16" s="232" t="n">
        <f aca="false">SUMIF('NSFAS Student Tracking'!$F$5:$F$44,"Funding Discontinued",'NSFAS Student Tracking'!$Q$5:$Q$44)</f>
        <v>320000</v>
      </c>
      <c r="E16" s="232" t="n">
        <f aca="false">IFERROR(AVERAGEIF('NSFAS Student Tracking'!$F$5:$F$44,"Funding Discontinued",'NSFAS Student Tracking'!$S$5:$S$44),"")</f>
        <v>2.2</v>
      </c>
    </row>
    <row r="18" customFormat="false" ht="19.5" hidden="false" customHeight="true" outlineLevel="0" collapsed="false">
      <c r="A18" s="239" t="s">
        <v>4637</v>
      </c>
      <c r="B18" s="239"/>
    </row>
    <row r="19" customFormat="false" ht="24" hidden="false" customHeight="true" outlineLevel="0" collapsed="false">
      <c r="A19" s="230" t="s">
        <v>22</v>
      </c>
      <c r="B19" s="230" t="s">
        <v>4634</v>
      </c>
    </row>
    <row r="20" customFormat="false" ht="15" hidden="false" customHeight="true" outlineLevel="0" collapsed="false">
      <c r="A20" s="52" t="s">
        <v>58</v>
      </c>
      <c r="B20" s="232" t="n">
        <f aca="false">COUNTIF('NSFAS Student Tracking'!$V$5:$V$44,"Good Standing")</f>
        <v>29</v>
      </c>
    </row>
    <row r="21" customFormat="false" ht="15" hidden="false" customHeight="true" outlineLevel="0" collapsed="false">
      <c r="A21" s="52" t="s">
        <v>119</v>
      </c>
      <c r="B21" s="232" t="n">
        <f aca="false">COUNTIF('NSFAS Student Tracking'!$V$5:$V$44,"Probation")</f>
        <v>7</v>
      </c>
    </row>
    <row r="22" customFormat="false" ht="15" hidden="false" customHeight="true" outlineLevel="0" collapsed="false">
      <c r="A22" s="52" t="s">
        <v>195</v>
      </c>
      <c r="B22" s="232" t="n">
        <f aca="false">COUNTIF('NSFAS Student Tracking'!$V$5:$V$44,"Suspended")</f>
        <v>3</v>
      </c>
    </row>
    <row r="23" customFormat="false" ht="15" hidden="false" customHeight="true" outlineLevel="0" collapsed="false">
      <c r="A23" s="52" t="s">
        <v>108</v>
      </c>
      <c r="B23" s="232" t="n">
        <f aca="false">COUNTIF('NSFAS Student Tracking'!$V$5:$V$44,"Cleared")</f>
        <v>1</v>
      </c>
    </row>
    <row r="24" customFormat="false" ht="19.5" hidden="false" customHeight="true" outlineLevel="0" collapsed="false">
      <c r="A24" s="239" t="s">
        <v>4638</v>
      </c>
      <c r="B24" s="239"/>
    </row>
    <row r="25" customFormat="false" ht="24" hidden="false" customHeight="true" outlineLevel="0" collapsed="false">
      <c r="A25" s="230" t="s">
        <v>4586</v>
      </c>
      <c r="B25" s="230" t="s">
        <v>4634</v>
      </c>
    </row>
    <row r="26" customFormat="false" ht="15" hidden="false" customHeight="true" outlineLevel="0" collapsed="false">
      <c r="A26" s="52" t="s">
        <v>4639</v>
      </c>
      <c r="B26" s="232" t="n">
        <f aca="false">COUNTIF('NSFAS Student Tracking'!$Z$5:$Z$44,"Low Risk")</f>
        <v>29</v>
      </c>
    </row>
    <row r="27" customFormat="false" ht="15" hidden="false" customHeight="true" outlineLevel="0" collapsed="false">
      <c r="A27" s="52" t="s">
        <v>4640</v>
      </c>
      <c r="B27" s="232" t="n">
        <f aca="false">COUNTIF('NSFAS Student Tracking'!$Z$5:$Z$44,"Medium Risk")</f>
        <v>1</v>
      </c>
    </row>
    <row r="28" customFormat="false" ht="15" hidden="false" customHeight="true" outlineLevel="0" collapsed="false">
      <c r="A28" s="52" t="s">
        <v>4641</v>
      </c>
      <c r="B28" s="232" t="n">
        <f aca="false">COUNTIF('NSFAS Student Tracking'!$Z$5:$Z$44,"High Risk")</f>
        <v>7</v>
      </c>
    </row>
    <row r="29" customFormat="false" ht="15" hidden="false" customHeight="true" outlineLevel="0" collapsed="false">
      <c r="A29" s="52" t="s">
        <v>4642</v>
      </c>
      <c r="B29" s="232" t="n">
        <f aca="false">COUNTIF('NSFAS Student Tracking'!$Z$5:$Z$44,"Critical — Funding Discontinued")</f>
        <v>3</v>
      </c>
    </row>
    <row r="31" customFormat="false" ht="19.5" hidden="false" customHeight="true" outlineLevel="0" collapsed="false">
      <c r="A31" s="239" t="s">
        <v>4643</v>
      </c>
      <c r="B31" s="239"/>
      <c r="C31" s="239"/>
      <c r="D31" s="239"/>
    </row>
    <row r="32" customFormat="false" ht="24" hidden="false" customHeight="true" outlineLevel="0" collapsed="false">
      <c r="A32" s="230" t="s">
        <v>4644</v>
      </c>
      <c r="B32" s="230" t="s">
        <v>4634</v>
      </c>
      <c r="C32" s="230" t="s">
        <v>4645</v>
      </c>
      <c r="D32" s="230" t="s">
        <v>3343</v>
      </c>
    </row>
    <row r="33" customFormat="false" ht="15" hidden="false" customHeight="true" outlineLevel="0" collapsed="false">
      <c r="A33" s="52" t="s">
        <v>4646</v>
      </c>
      <c r="B33" s="232" t="n">
        <f aca="false">COUNTIF('NSFAS Student Tracking'!$H$5:$H$44,"Yes")</f>
        <v>8</v>
      </c>
      <c r="C33" s="232" t="n">
        <f aca="false">SUMIF('NSFAS Student Tracking'!$H$5:$H$44,"Yes",'NSFAS Student Tracking'!$O$5:$O$44)</f>
        <v>480000</v>
      </c>
      <c r="D33" s="232" t="n">
        <f aca="false">IFERROR(AVERAGEIF('NSFAS Student Tracking'!$H$5:$H$44,"Yes",'NSFAS Student Tracking'!$S$5:$S$44),"")</f>
        <v>3.25375</v>
      </c>
    </row>
    <row r="34" customFormat="false" ht="15" hidden="false" customHeight="true" outlineLevel="0" collapsed="false">
      <c r="A34" s="52" t="s">
        <v>4647</v>
      </c>
      <c r="B34" s="232" t="n">
        <f aca="false">COUNTIF('NSFAS Student Tracking'!$H$5:$H$44,"No")</f>
        <v>32</v>
      </c>
      <c r="C34" s="232" t="n">
        <f aca="false">SUMIF('NSFAS Student Tracking'!$H$5:$H$44,"No",'NSFAS Student Tracking'!$O$5:$O$44)</f>
        <v>0</v>
      </c>
      <c r="D34" s="232" t="n">
        <f aca="false">IFERROR(AVERAGEIF('NSFAS Student Tracking'!$H$5:$H$44,"No",'NSFAS Student Tracking'!$S$5:$S$44),"")</f>
        <v>3.036875</v>
      </c>
    </row>
    <row r="36" customFormat="false" ht="19.5" hidden="false" customHeight="true" outlineLevel="0" collapsed="false">
      <c r="A36" s="239" t="s">
        <v>4648</v>
      </c>
      <c r="B36" s="239"/>
    </row>
    <row r="37" customFormat="false" ht="24" hidden="false" customHeight="true" outlineLevel="0" collapsed="false">
      <c r="A37" s="230" t="s">
        <v>4649</v>
      </c>
      <c r="B37" s="230" t="s">
        <v>4650</v>
      </c>
    </row>
    <row r="38" customFormat="false" ht="15" hidden="false" customHeight="true" outlineLevel="0" collapsed="false">
      <c r="A38" s="52" t="s">
        <v>4651</v>
      </c>
      <c r="B38" s="232" t="n">
        <f aca="false">SUM('NSFAS Student Tracking'!$J$5:$J$44)</f>
        <v>6160000</v>
      </c>
    </row>
    <row r="39" customFormat="false" ht="15" hidden="false" customHeight="true" outlineLevel="0" collapsed="false">
      <c r="A39" s="52" t="s">
        <v>4652</v>
      </c>
      <c r="B39" s="232" t="n">
        <f aca="false">SUM('NSFAS Student Tracking'!$K$5:$K$44)</f>
        <v>2600000</v>
      </c>
    </row>
    <row r="40" customFormat="false" ht="15" hidden="false" customHeight="true" outlineLevel="0" collapsed="false">
      <c r="A40" s="52" t="s">
        <v>4653</v>
      </c>
      <c r="B40" s="232" t="n">
        <f aca="false">SUM('NSFAS Student Tracking'!$L$5:$L$44)</f>
        <v>400000</v>
      </c>
    </row>
    <row r="41" customFormat="false" ht="15" hidden="false" customHeight="true" outlineLevel="0" collapsed="false">
      <c r="A41" s="52" t="s">
        <v>4654</v>
      </c>
      <c r="B41" s="232" t="n">
        <f aca="false">SUM('NSFAS Student Tracking'!$M$5:$M$44)</f>
        <v>1880000</v>
      </c>
    </row>
    <row r="42" customFormat="false" ht="15" hidden="false" customHeight="true" outlineLevel="0" collapsed="false">
      <c r="A42" s="52" t="s">
        <v>4655</v>
      </c>
      <c r="B42" s="232" t="n">
        <f aca="false">SUM('NSFAS Student Tracking'!$N$5:$N$44)</f>
        <v>612000</v>
      </c>
    </row>
    <row r="43" customFormat="false" ht="15" hidden="false" customHeight="true" outlineLevel="0" collapsed="false">
      <c r="A43" s="52" t="s">
        <v>4656</v>
      </c>
      <c r="B43" s="232" t="n">
        <f aca="false">SUM('NSFAS Student Tracking'!$O$5:$O$44)</f>
        <v>480000</v>
      </c>
    </row>
    <row r="45" customFormat="false" ht="19.5" hidden="false" customHeight="true" outlineLevel="0" collapsed="false">
      <c r="A45" s="239" t="s">
        <v>4657</v>
      </c>
      <c r="B45" s="239"/>
      <c r="C45" s="239"/>
      <c r="D45" s="239"/>
    </row>
    <row r="46" customFormat="false" ht="24" hidden="false" customHeight="true" outlineLevel="0" collapsed="false">
      <c r="A46" s="230" t="s">
        <v>2444</v>
      </c>
      <c r="B46" s="230" t="s">
        <v>4634</v>
      </c>
      <c r="C46" s="230" t="s">
        <v>3343</v>
      </c>
      <c r="D46" s="230" t="s">
        <v>4635</v>
      </c>
    </row>
    <row r="47" customFormat="false" ht="15" hidden="false" customHeight="true" outlineLevel="0" collapsed="false">
      <c r="A47" s="52" t="s">
        <v>204</v>
      </c>
      <c r="B47" s="232" t="n">
        <f aca="false">COUNTIF('NSFAS Student Tracking'!$D$5:$D$44,"School of Arts")</f>
        <v>2</v>
      </c>
      <c r="C47" s="232" t="n">
        <f aca="false">IFERROR(AVERAGEIF('NSFAS Student Tracking'!$D$5:$D$44,"School of Arts",'NSFAS Student Tracking'!$S$5:$S$44),"")</f>
        <v>2.675</v>
      </c>
      <c r="D47" s="232" t="n">
        <f aca="false">SUMIF('NSFAS Student Tracking'!$D$5:$D$44,"School of Arts",'NSFAS Student Tracking'!$P$5:$P$44)</f>
        <v>420000</v>
      </c>
    </row>
    <row r="48" customFormat="false" ht="15" hidden="false" customHeight="true" outlineLevel="0" collapsed="false">
      <c r="A48" s="52" t="s">
        <v>73</v>
      </c>
      <c r="B48" s="232" t="n">
        <f aca="false">COUNTIF('NSFAS Student Tracking'!$D$5:$D$44,"School of Business")</f>
        <v>7</v>
      </c>
      <c r="C48" s="232" t="n">
        <f aca="false">IFERROR(AVERAGEIF('NSFAS Student Tracking'!$D$5:$D$44,"School of Business",'NSFAS Student Tracking'!$S$5:$S$44),"")</f>
        <v>2.69</v>
      </c>
      <c r="D48" s="232" t="n">
        <f aca="false">SUMIF('NSFAS Student Tracking'!$D$5:$D$44,"School of Business",'NSFAS Student Tracking'!$P$5:$P$44)</f>
        <v>2011500</v>
      </c>
    </row>
    <row r="49" customFormat="false" ht="15" hidden="false" customHeight="true" outlineLevel="0" collapsed="false">
      <c r="A49" s="52" t="s">
        <v>48</v>
      </c>
      <c r="B49" s="232" t="n">
        <f aca="false">COUNTIF('NSFAS Student Tracking'!$D$5:$D$44,"School of Computing")</f>
        <v>6</v>
      </c>
      <c r="C49" s="232" t="n">
        <f aca="false">IFERROR(AVERAGEIF('NSFAS Student Tracking'!$D$5:$D$44,"School of Computing",'NSFAS Student Tracking'!$S$5:$S$44),"")</f>
        <v>3.22</v>
      </c>
      <c r="D49" s="232" t="n">
        <f aca="false">SUMIF('NSFAS Student Tracking'!$D$5:$D$44,"School of Computing",'NSFAS Student Tracking'!$P$5:$P$44)</f>
        <v>1963000</v>
      </c>
    </row>
    <row r="50" customFormat="false" ht="15" hidden="false" customHeight="true" outlineLevel="0" collapsed="false">
      <c r="A50" s="52" t="s">
        <v>134</v>
      </c>
      <c r="B50" s="232" t="n">
        <f aca="false">COUNTIF('NSFAS Student Tracking'!$D$5:$D$44,"School of Education")</f>
        <v>3</v>
      </c>
      <c r="C50" s="232" t="n">
        <f aca="false">IFERROR(AVERAGEIF('NSFAS Student Tracking'!$D$5:$D$44,"School of Education",'NSFAS Student Tracking'!$S$5:$S$44),"")</f>
        <v>3.20666666666667</v>
      </c>
      <c r="D50" s="232" t="n">
        <f aca="false">SUMIF('NSFAS Student Tracking'!$D$5:$D$44,"School of Education",'NSFAS Student Tracking'!$P$5:$P$44)</f>
        <v>880000</v>
      </c>
    </row>
    <row r="51" customFormat="false" ht="15" hidden="false" customHeight="true" outlineLevel="0" collapsed="false">
      <c r="A51" s="52" t="s">
        <v>85</v>
      </c>
      <c r="B51" s="232" t="n">
        <f aca="false">COUNTIF('NSFAS Student Tracking'!$D$5:$D$44,"School of Engineering")</f>
        <v>3</v>
      </c>
      <c r="C51" s="232" t="n">
        <f aca="false">IFERROR(AVERAGEIF('NSFAS Student Tracking'!$D$5:$D$44,"School of Engineering",'NSFAS Student Tracking'!$S$5:$S$44),"")</f>
        <v>3.46666666666667</v>
      </c>
      <c r="D51" s="232" t="n">
        <f aca="false">SUMIF('NSFAS Student Tracking'!$D$5:$D$44,"School of Engineering",'NSFAS Student Tracking'!$P$5:$P$44)</f>
        <v>1091500</v>
      </c>
    </row>
    <row r="52" customFormat="false" ht="15" hidden="false" customHeight="true" outlineLevel="0" collapsed="false">
      <c r="A52" s="52" t="s">
        <v>102</v>
      </c>
      <c r="B52" s="232" t="n">
        <f aca="false">COUNTIF('NSFAS Student Tracking'!$D$5:$D$44,"School of Health Sciences")</f>
        <v>6</v>
      </c>
      <c r="C52" s="232" t="n">
        <f aca="false">IFERROR(AVERAGEIF('NSFAS Student Tracking'!$D$5:$D$44,"School of Health Sciences",'NSFAS Student Tracking'!$S$5:$S$44),"")</f>
        <v>3.45833333333333</v>
      </c>
      <c r="D52" s="232" t="n">
        <f aca="false">SUMIF('NSFAS Student Tracking'!$D$5:$D$44,"School of Health Sciences",'NSFAS Student Tracking'!$P$5:$P$44)</f>
        <v>2094500</v>
      </c>
    </row>
    <row r="53" customFormat="false" ht="15" hidden="false" customHeight="true" outlineLevel="0" collapsed="false">
      <c r="A53" s="52" t="s">
        <v>149</v>
      </c>
      <c r="B53" s="232" t="n">
        <f aca="false">COUNTIF('NSFAS Student Tracking'!$D$5:$D$44,"School of Law")</f>
        <v>2</v>
      </c>
      <c r="C53" s="232" t="n">
        <f aca="false">IFERROR(AVERAGEIF('NSFAS Student Tracking'!$D$5:$D$44,"School of Law",'NSFAS Student Tracking'!$S$5:$S$44),"")</f>
        <v>3.205</v>
      </c>
      <c r="D53" s="232" t="n">
        <f aca="false">SUMIF('NSFAS Student Tracking'!$D$5:$D$44,"School of Law",'NSFAS Student Tracking'!$P$5:$P$44)</f>
        <v>550000</v>
      </c>
    </row>
    <row r="54" customFormat="false" ht="15" hidden="false" customHeight="true" outlineLevel="0" collapsed="false">
      <c r="A54" s="52" t="s">
        <v>117</v>
      </c>
      <c r="B54" s="232" t="n">
        <f aca="false">COUNTIF('NSFAS Student Tracking'!$D$5:$D$44,"School of Science")</f>
        <v>7</v>
      </c>
      <c r="C54" s="232" t="n">
        <f aca="false">IFERROR(AVERAGEIF('NSFAS Student Tracking'!$D$5:$D$44,"School of Science",'NSFAS Student Tracking'!$S$5:$S$44),"")</f>
        <v>2.89714285714286</v>
      </c>
      <c r="D54" s="232" t="n">
        <f aca="false">SUMIF('NSFAS Student Tracking'!$D$5:$D$44,"School of Science",'NSFAS Student Tracking'!$P$5:$P$44)</f>
        <v>2070000</v>
      </c>
    </row>
    <row r="55" customFormat="false" ht="15" hidden="false" customHeight="true" outlineLevel="0" collapsed="false">
      <c r="A55" s="52" t="s">
        <v>187</v>
      </c>
      <c r="B55" s="232" t="n">
        <f aca="false">COUNTIF('NSFAS Student Tracking'!$D$5:$D$44,"School of Social Sciences")</f>
        <v>4</v>
      </c>
      <c r="C55" s="232" t="n">
        <f aca="false">IFERROR(AVERAGEIF('NSFAS Student Tracking'!$D$5:$D$44,"School of Social Sciences",'NSFAS Student Tracking'!$S$5:$S$44),"")</f>
        <v>3.0625</v>
      </c>
      <c r="D55" s="232" t="n">
        <f aca="false">SUMIF('NSFAS Student Tracking'!$D$5:$D$44,"School of Social Sciences",'NSFAS Student Tracking'!$P$5:$P$44)</f>
        <v>1051500</v>
      </c>
    </row>
    <row r="57" customFormat="false" ht="19.5" hidden="false" customHeight="true" outlineLevel="0" collapsed="false">
      <c r="A57" s="239" t="s">
        <v>4658</v>
      </c>
      <c r="B57" s="239"/>
      <c r="C57" s="239"/>
      <c r="D57" s="239"/>
    </row>
    <row r="58" customFormat="false" ht="24" hidden="false" customHeight="true" outlineLevel="0" collapsed="false">
      <c r="A58" s="230" t="s">
        <v>4659</v>
      </c>
      <c r="B58" s="230" t="s">
        <v>4634</v>
      </c>
      <c r="C58" s="230" t="s">
        <v>4660</v>
      </c>
      <c r="D58" s="230" t="s">
        <v>4635</v>
      </c>
    </row>
    <row r="59" customFormat="false" ht="15" hidden="false" customHeight="true" outlineLevel="0" collapsed="false">
      <c r="A59" s="52" t="s">
        <v>4592</v>
      </c>
      <c r="B59" s="232" t="n">
        <f aca="false">COUNTIF('NSFAS Student Tracking'!$AB$5:$AB$44,"Gauteng")</f>
        <v>12</v>
      </c>
      <c r="C59" s="245" t="n">
        <f aca="false">IFERROR(ROUND(COUNTIF('NSFAS Student Tracking'!$AB$5:$AB$44,"Gauteng")/40,3),0)</f>
        <v>0.3</v>
      </c>
      <c r="D59" s="232" t="n">
        <f aca="false">SUMIF('NSFAS Student Tracking'!$AB$5:$AB$44,"Gauteng",'NSFAS Student Tracking'!$P$5:$P$44)</f>
        <v>4003000</v>
      </c>
    </row>
    <row r="60" customFormat="false" ht="15" hidden="false" customHeight="true" outlineLevel="0" collapsed="false">
      <c r="A60" s="52" t="s">
        <v>4605</v>
      </c>
      <c r="B60" s="232" t="n">
        <f aca="false">COUNTIF('NSFAS Student Tracking'!$AB$5:$AB$44,"KwaZulu-Natal")</f>
        <v>7</v>
      </c>
      <c r="C60" s="245" t="n">
        <f aca="false">IFERROR(ROUND(COUNTIF('NSFAS Student Tracking'!$AB$5:$AB$44,"KwaZulu-Natal")/40,3),0)</f>
        <v>0.175</v>
      </c>
      <c r="D60" s="232" t="n">
        <f aca="false">SUMIF('NSFAS Student Tracking'!$AB$5:$AB$44,"KwaZulu-Natal",'NSFAS Student Tracking'!$P$5:$P$44)</f>
        <v>2031500</v>
      </c>
    </row>
    <row r="61" customFormat="false" ht="15" hidden="false" customHeight="true" outlineLevel="0" collapsed="false">
      <c r="A61" s="52" t="s">
        <v>4602</v>
      </c>
      <c r="B61" s="232" t="n">
        <f aca="false">COUNTIF('NSFAS Student Tracking'!$AB$5:$AB$44,"Western Cape")</f>
        <v>5</v>
      </c>
      <c r="C61" s="245" t="n">
        <f aca="false">IFERROR(ROUND(COUNTIF('NSFAS Student Tracking'!$AB$5:$AB$44,"Western Cape")/40,3),0)</f>
        <v>0.125</v>
      </c>
      <c r="D61" s="232" t="n">
        <f aca="false">SUMIF('NSFAS Student Tracking'!$AB$5:$AB$44,"Western Cape",'NSFAS Student Tracking'!$P$5:$P$44)</f>
        <v>1703000</v>
      </c>
    </row>
    <row r="62" customFormat="false" ht="15" hidden="false" customHeight="true" outlineLevel="0" collapsed="false">
      <c r="A62" s="52" t="s">
        <v>4598</v>
      </c>
      <c r="B62" s="232" t="n">
        <f aca="false">COUNTIF('NSFAS Student Tracking'!$AB$5:$AB$44,"Eastern Cape")</f>
        <v>5</v>
      </c>
      <c r="C62" s="245" t="n">
        <f aca="false">IFERROR(ROUND(COUNTIF('NSFAS Student Tracking'!$AB$5:$AB$44,"Eastern Cape")/40,3),0)</f>
        <v>0.125</v>
      </c>
      <c r="D62" s="232" t="n">
        <f aca="false">SUMIF('NSFAS Student Tracking'!$AB$5:$AB$44,"Eastern Cape",'NSFAS Student Tracking'!$P$5:$P$44)</f>
        <v>1170000</v>
      </c>
    </row>
    <row r="63" customFormat="false" ht="15" hidden="false" customHeight="true" outlineLevel="0" collapsed="false">
      <c r="A63" s="52" t="s">
        <v>4601</v>
      </c>
      <c r="B63" s="232" t="n">
        <f aca="false">COUNTIF('NSFAS Student Tracking'!$AB$5:$AB$44,"Limpopo")</f>
        <v>4</v>
      </c>
      <c r="C63" s="245" t="n">
        <f aca="false">IFERROR(ROUND(COUNTIF('NSFAS Student Tracking'!$AB$5:$AB$44,"Limpopo")/40,3),0)</f>
        <v>0.1</v>
      </c>
      <c r="D63" s="232" t="n">
        <f aca="false">SUMIF('NSFAS Student Tracking'!$AB$5:$AB$44,"Limpopo",'NSFAS Student Tracking'!$P$5:$P$44)</f>
        <v>1153000</v>
      </c>
    </row>
    <row r="64" customFormat="false" ht="15" hidden="false" customHeight="true" outlineLevel="0" collapsed="false">
      <c r="A64" s="52" t="s">
        <v>4606</v>
      </c>
      <c r="B64" s="232" t="n">
        <f aca="false">COUNTIF('NSFAS Student Tracking'!$AB$5:$AB$44,"Free State")</f>
        <v>2</v>
      </c>
      <c r="C64" s="245" t="n">
        <f aca="false">IFERROR(ROUND(COUNTIF('NSFAS Student Tracking'!$AB$5:$AB$44,"Free State")/40,3),0)</f>
        <v>0.05</v>
      </c>
      <c r="D64" s="232" t="n">
        <f aca="false">SUMIF('NSFAS Student Tracking'!$AB$5:$AB$44,"Free State",'NSFAS Student Tracking'!$P$5:$P$44)</f>
        <v>511500</v>
      </c>
    </row>
    <row r="65" customFormat="false" ht="15" hidden="false" customHeight="true" outlineLevel="0" collapsed="false">
      <c r="A65" s="52" t="s">
        <v>4597</v>
      </c>
      <c r="B65" s="232" t="n">
        <f aca="false">COUNTIF('NSFAS Student Tracking'!$AB$5:$AB$44,"Mpumalanga")</f>
        <v>2</v>
      </c>
      <c r="C65" s="245" t="n">
        <f aca="false">IFERROR(ROUND(COUNTIF('NSFAS Student Tracking'!$AB$5:$AB$44,"Mpumalanga")/40,3),0)</f>
        <v>0.05</v>
      </c>
      <c r="D65" s="232" t="n">
        <f aca="false">SUMIF('NSFAS Student Tracking'!$AB$5:$AB$44,"Mpumalanga",'NSFAS Student Tracking'!$P$5:$P$44)</f>
        <v>560000</v>
      </c>
    </row>
    <row r="66" customFormat="false" ht="15" hidden="false" customHeight="true" outlineLevel="0" collapsed="false">
      <c r="A66" s="52" t="s">
        <v>4608</v>
      </c>
      <c r="B66" s="232" t="n">
        <f aca="false">COUNTIF('NSFAS Student Tracking'!$AB$5:$AB$44,"North West")</f>
        <v>2</v>
      </c>
      <c r="C66" s="245" t="n">
        <f aca="false">IFERROR(ROUND(COUNTIF('NSFAS Student Tracking'!$AB$5:$AB$44,"North West")/40,3),0)</f>
        <v>0.05</v>
      </c>
      <c r="D66" s="232" t="n">
        <f aca="false">SUMIF('NSFAS Student Tracking'!$AB$5:$AB$44,"North West",'NSFAS Student Tracking'!$P$5:$P$44)</f>
        <v>660000</v>
      </c>
    </row>
    <row r="67" customFormat="false" ht="15" hidden="false" customHeight="true" outlineLevel="0" collapsed="false">
      <c r="A67" s="52" t="s">
        <v>4609</v>
      </c>
      <c r="B67" s="232" t="n">
        <f aca="false">COUNTIF('NSFAS Student Tracking'!$AB$5:$AB$44,"Northern Cape")</f>
        <v>1</v>
      </c>
      <c r="C67" s="245" t="n">
        <f aca="false">IFERROR(ROUND(COUNTIF('NSFAS Student Tracking'!$AB$5:$AB$44,"Northern Cape")/40,3),0)</f>
        <v>0.025</v>
      </c>
      <c r="D67" s="232" t="n">
        <f aca="false">SUMIF('NSFAS Student Tracking'!$AB$5:$AB$44,"Northern Cape",'NSFAS Student Tracking'!$P$5:$P$44)</f>
        <v>340000</v>
      </c>
    </row>
    <row r="69" customFormat="false" ht="19.5" hidden="false" customHeight="true" outlineLevel="0" collapsed="false">
      <c r="A69" s="239" t="s">
        <v>4661</v>
      </c>
      <c r="B69" s="239"/>
      <c r="C69" s="239"/>
    </row>
    <row r="70" customFormat="false" ht="24" hidden="false" customHeight="true" outlineLevel="0" collapsed="false">
      <c r="A70" s="230" t="s">
        <v>4662</v>
      </c>
      <c r="B70" s="230" t="s">
        <v>4634</v>
      </c>
      <c r="C70" s="230" t="s">
        <v>4553</v>
      </c>
    </row>
    <row r="71" customFormat="false" ht="15" hidden="false" customHeight="true" outlineLevel="0" collapsed="false">
      <c r="A71" s="52" t="s">
        <v>54</v>
      </c>
      <c r="B71" s="232" t="n">
        <f aca="false">40-(COUNTIF('NSFAS Student Tracking'!$C$5:$C$44,"*Coursework*")+(COUNTIF('NSFAS Student Tracking'!$C$5:$C$44,"*Research")-COUNTIF('NSFAS Student Tracking'!$C$5:$C$44,"PhD*"))+COUNTIF('NSFAS Student Tracking'!$C$5:$C$44,"PhD*"))</f>
        <v>32</v>
      </c>
      <c r="C71" s="231" t="s">
        <v>4663</v>
      </c>
    </row>
    <row r="72" customFormat="false" ht="15" hidden="false" customHeight="true" outlineLevel="0" collapsed="false">
      <c r="A72" s="52" t="s">
        <v>4664</v>
      </c>
      <c r="B72" s="232" t="n">
        <f aca="false">COUNTIF('NSFAS Student Tracking'!$C$5:$C$44,"*Coursework*")</f>
        <v>4</v>
      </c>
      <c r="C72" s="231" t="s">
        <v>4665</v>
      </c>
    </row>
    <row r="73" customFormat="false" ht="15" hidden="false" customHeight="true" outlineLevel="0" collapsed="false">
      <c r="A73" s="52" t="s">
        <v>4666</v>
      </c>
      <c r="B73" s="232" t="n">
        <f aca="false">(COUNTIF('NSFAS Student Tracking'!$C$5:$C$44,"*Research")-COUNTIF('NSFAS Student Tracking'!$C$5:$C$44,"PhD*"))</f>
        <v>2</v>
      </c>
      <c r="C73" s="231" t="s">
        <v>4667</v>
      </c>
    </row>
    <row r="74" customFormat="false" ht="15" hidden="false" customHeight="true" outlineLevel="0" collapsed="false">
      <c r="A74" s="52" t="s">
        <v>4668</v>
      </c>
      <c r="B74" s="232" t="n">
        <f aca="false">COUNTIF('NSFAS Student Tracking'!$C$5:$C$44,"PhD*")</f>
        <v>2</v>
      </c>
      <c r="C74" s="231" t="s">
        <v>430</v>
      </c>
    </row>
    <row r="76" customFormat="false" ht="19.5" hidden="false" customHeight="true" outlineLevel="0" collapsed="false">
      <c r="A76" s="239" t="s">
        <v>4669</v>
      </c>
      <c r="B76" s="239"/>
      <c r="C76" s="239"/>
      <c r="D76" s="239"/>
      <c r="E76" s="239"/>
      <c r="F76" s="239"/>
      <c r="G76" s="239"/>
      <c r="H76" s="239"/>
      <c r="I76" s="239"/>
      <c r="J76" s="239"/>
      <c r="K76" s="239"/>
      <c r="L76" s="239"/>
      <c r="M76" s="239"/>
    </row>
    <row r="77" customFormat="false" ht="25.5" hidden="false" customHeight="true" outlineLevel="0" collapsed="false">
      <c r="A77" s="230" t="s">
        <v>2441</v>
      </c>
      <c r="B77" s="230" t="s">
        <v>3351</v>
      </c>
      <c r="C77" s="230" t="s">
        <v>2443</v>
      </c>
      <c r="D77" s="230" t="s">
        <v>3665</v>
      </c>
      <c r="E77" s="230" t="s">
        <v>4570</v>
      </c>
      <c r="F77" s="230" t="s">
        <v>4670</v>
      </c>
      <c r="G77" s="230" t="s">
        <v>4671</v>
      </c>
      <c r="H77" s="230" t="s">
        <v>4672</v>
      </c>
      <c r="I77" s="230" t="s">
        <v>3338</v>
      </c>
      <c r="J77" s="230" t="s">
        <v>4673</v>
      </c>
      <c r="K77" s="230" t="s">
        <v>22</v>
      </c>
      <c r="L77" s="230" t="s">
        <v>4586</v>
      </c>
      <c r="M77" s="230" t="s">
        <v>4674</v>
      </c>
    </row>
    <row r="78" customFormat="false" ht="15" hidden="false" customHeight="true" outlineLevel="0" collapsed="false">
      <c r="A78" s="52" t="str">
        <f aca="false">'NSFAS Student Tracking'!$A$5</f>
        <v>TU-2024-0042</v>
      </c>
      <c r="B78" s="52" t="str">
        <f aca="false">'NSFAS Student Tracking'!$B$5</f>
        <v>Alice Mumbi</v>
      </c>
      <c r="C78" s="231" t="str">
        <f aca="false">'NSFAS Student Tracking'!$C$5</f>
        <v>BSc</v>
      </c>
      <c r="D78" s="231" t="str">
        <f aca="false">'NSFAS Student Tracking'!$E$5</f>
        <v>Year 2</v>
      </c>
      <c r="E78" s="231" t="str">
        <f aca="false">'NSFAS Student Tracking'!$F$5</f>
        <v>Fully Funded</v>
      </c>
      <c r="F78" s="232" t="n">
        <f aca="false">'NSFAS Student Tracking'!$P$5</f>
        <v>340000</v>
      </c>
      <c r="G78" s="232" t="n">
        <f aca="false">'NSFAS Student Tracking'!$Q$5</f>
        <v>340000</v>
      </c>
      <c r="H78" s="232" t="n">
        <f aca="false">'NSFAS Student Tracking'!$R$5</f>
        <v>0</v>
      </c>
      <c r="I78" s="233" t="n">
        <f aca="false">'NSFAS Student Tracking'!$S$5</f>
        <v>3.62</v>
      </c>
      <c r="J78" s="231" t="n">
        <f aca="false">'NSFAS Student Tracking'!$U$5</f>
        <v>87</v>
      </c>
      <c r="K78" s="231" t="str">
        <f aca="false">'NSFAS Student Tracking'!$V$5</f>
        <v>Good Standing</v>
      </c>
      <c r="L78" s="231" t="str">
        <f aca="false">'NSFAS Student Tracking'!$Z$5</f>
        <v>Low Risk</v>
      </c>
      <c r="M78" s="231" t="str">
        <f aca="false">'NSFAS Student Tracking'!$AB$5</f>
        <v>Gauteng</v>
      </c>
    </row>
    <row r="79" customFormat="false" ht="15" hidden="false" customHeight="true" outlineLevel="0" collapsed="false">
      <c r="A79" s="52" t="str">
        <f aca="false">'NSFAS Student Tracking'!$A$6</f>
        <v>TU-2023-0043</v>
      </c>
      <c r="B79" s="52" t="str">
        <f aca="false">'NSFAS Student Tracking'!$B$6</f>
        <v>Brian Kiptoo</v>
      </c>
      <c r="C79" s="231" t="str">
        <f aca="false">'NSFAS Student Tracking'!$C$6</f>
        <v>BA</v>
      </c>
      <c r="D79" s="231" t="str">
        <f aca="false">'NSFAS Student Tracking'!$E$6</f>
        <v>Year 3</v>
      </c>
      <c r="E79" s="231" t="str">
        <f aca="false">'NSFAS Student Tracking'!$F$6</f>
        <v>Provisionally Funded</v>
      </c>
      <c r="F79" s="232" t="n">
        <f aca="false">'NSFAS Student Tracking'!$P$6</f>
        <v>210000</v>
      </c>
      <c r="G79" s="232" t="n">
        <f aca="false">'NSFAS Student Tracking'!$Q$6</f>
        <v>145000</v>
      </c>
      <c r="H79" s="232" t="n">
        <f aca="false">'NSFAS Student Tracking'!$R$6</f>
        <v>65000</v>
      </c>
      <c r="I79" s="233" t="n">
        <f aca="false">'NSFAS Student Tracking'!$S$6</f>
        <v>2.35</v>
      </c>
      <c r="J79" s="231" t="n">
        <f aca="false">'NSFAS Student Tracking'!$U$6</f>
        <v>68</v>
      </c>
      <c r="K79" s="231" t="str">
        <f aca="false">'NSFAS Student Tracking'!$V$6</f>
        <v>Probation</v>
      </c>
      <c r="L79" s="231" t="str">
        <f aca="false">'NSFAS Student Tracking'!$Z$6</f>
        <v>High Risk</v>
      </c>
      <c r="M79" s="231" t="str">
        <f aca="false">'NSFAS Student Tracking'!$AB$6</f>
        <v>Gauteng</v>
      </c>
    </row>
    <row r="80" customFormat="false" ht="15" hidden="false" customHeight="true" outlineLevel="0" collapsed="false">
      <c r="A80" s="52" t="str">
        <f aca="false">'NSFAS Student Tracking'!$A$7</f>
        <v>TU-2025-0044</v>
      </c>
      <c r="B80" s="52" t="str">
        <f aca="false">'NSFAS Student Tracking'!$B$7</f>
        <v>Catherine Wafula</v>
      </c>
      <c r="C80" s="231" t="str">
        <f aca="false">'NSFAS Student Tracking'!$C$7</f>
        <v>BSc</v>
      </c>
      <c r="D80" s="231" t="str">
        <f aca="false">'NSFAS Student Tracking'!$E$7</f>
        <v>Year 1</v>
      </c>
      <c r="E80" s="231" t="str">
        <f aca="false">'NSFAS Student Tracking'!$F$7</f>
        <v>Fully Funded</v>
      </c>
      <c r="F80" s="232" t="n">
        <f aca="false">'NSFAS Student Tracking'!$P$7</f>
        <v>411500</v>
      </c>
      <c r="G80" s="232" t="n">
        <f aca="false">'NSFAS Student Tracking'!$Q$7</f>
        <v>411500</v>
      </c>
      <c r="H80" s="232" t="n">
        <f aca="false">'NSFAS Student Tracking'!$R$7</f>
        <v>0</v>
      </c>
      <c r="I80" s="233" t="n">
        <f aca="false">'NSFAS Student Tracking'!$S$7</f>
        <v>3.15</v>
      </c>
      <c r="J80" s="231" t="n">
        <f aca="false">'NSFAS Student Tracking'!$U$7</f>
        <v>76</v>
      </c>
      <c r="K80" s="231" t="str">
        <f aca="false">'NSFAS Student Tracking'!$V$7</f>
        <v>Good Standing</v>
      </c>
      <c r="L80" s="231" t="str">
        <f aca="false">'NSFAS Student Tracking'!$Z$7</f>
        <v>Low Risk</v>
      </c>
      <c r="M80" s="231" t="str">
        <f aca="false">'NSFAS Student Tracking'!$AB$7</f>
        <v>Gauteng</v>
      </c>
    </row>
    <row r="81" customFormat="false" ht="15" hidden="false" customHeight="true" outlineLevel="0" collapsed="false">
      <c r="A81" s="52" t="str">
        <f aca="false">'NSFAS Student Tracking'!$A$8</f>
        <v>TU-2022-0045</v>
      </c>
      <c r="B81" s="52" t="str">
        <f aca="false">'NSFAS Student Tracking'!$B$8</f>
        <v>Daniel Kiprono</v>
      </c>
      <c r="C81" s="231" t="str">
        <f aca="false">'NSFAS Student Tracking'!$C$8</f>
        <v>LLB</v>
      </c>
      <c r="D81" s="231" t="str">
        <f aca="false">'NSFAS Student Tracking'!$E$8</f>
        <v>Year 4</v>
      </c>
      <c r="E81" s="231" t="str">
        <f aca="false">'NSFAS Student Tracking'!$F$8</f>
        <v>Fully Funded</v>
      </c>
      <c r="F81" s="232" t="n">
        <f aca="false">'NSFAS Student Tracking'!$P$8</f>
        <v>220000</v>
      </c>
      <c r="G81" s="232" t="n">
        <f aca="false">'NSFAS Student Tracking'!$Q$8</f>
        <v>220000</v>
      </c>
      <c r="H81" s="232" t="n">
        <f aca="false">'NSFAS Student Tracking'!$R$8</f>
        <v>0</v>
      </c>
      <c r="I81" s="233" t="n">
        <f aca="false">'NSFAS Student Tracking'!$S$8</f>
        <v>3.81</v>
      </c>
      <c r="J81" s="231" t="n">
        <f aca="false">'NSFAS Student Tracking'!$U$8</f>
        <v>94</v>
      </c>
      <c r="K81" s="231" t="str">
        <f aca="false">'NSFAS Student Tracking'!$V$8</f>
        <v>Good Standing</v>
      </c>
      <c r="L81" s="231" t="str">
        <f aca="false">'NSFAS Student Tracking'!$Z$8</f>
        <v>Low Risk</v>
      </c>
      <c r="M81" s="231" t="str">
        <f aca="false">'NSFAS Student Tracking'!$AB$8</f>
        <v>Mpumalanga</v>
      </c>
    </row>
    <row r="82" customFormat="false" ht="15" hidden="false" customHeight="true" outlineLevel="0" collapsed="false">
      <c r="A82" s="52" t="str">
        <f aca="false">'NSFAS Student Tracking'!$A$9</f>
        <v>TU-2024-0046</v>
      </c>
      <c r="B82" s="52" t="str">
        <f aca="false">'NSFAS Student Tracking'!$B$9</f>
        <v>Esther Nabwire</v>
      </c>
      <c r="C82" s="231" t="str">
        <f aca="false">'NSFAS Student Tracking'!$C$9</f>
        <v>BEd</v>
      </c>
      <c r="D82" s="231" t="str">
        <f aca="false">'NSFAS Student Tracking'!$E$9</f>
        <v>Year 2</v>
      </c>
      <c r="E82" s="231" t="str">
        <f aca="false">'NSFAS Student Tracking'!$F$9</f>
        <v>Fully Funded</v>
      </c>
      <c r="F82" s="232" t="n">
        <f aca="false">'NSFAS Student Tracking'!$P$9</f>
        <v>310000</v>
      </c>
      <c r="G82" s="232" t="n">
        <f aca="false">'NSFAS Student Tracking'!$Q$9</f>
        <v>310000</v>
      </c>
      <c r="H82" s="232" t="n">
        <f aca="false">'NSFAS Student Tracking'!$R$9</f>
        <v>0</v>
      </c>
      <c r="I82" s="233" t="n">
        <f aca="false">'NSFAS Student Tracking'!$S$9</f>
        <v>2.92</v>
      </c>
      <c r="J82" s="231" t="n">
        <f aca="false">'NSFAS Student Tracking'!$U$9</f>
        <v>80</v>
      </c>
      <c r="K82" s="231" t="str">
        <f aca="false">'NSFAS Student Tracking'!$V$9</f>
        <v>Good Standing</v>
      </c>
      <c r="L82" s="231" t="str">
        <f aca="false">'NSFAS Student Tracking'!$Z$9</f>
        <v>Low Risk</v>
      </c>
      <c r="M82" s="231" t="str">
        <f aca="false">'NSFAS Student Tracking'!$AB$9</f>
        <v>Eastern Cape</v>
      </c>
    </row>
    <row r="83" customFormat="false" ht="15" hidden="false" customHeight="true" outlineLevel="0" collapsed="false">
      <c r="A83" s="52" t="str">
        <f aca="false">'NSFAS Student Tracking'!$A$10</f>
        <v>TU-2022-0047</v>
      </c>
      <c r="B83" s="52" t="str">
        <f aca="false">'NSFAS Student Tracking'!$B$10</f>
        <v>Felix Wanyama</v>
      </c>
      <c r="C83" s="231" t="str">
        <f aca="false">'NSFAS Student Tracking'!$C$10</f>
        <v>BComm</v>
      </c>
      <c r="D83" s="231" t="str">
        <f aca="false">'NSFAS Student Tracking'!$E$10</f>
        <v>Year 4</v>
      </c>
      <c r="E83" s="231" t="str">
        <f aca="false">'NSFAS Student Tracking'!$F$10</f>
        <v>Funding Discontinued</v>
      </c>
      <c r="F83" s="232" t="n">
        <f aca="false">'NSFAS Student Tracking'!$P$10</f>
        <v>210000</v>
      </c>
      <c r="G83" s="232" t="n">
        <f aca="false">'NSFAS Student Tracking'!$Q$10</f>
        <v>84000</v>
      </c>
      <c r="H83" s="232" t="n">
        <f aca="false">'NSFAS Student Tracking'!$R$10</f>
        <v>50000</v>
      </c>
      <c r="I83" s="233" t="n">
        <f aca="false">'NSFAS Student Tracking'!$S$10</f>
        <v>1.95</v>
      </c>
      <c r="J83" s="231" t="n">
        <f aca="false">'NSFAS Student Tracking'!$U$10</f>
        <v>45</v>
      </c>
      <c r="K83" s="231" t="str">
        <f aca="false">'NSFAS Student Tracking'!$V$10</f>
        <v>Suspended</v>
      </c>
      <c r="L83" s="231" t="str">
        <f aca="false">'NSFAS Student Tracking'!$Z$10</f>
        <v>Critical — Funding Discontinued</v>
      </c>
      <c r="M83" s="231" t="str">
        <f aca="false">'NSFAS Student Tracking'!$AB$10</f>
        <v>Eastern Cape</v>
      </c>
    </row>
    <row r="84" customFormat="false" ht="15" hidden="false" customHeight="true" outlineLevel="0" collapsed="false">
      <c r="A84" s="52" t="str">
        <f aca="false">'NSFAS Student Tracking'!$A$11</f>
        <v>TU-2023-0048</v>
      </c>
      <c r="B84" s="52" t="str">
        <f aca="false">'NSFAS Student Tracking'!$B$11</f>
        <v>Grace Chepkoech</v>
      </c>
      <c r="C84" s="231" t="str">
        <f aca="false">'NSFAS Student Tracking'!$C$11</f>
        <v>BSc</v>
      </c>
      <c r="D84" s="231" t="str">
        <f aca="false">'NSFAS Student Tracking'!$E$11</f>
        <v>Year 3</v>
      </c>
      <c r="E84" s="231" t="str">
        <f aca="false">'NSFAS Student Tracking'!$F$11</f>
        <v>Fully Funded</v>
      </c>
      <c r="F84" s="232" t="n">
        <f aca="false">'NSFAS Student Tracking'!$P$11</f>
        <v>411500</v>
      </c>
      <c r="G84" s="232" t="n">
        <f aca="false">'NSFAS Student Tracking'!$Q$11</f>
        <v>411500</v>
      </c>
      <c r="H84" s="232" t="n">
        <f aca="false">'NSFAS Student Tracking'!$R$11</f>
        <v>0</v>
      </c>
      <c r="I84" s="233" t="n">
        <f aca="false">'NSFAS Student Tracking'!$S$11</f>
        <v>3.45</v>
      </c>
      <c r="J84" s="231" t="n">
        <f aca="false">'NSFAS Student Tracking'!$U$11</f>
        <v>91</v>
      </c>
      <c r="K84" s="231" t="str">
        <f aca="false">'NSFAS Student Tracking'!$V$11</f>
        <v>Good Standing</v>
      </c>
      <c r="L84" s="231" t="str">
        <f aca="false">'NSFAS Student Tracking'!$Z$11</f>
        <v>Low Risk</v>
      </c>
      <c r="M84" s="231" t="str">
        <f aca="false">'NSFAS Student Tracking'!$AB$11</f>
        <v>Limpopo</v>
      </c>
    </row>
    <row r="85" customFormat="false" ht="15" hidden="false" customHeight="true" outlineLevel="0" collapsed="false">
      <c r="A85" s="52" t="str">
        <f aca="false">'NSFAS Student Tracking'!$A$12</f>
        <v>TU-2025-0049</v>
      </c>
      <c r="B85" s="52" t="str">
        <f aca="false">'NSFAS Student Tracking'!$B$12</f>
        <v>Hussein Farah</v>
      </c>
      <c r="C85" s="231" t="str">
        <f aca="false">'NSFAS Student Tracking'!$C$12</f>
        <v>BSc</v>
      </c>
      <c r="D85" s="231" t="str">
        <f aca="false">'NSFAS Student Tracking'!$E$12</f>
        <v>Year 1</v>
      </c>
      <c r="E85" s="231" t="str">
        <f aca="false">'NSFAS Student Tracking'!$F$12</f>
        <v>Provisionally Funded</v>
      </c>
      <c r="F85" s="232" t="n">
        <f aca="false">'NSFAS Student Tracking'!$P$12</f>
        <v>230000</v>
      </c>
      <c r="G85" s="232" t="n">
        <f aca="false">'NSFAS Student Tracking'!$Q$12</f>
        <v>165000</v>
      </c>
      <c r="H85" s="232" t="n">
        <f aca="false">'NSFAS Student Tracking'!$R$12</f>
        <v>75000</v>
      </c>
      <c r="I85" s="233" t="n">
        <f aca="false">'NSFAS Student Tracking'!$S$12</f>
        <v>3.05</v>
      </c>
      <c r="J85" s="231" t="n">
        <f aca="false">'NSFAS Student Tracking'!$U$12</f>
        <v>76</v>
      </c>
      <c r="K85" s="231" t="str">
        <f aca="false">'NSFAS Student Tracking'!$V$12</f>
        <v>Good Standing</v>
      </c>
      <c r="L85" s="231" t="str">
        <f aca="false">'NSFAS Student Tracking'!$Z$12</f>
        <v>Low Risk</v>
      </c>
      <c r="M85" s="231" t="str">
        <f aca="false">'NSFAS Student Tracking'!$AB$12</f>
        <v>Gauteng</v>
      </c>
    </row>
    <row r="86" customFormat="false" ht="15" hidden="false" customHeight="true" outlineLevel="0" collapsed="false">
      <c r="A86" s="52" t="str">
        <f aca="false">'NSFAS Student Tracking'!$A$13</f>
        <v>TU-2022-0050</v>
      </c>
      <c r="B86" s="52" t="str">
        <f aca="false">'NSFAS Student Tracking'!$B$13</f>
        <v>Irene Naliaka</v>
      </c>
      <c r="C86" s="231" t="str">
        <f aca="false">'NSFAS Student Tracking'!$C$13</f>
        <v>BPharm</v>
      </c>
      <c r="D86" s="231" t="str">
        <f aca="false">'NSFAS Student Tracking'!$E$13</f>
        <v>Year 4</v>
      </c>
      <c r="E86" s="231" t="str">
        <f aca="false">'NSFAS Student Tracking'!$F$13</f>
        <v>Fully Funded</v>
      </c>
      <c r="F86" s="232" t="n">
        <f aca="false">'NSFAS Student Tracking'!$P$13</f>
        <v>350000</v>
      </c>
      <c r="G86" s="232" t="n">
        <f aca="false">'NSFAS Student Tracking'!$Q$13</f>
        <v>350000</v>
      </c>
      <c r="H86" s="232" t="n">
        <f aca="false">'NSFAS Student Tracking'!$R$13</f>
        <v>0</v>
      </c>
      <c r="I86" s="233" t="n">
        <f aca="false">'NSFAS Student Tracking'!$S$13</f>
        <v>3.7</v>
      </c>
      <c r="J86" s="231" t="n">
        <f aca="false">'NSFAS Student Tracking'!$U$13</f>
        <v>96</v>
      </c>
      <c r="K86" s="231" t="str">
        <f aca="false">'NSFAS Student Tracking'!$V$13</f>
        <v>Cleared</v>
      </c>
      <c r="L86" s="231" t="str">
        <f aca="false">'NSFAS Student Tracking'!$Z$13</f>
        <v>Low Risk</v>
      </c>
      <c r="M86" s="231" t="str">
        <f aca="false">'NSFAS Student Tracking'!$AB$13</f>
        <v>Gauteng</v>
      </c>
    </row>
    <row r="87" customFormat="false" ht="15" hidden="false" customHeight="true" outlineLevel="0" collapsed="false">
      <c r="A87" s="52" t="str">
        <f aca="false">'NSFAS Student Tracking'!$A$14</f>
        <v>TU-2024-0051</v>
      </c>
      <c r="B87" s="52" t="str">
        <f aca="false">'NSFAS Student Tracking'!$B$14</f>
        <v>John Mwikya</v>
      </c>
      <c r="C87" s="231" t="str">
        <f aca="false">'NSFAS Student Tracking'!$C$14</f>
        <v>BSc</v>
      </c>
      <c r="D87" s="231" t="str">
        <f aca="false">'NSFAS Student Tracking'!$E$14</f>
        <v>Year 2</v>
      </c>
      <c r="E87" s="231" t="str">
        <f aca="false">'NSFAS Student Tracking'!$F$14</f>
        <v>Fully Funded</v>
      </c>
      <c r="F87" s="232" t="n">
        <f aca="false">'NSFAS Student Tracking'!$P$14</f>
        <v>230000</v>
      </c>
      <c r="G87" s="232" t="n">
        <f aca="false">'NSFAS Student Tracking'!$Q$14</f>
        <v>230000</v>
      </c>
      <c r="H87" s="232" t="n">
        <f aca="false">'NSFAS Student Tracking'!$R$14</f>
        <v>0</v>
      </c>
      <c r="I87" s="233" t="n">
        <f aca="false">'NSFAS Student Tracking'!$S$14</f>
        <v>2.55</v>
      </c>
      <c r="J87" s="231" t="n">
        <f aca="false">'NSFAS Student Tracking'!$U$14</f>
        <v>64</v>
      </c>
      <c r="K87" s="231" t="str">
        <f aca="false">'NSFAS Student Tracking'!$V$14</f>
        <v>Good Standing</v>
      </c>
      <c r="L87" s="231" t="str">
        <f aca="false">'NSFAS Student Tracking'!$Z$14</f>
        <v>Low Risk</v>
      </c>
      <c r="M87" s="231" t="str">
        <f aca="false">'NSFAS Student Tracking'!$AB$14</f>
        <v>Limpopo</v>
      </c>
    </row>
    <row r="88" customFormat="false" ht="15" hidden="false" customHeight="true" outlineLevel="0" collapsed="false">
      <c r="A88" s="52" t="str">
        <f aca="false">'NSFAS Student Tracking'!$A$15</f>
        <v>TU-2023-0052</v>
      </c>
      <c r="B88" s="52" t="str">
        <f aca="false">'NSFAS Student Tracking'!$B$15</f>
        <v>Karen Jepkosgei</v>
      </c>
      <c r="C88" s="231" t="str">
        <f aca="false">'NSFAS Student Tracking'!$C$15</f>
        <v>BA</v>
      </c>
      <c r="D88" s="231" t="str">
        <f aca="false">'NSFAS Student Tracking'!$E$15</f>
        <v>Year 3</v>
      </c>
      <c r="E88" s="231" t="str">
        <f aca="false">'NSFAS Student Tracking'!$F$15</f>
        <v>Fully Funded</v>
      </c>
      <c r="F88" s="232" t="n">
        <f aca="false">'NSFAS Student Tracking'!$P$15</f>
        <v>391500</v>
      </c>
      <c r="G88" s="232" t="n">
        <f aca="false">'NSFAS Student Tracking'!$Q$15</f>
        <v>391500</v>
      </c>
      <c r="H88" s="232" t="n">
        <f aca="false">'NSFAS Student Tracking'!$R$15</f>
        <v>0</v>
      </c>
      <c r="I88" s="233" t="n">
        <f aca="false">'NSFAS Student Tracking'!$S$15</f>
        <v>3.3</v>
      </c>
      <c r="J88" s="231" t="n">
        <f aca="false">'NSFAS Student Tracking'!$U$15</f>
        <v>89</v>
      </c>
      <c r="K88" s="231" t="str">
        <f aca="false">'NSFAS Student Tracking'!$V$15</f>
        <v>Good Standing</v>
      </c>
      <c r="L88" s="231" t="str">
        <f aca="false">'NSFAS Student Tracking'!$Z$15</f>
        <v>Low Risk</v>
      </c>
      <c r="M88" s="231" t="str">
        <f aca="false">'NSFAS Student Tracking'!$AB$15</f>
        <v>Western Cape</v>
      </c>
    </row>
    <row r="89" customFormat="false" ht="15" hidden="false" customHeight="true" outlineLevel="0" collapsed="false">
      <c r="A89" s="52" t="str">
        <f aca="false">'NSFAS Student Tracking'!$A$16</f>
        <v>TU-2025-0053</v>
      </c>
      <c r="B89" s="52" t="str">
        <f aca="false">'NSFAS Student Tracking'!$B$16</f>
        <v>Levi Otieno</v>
      </c>
      <c r="C89" s="231" t="str">
        <f aca="false">'NSFAS Student Tracking'!$C$16</f>
        <v>BSc</v>
      </c>
      <c r="D89" s="231" t="str">
        <f aca="false">'NSFAS Student Tracking'!$E$16</f>
        <v>Year 1</v>
      </c>
      <c r="E89" s="231" t="str">
        <f aca="false">'NSFAS Student Tracking'!$F$16</f>
        <v>Appeal Pending</v>
      </c>
      <c r="F89" s="232" t="n">
        <f aca="false">'NSFAS Student Tracking'!$P$16</f>
        <v>230000</v>
      </c>
      <c r="G89" s="232" t="n">
        <f aca="false">'NSFAS Student Tracking'!$Q$16</f>
        <v>0</v>
      </c>
      <c r="H89" s="232" t="n">
        <f aca="false">'NSFAS Student Tracking'!$R$16</f>
        <v>80000</v>
      </c>
      <c r="I89" s="233" t="n">
        <f aca="false">'NSFAS Student Tracking'!$S$16</f>
        <v>2.1</v>
      </c>
      <c r="J89" s="231" t="n">
        <f aca="false">'NSFAS Student Tracking'!$U$16</f>
        <v>68</v>
      </c>
      <c r="K89" s="231" t="str">
        <f aca="false">'NSFAS Student Tracking'!$V$16</f>
        <v>Probation</v>
      </c>
      <c r="L89" s="231" t="str">
        <f aca="false">'NSFAS Student Tracking'!$Z$16</f>
        <v>High Risk</v>
      </c>
      <c r="M89" s="231" t="str">
        <f aca="false">'NSFAS Student Tracking'!$AB$16</f>
        <v>Eastern Cape</v>
      </c>
    </row>
    <row r="90" customFormat="false" ht="15" hidden="false" customHeight="true" outlineLevel="0" collapsed="false">
      <c r="A90" s="52" t="str">
        <f aca="false">'NSFAS Student Tracking'!$A$17</f>
        <v>TU-2024-0054</v>
      </c>
      <c r="B90" s="52" t="str">
        <f aca="false">'NSFAS Student Tracking'!$B$17</f>
        <v>Mercy Wangeci</v>
      </c>
      <c r="C90" s="231" t="str">
        <f aca="false">'NSFAS Student Tracking'!$C$17</f>
        <v>BSc</v>
      </c>
      <c r="D90" s="231" t="str">
        <f aca="false">'NSFAS Student Tracking'!$E$17</f>
        <v>Year 2</v>
      </c>
      <c r="E90" s="231" t="str">
        <f aca="false">'NSFAS Student Tracking'!$F$17</f>
        <v>Fully Funded</v>
      </c>
      <c r="F90" s="232" t="n">
        <f aca="false">'NSFAS Student Tracking'!$P$17</f>
        <v>340000</v>
      </c>
      <c r="G90" s="232" t="n">
        <f aca="false">'NSFAS Student Tracking'!$Q$17</f>
        <v>340000</v>
      </c>
      <c r="H90" s="232" t="n">
        <f aca="false">'NSFAS Student Tracking'!$R$17</f>
        <v>0</v>
      </c>
      <c r="I90" s="233" t="n">
        <f aca="false">'NSFAS Student Tracking'!$S$17</f>
        <v>3.88</v>
      </c>
      <c r="J90" s="231" t="n">
        <f aca="false">'NSFAS Student Tracking'!$U$17</f>
        <v>95</v>
      </c>
      <c r="K90" s="231" t="str">
        <f aca="false">'NSFAS Student Tracking'!$V$17</f>
        <v>Good Standing</v>
      </c>
      <c r="L90" s="231" t="str">
        <f aca="false">'NSFAS Student Tracking'!$Z$17</f>
        <v>Low Risk</v>
      </c>
      <c r="M90" s="231" t="str">
        <f aca="false">'NSFAS Student Tracking'!$AB$17</f>
        <v>Western Cape</v>
      </c>
    </row>
    <row r="91" customFormat="false" ht="15" hidden="false" customHeight="true" outlineLevel="0" collapsed="false">
      <c r="A91" s="52" t="str">
        <f aca="false">'NSFAS Student Tracking'!$A$18</f>
        <v>TU-2022-0055</v>
      </c>
      <c r="B91" s="52" t="str">
        <f aca="false">'NSFAS Student Tracking'!$B$18</f>
        <v>Nicholas Kilonzo</v>
      </c>
      <c r="C91" s="231" t="str">
        <f aca="false">'NSFAS Student Tracking'!$C$18</f>
        <v>BA</v>
      </c>
      <c r="D91" s="231" t="str">
        <f aca="false">'NSFAS Student Tracking'!$E$18</f>
        <v>Year 4</v>
      </c>
      <c r="E91" s="231" t="str">
        <f aca="false">'NSFAS Student Tracking'!$F$18</f>
        <v>Fully Funded</v>
      </c>
      <c r="F91" s="232" t="n">
        <f aca="false">'NSFAS Student Tracking'!$P$18</f>
        <v>210000</v>
      </c>
      <c r="G91" s="232" t="n">
        <f aca="false">'NSFAS Student Tracking'!$Q$18</f>
        <v>210000</v>
      </c>
      <c r="H91" s="232" t="n">
        <f aca="false">'NSFAS Student Tracking'!$R$18</f>
        <v>0</v>
      </c>
      <c r="I91" s="233" t="n">
        <f aca="false">'NSFAS Student Tracking'!$S$18</f>
        <v>3</v>
      </c>
      <c r="J91" s="231" t="n">
        <f aca="false">'NSFAS Student Tracking'!$U$18</f>
        <v>83</v>
      </c>
      <c r="K91" s="231" t="str">
        <f aca="false">'NSFAS Student Tracking'!$V$18</f>
        <v>Good Standing</v>
      </c>
      <c r="L91" s="231" t="str">
        <f aca="false">'NSFAS Student Tracking'!$Z$18</f>
        <v>Low Risk</v>
      </c>
      <c r="M91" s="231" t="str">
        <f aca="false">'NSFAS Student Tracking'!$AB$18</f>
        <v>KwaZulu-Natal</v>
      </c>
    </row>
    <row r="92" customFormat="false" ht="15" hidden="false" customHeight="true" outlineLevel="0" collapsed="false">
      <c r="A92" s="52" t="str">
        <f aca="false">'NSFAS Student Tracking'!$A$19</f>
        <v>TU-2024-0056</v>
      </c>
      <c r="B92" s="52" t="str">
        <f aca="false">'NSFAS Student Tracking'!$B$19</f>
        <v>Purity Chelangat</v>
      </c>
      <c r="C92" s="231" t="str">
        <f aca="false">'NSFAS Student Tracking'!$C$19</f>
        <v>BSc</v>
      </c>
      <c r="D92" s="231" t="str">
        <f aca="false">'NSFAS Student Tracking'!$E$19</f>
        <v>Year 2</v>
      </c>
      <c r="E92" s="231" t="str">
        <f aca="false">'NSFAS Student Tracking'!$F$19</f>
        <v>Provisionally Funded</v>
      </c>
      <c r="F92" s="232" t="n">
        <f aca="false">'NSFAS Student Tracking'!$P$19</f>
        <v>340000</v>
      </c>
      <c r="G92" s="232" t="n">
        <f aca="false">'NSFAS Student Tracking'!$Q$19</f>
        <v>165000</v>
      </c>
      <c r="H92" s="232" t="n">
        <f aca="false">'NSFAS Student Tracking'!$R$19</f>
        <v>75000</v>
      </c>
      <c r="I92" s="233" t="n">
        <f aca="false">'NSFAS Student Tracking'!$S$19</f>
        <v>2.7</v>
      </c>
      <c r="J92" s="231" t="n">
        <f aca="false">'NSFAS Student Tracking'!$U$19</f>
        <v>64</v>
      </c>
      <c r="K92" s="231" t="str">
        <f aca="false">'NSFAS Student Tracking'!$V$19</f>
        <v>Good Standing</v>
      </c>
      <c r="L92" s="231" t="str">
        <f aca="false">'NSFAS Student Tracking'!$Z$19</f>
        <v>Low Risk</v>
      </c>
      <c r="M92" s="231" t="str">
        <f aca="false">'NSFAS Student Tracking'!$AB$19</f>
        <v>KwaZulu-Natal</v>
      </c>
    </row>
    <row r="93" customFormat="false" ht="15" hidden="false" customHeight="true" outlineLevel="0" collapsed="false">
      <c r="A93" s="52" t="str">
        <f aca="false">'NSFAS Student Tracking'!$A$20</f>
        <v>TU-2023-0057</v>
      </c>
      <c r="B93" s="52" t="str">
        <f aca="false">'NSFAS Student Tracking'!$B$20</f>
        <v>Quinter Anyango</v>
      </c>
      <c r="C93" s="231" t="str">
        <f aca="false">'NSFAS Student Tracking'!$C$20</f>
        <v>BComm</v>
      </c>
      <c r="D93" s="231" t="str">
        <f aca="false">'NSFAS Student Tracking'!$E$20</f>
        <v>Year 3</v>
      </c>
      <c r="E93" s="231" t="str">
        <f aca="false">'NSFAS Student Tracking'!$F$20</f>
        <v>Fully Funded</v>
      </c>
      <c r="F93" s="232" t="n">
        <f aca="false">'NSFAS Student Tracking'!$P$20</f>
        <v>281500</v>
      </c>
      <c r="G93" s="232" t="n">
        <f aca="false">'NSFAS Student Tracking'!$Q$20</f>
        <v>281500</v>
      </c>
      <c r="H93" s="232" t="n">
        <f aca="false">'NSFAS Student Tracking'!$R$20</f>
        <v>0</v>
      </c>
      <c r="I93" s="233" t="n">
        <f aca="false">'NSFAS Student Tracking'!$S$20</f>
        <v>3.58</v>
      </c>
      <c r="J93" s="231" t="n">
        <f aca="false">'NSFAS Student Tracking'!$U$20</f>
        <v>89</v>
      </c>
      <c r="K93" s="231" t="str">
        <f aca="false">'NSFAS Student Tracking'!$V$20</f>
        <v>Good Standing</v>
      </c>
      <c r="L93" s="231" t="str">
        <f aca="false">'NSFAS Student Tracking'!$Z$20</f>
        <v>Low Risk</v>
      </c>
      <c r="M93" s="231" t="str">
        <f aca="false">'NSFAS Student Tracking'!$AB$20</f>
        <v>Free State</v>
      </c>
    </row>
    <row r="94" customFormat="false" ht="15" hidden="false" customHeight="true" outlineLevel="0" collapsed="false">
      <c r="A94" s="52" t="str">
        <f aca="false">'NSFAS Student Tracking'!$A$21</f>
        <v>TU-2025-0058</v>
      </c>
      <c r="B94" s="52" t="str">
        <f aca="false">'NSFAS Student Tracking'!$B$21</f>
        <v>Ronald Kiplagat</v>
      </c>
      <c r="C94" s="231" t="str">
        <f aca="false">'NSFAS Student Tracking'!$C$21</f>
        <v>BSc</v>
      </c>
      <c r="D94" s="231" t="str">
        <f aca="false">'NSFAS Student Tracking'!$E$21</f>
        <v>Year 1</v>
      </c>
      <c r="E94" s="231" t="str">
        <f aca="false">'NSFAS Student Tracking'!$F$21</f>
        <v>Fully Funded</v>
      </c>
      <c r="F94" s="232" t="n">
        <f aca="false">'NSFAS Student Tracking'!$P$21</f>
        <v>340000</v>
      </c>
      <c r="G94" s="232" t="n">
        <f aca="false">'NSFAS Student Tracking'!$Q$21</f>
        <v>340000</v>
      </c>
      <c r="H94" s="232" t="n">
        <f aca="false">'NSFAS Student Tracking'!$R$21</f>
        <v>0</v>
      </c>
      <c r="I94" s="233" t="n">
        <f aca="false">'NSFAS Student Tracking'!$S$21</f>
        <v>3.2</v>
      </c>
      <c r="J94" s="231" t="n">
        <f aca="false">'NSFAS Student Tracking'!$U$21</f>
        <v>80</v>
      </c>
      <c r="K94" s="231" t="str">
        <f aca="false">'NSFAS Student Tracking'!$V$21</f>
        <v>Good Standing</v>
      </c>
      <c r="L94" s="231" t="str">
        <f aca="false">'NSFAS Student Tracking'!$Z$21</f>
        <v>Low Risk</v>
      </c>
      <c r="M94" s="231" t="str">
        <f aca="false">'NSFAS Student Tracking'!$AB$21</f>
        <v>Mpumalanga</v>
      </c>
    </row>
    <row r="95" customFormat="false" ht="15" hidden="false" customHeight="true" outlineLevel="0" collapsed="false">
      <c r="A95" s="52" t="str">
        <f aca="false">'NSFAS Student Tracking'!$A$22</f>
        <v>TU-2022-0059</v>
      </c>
      <c r="B95" s="52" t="str">
        <f aca="false">'NSFAS Student Tracking'!$B$22</f>
        <v>Susan Atieno</v>
      </c>
      <c r="C95" s="231" t="str">
        <f aca="false">'NSFAS Student Tracking'!$C$22</f>
        <v>BA</v>
      </c>
      <c r="D95" s="231" t="str">
        <f aca="false">'NSFAS Student Tracking'!$E$22</f>
        <v>Year 4</v>
      </c>
      <c r="E95" s="231" t="str">
        <f aca="false">'NSFAS Student Tracking'!$F$22</f>
        <v>Provisionally Funded</v>
      </c>
      <c r="F95" s="232" t="n">
        <f aca="false">'NSFAS Student Tracking'!$P$22</f>
        <v>210000</v>
      </c>
      <c r="G95" s="232" t="n">
        <f aca="false">'NSFAS Student Tracking'!$Q$22</f>
        <v>0</v>
      </c>
      <c r="H95" s="232" t="n">
        <f aca="false">'NSFAS Student Tracking'!$R$22</f>
        <v>0</v>
      </c>
      <c r="I95" s="233" t="n">
        <f aca="false">'NSFAS Student Tracking'!$S$22</f>
        <v>2.4</v>
      </c>
      <c r="J95" s="231" t="n">
        <f aca="false">'NSFAS Student Tracking'!$U$22</f>
        <v>61</v>
      </c>
      <c r="K95" s="231" t="str">
        <f aca="false">'NSFAS Student Tracking'!$V$22</f>
        <v>Good Standing</v>
      </c>
      <c r="L95" s="231" t="str">
        <f aca="false">'NSFAS Student Tracking'!$Z$22</f>
        <v>Medium Risk</v>
      </c>
      <c r="M95" s="231" t="str">
        <f aca="false">'NSFAS Student Tracking'!$AB$22</f>
        <v>Eastern Cape</v>
      </c>
    </row>
    <row r="96" customFormat="false" ht="15" hidden="false" customHeight="true" outlineLevel="0" collapsed="false">
      <c r="A96" s="52" t="str">
        <f aca="false">'NSFAS Student Tracking'!$A$23</f>
        <v>TU-2024-0060</v>
      </c>
      <c r="B96" s="52" t="str">
        <f aca="false">'NSFAS Student Tracking'!$B$23</f>
        <v>Titus Mburu</v>
      </c>
      <c r="C96" s="231" t="str">
        <f aca="false">'NSFAS Student Tracking'!$C$23</f>
        <v>BSc</v>
      </c>
      <c r="D96" s="231" t="str">
        <f aca="false">'NSFAS Student Tracking'!$E$23</f>
        <v>Year 2</v>
      </c>
      <c r="E96" s="231" t="str">
        <f aca="false">'NSFAS Student Tracking'!$F$23</f>
        <v>Fully Funded</v>
      </c>
      <c r="F96" s="232" t="n">
        <f aca="false">'NSFAS Student Tracking'!$P$23</f>
        <v>340000</v>
      </c>
      <c r="G96" s="232" t="n">
        <f aca="false">'NSFAS Student Tracking'!$Q$23</f>
        <v>340000</v>
      </c>
      <c r="H96" s="232" t="n">
        <f aca="false">'NSFAS Student Tracking'!$R$23</f>
        <v>0</v>
      </c>
      <c r="I96" s="233" t="n">
        <f aca="false">'NSFAS Student Tracking'!$S$23</f>
        <v>3.4</v>
      </c>
      <c r="J96" s="231" t="n">
        <f aca="false">'NSFAS Student Tracking'!$U$23</f>
        <v>91</v>
      </c>
      <c r="K96" s="231" t="str">
        <f aca="false">'NSFAS Student Tracking'!$V$23</f>
        <v>Good Standing</v>
      </c>
      <c r="L96" s="231" t="str">
        <f aca="false">'NSFAS Student Tracking'!$Z$23</f>
        <v>Low Risk</v>
      </c>
      <c r="M96" s="231" t="str">
        <f aca="false">'NSFAS Student Tracking'!$AB$23</f>
        <v>KwaZulu-Natal</v>
      </c>
    </row>
    <row r="97" customFormat="false" ht="15" hidden="false" customHeight="true" outlineLevel="0" collapsed="false">
      <c r="A97" s="52" t="str">
        <f aca="false">'NSFAS Student Tracking'!$A$24</f>
        <v>TU-2024-0061</v>
      </c>
      <c r="B97" s="52" t="str">
        <f aca="false">'NSFAS Student Tracking'!$B$24</f>
        <v>Winnie Adhiambo</v>
      </c>
      <c r="C97" s="231" t="str">
        <f aca="false">'NSFAS Student Tracking'!$C$24</f>
        <v>BSc</v>
      </c>
      <c r="D97" s="231" t="str">
        <f aca="false">'NSFAS Student Tracking'!$E$24</f>
        <v>Year 2</v>
      </c>
      <c r="E97" s="231" t="str">
        <f aca="false">'NSFAS Student Tracking'!$F$24</f>
        <v>Appeal Pending</v>
      </c>
      <c r="F97" s="232" t="n">
        <f aca="false">'NSFAS Student Tracking'!$P$24</f>
        <v>301500</v>
      </c>
      <c r="G97" s="232" t="n">
        <f aca="false">'NSFAS Student Tracking'!$Q$24</f>
        <v>0</v>
      </c>
      <c r="H97" s="232" t="n">
        <f aca="false">'NSFAS Student Tracking'!$R$24</f>
        <v>80000</v>
      </c>
      <c r="I97" s="233" t="n">
        <f aca="false">'NSFAS Student Tracking'!$S$24</f>
        <v>1.8</v>
      </c>
      <c r="J97" s="231" t="n">
        <f aca="false">'NSFAS Student Tracking'!$U$24</f>
        <v>49</v>
      </c>
      <c r="K97" s="231" t="str">
        <f aca="false">'NSFAS Student Tracking'!$V$24</f>
        <v>Probation</v>
      </c>
      <c r="L97" s="231" t="str">
        <f aca="false">'NSFAS Student Tracking'!$Z$24</f>
        <v>High Risk</v>
      </c>
      <c r="M97" s="231" t="str">
        <f aca="false">'NSFAS Student Tracking'!$AB$24</f>
        <v>Western Cape</v>
      </c>
    </row>
    <row r="98" customFormat="false" ht="15" hidden="false" customHeight="true" outlineLevel="0" collapsed="false">
      <c r="A98" s="52" t="str">
        <f aca="false">'NSFAS Student Tracking'!$A$25</f>
        <v>TU-2023-0062</v>
      </c>
      <c r="B98" s="52" t="str">
        <f aca="false">'NSFAS Student Tracking'!$B$25</f>
        <v>Thabo Nkosi</v>
      </c>
      <c r="C98" s="231" t="str">
        <f aca="false">'NSFAS Student Tracking'!$C$25</f>
        <v>BSc</v>
      </c>
      <c r="D98" s="231" t="str">
        <f aca="false">'NSFAS Student Tracking'!$E$25</f>
        <v>Year 3</v>
      </c>
      <c r="E98" s="231" t="str">
        <f aca="false">'NSFAS Student Tracking'!$F$25</f>
        <v>Fully Funded</v>
      </c>
      <c r="F98" s="232" t="n">
        <f aca="false">'NSFAS Student Tracking'!$P$25</f>
        <v>340000</v>
      </c>
      <c r="G98" s="232" t="n">
        <f aca="false">'NSFAS Student Tracking'!$Q$25</f>
        <v>340000</v>
      </c>
      <c r="H98" s="232" t="n">
        <f aca="false">'NSFAS Student Tracking'!$R$25</f>
        <v>0</v>
      </c>
      <c r="I98" s="233" t="n">
        <f aca="false">'NSFAS Student Tracking'!$S$25</f>
        <v>3.55</v>
      </c>
      <c r="J98" s="231" t="n">
        <f aca="false">'NSFAS Student Tracking'!$U$25</f>
        <v>89</v>
      </c>
      <c r="K98" s="231" t="str">
        <f aca="false">'NSFAS Student Tracking'!$V$25</f>
        <v>Good Standing</v>
      </c>
      <c r="L98" s="231" t="str">
        <f aca="false">'NSFAS Student Tracking'!$Z$25</f>
        <v>Low Risk</v>
      </c>
      <c r="M98" s="231" t="str">
        <f aca="false">'NSFAS Student Tracking'!$AB$25</f>
        <v>Western Cape</v>
      </c>
    </row>
    <row r="99" customFormat="false" ht="15" hidden="false" customHeight="true" outlineLevel="0" collapsed="false">
      <c r="A99" s="52" t="str">
        <f aca="false">'NSFAS Student Tracking'!$A$26</f>
        <v>TU-2024-0063</v>
      </c>
      <c r="B99" s="52" t="str">
        <f aca="false">'NSFAS Student Tracking'!$B$26</f>
        <v>Lindiwe Dlamini</v>
      </c>
      <c r="C99" s="231" t="str">
        <f aca="false">'NSFAS Student Tracking'!$C$26</f>
        <v>BA</v>
      </c>
      <c r="D99" s="231" t="str">
        <f aca="false">'NSFAS Student Tracking'!$E$26</f>
        <v>Year 2</v>
      </c>
      <c r="E99" s="231" t="str">
        <f aca="false">'NSFAS Student Tracking'!$F$26</f>
        <v>Fully Funded</v>
      </c>
      <c r="F99" s="232" t="n">
        <f aca="false">'NSFAS Student Tracking'!$P$26</f>
        <v>210000</v>
      </c>
      <c r="G99" s="232" t="n">
        <f aca="false">'NSFAS Student Tracking'!$Q$26</f>
        <v>210000</v>
      </c>
      <c r="H99" s="232" t="n">
        <f aca="false">'NSFAS Student Tracking'!$R$26</f>
        <v>0</v>
      </c>
      <c r="I99" s="233" t="n">
        <f aca="false">'NSFAS Student Tracking'!$S$26</f>
        <v>2.85</v>
      </c>
      <c r="J99" s="231" t="n">
        <f aca="false">'NSFAS Student Tracking'!$U$26</f>
        <v>80</v>
      </c>
      <c r="K99" s="231" t="str">
        <f aca="false">'NSFAS Student Tracking'!$V$26</f>
        <v>Good Standing</v>
      </c>
      <c r="L99" s="231" t="str">
        <f aca="false">'NSFAS Student Tracking'!$Z$26</f>
        <v>Low Risk</v>
      </c>
      <c r="M99" s="231" t="str">
        <f aca="false">'NSFAS Student Tracking'!$AB$26</f>
        <v>Limpopo</v>
      </c>
    </row>
    <row r="100" customFormat="false" ht="15" hidden="false" customHeight="true" outlineLevel="0" collapsed="false">
      <c r="A100" s="52" t="str">
        <f aca="false">'NSFAS Student Tracking'!$A$27</f>
        <v>TU-2022-0064</v>
      </c>
      <c r="B100" s="52" t="str">
        <f aca="false">'NSFAS Student Tracking'!$B$27</f>
        <v>Sipho Mabaso</v>
      </c>
      <c r="C100" s="231" t="str">
        <f aca="false">'NSFAS Student Tracking'!$C$27</f>
        <v>BComm</v>
      </c>
      <c r="D100" s="231" t="str">
        <f aca="false">'NSFAS Student Tracking'!$E$27</f>
        <v>Year 4</v>
      </c>
      <c r="E100" s="231" t="str">
        <f aca="false">'NSFAS Student Tracking'!$F$27</f>
        <v>Provisionally Funded</v>
      </c>
      <c r="F100" s="232" t="n">
        <f aca="false">'NSFAS Student Tracking'!$P$27</f>
        <v>320000</v>
      </c>
      <c r="G100" s="232" t="n">
        <f aca="false">'NSFAS Student Tracking'!$Q$27</f>
        <v>145000</v>
      </c>
      <c r="H100" s="232" t="n">
        <f aca="false">'NSFAS Student Tracking'!$R$27</f>
        <v>65000</v>
      </c>
      <c r="I100" s="233" t="n">
        <f aca="false">'NSFAS Student Tracking'!$S$27</f>
        <v>3.1</v>
      </c>
      <c r="J100" s="231" t="n">
        <f aca="false">'NSFAS Student Tracking'!$U$27</f>
        <v>76</v>
      </c>
      <c r="K100" s="231" t="str">
        <f aca="false">'NSFAS Student Tracking'!$V$27</f>
        <v>Good Standing</v>
      </c>
      <c r="L100" s="231" t="str">
        <f aca="false">'NSFAS Student Tracking'!$Z$27</f>
        <v>Low Risk</v>
      </c>
      <c r="M100" s="231" t="str">
        <f aca="false">'NSFAS Student Tracking'!$AB$27</f>
        <v>North West</v>
      </c>
    </row>
    <row r="101" customFormat="false" ht="15" hidden="false" customHeight="true" outlineLevel="0" collapsed="false">
      <c r="A101" s="52" t="str">
        <f aca="false">'NSFAS Student Tracking'!$A$28</f>
        <v>TU-2025-0065</v>
      </c>
      <c r="B101" s="52" t="str">
        <f aca="false">'NSFAS Student Tracking'!$B$28</f>
        <v>Nomvula Khumalo</v>
      </c>
      <c r="C101" s="231" t="str">
        <f aca="false">'NSFAS Student Tracking'!$C$28</f>
        <v>BSc</v>
      </c>
      <c r="D101" s="231" t="str">
        <f aca="false">'NSFAS Student Tracking'!$E$28</f>
        <v>Year 1</v>
      </c>
      <c r="E101" s="231" t="str">
        <f aca="false">'NSFAS Student Tracking'!$F$28</f>
        <v>Fully Funded</v>
      </c>
      <c r="F101" s="232" t="n">
        <f aca="false">'NSFAS Student Tracking'!$P$28</f>
        <v>301500</v>
      </c>
      <c r="G101" s="232" t="n">
        <f aca="false">'NSFAS Student Tracking'!$Q$28</f>
        <v>301500</v>
      </c>
      <c r="H101" s="232" t="n">
        <f aca="false">'NSFAS Student Tracking'!$R$28</f>
        <v>0</v>
      </c>
      <c r="I101" s="233" t="n">
        <f aca="false">'NSFAS Student Tracking'!$S$28</f>
        <v>3.3</v>
      </c>
      <c r="J101" s="231" t="n">
        <f aca="false">'NSFAS Student Tracking'!$U$28</f>
        <v>91</v>
      </c>
      <c r="K101" s="231" t="str">
        <f aca="false">'NSFAS Student Tracking'!$V$28</f>
        <v>Good Standing</v>
      </c>
      <c r="L101" s="231" t="str">
        <f aca="false">'NSFAS Student Tracking'!$Z$28</f>
        <v>Low Risk</v>
      </c>
      <c r="M101" s="231" t="str">
        <f aca="false">'NSFAS Student Tracking'!$AB$28</f>
        <v>Limpopo</v>
      </c>
    </row>
    <row r="102" customFormat="false" ht="15" hidden="false" customHeight="true" outlineLevel="0" collapsed="false">
      <c r="A102" s="52" t="str">
        <f aca="false">'NSFAS Student Tracking'!$A$29</f>
        <v>TU-2023-0066</v>
      </c>
      <c r="B102" s="52" t="str">
        <f aca="false">'NSFAS Student Tracking'!$B$29</f>
        <v>Bongani Zulu</v>
      </c>
      <c r="C102" s="231" t="str">
        <f aca="false">'NSFAS Student Tracking'!$C$29</f>
        <v>LLB</v>
      </c>
      <c r="D102" s="231" t="str">
        <f aca="false">'NSFAS Student Tracking'!$E$29</f>
        <v>Year 3</v>
      </c>
      <c r="E102" s="231" t="str">
        <f aca="false">'NSFAS Student Tracking'!$F$29</f>
        <v>Appeal Pending</v>
      </c>
      <c r="F102" s="232" t="n">
        <f aca="false">'NSFAS Student Tracking'!$P$29</f>
        <v>330000</v>
      </c>
      <c r="G102" s="232" t="n">
        <f aca="false">'NSFAS Student Tracking'!$Q$29</f>
        <v>0</v>
      </c>
      <c r="H102" s="232" t="n">
        <f aca="false">'NSFAS Student Tracking'!$R$29</f>
        <v>75000</v>
      </c>
      <c r="I102" s="233" t="n">
        <f aca="false">'NSFAS Student Tracking'!$S$29</f>
        <v>2.6</v>
      </c>
      <c r="J102" s="231" t="n">
        <f aca="false">'NSFAS Student Tracking'!$U$29</f>
        <v>61</v>
      </c>
      <c r="K102" s="231" t="str">
        <f aca="false">'NSFAS Student Tracking'!$V$29</f>
        <v>Probation</v>
      </c>
      <c r="L102" s="231" t="str">
        <f aca="false">'NSFAS Student Tracking'!$Z$29</f>
        <v>High Risk</v>
      </c>
      <c r="M102" s="231" t="str">
        <f aca="false">'NSFAS Student Tracking'!$AB$29</f>
        <v>Western Cape</v>
      </c>
    </row>
    <row r="103" customFormat="false" ht="15" hidden="false" customHeight="true" outlineLevel="0" collapsed="false">
      <c r="A103" s="52" t="str">
        <f aca="false">'NSFAS Student Tracking'!$A$30</f>
        <v>TU-2024-0067</v>
      </c>
      <c r="B103" s="52" t="str">
        <f aca="false">'NSFAS Student Tracking'!$B$30</f>
        <v>Precious Mahlangu</v>
      </c>
      <c r="C103" s="231" t="str">
        <f aca="false">'NSFAS Student Tracking'!$C$30</f>
        <v>BEd</v>
      </c>
      <c r="D103" s="231" t="str">
        <f aca="false">'NSFAS Student Tracking'!$E$30</f>
        <v>Year 2</v>
      </c>
      <c r="E103" s="231" t="str">
        <f aca="false">'NSFAS Student Tracking'!$F$30</f>
        <v>Fully Funded</v>
      </c>
      <c r="F103" s="232" t="n">
        <f aca="false">'NSFAS Student Tracking'!$P$30</f>
        <v>200000</v>
      </c>
      <c r="G103" s="232" t="n">
        <f aca="false">'NSFAS Student Tracking'!$Q$30</f>
        <v>200000</v>
      </c>
      <c r="H103" s="232" t="n">
        <f aca="false">'NSFAS Student Tracking'!$R$30</f>
        <v>0</v>
      </c>
      <c r="I103" s="233" t="n">
        <f aca="false">'NSFAS Student Tracking'!$S$30</f>
        <v>3.05</v>
      </c>
      <c r="J103" s="231" t="n">
        <f aca="false">'NSFAS Student Tracking'!$U$30</f>
        <v>77</v>
      </c>
      <c r="K103" s="231" t="str">
        <f aca="false">'NSFAS Student Tracking'!$V$30</f>
        <v>Good Standing</v>
      </c>
      <c r="L103" s="231" t="str">
        <f aca="false">'NSFAS Student Tracking'!$Z$30</f>
        <v>Low Risk</v>
      </c>
      <c r="M103" s="231" t="str">
        <f aca="false">'NSFAS Student Tracking'!$AB$30</f>
        <v>KwaZulu-Natal</v>
      </c>
    </row>
    <row r="104" customFormat="false" ht="15" hidden="false" customHeight="true" outlineLevel="0" collapsed="false">
      <c r="A104" s="52" t="str">
        <f aca="false">'NSFAS Student Tracking'!$A$31</f>
        <v>TU-2022-0068</v>
      </c>
      <c r="B104" s="52" t="str">
        <f aca="false">'NSFAS Student Tracking'!$B$31</f>
        <v>Kagiso Mokoena</v>
      </c>
      <c r="C104" s="231" t="str">
        <f aca="false">'NSFAS Student Tracking'!$C$31</f>
        <v>BSc</v>
      </c>
      <c r="D104" s="231" t="str">
        <f aca="false">'NSFAS Student Tracking'!$E$31</f>
        <v>Year 4</v>
      </c>
      <c r="E104" s="231" t="str">
        <f aca="false">'NSFAS Student Tracking'!$F$31</f>
        <v>Fully Funded</v>
      </c>
      <c r="F104" s="232" t="n">
        <f aca="false">'NSFAS Student Tracking'!$P$31</f>
        <v>340000</v>
      </c>
      <c r="G104" s="232" t="n">
        <f aca="false">'NSFAS Student Tracking'!$Q$31</f>
        <v>340000</v>
      </c>
      <c r="H104" s="232" t="n">
        <f aca="false">'NSFAS Student Tracking'!$R$31</f>
        <v>0</v>
      </c>
      <c r="I104" s="233" t="n">
        <f aca="false">'NSFAS Student Tracking'!$S$31</f>
        <v>3.75</v>
      </c>
      <c r="J104" s="231" t="n">
        <f aca="false">'NSFAS Student Tracking'!$U$31</f>
        <v>96</v>
      </c>
      <c r="K104" s="231" t="str">
        <f aca="false">'NSFAS Student Tracking'!$V$31</f>
        <v>Good Standing</v>
      </c>
      <c r="L104" s="231" t="str">
        <f aca="false">'NSFAS Student Tracking'!$Z$31</f>
        <v>Low Risk</v>
      </c>
      <c r="M104" s="231" t="str">
        <f aca="false">'NSFAS Student Tracking'!$AB$31</f>
        <v>Northern Cape</v>
      </c>
    </row>
    <row r="105" customFormat="false" ht="15" hidden="false" customHeight="true" outlineLevel="0" collapsed="false">
      <c r="A105" s="52" t="str">
        <f aca="false">'NSFAS Student Tracking'!$A$32</f>
        <v>TU-2025-0069</v>
      </c>
      <c r="B105" s="52" t="str">
        <f aca="false">'NSFAS Student Tracking'!$B$32</f>
        <v>Palesa Sithole</v>
      </c>
      <c r="C105" s="231" t="str">
        <f aca="false">'NSFAS Student Tracking'!$C$32</f>
        <v>BSc</v>
      </c>
      <c r="D105" s="231" t="str">
        <f aca="false">'NSFAS Student Tracking'!$E$32</f>
        <v>Year 1</v>
      </c>
      <c r="E105" s="231" t="str">
        <f aca="false">'NSFAS Student Tracking'!$F$32</f>
        <v>Provisionally Funded</v>
      </c>
      <c r="F105" s="232" t="n">
        <f aca="false">'NSFAS Student Tracking'!$P$32</f>
        <v>230000</v>
      </c>
      <c r="G105" s="232" t="n">
        <f aca="false">'NSFAS Student Tracking'!$Q$32</f>
        <v>165000</v>
      </c>
      <c r="H105" s="232" t="n">
        <f aca="false">'NSFAS Student Tracking'!$R$32</f>
        <v>75000</v>
      </c>
      <c r="I105" s="233" t="n">
        <f aca="false">'NSFAS Student Tracking'!$S$32</f>
        <v>2.2</v>
      </c>
      <c r="J105" s="231" t="n">
        <f aca="false">'NSFAS Student Tracking'!$U$32</f>
        <v>61</v>
      </c>
      <c r="K105" s="231" t="str">
        <f aca="false">'NSFAS Student Tracking'!$V$32</f>
        <v>Probation</v>
      </c>
      <c r="L105" s="231" t="str">
        <f aca="false">'NSFAS Student Tracking'!$Z$32</f>
        <v>High Risk</v>
      </c>
      <c r="M105" s="231" t="str">
        <f aca="false">'NSFAS Student Tracking'!$AB$32</f>
        <v>Free State</v>
      </c>
    </row>
    <row r="106" customFormat="false" ht="15" hidden="false" customHeight="true" outlineLevel="0" collapsed="false">
      <c r="A106" s="52" t="str">
        <f aca="false">'NSFAS Student Tracking'!$A$33</f>
        <v>TU-2023-0070</v>
      </c>
      <c r="B106" s="52" t="str">
        <f aca="false">'NSFAS Student Tracking'!$B$33</f>
        <v>Mandla Cele</v>
      </c>
      <c r="C106" s="231" t="str">
        <f aca="false">'NSFAS Student Tracking'!$C$33</f>
        <v>BComm</v>
      </c>
      <c r="D106" s="231" t="str">
        <f aca="false">'NSFAS Student Tracking'!$E$33</f>
        <v>Year 3</v>
      </c>
      <c r="E106" s="231" t="str">
        <f aca="false">'NSFAS Student Tracking'!$F$33</f>
        <v>Funding Discontinued</v>
      </c>
      <c r="F106" s="232" t="n">
        <f aca="false">'NSFAS Student Tracking'!$P$33</f>
        <v>320000</v>
      </c>
      <c r="G106" s="232" t="n">
        <f aca="false">'NSFAS Student Tracking'!$Q$33</f>
        <v>128000</v>
      </c>
      <c r="H106" s="232" t="n">
        <f aca="false">'NSFAS Student Tracking'!$R$33</f>
        <v>50000</v>
      </c>
      <c r="I106" s="233" t="n">
        <f aca="false">'NSFAS Student Tracking'!$S$33</f>
        <v>1.9</v>
      </c>
      <c r="J106" s="231" t="n">
        <f aca="false">'NSFAS Student Tracking'!$U$33</f>
        <v>53</v>
      </c>
      <c r="K106" s="231" t="str">
        <f aca="false">'NSFAS Student Tracking'!$V$33</f>
        <v>Suspended</v>
      </c>
      <c r="L106" s="231" t="str">
        <f aca="false">'NSFAS Student Tracking'!$Z$33</f>
        <v>Critical — Funding Discontinued</v>
      </c>
      <c r="M106" s="231" t="str">
        <f aca="false">'NSFAS Student Tracking'!$AB$33</f>
        <v>Gauteng</v>
      </c>
    </row>
    <row r="107" customFormat="false" ht="15" hidden="false" customHeight="true" outlineLevel="0" collapsed="false">
      <c r="A107" s="52" t="str">
        <f aca="false">'NSFAS Student Tracking'!$A$34</f>
        <v>TU-2022-0071</v>
      </c>
      <c r="B107" s="52" t="str">
        <f aca="false">'NSFAS Student Tracking'!$B$34</f>
        <v>Zanele Ngcobo</v>
      </c>
      <c r="C107" s="231" t="str">
        <f aca="false">'NSFAS Student Tracking'!$C$34</f>
        <v>BPharm</v>
      </c>
      <c r="D107" s="231" t="str">
        <f aca="false">'NSFAS Student Tracking'!$E$34</f>
        <v>Year 4</v>
      </c>
      <c r="E107" s="231" t="str">
        <f aca="false">'NSFAS Student Tracking'!$F$34</f>
        <v>Fully Funded</v>
      </c>
      <c r="F107" s="232" t="n">
        <f aca="false">'NSFAS Student Tracking'!$P$34</f>
        <v>311500</v>
      </c>
      <c r="G107" s="232" t="n">
        <f aca="false">'NSFAS Student Tracking'!$Q$34</f>
        <v>311500</v>
      </c>
      <c r="H107" s="232" t="n">
        <f aca="false">'NSFAS Student Tracking'!$R$34</f>
        <v>0</v>
      </c>
      <c r="I107" s="233" t="n">
        <f aca="false">'NSFAS Student Tracking'!$S$34</f>
        <v>3.65</v>
      </c>
      <c r="J107" s="231" t="n">
        <f aca="false">'NSFAS Student Tracking'!$U$34</f>
        <v>87</v>
      </c>
      <c r="K107" s="231" t="str">
        <f aca="false">'NSFAS Student Tracking'!$V$34</f>
        <v>Good Standing</v>
      </c>
      <c r="L107" s="231" t="str">
        <f aca="false">'NSFAS Student Tracking'!$Z$34</f>
        <v>Low Risk</v>
      </c>
      <c r="M107" s="231" t="str">
        <f aca="false">'NSFAS Student Tracking'!$AB$34</f>
        <v>Gauteng</v>
      </c>
    </row>
    <row r="108" customFormat="false" ht="15" hidden="false" customHeight="true" outlineLevel="0" collapsed="false">
      <c r="A108" s="52" t="str">
        <f aca="false">'NSFAS Student Tracking'!$A$35</f>
        <v>TU-2024-0072</v>
      </c>
      <c r="B108" s="52" t="str">
        <f aca="false">'NSFAS Student Tracking'!$B$35</f>
        <v>Tshepo Molefe</v>
      </c>
      <c r="C108" s="231" t="str">
        <f aca="false">'NSFAS Student Tracking'!$C$35</f>
        <v>BSc</v>
      </c>
      <c r="D108" s="231" t="str">
        <f aca="false">'NSFAS Student Tracking'!$E$35</f>
        <v>Year 2</v>
      </c>
      <c r="E108" s="231" t="str">
        <f aca="false">'NSFAS Student Tracking'!$F$35</f>
        <v>Fully Funded</v>
      </c>
      <c r="F108" s="232" t="n">
        <f aca="false">'NSFAS Student Tracking'!$P$35</f>
        <v>340000</v>
      </c>
      <c r="G108" s="232" t="n">
        <f aca="false">'NSFAS Student Tracking'!$Q$35</f>
        <v>340000</v>
      </c>
      <c r="H108" s="232" t="n">
        <f aca="false">'NSFAS Student Tracking'!$R$35</f>
        <v>0</v>
      </c>
      <c r="I108" s="233" t="n">
        <f aca="false">'NSFAS Student Tracking'!$S$35</f>
        <v>3.4</v>
      </c>
      <c r="J108" s="231" t="n">
        <f aca="false">'NSFAS Student Tracking'!$U$35</f>
        <v>91</v>
      </c>
      <c r="K108" s="231" t="str">
        <f aca="false">'NSFAS Student Tracking'!$V$35</f>
        <v>Good Standing</v>
      </c>
      <c r="L108" s="231" t="str">
        <f aca="false">'NSFAS Student Tracking'!$Z$35</f>
        <v>Low Risk</v>
      </c>
      <c r="M108" s="231" t="str">
        <f aca="false">'NSFAS Student Tracking'!$AB$35</f>
        <v>North West</v>
      </c>
    </row>
    <row r="109" customFormat="false" ht="15" hidden="false" customHeight="true" outlineLevel="0" collapsed="false">
      <c r="A109" s="52" t="str">
        <f aca="false">'NSFAS Student Tracking'!$A$36</f>
        <v>TU-2025-0073</v>
      </c>
      <c r="B109" s="52" t="str">
        <f aca="false">'NSFAS Student Tracking'!$B$36</f>
        <v>Ayanda Radebe</v>
      </c>
      <c r="C109" s="231" t="str">
        <f aca="false">'NSFAS Student Tracking'!$C$36</f>
        <v>BA</v>
      </c>
      <c r="D109" s="231" t="str">
        <f aca="false">'NSFAS Student Tracking'!$E$36</f>
        <v>Year 1</v>
      </c>
      <c r="E109" s="231" t="str">
        <f aca="false">'NSFAS Student Tracking'!$F$36</f>
        <v>Appeal Pending</v>
      </c>
      <c r="F109" s="232" t="n">
        <f aca="false">'NSFAS Student Tracking'!$P$36</f>
        <v>210000</v>
      </c>
      <c r="G109" s="232" t="n">
        <f aca="false">'NSFAS Student Tracking'!$Q$36</f>
        <v>0</v>
      </c>
      <c r="H109" s="232" t="n">
        <f aca="false">'NSFAS Student Tracking'!$R$36</f>
        <v>70000</v>
      </c>
      <c r="I109" s="233" t="n">
        <f aca="false">'NSFAS Student Tracking'!$S$36</f>
        <v>2.95</v>
      </c>
      <c r="J109" s="231" t="n">
        <f aca="false">'NSFAS Student Tracking'!$U$36</f>
        <v>80</v>
      </c>
      <c r="K109" s="231" t="str">
        <f aca="false">'NSFAS Student Tracking'!$V$36</f>
        <v>Probation</v>
      </c>
      <c r="L109" s="231" t="str">
        <f aca="false">'NSFAS Student Tracking'!$Z$36</f>
        <v>High Risk</v>
      </c>
      <c r="M109" s="231" t="str">
        <f aca="false">'NSFAS Student Tracking'!$AB$36</f>
        <v>Eastern Cape</v>
      </c>
    </row>
    <row r="110" customFormat="false" ht="15" hidden="false" customHeight="true" outlineLevel="0" collapsed="false">
      <c r="A110" s="52" t="str">
        <f aca="false">'NSFAS Student Tracking'!$A$37</f>
        <v>TU-PG-2025-0074</v>
      </c>
      <c r="B110" s="52" t="str">
        <f aca="false">'NSFAS Student Tracking'!$B$37</f>
        <v>Karabo Mokwena</v>
      </c>
      <c r="C110" s="231" t="str">
        <f aca="false">'NSFAS Student Tracking'!$C$37</f>
        <v>MSc (Coursework)</v>
      </c>
      <c r="D110" s="231" t="str">
        <f aca="false">'NSFAS Student Tracking'!$E$37</f>
        <v>Year 1</v>
      </c>
      <c r="E110" s="231" t="str">
        <f aca="false">'NSFAS Student Tracking'!$F$37</f>
        <v>Fully Funded</v>
      </c>
      <c r="F110" s="232" t="n">
        <f aca="false">'NSFAS Student Tracking'!$P$37</f>
        <v>410000</v>
      </c>
      <c r="G110" s="232" t="n">
        <f aca="false">'NSFAS Student Tracking'!$Q$37</f>
        <v>410000</v>
      </c>
      <c r="H110" s="232" t="n">
        <f aca="false">'NSFAS Student Tracking'!$R$37</f>
        <v>0</v>
      </c>
      <c r="I110" s="233" t="n">
        <f aca="false">'NSFAS Student Tracking'!$S$37</f>
        <v>3.5</v>
      </c>
      <c r="J110" s="231" t="n">
        <f aca="false">'NSFAS Student Tracking'!$U$37</f>
        <v>89</v>
      </c>
      <c r="K110" s="231" t="str">
        <f aca="false">'NSFAS Student Tracking'!$V$37</f>
        <v>Good Standing</v>
      </c>
      <c r="L110" s="231" t="str">
        <f aca="false">'NSFAS Student Tracking'!$Z$37</f>
        <v>Low Risk</v>
      </c>
      <c r="M110" s="231" t="str">
        <f aca="false">'NSFAS Student Tracking'!$AB$37</f>
        <v>Gauteng</v>
      </c>
    </row>
    <row r="111" customFormat="false" ht="15" hidden="false" customHeight="true" outlineLevel="0" collapsed="false">
      <c r="A111" s="52" t="str">
        <f aca="false">'NSFAS Student Tracking'!$A$38</f>
        <v>TU-PG-2025-0075</v>
      </c>
      <c r="B111" s="52" t="str">
        <f aca="false">'NSFAS Student Tracking'!$B$38</f>
        <v>Onthatile Sekgota</v>
      </c>
      <c r="C111" s="231" t="str">
        <f aca="false">'NSFAS Student Tracking'!$C$38</f>
        <v>MBA (Coursework)</v>
      </c>
      <c r="D111" s="231" t="str">
        <f aca="false">'NSFAS Student Tracking'!$E$38</f>
        <v>Year 1</v>
      </c>
      <c r="E111" s="231" t="str">
        <f aca="false">'NSFAS Student Tracking'!$F$38</f>
        <v>Provisionally Funded</v>
      </c>
      <c r="F111" s="232" t="n">
        <f aca="false">'NSFAS Student Tracking'!$P$38</f>
        <v>400000</v>
      </c>
      <c r="G111" s="232" t="n">
        <f aca="false">'NSFAS Student Tracking'!$Q$38</f>
        <v>335000</v>
      </c>
      <c r="H111" s="232" t="n">
        <f aca="false">'NSFAS Student Tracking'!$R$38</f>
        <v>160000</v>
      </c>
      <c r="I111" s="233" t="n">
        <f aca="false">'NSFAS Student Tracking'!$S$38</f>
        <v>3.2</v>
      </c>
      <c r="J111" s="231" t="n">
        <f aca="false">'NSFAS Student Tracking'!$U$38</f>
        <v>80</v>
      </c>
      <c r="K111" s="231" t="str">
        <f aca="false">'NSFAS Student Tracking'!$V$38</f>
        <v>Good Standing</v>
      </c>
      <c r="L111" s="231" t="str">
        <f aca="false">'NSFAS Student Tracking'!$Z$38</f>
        <v>Low Risk</v>
      </c>
      <c r="M111" s="231" t="str">
        <f aca="false">'NSFAS Student Tracking'!$AB$38</f>
        <v>Gauteng</v>
      </c>
    </row>
    <row r="112" customFormat="false" ht="15" hidden="false" customHeight="true" outlineLevel="0" collapsed="false">
      <c r="A112" s="52" t="str">
        <f aca="false">'NSFAS Student Tracking'!$A$39</f>
        <v>TU-PG-2024-0076</v>
      </c>
      <c r="B112" s="52" t="str">
        <f aca="false">'NSFAS Student Tracking'!$B$39</f>
        <v>Refilwe Motaung</v>
      </c>
      <c r="C112" s="231" t="str">
        <f aca="false">'NSFAS Student Tracking'!$C$39</f>
        <v>MEd (Coursework)</v>
      </c>
      <c r="D112" s="231" t="str">
        <f aca="false">'NSFAS Student Tracking'!$E$39</f>
        <v>Year 2</v>
      </c>
      <c r="E112" s="231" t="str">
        <f aca="false">'NSFAS Student Tracking'!$F$39</f>
        <v>Fully Funded</v>
      </c>
      <c r="F112" s="232" t="n">
        <f aca="false">'NSFAS Student Tracking'!$P$39</f>
        <v>370000</v>
      </c>
      <c r="G112" s="232" t="n">
        <f aca="false">'NSFAS Student Tracking'!$Q$39</f>
        <v>370000</v>
      </c>
      <c r="H112" s="232" t="n">
        <f aca="false">'NSFAS Student Tracking'!$R$39</f>
        <v>0</v>
      </c>
      <c r="I112" s="233" t="n">
        <f aca="false">'NSFAS Student Tracking'!$S$39</f>
        <v>3.65</v>
      </c>
      <c r="J112" s="231" t="n">
        <f aca="false">'NSFAS Student Tracking'!$U$39</f>
        <v>87</v>
      </c>
      <c r="K112" s="231" t="str">
        <f aca="false">'NSFAS Student Tracking'!$V$39</f>
        <v>Good Standing</v>
      </c>
      <c r="L112" s="231" t="str">
        <f aca="false">'NSFAS Student Tracking'!$Z$39</f>
        <v>Low Risk</v>
      </c>
      <c r="M112" s="231" t="str">
        <f aca="false">'NSFAS Student Tracking'!$AB$39</f>
        <v>Gauteng</v>
      </c>
    </row>
    <row r="113" customFormat="false" ht="15" hidden="false" customHeight="true" outlineLevel="0" collapsed="false">
      <c r="A113" s="52" t="str">
        <f aca="false">'NSFAS Student Tracking'!$A$40</f>
        <v>TU-PG-2024-0077</v>
      </c>
      <c r="B113" s="52" t="str">
        <f aca="false">'NSFAS Student Tracking'!$B$40</f>
        <v>Sibusiso Ndlovu</v>
      </c>
      <c r="C113" s="231" t="str">
        <f aca="false">'NSFAS Student Tracking'!$C$40</f>
        <v>MA by Research</v>
      </c>
      <c r="D113" s="231" t="str">
        <f aca="false">'NSFAS Student Tracking'!$E$40</f>
        <v>Year 2</v>
      </c>
      <c r="E113" s="231" t="str">
        <f aca="false">'NSFAS Student Tracking'!$F$40</f>
        <v>Fully Funded</v>
      </c>
      <c r="F113" s="232" t="n">
        <f aca="false">'NSFAS Student Tracking'!$P$40</f>
        <v>240000</v>
      </c>
      <c r="G113" s="232" t="n">
        <f aca="false">'NSFAS Student Tracking'!$Q$40</f>
        <v>240000</v>
      </c>
      <c r="H113" s="232" t="n">
        <f aca="false">'NSFAS Student Tracking'!$R$40</f>
        <v>0</v>
      </c>
      <c r="I113" s="233" t="n">
        <f aca="false">'NSFAS Student Tracking'!$S$40</f>
        <v>3.1</v>
      </c>
      <c r="J113" s="231" t="n">
        <f aca="false">'NSFAS Student Tracking'!$U$40</f>
        <v>83</v>
      </c>
      <c r="K113" s="231" t="str">
        <f aca="false">'NSFAS Student Tracking'!$V$40</f>
        <v>Good Standing</v>
      </c>
      <c r="L113" s="231" t="str">
        <f aca="false">'NSFAS Student Tracking'!$Z$40</f>
        <v>Low Risk</v>
      </c>
      <c r="M113" s="231" t="str">
        <f aca="false">'NSFAS Student Tracking'!$AB$40</f>
        <v>KwaZulu-Natal</v>
      </c>
    </row>
    <row r="114" customFormat="false" ht="15" hidden="false" customHeight="true" outlineLevel="0" collapsed="false">
      <c r="A114" s="52" t="str">
        <f aca="false">'NSFAS Student Tracking'!$A$41</f>
        <v>TU-PG-2024-0078</v>
      </c>
      <c r="B114" s="52" t="str">
        <f aca="false">'NSFAS Student Tracking'!$B$41</f>
        <v>Naledi Motshegwa</v>
      </c>
      <c r="C114" s="231" t="str">
        <f aca="false">'NSFAS Student Tracking'!$C$41</f>
        <v>MSc by Research</v>
      </c>
      <c r="D114" s="231" t="str">
        <f aca="false">'NSFAS Student Tracking'!$E$41</f>
        <v>Year 2</v>
      </c>
      <c r="E114" s="231" t="str">
        <f aca="false">'NSFAS Student Tracking'!$F$41</f>
        <v>Appeal Pending</v>
      </c>
      <c r="F114" s="232" t="n">
        <f aca="false">'NSFAS Student Tracking'!$P$41</f>
        <v>360000</v>
      </c>
      <c r="G114" s="232" t="n">
        <f aca="false">'NSFAS Student Tracking'!$Q$41</f>
        <v>0</v>
      </c>
      <c r="H114" s="232" t="n">
        <f aca="false">'NSFAS Student Tracking'!$R$41</f>
        <v>91000</v>
      </c>
      <c r="I114" s="233" t="n">
        <f aca="false">'NSFAS Student Tracking'!$S$41</f>
        <v>3.45</v>
      </c>
      <c r="J114" s="231" t="n">
        <f aca="false">'NSFAS Student Tracking'!$U$41</f>
        <v>87</v>
      </c>
      <c r="K114" s="231" t="str">
        <f aca="false">'NSFAS Student Tracking'!$V$41</f>
        <v>Probation</v>
      </c>
      <c r="L114" s="231" t="str">
        <f aca="false">'NSFAS Student Tracking'!$Z$41</f>
        <v>High Risk</v>
      </c>
      <c r="M114" s="231" t="str">
        <f aca="false">'NSFAS Student Tracking'!$AB$41</f>
        <v>KwaZulu-Natal</v>
      </c>
    </row>
    <row r="115" customFormat="false" ht="15" hidden="false" customHeight="true" outlineLevel="0" collapsed="false">
      <c r="A115" s="52" t="str">
        <f aca="false">'NSFAS Student Tracking'!$A$42</f>
        <v>TU-PHD-2024-0079</v>
      </c>
      <c r="B115" s="52" t="str">
        <f aca="false">'NSFAS Student Tracking'!$B$42</f>
        <v>Vusi Maseko</v>
      </c>
      <c r="C115" s="231" t="str">
        <f aca="false">'NSFAS Student Tracking'!$C$42</f>
        <v>PhD by Research</v>
      </c>
      <c r="D115" s="231" t="str">
        <f aca="false">'NSFAS Student Tracking'!$E$42</f>
        <v>Year 2</v>
      </c>
      <c r="E115" s="231" t="str">
        <f aca="false">'NSFAS Student Tracking'!$F$42</f>
        <v>Fully Funded</v>
      </c>
      <c r="F115" s="232" t="n">
        <f aca="false">'NSFAS Student Tracking'!$P$42</f>
        <v>341500</v>
      </c>
      <c r="G115" s="232" t="n">
        <f aca="false">'NSFAS Student Tracking'!$Q$42</f>
        <v>341500</v>
      </c>
      <c r="H115" s="232" t="n">
        <f aca="false">'NSFAS Student Tracking'!$R$42</f>
        <v>0</v>
      </c>
      <c r="I115" s="233" t="n">
        <f aca="false">'NSFAS Student Tracking'!$S$42</f>
        <v>3.8</v>
      </c>
      <c r="J115" s="231" t="n">
        <f aca="false">'NSFAS Student Tracking'!$U$42</f>
        <v>94</v>
      </c>
      <c r="K115" s="231" t="str">
        <f aca="false">'NSFAS Student Tracking'!$V$42</f>
        <v>Good Standing</v>
      </c>
      <c r="L115" s="231" t="str">
        <f aca="false">'NSFAS Student Tracking'!$Z$42</f>
        <v>Low Risk</v>
      </c>
      <c r="M115" s="231" t="str">
        <f aca="false">'NSFAS Student Tracking'!$AB$42</f>
        <v>KwaZulu-Natal</v>
      </c>
    </row>
    <row r="116" customFormat="false" ht="15" hidden="false" customHeight="true" outlineLevel="0" collapsed="false">
      <c r="A116" s="52" t="str">
        <f aca="false">'NSFAS Student Tracking'!$A$43</f>
        <v>TU-PHD-2023-0080</v>
      </c>
      <c r="B116" s="52" t="str">
        <f aca="false">'NSFAS Student Tracking'!$B$43</f>
        <v>Thandeka Buthelezi</v>
      </c>
      <c r="C116" s="231" t="str">
        <f aca="false">'NSFAS Student Tracking'!$C$43</f>
        <v>PhD by Research</v>
      </c>
      <c r="D116" s="231" t="str">
        <f aca="false">'NSFAS Student Tracking'!$E$43</f>
        <v>Year 3</v>
      </c>
      <c r="E116" s="231" t="str">
        <f aca="false">'NSFAS Student Tracking'!$F$43</f>
        <v>Fully Funded</v>
      </c>
      <c r="F116" s="232" t="n">
        <f aca="false">'NSFAS Student Tracking'!$P$43</f>
        <v>380000</v>
      </c>
      <c r="G116" s="232" t="n">
        <f aca="false">'NSFAS Student Tracking'!$Q$43</f>
        <v>380000</v>
      </c>
      <c r="H116" s="232" t="n">
        <f aca="false">'NSFAS Student Tracking'!$R$43</f>
        <v>0</v>
      </c>
      <c r="I116" s="233" t="n">
        <f aca="false">'NSFAS Student Tracking'!$S$43</f>
        <v>3.55</v>
      </c>
      <c r="J116" s="231" t="n">
        <f aca="false">'NSFAS Student Tracking'!$U$43</f>
        <v>89</v>
      </c>
      <c r="K116" s="231" t="str">
        <f aca="false">'NSFAS Student Tracking'!$V$43</f>
        <v>Good Standing</v>
      </c>
      <c r="L116" s="231" t="str">
        <f aca="false">'NSFAS Student Tracking'!$Z$43</f>
        <v>Low Risk</v>
      </c>
      <c r="M116" s="231" t="str">
        <f aca="false">'NSFAS Student Tracking'!$AB$43</f>
        <v>Gauteng</v>
      </c>
    </row>
    <row r="117" customFormat="false" ht="15" hidden="false" customHeight="true" outlineLevel="0" collapsed="false">
      <c r="A117" s="52" t="str">
        <f aca="false">'NSFAS Student Tracking'!$A$44</f>
        <v>TU-PG-2025-0081</v>
      </c>
      <c r="B117" s="52" t="str">
        <f aca="false">'NSFAS Student Tracking'!$B$44</f>
        <v>Given Mthembu</v>
      </c>
      <c r="C117" s="231" t="str">
        <f aca="false">'NSFAS Student Tracking'!$C$44</f>
        <v>MA (Coursework)</v>
      </c>
      <c r="D117" s="231" t="str">
        <f aca="false">'NSFAS Student Tracking'!$E$44</f>
        <v>Year 1</v>
      </c>
      <c r="E117" s="231" t="str">
        <f aca="false">'NSFAS Student Tracking'!$F$44</f>
        <v>Funding Discontinued</v>
      </c>
      <c r="F117" s="232" t="n">
        <f aca="false">'NSFAS Student Tracking'!$P$44</f>
        <v>270000</v>
      </c>
      <c r="G117" s="232" t="n">
        <f aca="false">'NSFAS Student Tracking'!$Q$44</f>
        <v>108000</v>
      </c>
      <c r="H117" s="232" t="n">
        <f aca="false">'NSFAS Student Tracking'!$R$44</f>
        <v>82000</v>
      </c>
      <c r="I117" s="233" t="n">
        <f aca="false">'NSFAS Student Tracking'!$S$44</f>
        <v>2.75</v>
      </c>
      <c r="J117" s="231" t="n">
        <f aca="false">'NSFAS Student Tracking'!$U$44</f>
        <v>61</v>
      </c>
      <c r="K117" s="231" t="str">
        <f aca="false">'NSFAS Student Tracking'!$V$44</f>
        <v>Suspended</v>
      </c>
      <c r="L117" s="231" t="str">
        <f aca="false">'NSFAS Student Tracking'!$Z$44</f>
        <v>Critical — Funding Discontinued</v>
      </c>
      <c r="M117" s="231" t="str">
        <f aca="false">'NSFAS Student Tracking'!$AB$44</f>
        <v>Gauteng</v>
      </c>
    </row>
    <row r="119" customFormat="false" ht="15" hidden="false" customHeight="true" outlineLevel="0" collapsed="false">
      <c r="A119" s="246" t="s">
        <v>4675</v>
      </c>
    </row>
  </sheetData>
  <mergeCells count="36">
    <mergeCell ref="A1:L1"/>
    <mergeCell ref="A2:L2"/>
    <mergeCell ref="A4:L4"/>
    <mergeCell ref="A5:B5"/>
    <mergeCell ref="C5:D5"/>
    <mergeCell ref="E5:F5"/>
    <mergeCell ref="G5:H5"/>
    <mergeCell ref="I5:J5"/>
    <mergeCell ref="K5:L5"/>
    <mergeCell ref="A6:B6"/>
    <mergeCell ref="C6:D6"/>
    <mergeCell ref="E6:F6"/>
    <mergeCell ref="G6:H6"/>
    <mergeCell ref="I6:J6"/>
    <mergeCell ref="K6:L6"/>
    <mergeCell ref="A8:B8"/>
    <mergeCell ref="C8:D8"/>
    <mergeCell ref="E8:F8"/>
    <mergeCell ref="G8:H8"/>
    <mergeCell ref="I8:J8"/>
    <mergeCell ref="K8:L8"/>
    <mergeCell ref="A9:B9"/>
    <mergeCell ref="C9:D9"/>
    <mergeCell ref="E9:F9"/>
    <mergeCell ref="G9:H9"/>
    <mergeCell ref="I9:J9"/>
    <mergeCell ref="K9:L9"/>
    <mergeCell ref="A11:E11"/>
    <mergeCell ref="A18:B18"/>
    <mergeCell ref="A24:B24"/>
    <mergeCell ref="A31:D31"/>
    <mergeCell ref="A36:B36"/>
    <mergeCell ref="A45:D45"/>
    <mergeCell ref="A57:D57"/>
    <mergeCell ref="A69:C69"/>
    <mergeCell ref="A76:M76"/>
  </mergeCells>
  <conditionalFormatting sqref="L78:L117">
    <cfRule type="cellIs" priority="2" operator="equal" aboveAverage="0" equalAverage="0" bottom="0" percent="0" rank="0" text="" dxfId="0">
      <formula>"Critical — Funding Discontinued"</formula>
    </cfRule>
    <cfRule type="cellIs" priority="3" operator="equal" aboveAverage="0" equalAverage="0" bottom="0" percent="0" rank="0" text="" dxfId="1">
      <formula>"High Risk"</formula>
    </cfRule>
  </conditionalFormatting>
  <conditionalFormatting sqref="I78:I117">
    <cfRule type="colorScale" priority="4">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2026-04-15T09:55:39Z</dcterms:created>
  <dc:creator>openpyxl</dc:creator>
  <dc:description/>
  <dc:language>en-US</dc:language>
  <cp:lastModifiedBy>Stephen Gaita</cp:lastModifiedBy>
  <dcterms:modified xsi:type="dcterms:W3CDTF">2026-09-16T10:30:09Z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