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projects\templumIS\data\"/>
    </mc:Choice>
  </mc:AlternateContent>
  <xr:revisionPtr revIDLastSave="0" documentId="13_ncr:1_{CC988185-C95D-4A3A-87E3-C01EC8141B71}" xr6:coauthVersionLast="47" xr6:coauthVersionMax="47" xr10:uidLastSave="{00000000-0000-0000-0000-000000000000}"/>
  <bookViews>
    <workbookView xWindow="-120" yWindow="-120" windowWidth="29040" windowHeight="15720" tabRatio="500" firstSheet="2" activeTab="8" xr2:uid="{00000000-000D-0000-FFFF-FFFF00000000}"/>
  </bookViews>
  <sheets>
    <sheet name="Students" sheetId="1" r:id="rId1"/>
    <sheet name="Courses" sheetId="2" r:id="rId2"/>
    <sheet name="Enrolments" sheetId="3" r:id="rId3"/>
    <sheet name="Grades" sheetId="4" r:id="rId4"/>
    <sheet name="Attendance" sheetId="5" r:id="rId5"/>
    <sheet name="Fee Records" sheetId="6" r:id="rId6"/>
    <sheet name="Payments" sheetId="7" r:id="rId7"/>
    <sheet name="Scholarships" sheetId="8" r:id="rId8"/>
    <sheet name="Dashboard" sheetId="10" r:id="rId9"/>
    <sheet name="Journey Tracker" sheetId="11" r:id="rId10"/>
    <sheet name="Rankings Dashboard" sheetId="12" r:id="rId11"/>
    <sheet name="PG Research Tracker" sheetId="13" r:id="rId12"/>
    <sheet name="PG Academic Support" sheetId="14" r:id="rId13"/>
    <sheet name="Library Resources" sheetId="15" r:id="rId14"/>
    <sheet name="PhD Journey Tracker" sheetId="16" r:id="rId15"/>
    <sheet name="PhD Academic Support" sheetId="17" r:id="rId16"/>
  </sheets>
  <calcPr calcId="191029" iterateDelta="1E-4"/>
</workbook>
</file>

<file path=xl/calcChain.xml><?xml version="1.0" encoding="utf-8"?>
<calcChain xmlns="http://schemas.openxmlformats.org/spreadsheetml/2006/main">
  <c r="D19" i="10" l="1"/>
  <c r="D18" i="10"/>
  <c r="D17" i="10"/>
  <c r="D16" i="10"/>
  <c r="D12" i="10"/>
  <c r="D11" i="10"/>
  <c r="D10" i="10"/>
  <c r="D9" i="10"/>
  <c r="J41" i="6"/>
  <c r="L41" i="6" s="1"/>
  <c r="J40" i="6"/>
  <c r="L40" i="6" s="1"/>
  <c r="J39" i="6"/>
  <c r="L39" i="6" s="1"/>
  <c r="L38" i="6"/>
  <c r="J38" i="6"/>
  <c r="J37" i="6"/>
  <c r="L37" i="6" s="1"/>
  <c r="J36" i="6"/>
  <c r="L36" i="6" s="1"/>
  <c r="J35" i="6"/>
  <c r="L35" i="6" s="1"/>
  <c r="L34" i="6"/>
  <c r="J34" i="6"/>
  <c r="J33" i="6"/>
  <c r="L33" i="6" s="1"/>
  <c r="J32" i="6"/>
  <c r="L32" i="6" s="1"/>
  <c r="J31" i="6"/>
  <c r="L31" i="6" s="1"/>
  <c r="L30" i="6"/>
  <c r="J30" i="6"/>
  <c r="J29" i="6"/>
  <c r="L29" i="6" s="1"/>
  <c r="J28" i="6"/>
  <c r="L28" i="6" s="1"/>
  <c r="J27" i="6"/>
  <c r="L27" i="6" s="1"/>
  <c r="L26" i="6"/>
  <c r="J26" i="6"/>
  <c r="J25" i="6"/>
  <c r="L25" i="6" s="1"/>
  <c r="J24" i="6"/>
  <c r="L24" i="6" s="1"/>
  <c r="J23" i="6"/>
  <c r="L23" i="6" s="1"/>
  <c r="L22" i="6"/>
  <c r="J22" i="6"/>
  <c r="J21" i="6"/>
  <c r="L21" i="6" s="1"/>
  <c r="J20" i="6"/>
  <c r="L20" i="6" s="1"/>
  <c r="J19" i="6"/>
  <c r="L19" i="6" s="1"/>
  <c r="L18" i="6"/>
  <c r="J18" i="6"/>
  <c r="J17" i="6"/>
  <c r="L17" i="6" s="1"/>
  <c r="J16" i="6"/>
  <c r="L16" i="6" s="1"/>
  <c r="J15" i="6"/>
  <c r="L15" i="6" s="1"/>
  <c r="L14" i="6"/>
  <c r="J14" i="6"/>
  <c r="J13" i="6"/>
  <c r="L13" i="6" s="1"/>
  <c r="J12" i="6"/>
  <c r="L12" i="6" s="1"/>
  <c r="J11" i="6"/>
  <c r="L11" i="6" s="1"/>
  <c r="L10" i="6"/>
  <c r="J10" i="6"/>
  <c r="J9" i="6"/>
  <c r="L9" i="6" s="1"/>
  <c r="J8" i="6"/>
  <c r="L8" i="6" s="1"/>
  <c r="J7" i="6"/>
  <c r="L7" i="6" s="1"/>
  <c r="L6" i="6"/>
  <c r="J6" i="6"/>
  <c r="J5" i="6"/>
  <c r="L5" i="6" s="1"/>
  <c r="J17" i="5"/>
  <c r="J16" i="5"/>
  <c r="J15" i="5"/>
  <c r="J14" i="5"/>
  <c r="J13" i="5"/>
  <c r="J12" i="5"/>
  <c r="J11" i="5"/>
  <c r="J10" i="5"/>
  <c r="J9" i="5"/>
  <c r="J8" i="5"/>
  <c r="J7" i="5"/>
  <c r="J6" i="5"/>
  <c r="J5" i="5"/>
  <c r="J4" i="5"/>
  <c r="J3" i="5"/>
  <c r="J2" i="5"/>
  <c r="B19" i="10" s="1"/>
  <c r="L46" i="6" l="1"/>
</calcChain>
</file>

<file path=xl/sharedStrings.xml><?xml version="1.0" encoding="utf-8"?>
<sst xmlns="http://schemas.openxmlformats.org/spreadsheetml/2006/main" count="6367" uniqueCount="2224">
  <si>
    <t>student_id</t>
  </si>
  <si>
    <t>full_name</t>
  </si>
  <si>
    <t>gender</t>
  </si>
  <si>
    <t>date_of_birth</t>
  </si>
  <si>
    <t>email</t>
  </si>
  <si>
    <t>phone</t>
  </si>
  <si>
    <t>program</t>
  </si>
  <si>
    <t>major</t>
  </si>
  <si>
    <t>department</t>
  </si>
  <si>
    <t>year_of_study</t>
  </si>
  <si>
    <t>gpa</t>
  </si>
  <si>
    <t>credit_hours_earned</t>
  </si>
  <si>
    <t>status</t>
  </si>
  <si>
    <t>nationality</t>
  </si>
  <si>
    <t>enrollment_date</t>
  </si>
  <si>
    <t>expected_graduation</t>
  </si>
  <si>
    <t>Student Type</t>
  </si>
  <si>
    <t>Programme Level</t>
  </si>
  <si>
    <t>Journey Stage</t>
  </si>
  <si>
    <t>Current Semester</t>
  </si>
  <si>
    <t>Fees Status</t>
  </si>
  <si>
    <t>Fees Balance (KES)</t>
  </si>
  <si>
    <t>Academic Standing</t>
  </si>
  <si>
    <t>Last Standing Review</t>
  </si>
  <si>
    <t>Dissertation Title</t>
  </si>
  <si>
    <t>Dissertation Status</t>
  </si>
  <si>
    <t>Graduation Clearance</t>
  </si>
  <si>
    <t>Actual Graduation Date</t>
  </si>
  <si>
    <t>Programme Advisor / Supervisor</t>
  </si>
  <si>
    <t>Co-Supervisor</t>
  </si>
  <si>
    <t>Specialisation / Research Area</t>
  </si>
  <si>
    <t>Expected Defense / Completion</t>
  </si>
  <si>
    <t>Milestones Achieved</t>
  </si>
  <si>
    <t>Next Milestone</t>
  </si>
  <si>
    <t>Research / Capstone Output</t>
  </si>
  <si>
    <t>TU-2021-0001</t>
  </si>
  <si>
    <t>Amelia Odhiambo</t>
  </si>
  <si>
    <t>Female</t>
  </si>
  <si>
    <t>2001-03-12</t>
  </si>
  <si>
    <t>a.odhiambo@templumis.ac</t>
  </si>
  <si>
    <t>+254712345001</t>
  </si>
  <si>
    <t>BSc</t>
  </si>
  <si>
    <t>Computer Science</t>
  </si>
  <si>
    <t>School of Computing</t>
  </si>
  <si>
    <t>Year 3</t>
  </si>
  <si>
    <t>Active</t>
  </si>
  <si>
    <t>Kenyan</t>
  </si>
  <si>
    <t>2021-09-05</t>
  </si>
  <si>
    <t>2025-06-30</t>
  </si>
  <si>
    <t>Undergraduate</t>
  </si>
  <si>
    <t>3. Progressing — Year 3</t>
  </si>
  <si>
    <t>Sem 6</t>
  </si>
  <si>
    <t>Paid</t>
  </si>
  <si>
    <t>Good Standing</t>
  </si>
  <si>
    <t>2024-01-15</t>
  </si>
  <si>
    <t>N/A</t>
  </si>
  <si>
    <t>Not Yet</t>
  </si>
  <si>
    <t>TU-2022-0002</t>
  </si>
  <si>
    <t>Brian Mwangi</t>
  </si>
  <si>
    <t>Male</t>
  </si>
  <si>
    <t>2002-07-22</t>
  </si>
  <si>
    <t>b.mwangi@templumis.ac</t>
  </si>
  <si>
    <t>+254712345002</t>
  </si>
  <si>
    <t>BA</t>
  </si>
  <si>
    <t>Economics</t>
  </si>
  <si>
    <t>School of Business</t>
  </si>
  <si>
    <t>Year 2</t>
  </si>
  <si>
    <t>2022-09-05</t>
  </si>
  <si>
    <t>2026-06-30</t>
  </si>
  <si>
    <t>2. Progressing — Year 2</t>
  </si>
  <si>
    <t>Sem 4</t>
  </si>
  <si>
    <t>TU-2020-0003</t>
  </si>
  <si>
    <t>Claire Nakato</t>
  </si>
  <si>
    <t>2000-11-05</t>
  </si>
  <si>
    <t>c.nakato@templumis.ac</t>
  </si>
  <si>
    <t>+256712345003</t>
  </si>
  <si>
    <t>Civil Engineering</t>
  </si>
  <si>
    <t>School of Engineering</t>
  </si>
  <si>
    <t>Year 4</t>
  </si>
  <si>
    <t>Ugandan</t>
  </si>
  <si>
    <t>2020-09-07</t>
  </si>
  <si>
    <t>2024-06-30</t>
  </si>
  <si>
    <t>4. Final Year — Pre-Clearance</t>
  </si>
  <si>
    <t>Sem 8</t>
  </si>
  <si>
    <t>In Progress</t>
  </si>
  <si>
    <t>TU-2019-0004</t>
  </si>
  <si>
    <t>David Mensah</t>
  </si>
  <si>
    <t>1999-04-18</t>
  </si>
  <si>
    <t>d.mensah@templumis.ac</t>
  </si>
  <si>
    <t>+233712345004</t>
  </si>
  <si>
    <t>Nursing</t>
  </si>
  <si>
    <t>School of Health Sciences</t>
  </si>
  <si>
    <t>Graduated</t>
  </si>
  <si>
    <t>Ghanaian</t>
  </si>
  <si>
    <t>2019-09-02</t>
  </si>
  <si>
    <t>6. Graduated ✓</t>
  </si>
  <si>
    <t>Completed</t>
  </si>
  <si>
    <t>Cleared</t>
  </si>
  <si>
    <t>Approved</t>
  </si>
  <si>
    <t>2023-11-10</t>
  </si>
  <si>
    <t>TU-2023-0005</t>
  </si>
  <si>
    <t>Esther Wanjiku</t>
  </si>
  <si>
    <t>2003-09-30</t>
  </si>
  <si>
    <t>e.wanjiku@templumis.ac</t>
  </si>
  <si>
    <t>+254712345005</t>
  </si>
  <si>
    <t>Mathematics</t>
  </si>
  <si>
    <t>School of Science</t>
  </si>
  <si>
    <t>Year 1</t>
  </si>
  <si>
    <t>Probation</t>
  </si>
  <si>
    <t>2023-09-04</t>
  </si>
  <si>
    <t>2027-06-30</t>
  </si>
  <si>
    <t>⚠ Academic Review — Probation</t>
  </si>
  <si>
    <t>Sem 2</t>
  </si>
  <si>
    <t>Partial</t>
  </si>
  <si>
    <t>2023-12-01</t>
  </si>
  <si>
    <t>Blocked</t>
  </si>
  <si>
    <t>TU-2021-0006</t>
  </si>
  <si>
    <t>Felix Otieno</t>
  </si>
  <si>
    <t>2001-01-14</t>
  </si>
  <si>
    <t>f.otieno@templumis.ac</t>
  </si>
  <si>
    <t>+254712345006</t>
  </si>
  <si>
    <t>BEd</t>
  </si>
  <si>
    <t>Education</t>
  </si>
  <si>
    <t>School of Education</t>
  </si>
  <si>
    <t>TU-2022-0007</t>
  </si>
  <si>
    <t>Grace Auma</t>
  </si>
  <si>
    <t>2002-06-08</t>
  </si>
  <si>
    <t>g.auma@templumis.ac</t>
  </si>
  <si>
    <t>+254712345007</t>
  </si>
  <si>
    <t>Biochemistry</t>
  </si>
  <si>
    <t>2022-09-06</t>
  </si>
  <si>
    <t>TU-2020-0008</t>
  </si>
  <si>
    <t>Hassan Abdi</t>
  </si>
  <si>
    <t>2000-12-20</t>
  </si>
  <si>
    <t>h.abdi@templumis.ac</t>
  </si>
  <si>
    <t>+252712345008</t>
  </si>
  <si>
    <t>LLB</t>
  </si>
  <si>
    <t>Law</t>
  </si>
  <si>
    <t>School of Law</t>
  </si>
  <si>
    <t>Somali</t>
  </si>
  <si>
    <t>TU-2021-0009</t>
  </si>
  <si>
    <t>Ivy Njeri</t>
  </si>
  <si>
    <t>2001-08-03</t>
  </si>
  <si>
    <t>i.njeri@templumis.ac</t>
  </si>
  <si>
    <t>+254712345009</t>
  </si>
  <si>
    <t>BComm</t>
  </si>
  <si>
    <t>Accounting</t>
  </si>
  <si>
    <t>On Leave</t>
  </si>
  <si>
    <t>⏸ Deferred — On Leave</t>
  </si>
  <si>
    <t>Deferred</t>
  </si>
  <si>
    <t>TU-2023-0010</t>
  </si>
  <si>
    <t>James Kibaki</t>
  </si>
  <si>
    <t>2003-02-25</t>
  </si>
  <si>
    <t>j.kibaki@templumis.ac</t>
  </si>
  <si>
    <t>+254712345010</t>
  </si>
  <si>
    <t>Information Technology</t>
  </si>
  <si>
    <t>1. Enrolled &amp; Orientated</t>
  </si>
  <si>
    <t>TU-2022-0011</t>
  </si>
  <si>
    <t>Kezia Moraa</t>
  </si>
  <si>
    <t>2002-10-11</t>
  </si>
  <si>
    <t>k.moraa@templumis.ac</t>
  </si>
  <si>
    <t>+254712345011</t>
  </si>
  <si>
    <t>Environmental Science</t>
  </si>
  <si>
    <t>TU-2019-0012</t>
  </si>
  <si>
    <t>Liam Okonkwo</t>
  </si>
  <si>
    <t>1999-05-17</t>
  </si>
  <si>
    <t>l.okonkwo@templumis.ac</t>
  </si>
  <si>
    <t>+234712345012</t>
  </si>
  <si>
    <t>Electrical Engineering</t>
  </si>
  <si>
    <t>Nigerian</t>
  </si>
  <si>
    <t>TU-2021-0013</t>
  </si>
  <si>
    <t>Mary Adhiambo</t>
  </si>
  <si>
    <t>2001-07-29</t>
  </si>
  <si>
    <t>m.adhiambo@templumis.ac</t>
  </si>
  <si>
    <t>+254712345013</t>
  </si>
  <si>
    <t>Sociology</t>
  </si>
  <si>
    <t>School of Social Sciences</t>
  </si>
  <si>
    <t>TU-2020-0014</t>
  </si>
  <si>
    <t>Noel Kiprotich</t>
  </si>
  <si>
    <t>2000-03-06</t>
  </si>
  <si>
    <t>n.kiprotich@templumis.ac</t>
  </si>
  <si>
    <t>+254712345014</t>
  </si>
  <si>
    <t>BPharm</t>
  </si>
  <si>
    <t>Pharmacy</t>
  </si>
  <si>
    <t>Suspended</t>
  </si>
  <si>
    <t>⚠ Academic Hold — Suspended</t>
  </si>
  <si>
    <t>Overdue</t>
  </si>
  <si>
    <t>TU-2023-0015</t>
  </si>
  <si>
    <t>Olivia Achieng</t>
  </si>
  <si>
    <t>2003-11-15</t>
  </si>
  <si>
    <t>o.achieng@templumis.ac</t>
  </si>
  <si>
    <t>+254712345015</t>
  </si>
  <si>
    <t>Communication</t>
  </si>
  <si>
    <t>School of Arts</t>
  </si>
  <si>
    <t>TU-2022-0016</t>
  </si>
  <si>
    <t>Patrick Owino</t>
  </si>
  <si>
    <t>2002-04-02</t>
  </si>
  <si>
    <t>p.owino@templumis.ac</t>
  </si>
  <si>
    <t>+254712345016</t>
  </si>
  <si>
    <t>Statistics</t>
  </si>
  <si>
    <t>TU-2021-0017</t>
  </si>
  <si>
    <t>Queenie Mugo</t>
  </si>
  <si>
    <t>2001-09-19</t>
  </si>
  <si>
    <t>q.mugo@templumis.ac</t>
  </si>
  <si>
    <t>+254712345017</t>
  </si>
  <si>
    <t>TU-2020-0018</t>
  </si>
  <si>
    <t>Robert Dlamini</t>
  </si>
  <si>
    <t>2000-06-23</t>
  </si>
  <si>
    <t>r.dlamini@templumis.ac</t>
  </si>
  <si>
    <t>+268712345018</t>
  </si>
  <si>
    <t>Science Education</t>
  </si>
  <si>
    <t>Swazi</t>
  </si>
  <si>
    <t>TU-2023-0019</t>
  </si>
  <si>
    <t>Sandra Chebet</t>
  </si>
  <si>
    <t>2003-01-08</t>
  </si>
  <si>
    <t>s.chebet@templumis.ac</t>
  </si>
  <si>
    <t>+254712345019</t>
  </si>
  <si>
    <t>Nutrition</t>
  </si>
  <si>
    <t>TU-2022-0020</t>
  </si>
  <si>
    <t>Tunde Adeyemi</t>
  </si>
  <si>
    <t>2002-08-14</t>
  </si>
  <si>
    <t>t.adeyemi@templumis.ac</t>
  </si>
  <si>
    <t>+234712345020</t>
  </si>
  <si>
    <t>TU-2021-0021</t>
  </si>
  <si>
    <t>Uchenna Eze</t>
  </si>
  <si>
    <t>2001-12-01</t>
  </si>
  <si>
    <t>u.eze@templumis.ac</t>
  </si>
  <si>
    <t>+234712345021</t>
  </si>
  <si>
    <t>Political Science</t>
  </si>
  <si>
    <t>TU-2019-0022</t>
  </si>
  <si>
    <t>Vivian Kamau</t>
  </si>
  <si>
    <t>1999-07-27</t>
  </si>
  <si>
    <t>v.kamau@templumis.ac</t>
  </si>
  <si>
    <t>+254712345022</t>
  </si>
  <si>
    <t>TU-2023-0023</t>
  </si>
  <si>
    <t>William Barasa</t>
  </si>
  <si>
    <t>2003-05-10</t>
  </si>
  <si>
    <t>w.barasa@templumis.ac</t>
  </si>
  <si>
    <t>+254712345023</t>
  </si>
  <si>
    <t>Finance</t>
  </si>
  <si>
    <t>TU-2022-0024</t>
  </si>
  <si>
    <t>Xena Mutua</t>
  </si>
  <si>
    <t>2002-02-18</t>
  </si>
  <si>
    <t>x.mutua@templumis.ac</t>
  </si>
  <si>
    <t>+254712345024</t>
  </si>
  <si>
    <t>TU-2023-0025</t>
  </si>
  <si>
    <t>Stephen Gaita Gaikia</t>
  </si>
  <si>
    <t>2003-06-17</t>
  </si>
  <si>
    <t>s.gaikia@templumis.ac</t>
  </si>
  <si>
    <t>+254712345025</t>
  </si>
  <si>
    <t>In Arrears</t>
  </si>
  <si>
    <t>TU-PG-2022-0026</t>
  </si>
  <si>
    <t>Amara Diallo</t>
  </si>
  <si>
    <t>1996-03-15</t>
  </si>
  <si>
    <t>a.diallo@templumis.ac</t>
  </si>
  <si>
    <t>+221712345026</t>
  </si>
  <si>
    <t>MSc</t>
  </si>
  <si>
    <t>Data Science</t>
  </si>
  <si>
    <t>Senegalese</t>
  </si>
  <si>
    <t>Postgraduate</t>
  </si>
  <si>
    <t>MSc (Coursework)</t>
  </si>
  <si>
    <t>3. PG Final Semester — Pre-Graduation</t>
  </si>
  <si>
    <t>Ms. Cynthia Aluoch</t>
  </si>
  <si>
    <t>Dr. Kevin Otiato (JKUAT, External)</t>
  </si>
  <si>
    <t>Data Science — Urban Mobility &amp; Smart City Analytics</t>
  </si>
  <si>
    <t>Coursework Yr1 ✓ | Yr2 ✓ | Capstone Proposal Approved ✓ | Data Analysis In Progress</t>
  </si>
  <si>
    <t>Final Capstone Report Submission</t>
  </si>
  <si>
    <t>N/A (Coursework Track)</t>
  </si>
  <si>
    <t>TU-PG-2023-0027</t>
  </si>
  <si>
    <t>Benjamin Kamto</t>
  </si>
  <si>
    <t>1994-07-22</t>
  </si>
  <si>
    <t>b.kamto@templumis.ac</t>
  </si>
  <si>
    <t>+237712345027</t>
  </si>
  <si>
    <t>MBA</t>
  </si>
  <si>
    <t>Business Administration</t>
  </si>
  <si>
    <t>Cameroonian</t>
  </si>
  <si>
    <t>MBA (Coursework)</t>
  </si>
  <si>
    <t>1. PG Enrolled — Coursework Phase</t>
  </si>
  <si>
    <t>Prof. Wambua Simiyu</t>
  </si>
  <si>
    <t>MBA — Marketing Analytics &amp; Consumer Behaviour</t>
  </si>
  <si>
    <t>Orientation ✓ | Semester 1 Coursework ✓</t>
  </si>
  <si>
    <t>Semester 2 Coursework Completion</t>
  </si>
  <si>
    <t>N/A (Coursework Phase)</t>
  </si>
  <si>
    <t>TU-PG-2022-0028</t>
  </si>
  <si>
    <t>Celestine Awino</t>
  </si>
  <si>
    <t>1995-11-05</t>
  </si>
  <si>
    <t>c.awino@templumis.ac</t>
  </si>
  <si>
    <t>+254712345028</t>
  </si>
  <si>
    <t>MA</t>
  </si>
  <si>
    <t>MA (Coursework)</t>
  </si>
  <si>
    <t>4. Graduated ✓</t>
  </si>
  <si>
    <t>2023-11-01</t>
  </si>
  <si>
    <t>MA Economics — International Trade &amp; Regional Integration</t>
  </si>
  <si>
    <t>All Milestones Complete ✓ | Capstone Defended ✓ | Graduated</t>
  </si>
  <si>
    <t>N/A — Graduated</t>
  </si>
  <si>
    <t>Capstone: Kenya's Export Diversification &amp; EAC Trade Agreements (2024)</t>
  </si>
  <si>
    <t>TU-PG-2023-0029</t>
  </si>
  <si>
    <t>Derrick Ssempa</t>
  </si>
  <si>
    <t>1997-04-18</t>
  </si>
  <si>
    <t>d.ssempa@templumis.ac</t>
  </si>
  <si>
    <t>+256712345029</t>
  </si>
  <si>
    <t>Dr. Sasha Mutinda</t>
  </si>
  <si>
    <t>MSc Environmental Science — Climate Change &amp; Sustainability</t>
  </si>
  <si>
    <t>Orientation ✓ | Semester 1 Completed (Probation)</t>
  </si>
  <si>
    <t>Semester 2 — Achieve GPA ≥ 3.00 to Continue Programme</t>
  </si>
  <si>
    <t>N/A — Academic Review Phase</t>
  </si>
  <si>
    <t>TU-PG-2022-0030</t>
  </si>
  <si>
    <t>Faith Onyango</t>
  </si>
  <si>
    <t>1996-09-30</t>
  </si>
  <si>
    <t>f.onyango@templumis.ac</t>
  </si>
  <si>
    <t>+254712345030</t>
  </si>
  <si>
    <t>Ms. Abigael Ndungu</t>
  </si>
  <si>
    <t>Dr. Zawadi Amani (School of Social Sciences)</t>
  </si>
  <si>
    <t>MA Communication — Digital Media &amp; Political Engagement in Africa</t>
  </si>
  <si>
    <t>Coursework Yr1 ✓ | Yr2 ✓ | Capstone Proposal Approved ✓</t>
  </si>
  <si>
    <t>TU-PG-2023-0031</t>
  </si>
  <si>
    <t>George Nkosi</t>
  </si>
  <si>
    <t>1993-02-14</t>
  </si>
  <si>
    <t>g.nkosi@templumis.ac</t>
  </si>
  <si>
    <t>+27712345031</t>
  </si>
  <si>
    <t>Strategic Management</t>
  </si>
  <si>
    <t>South African</t>
  </si>
  <si>
    <t>MBA — Strategic Management &amp; Organisational Leadership</t>
  </si>
  <si>
    <t>Semester 2 Coursework + Capstone Topic Selection</t>
  </si>
  <si>
    <t>TU-PG-2021-0032</t>
  </si>
  <si>
    <t>Helen Mutuku</t>
  </si>
  <si>
    <t>1995-07-03</t>
  </si>
  <si>
    <t>h.mutuku@templumis.ac</t>
  </si>
  <si>
    <t>+254712345032</t>
  </si>
  <si>
    <t>MSc by Research</t>
  </si>
  <si>
    <t>2021-09-06</t>
  </si>
  <si>
    <t>4. Thesis Writing Phase</t>
  </si>
  <si>
    <t>Research Year 3</t>
  </si>
  <si>
    <t>Novel Enzyme Inhibitors in Malaria Parasite Metabolism</t>
  </si>
  <si>
    <t>Writing</t>
  </si>
  <si>
    <t>Prof. Margaret Wangari</t>
  </si>
  <si>
    <t>Dr. Daniel Njomo (KEMRI, External)</t>
  </si>
  <si>
    <t>MSc Biochemistry — Antimalarial Drug Discovery &amp; Enzyme Inhibition</t>
  </si>
  <si>
    <t>Registered ✓ | Lit Review ✓ | Lab Work ✓ | Analysis ✓ | ⚠ CHALLENGE: Ch.3 Major Revision Required — Kinetic Model Error | Chs 1–2 Supervisor-Approved</t>
  </si>
  <si>
    <t>⚠ CASE-PG-001 ACTIVE: (1) Re-run Ch.3 kinetics using Hill Equation (not Michaelis-Menten) | (2) Secure interim co-supervisor (Dr. Ouma) | (3) Rebook LC-MS/MS (March 2024) | Revised viva: Oct 2024</t>
  </si>
  <si>
    <t>Conference Paper: E. Africa Biochem Symposium 2024 | ⚠ Viva postponed June → October 2024 due to Ch.3 major revision requirement</t>
  </si>
  <si>
    <t>TU-PG-2022-0033</t>
  </si>
  <si>
    <t>Ibrahim Hassan</t>
  </si>
  <si>
    <t>1996-12-20</t>
  </si>
  <si>
    <t>i.hassan@templumis.ac</t>
  </si>
  <si>
    <t>+251712345033</t>
  </si>
  <si>
    <t>Ethiopian</t>
  </si>
  <si>
    <t>3. Data Collection &amp; Analysis Phase</t>
  </si>
  <si>
    <t>Research Year 2</t>
  </si>
  <si>
    <t>AI-Based Crop Disease Detection Using UAV Imagery</t>
  </si>
  <si>
    <t>Data Collection</t>
  </si>
  <si>
    <t>Dr. Kamande Njoroge</t>
  </si>
  <si>
    <t>Prof. James Mwema (School of Engineering)</t>
  </si>
  <si>
    <t>MSc CS — Computer Vision &amp; Precision Agriculture (UAV-Based Systems)</t>
  </si>
  <si>
    <t>Registered ✓ | Lit Review ✓ | ⚠ CHALLENGE: UAV Dataset 31% Unusable (345/500 images valid) | CNN Model Training PAUSED — Dataset rebuild + ethics amendment required</t>
  </si>
  <si>
    <t>⚠ CASE-PG-002 ACTIVE: (1) Ethics amendment: expand to Kakamega &amp; Meru counties | (2) Recollect ≥700 images per revised UAV protocol | (3) Add YOLOv8/EfficientDet/ViT baselines + ablation study for paper revision</t>
  </si>
  <si>
    <t>⚠ AAAI Africa 2025 paper: Major Revisions Required — resubmitting to IEEE Access / CVPR Africa after dataset rebuild | Revised completion: November 2025</t>
  </si>
  <si>
    <t>TU-PG-2021-0034</t>
  </si>
  <si>
    <t>Janet Akinyi</t>
  </si>
  <si>
    <t>1994-08-11</t>
  </si>
  <si>
    <t>j.akinyi@templumis.ac</t>
  </si>
  <si>
    <t>+254712345034</t>
  </si>
  <si>
    <t>MA by Research</t>
  </si>
  <si>
    <t>Digital Pedagogy &amp; Learning Outcomes in Kenyan Secondary Schools</t>
  </si>
  <si>
    <t>Mr. Barasa Wekesa</t>
  </si>
  <si>
    <t>Prof. Agnes Njeru (Ministry of Education, External)</t>
  </si>
  <si>
    <t>MA Education — EdTech &amp; Learning Outcomes in Kenyan Secondary Schools</t>
  </si>
  <si>
    <t>Registered ✓ | Literature Review ✓ | Fieldwork (12 schools) ✓ | Data Analysis ✓ | Chapters 1–4 Complete ✓</t>
  </si>
  <si>
    <t>Chapter 5 (Conclusions) + Final Submission (Target: August 2024)</t>
  </si>
  <si>
    <t>Policy Brief submitted to Kenya Ministry of Education (February 2024)</t>
  </si>
  <si>
    <t>TU-PG-2022-0035</t>
  </si>
  <si>
    <t>Kenneth Osei</t>
  </si>
  <si>
    <t>1995-05-17</t>
  </si>
  <si>
    <t>k.osei@templumis.ac</t>
  </si>
  <si>
    <t>+233712345035</t>
  </si>
  <si>
    <t>Mechanical Engineering</t>
  </si>
  <si>
    <t>⏸ Deferred — On Leave (Research)</t>
  </si>
  <si>
    <t>Low-Cost Solar Desalination for Rural East Africa</t>
  </si>
  <si>
    <t>Proposal Approved</t>
  </si>
  <si>
    <t>Dr. Oloo Otiende</t>
  </si>
  <si>
    <t>Dr. Marcus Kipande (University of Nairobi, External)</t>
  </si>
  <si>
    <t>MSc Mechanical Engineering — Renewable Energy Systems &amp; Rural Water Security</t>
  </si>
  <si>
    <t>Registered ✓ | Literature Review ✓ | Research Proposal Approved ✓</t>
  </si>
  <si>
    <t>Return from Leave (Est. Sep 2024) &amp; Begin Prototype Development</t>
  </si>
  <si>
    <t>N/A — On Leave; No Research Output Yet</t>
  </si>
  <si>
    <t>TU-PG-2020-0036</t>
  </si>
  <si>
    <t>Lydia Cheptoo</t>
  </si>
  <si>
    <t>1993-06-23</t>
  </si>
  <si>
    <t>l.cheptoo@templumis.ac</t>
  </si>
  <si>
    <t>+254712345036</t>
  </si>
  <si>
    <t>Public Health</t>
  </si>
  <si>
    <t>6. Graduated ✓ (Research)</t>
  </si>
  <si>
    <t>Community-Based Interventions for Maternal Health in Western Kenya</t>
  </si>
  <si>
    <t>Defended &amp; Approved</t>
  </si>
  <si>
    <t>Dr. Atieno Ouma</t>
  </si>
  <si>
    <t>Prof. Grace Adhola (WHO Kenya, External)</t>
  </si>
  <si>
    <t>MSc Public Health — Maternal &amp; Child Health Interventions in SSA</t>
  </si>
  <si>
    <t>All Milestones Complete ✓ | Thesis Defended &amp; Approved ✓ | Graduated</t>
  </si>
  <si>
    <t>Published: East African Medical Journal, 2025 (Vol. 102, Issue 3)</t>
  </si>
  <si>
    <t>TU-PG-2023-0037</t>
  </si>
  <si>
    <t>Moses Waweru</t>
  </si>
  <si>
    <t>1997-01-08</t>
  </si>
  <si>
    <t>m.waweru@templumis.ac</t>
  </si>
  <si>
    <t>+254712345037</t>
  </si>
  <si>
    <t>2. Research Proposal Phase</t>
  </si>
  <si>
    <t>Research Year 1</t>
  </si>
  <si>
    <t>Machine Learning for Swahili NLP Applications</t>
  </si>
  <si>
    <t>Proposal Submitted</t>
  </si>
  <si>
    <t>MSc CS — Natural Language Processing for African Languages (Swahili)</t>
  </si>
  <si>
    <t>Registered ✓ | Topic Selection ✓ | Proposal Submitted (Pending Departmental Review)</t>
  </si>
  <si>
    <t>Proposal Defense &amp; Ethics Clearance (Target: April 2024)</t>
  </si>
  <si>
    <t>N/A — Early Stage Research (Year 1)</t>
  </si>
  <si>
    <t>TU-PHD-2021-0038</t>
  </si>
  <si>
    <t>Amina Osei</t>
  </si>
  <si>
    <t>a.osei@templumis.ac</t>
  </si>
  <si>
    <t>+233712345038</t>
  </si>
  <si>
    <t>PhD</t>
  </si>
  <si>
    <t>PhD by Research</t>
  </si>
  <si>
    <t>5. Candidacy Confirmed — Data Collection Phase</t>
  </si>
  <si>
    <t>Federated Learning for Privacy-Preserving Health Data Analytics in Sub-Saharan Africa</t>
  </si>
  <si>
    <t>Prof. Ruth Mutua (Strathmore University, External)</t>
  </si>
  <si>
    <t>Computer Science — Federated Learning, Privacy &amp; mHealth in Africa</t>
  </si>
  <si>
    <t>Enrolled ✓ | Foundation CW ✓ | Proposal Defended ✓ | Candidacy Confirmed ✓ | FL Architecture Designed ✓ | Data Collection Ongoing (4 hospital sites)</t>
  </si>
  <si>
    <t>Complete Hospital Data Collection &amp; Begin Federated Model Training</t>
  </si>
  <si>
    <t>Poster: African AI Summit 2024 | Working Paper: IEEE Trans. Medical Informatics (under review)</t>
  </si>
  <si>
    <t>TU-PHD-2020-0039</t>
  </si>
  <si>
    <t>Samuel Odhiambo</t>
  </si>
  <si>
    <t>s.odhiambo@templumis.ac</t>
  </si>
  <si>
    <t>+254712345039</t>
  </si>
  <si>
    <t>6. Thesis Writing Phase (Final)</t>
  </si>
  <si>
    <t>Research Year 4</t>
  </si>
  <si>
    <t>Impact of Community Health Worker Integration on Under-5 Mortality Rates in Rural Kenya</t>
  </si>
  <si>
    <t>Pending</t>
  </si>
  <si>
    <t>Dr. Rebecca Adero (WHO Kenya, External)</t>
  </si>
  <si>
    <t>Public Health — Community Health Systems, Child Survival &amp; Rural Health Delivery</t>
  </si>
  <si>
    <t>Enrolled ✓ | Foundation CW ✓ | Proposal Defended ✓ | Candidacy Confirmed ✓ | Fieldwork (14 counties, n=2,400) ✓ | Data Analysis ✓ | Chapters 1–4 Approved ✓</t>
  </si>
  <si>
    <t>Complete Chapter 5 (Conclusions &amp; Policy Recommendations) + Submit Full Thesis Draft</t>
  </si>
  <si>
    <t>Published: African J. Primary Health Care (2024) | Under Review: PLOS Global Health</t>
  </si>
  <si>
    <t>TU-PHD-2023-0040</t>
  </si>
  <si>
    <t>Fatima Al-Rashid</t>
  </si>
  <si>
    <t>f.al-rashid@templumis.ac</t>
  </si>
  <si>
    <t>+249712345040</t>
  </si>
  <si>
    <t>Sudanese</t>
  </si>
  <si>
    <t>2. Research Proposal Writing</t>
  </si>
  <si>
    <t>FDI, Structural Transformation &amp; Inclusive Growth in East Africa: A Panel Data Analysis</t>
  </si>
  <si>
    <t>Proposal Writing</t>
  </si>
  <si>
    <t>Dr. Emmanuel Kiprotich (IMF Africa Division, External)</t>
  </si>
  <si>
    <t>Economics — International Economics, Structural Change &amp; Panel Econometrics</t>
  </si>
  <si>
    <t>Enrolled ✓ | Foundation CW (PHD701 ✓) | Systematic Lit Review 60% ✓ | Research Proposal Draft 40% In Progress</t>
  </si>
  <si>
    <t>Submit Full Research Proposal to Departmental Committee (Target: April 2024)</t>
  </si>
  <si>
    <t>N/A — Year 1, Foundation Phase</t>
  </si>
  <si>
    <t>TU-PHD-2022-0041</t>
  </si>
  <si>
    <t>Peter Kamau Njeru</t>
  </si>
  <si>
    <t>p.njeru@templumis.ac</t>
  </si>
  <si>
    <t>+254712345041</t>
  </si>
  <si>
    <t>3. Proposal Defense — Pre-Candidacy Phase</t>
  </si>
  <si>
    <t>Carbon Sequestration Potential of Afromontane Forests: Evidence from Central Kenya</t>
  </si>
  <si>
    <t>Proposal Submitted — Awaiting Defense</t>
  </si>
  <si>
    <t>Dr. Osei Kwame (UNEP Kenya, External)</t>
  </si>
  <si>
    <t>Environmental Science — Carbon Science, Forest Ecology &amp; Climate Change Mitigation</t>
  </si>
  <si>
    <t>Enrolled ✓ | Foundation CW ✓ | Systematic Lit Review ✓ | Proposal Submitted (Dept Review) | Pilot Site Identified (Aberdares Forest Reserve, 500ha)</t>
  </si>
  <si>
    <t>Proposal Defense (Target: March 2024) + Ethics Clearance Application</t>
  </si>
  <si>
    <t>N/A — Year 2, Pre-Candidacy Phase</t>
  </si>
  <si>
    <t>course_code</t>
  </si>
  <si>
    <t>title</t>
  </si>
  <si>
    <t>instructor</t>
  </si>
  <si>
    <t>credits</t>
  </si>
  <si>
    <t>enrolled_count</t>
  </si>
  <si>
    <t>type</t>
  </si>
  <si>
    <t>schedule</t>
  </si>
  <si>
    <t>room</t>
  </si>
  <si>
    <t>CS301</t>
  </si>
  <si>
    <t>Data Structures &amp; Algorithms</t>
  </si>
  <si>
    <t>Core</t>
  </si>
  <si>
    <t>Mon/Wed 8–10am</t>
  </si>
  <si>
    <t>LH-201</t>
  </si>
  <si>
    <t>CS201</t>
  </si>
  <si>
    <t>Object-Oriented Programming</t>
  </si>
  <si>
    <t>Tue/Thu 10–12pm</t>
  </si>
  <si>
    <t>LH-202</t>
  </si>
  <si>
    <t>ECO201</t>
  </si>
  <si>
    <t>Microeconomics</t>
  </si>
  <si>
    <t>Mon/Wed 2–4pm</t>
  </si>
  <si>
    <t>BH-101</t>
  </si>
  <si>
    <t>ACC301</t>
  </si>
  <si>
    <t>Intermediate Accounting</t>
  </si>
  <si>
    <t>Ms. Ruth Kariuki</t>
  </si>
  <si>
    <t>Tue/Thu 8–10am</t>
  </si>
  <si>
    <t>BH-102</t>
  </si>
  <si>
    <t>CE401</t>
  </si>
  <si>
    <t>Structural Engineering</t>
  </si>
  <si>
    <t>Mon 8–12pm</t>
  </si>
  <si>
    <t>EH-301</t>
  </si>
  <si>
    <t>EE401</t>
  </si>
  <si>
    <t>Power Systems</t>
  </si>
  <si>
    <t>Prof. James Mwema</t>
  </si>
  <si>
    <t>Wed 8–12pm</t>
  </si>
  <si>
    <t>EH-302</t>
  </si>
  <si>
    <t>LAW301</t>
  </si>
  <si>
    <t>Contract Law</t>
  </si>
  <si>
    <t>Prof. Adhiambo Orengo</t>
  </si>
  <si>
    <t>Tue/Thu 2–4pm</t>
  </si>
  <si>
    <t>LW-101</t>
  </si>
  <si>
    <t>BCH201</t>
  </si>
  <si>
    <t>Biochemistry I</t>
  </si>
  <si>
    <t>Dr. Mwangi Kiarie</t>
  </si>
  <si>
    <t>Mon/Wed 10–12pm</t>
  </si>
  <si>
    <t>SC-201</t>
  </si>
  <si>
    <t>NUR301</t>
  </si>
  <si>
    <t>Clinical Nursing Practice</t>
  </si>
  <si>
    <t>Fri 8am–2pm</t>
  </si>
  <si>
    <t>HS-401</t>
  </si>
  <si>
    <t>EDU201</t>
  </si>
  <si>
    <t>Curriculum Development</t>
  </si>
  <si>
    <t>Tue/Thu 12–2pm</t>
  </si>
  <si>
    <t>ED-101</t>
  </si>
  <si>
    <t>SOC201</t>
  </si>
  <si>
    <t>Sociological Theory</t>
  </si>
  <si>
    <t>Dr. Zawadi Amani</t>
  </si>
  <si>
    <t>Mon/Wed 12–2pm</t>
  </si>
  <si>
    <t>SS-101</t>
  </si>
  <si>
    <t>COM101</t>
  </si>
  <si>
    <t>Introduction to Mass Media</t>
  </si>
  <si>
    <t>Mon/Wed 4–6pm</t>
  </si>
  <si>
    <t>AR-101</t>
  </si>
  <si>
    <t>MATH201</t>
  </si>
  <si>
    <t>Calculus II</t>
  </si>
  <si>
    <t>Prof. Kipkemoi Ruto</t>
  </si>
  <si>
    <t>Mon–Thu 7–8am</t>
  </si>
  <si>
    <t>SC-101</t>
  </si>
  <si>
    <t>STAT201</t>
  </si>
  <si>
    <t>Probability &amp; Statistics</t>
  </si>
  <si>
    <t>Tue/Thu 4–6pm</t>
  </si>
  <si>
    <t>SC-102</t>
  </si>
  <si>
    <t>IT201</t>
  </si>
  <si>
    <t>Database Management Systems</t>
  </si>
  <si>
    <t>Wed/Fri 10–12pm</t>
  </si>
  <si>
    <t>LH-203</t>
  </si>
  <si>
    <t>ENV201</t>
  </si>
  <si>
    <t>Environmental Ecology</t>
  </si>
  <si>
    <t>Elective</t>
  </si>
  <si>
    <t>Fri 10am–1pm</t>
  </si>
  <si>
    <t>SC-301</t>
  </si>
  <si>
    <t>FIN201</t>
  </si>
  <si>
    <t>Principles of Finance</t>
  </si>
  <si>
    <t>Mr. Odhiambo Yusuf</t>
  </si>
  <si>
    <t>BH-103</t>
  </si>
  <si>
    <t>PHAR301</t>
  </si>
  <si>
    <t>Pharmacology I</t>
  </si>
  <si>
    <t>HS-201</t>
  </si>
  <si>
    <t>CS101</t>
  </si>
  <si>
    <t>Introduction to Programming</t>
  </si>
  <si>
    <t>LH-101</t>
  </si>
  <si>
    <t>GEN101</t>
  </si>
  <si>
    <t>Communication Skills</t>
  </si>
  <si>
    <t>Fri 2–4pm</t>
  </si>
  <si>
    <t>AR-201</t>
  </si>
  <si>
    <t>PGR601</t>
  </si>
  <si>
    <t>Research Methods &amp; Academic Writing</t>
  </si>
  <si>
    <t>Graduate School</t>
  </si>
  <si>
    <t>Dr. Susan Wangari</t>
  </si>
  <si>
    <t>PG Core</t>
  </si>
  <si>
    <t>PG-Lab-01</t>
  </si>
  <si>
    <t>PGR602</t>
  </si>
  <si>
    <t>Thesis Writing &amp; Scholarly Communication</t>
  </si>
  <si>
    <t>Fri 9–11am</t>
  </si>
  <si>
    <t>PGR603</t>
  </si>
  <si>
    <t>Graduate Research Colloquium &amp; Seminar</t>
  </si>
  <si>
    <t>Wed 4–5pm</t>
  </si>
  <si>
    <t>PG-Seminar</t>
  </si>
  <si>
    <t>PGR604</t>
  </si>
  <si>
    <t>Research Ethics, Integrity &amp; Publishing</t>
  </si>
  <si>
    <t>Tue 4–5pm</t>
  </si>
  <si>
    <t>PG-Lab-02</t>
  </si>
  <si>
    <t>MBA601</t>
  </si>
  <si>
    <t>Strategic Leadership &amp; Corporate Governance</t>
  </si>
  <si>
    <t>MBA Core</t>
  </si>
  <si>
    <t>BH-301</t>
  </si>
  <si>
    <t>MBA602</t>
  </si>
  <si>
    <t>Advanced Financial Management</t>
  </si>
  <si>
    <t>BH-302</t>
  </si>
  <si>
    <t>MBA603</t>
  </si>
  <si>
    <t>Innovation, Entrepreneurship &amp; Strategy</t>
  </si>
  <si>
    <t>Fri 9am–12pm</t>
  </si>
  <si>
    <t>BH-303</t>
  </si>
  <si>
    <t>MSC601</t>
  </si>
  <si>
    <t>Advanced Data Science &amp; Machine Learning</t>
  </si>
  <si>
    <t>MSc Core</t>
  </si>
  <si>
    <t>LH-301</t>
  </si>
  <si>
    <t>MSC602</t>
  </si>
  <si>
    <t>Advanced Environmental Research Methods</t>
  </si>
  <si>
    <t>SC-401</t>
  </si>
  <si>
    <t>PHD701</t>
  </si>
  <si>
    <t>Advanced Research Design &amp; Epistemology</t>
  </si>
  <si>
    <t>PhD Core</t>
  </si>
  <si>
    <t>PHD702</t>
  </si>
  <si>
    <t>Doctoral Seminar Series</t>
  </si>
  <si>
    <t>Fri 3–4pm</t>
  </si>
  <si>
    <t>PHD703</t>
  </si>
  <si>
    <t>PhD Comprehensive Exam Preparation</t>
  </si>
  <si>
    <t>Mon 4–6pm</t>
  </si>
  <si>
    <t>enrolment_id</t>
  </si>
  <si>
    <t>student_name</t>
  </si>
  <si>
    <t>course_title</t>
  </si>
  <si>
    <t>enrol_date</t>
  </si>
  <si>
    <t>midterm_score</t>
  </si>
  <si>
    <t>current_grade</t>
  </si>
  <si>
    <t>ENR-0001</t>
  </si>
  <si>
    <t>2023-09-05</t>
  </si>
  <si>
    <t>Enrolled</t>
  </si>
  <si>
    <t>ENR-0002</t>
  </si>
  <si>
    <t>ENR-0003</t>
  </si>
  <si>
    <t>ENR-0004</t>
  </si>
  <si>
    <t>ENR-0005</t>
  </si>
  <si>
    <t>ENR-0006</t>
  </si>
  <si>
    <t>ENR-0007</t>
  </si>
  <si>
    <t>ENR-0008</t>
  </si>
  <si>
    <t>ENR-0009</t>
  </si>
  <si>
    <t>2023-09-07</t>
  </si>
  <si>
    <t>ENR-0010</t>
  </si>
  <si>
    <t>ENR-0011</t>
  </si>
  <si>
    <t>ENR-0012</t>
  </si>
  <si>
    <t>ENR-0013</t>
  </si>
  <si>
    <t>2023-09-02</t>
  </si>
  <si>
    <t>ENR-0014</t>
  </si>
  <si>
    <t>ENR-0015</t>
  </si>
  <si>
    <t>ENR-0016</t>
  </si>
  <si>
    <t>ENR-0017</t>
  </si>
  <si>
    <t>ENR-0018</t>
  </si>
  <si>
    <t>ENR-0019</t>
  </si>
  <si>
    <t>ENR-0020</t>
  </si>
  <si>
    <t>ENR-0021</t>
  </si>
  <si>
    <t>ENR-0022</t>
  </si>
  <si>
    <t>2023-09-06</t>
  </si>
  <si>
    <t>ENR-0023</t>
  </si>
  <si>
    <t>ENR-0024</t>
  </si>
  <si>
    <t>ENR-0025</t>
  </si>
  <si>
    <t>ENR-0026</t>
  </si>
  <si>
    <t>ENR-0027</t>
  </si>
  <si>
    <t>ENR-0028</t>
  </si>
  <si>
    <t>ENR-0029</t>
  </si>
  <si>
    <t>ENR-0030</t>
  </si>
  <si>
    <t>ENR-0031</t>
  </si>
  <si>
    <t>ENR-0032</t>
  </si>
  <si>
    <t>ENR-0033</t>
  </si>
  <si>
    <t>ENR-0034</t>
  </si>
  <si>
    <t>ENR-0035</t>
  </si>
  <si>
    <t>ENR-0036</t>
  </si>
  <si>
    <t>ENR-0037</t>
  </si>
  <si>
    <t>ENR-0038</t>
  </si>
  <si>
    <t>ENR-0039</t>
  </si>
  <si>
    <t>ENR-0040</t>
  </si>
  <si>
    <t>ENR-0041</t>
  </si>
  <si>
    <t>ENR-0042</t>
  </si>
  <si>
    <t>ENR-0043</t>
  </si>
  <si>
    <t>ENR-0044</t>
  </si>
  <si>
    <t>Dropped</t>
  </si>
  <si>
    <t>ENR-0045</t>
  </si>
  <si>
    <t>ENR-0046</t>
  </si>
  <si>
    <t>ENR-0047</t>
  </si>
  <si>
    <t>ENR-0048</t>
  </si>
  <si>
    <t>ENR-0049</t>
  </si>
  <si>
    <t>ENR-0050</t>
  </si>
  <si>
    <t>ENR-0051</t>
  </si>
  <si>
    <t>ENR-0052</t>
  </si>
  <si>
    <t>ENR-0053</t>
  </si>
  <si>
    <t>ENR-0054</t>
  </si>
  <si>
    <t>ENR-0055</t>
  </si>
  <si>
    <t>ENR-0056</t>
  </si>
  <si>
    <t>ENR-0057</t>
  </si>
  <si>
    <t>ENR-0058</t>
  </si>
  <si>
    <t>ENR-0059</t>
  </si>
  <si>
    <t>ENR-0060</t>
  </si>
  <si>
    <t>ENR-0061</t>
  </si>
  <si>
    <t>ENR-0062</t>
  </si>
  <si>
    <t>ENR-0063</t>
  </si>
  <si>
    <t>ENR-0064</t>
  </si>
  <si>
    <t>ENR-0065</t>
  </si>
  <si>
    <t>ENR-0066</t>
  </si>
  <si>
    <t>ENR-0067</t>
  </si>
  <si>
    <t>ENR-0068</t>
  </si>
  <si>
    <t>ENR-0069</t>
  </si>
  <si>
    <t>ENR-0070</t>
  </si>
  <si>
    <t>ENR-0071</t>
  </si>
  <si>
    <t>ENR-0072</t>
  </si>
  <si>
    <t>ENR-0073</t>
  </si>
  <si>
    <t>ENR-0074</t>
  </si>
  <si>
    <t>ENR-0075</t>
  </si>
  <si>
    <t>ENR-0076</t>
  </si>
  <si>
    <t>ENR-0077</t>
  </si>
  <si>
    <t>ENR-0078</t>
  </si>
  <si>
    <t>ENR-0079</t>
  </si>
  <si>
    <t>ENR-0080</t>
  </si>
  <si>
    <t>ENR-0081</t>
  </si>
  <si>
    <t>ENR-0082</t>
  </si>
  <si>
    <t>ENR-0083</t>
  </si>
  <si>
    <t>ENR-0084</t>
  </si>
  <si>
    <t>ENR-0085</t>
  </si>
  <si>
    <t>ENR-0086</t>
  </si>
  <si>
    <t>ENR-0087</t>
  </si>
  <si>
    <t>ENR-0088</t>
  </si>
  <si>
    <t>ENR-0089</t>
  </si>
  <si>
    <t>ENR-0090</t>
  </si>
  <si>
    <t>ENR-0091</t>
  </si>
  <si>
    <t>ENR-0092</t>
  </si>
  <si>
    <t>ENR-0093</t>
  </si>
  <si>
    <t>ENR-0094</t>
  </si>
  <si>
    <t>ENR-0095</t>
  </si>
  <si>
    <t>ENR-0096</t>
  </si>
  <si>
    <t>ENR-0097</t>
  </si>
  <si>
    <t>ENR-0098</t>
  </si>
  <si>
    <t>ENR-0099</t>
  </si>
  <si>
    <t>ENR-0100</t>
  </si>
  <si>
    <t>ENR-0101</t>
  </si>
  <si>
    <t>ENR-0102</t>
  </si>
  <si>
    <t>ENR-0103</t>
  </si>
  <si>
    <t>ENR-0104</t>
  </si>
  <si>
    <t>ENR-0105</t>
  </si>
  <si>
    <t>ENR-0106</t>
  </si>
  <si>
    <t>ENR-0107</t>
  </si>
  <si>
    <t>ENR-0108</t>
  </si>
  <si>
    <t>ENR-0109</t>
  </si>
  <si>
    <t>ENR-0110</t>
  </si>
  <si>
    <t>ENR-0111</t>
  </si>
  <si>
    <t>ENR-0112</t>
  </si>
  <si>
    <t>ENR-0113</t>
  </si>
  <si>
    <t>ENR-0114</t>
  </si>
  <si>
    <t>grade_id</t>
  </si>
  <si>
    <t>assignment_1</t>
  </si>
  <si>
    <t>assignment_2</t>
  </si>
  <si>
    <t>midterm</t>
  </si>
  <si>
    <t>final</t>
  </si>
  <si>
    <t>total</t>
  </si>
  <si>
    <t>letter_grade</t>
  </si>
  <si>
    <t>GRD-0001</t>
  </si>
  <si>
    <t>B</t>
  </si>
  <si>
    <t>GRD-0002</t>
  </si>
  <si>
    <t>GRD-0003</t>
  </si>
  <si>
    <t>GRD-0004</t>
  </si>
  <si>
    <t>A</t>
  </si>
  <si>
    <t>GRD-0005</t>
  </si>
  <si>
    <t>GRD-0006</t>
  </si>
  <si>
    <t>GRD-0007</t>
  </si>
  <si>
    <t>D</t>
  </si>
  <si>
    <t>GRD-0008</t>
  </si>
  <si>
    <t>GRD-0009</t>
  </si>
  <si>
    <t>F</t>
  </si>
  <si>
    <t>GRD-0010</t>
  </si>
  <si>
    <t>GRD-0011</t>
  </si>
  <si>
    <t>GRD-0012</t>
  </si>
  <si>
    <t>GRD-0013</t>
  </si>
  <si>
    <t>GRD-0014</t>
  </si>
  <si>
    <t>GRD-0015</t>
  </si>
  <si>
    <t>GRD-0016</t>
  </si>
  <si>
    <t>GRD-0017</t>
  </si>
  <si>
    <t>GRD-0018</t>
  </si>
  <si>
    <t>GRD-0019</t>
  </si>
  <si>
    <t>GRD-0020</t>
  </si>
  <si>
    <t>GRD-0021</t>
  </si>
  <si>
    <t>C</t>
  </si>
  <si>
    <t>GRD-0022</t>
  </si>
  <si>
    <t>GRD-0023</t>
  </si>
  <si>
    <t>GRD-0024</t>
  </si>
  <si>
    <t>GRD-0025</t>
  </si>
  <si>
    <t>GRD-0026</t>
  </si>
  <si>
    <t>GRD-0027</t>
  </si>
  <si>
    <t>GRD-0028</t>
  </si>
  <si>
    <t>GRD-0029</t>
  </si>
  <si>
    <t>GRD-0030</t>
  </si>
  <si>
    <t>GRD-0031</t>
  </si>
  <si>
    <t>GRD-0032</t>
  </si>
  <si>
    <t>GRD-0033</t>
  </si>
  <si>
    <t>GRD-0034</t>
  </si>
  <si>
    <t>GRD-0035</t>
  </si>
  <si>
    <t>GRD-0036</t>
  </si>
  <si>
    <t>GRD-0037</t>
  </si>
  <si>
    <t>GRD-0038</t>
  </si>
  <si>
    <t>GRD-0039</t>
  </si>
  <si>
    <t>GRD-0040</t>
  </si>
  <si>
    <t>GRD-0041</t>
  </si>
  <si>
    <t>GRD-0042</t>
  </si>
  <si>
    <t>GRD-0043</t>
  </si>
  <si>
    <t>GRD-0044</t>
  </si>
  <si>
    <t>GRD-0045</t>
  </si>
  <si>
    <t>GRD-0046</t>
  </si>
  <si>
    <t>GRD-0047</t>
  </si>
  <si>
    <t>attendance_id</t>
  </si>
  <si>
    <t>total_sessions</t>
  </si>
  <si>
    <t>present</t>
  </si>
  <si>
    <t>absent</t>
  </si>
  <si>
    <t>late</t>
  </si>
  <si>
    <t>attendance_pct</t>
  </si>
  <si>
    <t>risk_level</t>
  </si>
  <si>
    <t>ATT-0001</t>
  </si>
  <si>
    <t>Good</t>
  </si>
  <si>
    <t>ATT-0002</t>
  </si>
  <si>
    <t>ATT-0003</t>
  </si>
  <si>
    <t>At Risk</t>
  </si>
  <si>
    <t>ATT-0004</t>
  </si>
  <si>
    <t>ATT-0005</t>
  </si>
  <si>
    <t>ATT-0006</t>
  </si>
  <si>
    <t>ATT-0007</t>
  </si>
  <si>
    <t>Warning</t>
  </si>
  <si>
    <t>ATT-0008</t>
  </si>
  <si>
    <t>ATT-0009</t>
  </si>
  <si>
    <t>ATT-0010</t>
  </si>
  <si>
    <t>ATT-0011</t>
  </si>
  <si>
    <t>ATT-0012</t>
  </si>
  <si>
    <t>ATT-0013</t>
  </si>
  <si>
    <t>ATT-0014</t>
  </si>
  <si>
    <t>ATT-0015</t>
  </si>
  <si>
    <t>ATT-0016</t>
  </si>
  <si>
    <t>ATT-0017</t>
  </si>
  <si>
    <t>ATT-0018</t>
  </si>
  <si>
    <t>ATT-0019</t>
  </si>
  <si>
    <t>ATT-0020</t>
  </si>
  <si>
    <t>ATT-0021</t>
  </si>
  <si>
    <t>ATT-0022</t>
  </si>
  <si>
    <t>ATT-0023</t>
  </si>
  <si>
    <t>ATT-0024</t>
  </si>
  <si>
    <t>ATT-0025</t>
  </si>
  <si>
    <t>ATT-0026</t>
  </si>
  <si>
    <t>ATT-0027</t>
  </si>
  <si>
    <t>ATT-0028</t>
  </si>
  <si>
    <t>ATT-0029</t>
  </si>
  <si>
    <t>ATT-0030</t>
  </si>
  <si>
    <t>ATT-0031</t>
  </si>
  <si>
    <t>ATT-0032</t>
  </si>
  <si>
    <t>ATT-0033</t>
  </si>
  <si>
    <t>ATT-0034</t>
  </si>
  <si>
    <t>ATT-0035</t>
  </si>
  <si>
    <t>ATT-0036</t>
  </si>
  <si>
    <t>ATT-0037</t>
  </si>
  <si>
    <t>ATT-0038</t>
  </si>
  <si>
    <t>ATT-0039</t>
  </si>
  <si>
    <t>ATT-0040</t>
  </si>
  <si>
    <t>ATT-0041</t>
  </si>
  <si>
    <t>ATT-0042</t>
  </si>
  <si>
    <t>ATT-0043</t>
  </si>
  <si>
    <t>ATT-0044</t>
  </si>
  <si>
    <t>ATT-0045</t>
  </si>
  <si>
    <t>ATT-0046</t>
  </si>
  <si>
    <t>ATT-0047</t>
  </si>
  <si>
    <t>Templumis University — Student Fee Records</t>
  </si>
  <si>
    <t>Academic Year 2023/24 · Semester 1  |  All amounts in KES</t>
  </si>
  <si>
    <t>Fee Record ID</t>
  </si>
  <si>
    <t>Student ID</t>
  </si>
  <si>
    <t>Student Name</t>
  </si>
  <si>
    <t>Programme</t>
  </si>
  <si>
    <t>Department</t>
  </si>
  <si>
    <t>Sem Fee (KES)</t>
  </si>
  <si>
    <t>Reg Fee (KES)</t>
  </si>
  <si>
    <t>Total Billed (KES)</t>
  </si>
  <si>
    <t>Amount Paid (KES)</t>
  </si>
  <si>
    <t>Balance (KES)</t>
  </si>
  <si>
    <t>Fee Status</t>
  </si>
  <si>
    <t>FR-0001</t>
  </si>
  <si>
    <t>FR-0002</t>
  </si>
  <si>
    <t>FR-0003</t>
  </si>
  <si>
    <t>FR-0004</t>
  </si>
  <si>
    <t>FR-0005</t>
  </si>
  <si>
    <t>FR-0006</t>
  </si>
  <si>
    <t>FR-0007</t>
  </si>
  <si>
    <t>FR-0008</t>
  </si>
  <si>
    <t>FR-0009</t>
  </si>
  <si>
    <t>FR-0010</t>
  </si>
  <si>
    <t>FR-0011</t>
  </si>
  <si>
    <t>FR-0012</t>
  </si>
  <si>
    <t>FR-0013</t>
  </si>
  <si>
    <t>FR-0014</t>
  </si>
  <si>
    <t>FR-0015</t>
  </si>
  <si>
    <t>FR-0016</t>
  </si>
  <si>
    <t>FR-0017</t>
  </si>
  <si>
    <t>FR-0018</t>
  </si>
  <si>
    <t>FR-0019</t>
  </si>
  <si>
    <t>FR-0020</t>
  </si>
  <si>
    <t>FR-0021</t>
  </si>
  <si>
    <t>FR-0022</t>
  </si>
  <si>
    <t>FR-0023</t>
  </si>
  <si>
    <t>FR-0024</t>
  </si>
  <si>
    <t>FR-0025</t>
  </si>
  <si>
    <t>Arrears</t>
  </si>
  <si>
    <t>FR-0026</t>
  </si>
  <si>
    <t>FR-0027</t>
  </si>
  <si>
    <t>FR-0028</t>
  </si>
  <si>
    <t>FR-0029</t>
  </si>
  <si>
    <t>FR-0030</t>
  </si>
  <si>
    <t>FR-0031</t>
  </si>
  <si>
    <t>FR-0032</t>
  </si>
  <si>
    <t>FR-0033</t>
  </si>
  <si>
    <t>FR-0034</t>
  </si>
  <si>
    <t>FR-0035</t>
  </si>
  <si>
    <t>FR-0036</t>
  </si>
  <si>
    <t>FR-0037</t>
  </si>
  <si>
    <t>FR-0038</t>
  </si>
  <si>
    <t>PhD (Research)</t>
  </si>
  <si>
    <t>FR-0039</t>
  </si>
  <si>
    <t>FR-0040</t>
  </si>
  <si>
    <t>FR-0041</t>
  </si>
  <si>
    <t>TOTALS</t>
  </si>
  <si>
    <t>Templumis University — Payment Transactions</t>
  </si>
  <si>
    <t>Payment ID</t>
  </si>
  <si>
    <t>Payment Date</t>
  </si>
  <si>
    <t>Payment Method</t>
  </si>
  <si>
    <t>Reference No.</t>
  </si>
  <si>
    <t>Amount (KES)</t>
  </si>
  <si>
    <t>Payment Type</t>
  </si>
  <si>
    <t>Processed By</t>
  </si>
  <si>
    <t>Receipt No.</t>
  </si>
  <si>
    <t>Status</t>
  </si>
  <si>
    <t>PAY-0001</t>
  </si>
  <si>
    <t>2023-09-08</t>
  </si>
  <si>
    <t>M-Pesa</t>
  </si>
  <si>
    <t>REF529696</t>
  </si>
  <si>
    <t>Tuition &amp; Registration</t>
  </si>
  <si>
    <t>Bursar</t>
  </si>
  <si>
    <t>RCT-0001</t>
  </si>
  <si>
    <t>Confirmed</t>
  </si>
  <si>
    <t>PAY-0002</t>
  </si>
  <si>
    <t>2023-09-11</t>
  </si>
  <si>
    <t>REF184441</t>
  </si>
  <si>
    <t>Finance Office</t>
  </si>
  <si>
    <t>RCT-0002</t>
  </si>
  <si>
    <t>PAY-0003</t>
  </si>
  <si>
    <t>Bank Transfer</t>
  </si>
  <si>
    <t>REF600208</t>
  </si>
  <si>
    <t>RCT-0003</t>
  </si>
  <si>
    <t>PAY-0004</t>
  </si>
  <si>
    <t>2023-09-13</t>
  </si>
  <si>
    <t>REF749605</t>
  </si>
  <si>
    <t>RCT-0004</t>
  </si>
  <si>
    <t>PAY-0005</t>
  </si>
  <si>
    <t>REF404242</t>
  </si>
  <si>
    <t>Partial Tuition</t>
  </si>
  <si>
    <t>RCT-0005</t>
  </si>
  <si>
    <t>PAY-0006</t>
  </si>
  <si>
    <t>REF432622</t>
  </si>
  <si>
    <t>RCT-0006</t>
  </si>
  <si>
    <t>PAY-0007</t>
  </si>
  <si>
    <t>REF503029</t>
  </si>
  <si>
    <t>RCT-0007</t>
  </si>
  <si>
    <t>PAY-0008</t>
  </si>
  <si>
    <t>2023-09-14</t>
  </si>
  <si>
    <t>REF650659</t>
  </si>
  <si>
    <t>RCT-0008</t>
  </si>
  <si>
    <t>PAY-0009</t>
  </si>
  <si>
    <t>—</t>
  </si>
  <si>
    <t>Deferred — Leave of Absence</t>
  </si>
  <si>
    <t>Registrar</t>
  </si>
  <si>
    <t>RCT-0009</t>
  </si>
  <si>
    <t>PAY-0010</t>
  </si>
  <si>
    <t>REF890008</t>
  </si>
  <si>
    <t>RCT-0010</t>
  </si>
  <si>
    <t>PAY-0011</t>
  </si>
  <si>
    <t>2023-09-10</t>
  </si>
  <si>
    <t>REF723142</t>
  </si>
  <si>
    <t>RCT-0011</t>
  </si>
  <si>
    <t>PAY-0012</t>
  </si>
  <si>
    <t>REF746509</t>
  </si>
  <si>
    <t>RCT-0012</t>
  </si>
  <si>
    <t>PAY-0013</t>
  </si>
  <si>
    <t>REF834564</t>
  </si>
  <si>
    <t>RCT-0013</t>
  </si>
  <si>
    <t>PAY-0014</t>
  </si>
  <si>
    <t>2023-09-21</t>
  </si>
  <si>
    <t>REF313688</t>
  </si>
  <si>
    <t>RCT-0014</t>
  </si>
  <si>
    <t>PAY-0015</t>
  </si>
  <si>
    <t>REF357865</t>
  </si>
  <si>
    <t>RCT-0015</t>
  </si>
  <si>
    <t>PAY-0016</t>
  </si>
  <si>
    <t>2023-09-09</t>
  </si>
  <si>
    <t>REF121357</t>
  </si>
  <si>
    <t>RCT-0016</t>
  </si>
  <si>
    <t>PAY-0017</t>
  </si>
  <si>
    <t>2023-09-03</t>
  </si>
  <si>
    <t>REF635445</t>
  </si>
  <si>
    <t>RCT-0017</t>
  </si>
  <si>
    <t>PAY-0018</t>
  </si>
  <si>
    <t>REF222058</t>
  </si>
  <si>
    <t>RCT-0018</t>
  </si>
  <si>
    <t>PAY-0019</t>
  </si>
  <si>
    <t>REF193437</t>
  </si>
  <si>
    <t>RCT-0019</t>
  </si>
  <si>
    <t>PAY-0020</t>
  </si>
  <si>
    <t>REF354366</t>
  </si>
  <si>
    <t>RCT-0020</t>
  </si>
  <si>
    <t>PAY-0021</t>
  </si>
  <si>
    <t>2023-09-01</t>
  </si>
  <si>
    <t>RCT-0021</t>
  </si>
  <si>
    <t>PAY-0022</t>
  </si>
  <si>
    <t>REF977426</t>
  </si>
  <si>
    <t>RCT-0022</t>
  </si>
  <si>
    <t>PAY-0023</t>
  </si>
  <si>
    <t>REF581637</t>
  </si>
  <si>
    <t>RCT-0023</t>
  </si>
  <si>
    <t>PAY-0024</t>
  </si>
  <si>
    <t>REF340643</t>
  </si>
  <si>
    <t>RCT-0024</t>
  </si>
  <si>
    <t>PAY-0025</t>
  </si>
  <si>
    <t>REF670556</t>
  </si>
  <si>
    <t>Registration Fee Only</t>
  </si>
  <si>
    <t>RCT-0025</t>
  </si>
  <si>
    <t>Partial — Tuition Arrears KES 75,000</t>
  </si>
  <si>
    <t>PAY-0026</t>
  </si>
  <si>
    <t>REF864661</t>
  </si>
  <si>
    <t>RCT-0026</t>
  </si>
  <si>
    <t>PAY-0027</t>
  </si>
  <si>
    <t>2023-09-12</t>
  </si>
  <si>
    <t>REF268175</t>
  </si>
  <si>
    <t>RCT-0027</t>
  </si>
  <si>
    <t>PAY-0028</t>
  </si>
  <si>
    <t>REF438948</t>
  </si>
  <si>
    <t>RCT-0028</t>
  </si>
  <si>
    <t>PAY-0029</t>
  </si>
  <si>
    <t>REF831747</t>
  </si>
  <si>
    <t>RCT-0029</t>
  </si>
  <si>
    <t>PAY-0030</t>
  </si>
  <si>
    <t>REF306824</t>
  </si>
  <si>
    <t>RCT-0030</t>
  </si>
  <si>
    <t>PAY-0031</t>
  </si>
  <si>
    <t>REF216452</t>
  </si>
  <si>
    <t>RCT-0031</t>
  </si>
  <si>
    <t>PAY-0032</t>
  </si>
  <si>
    <t>REF292726</t>
  </si>
  <si>
    <t>RCT-0032</t>
  </si>
  <si>
    <t>PAY-0033</t>
  </si>
  <si>
    <t>REF461197</t>
  </si>
  <si>
    <t>RCT-0033</t>
  </si>
  <si>
    <t>PAY-0034</t>
  </si>
  <si>
    <t>REF525912</t>
  </si>
  <si>
    <t>RCT-0034</t>
  </si>
  <si>
    <t>PAY-0035</t>
  </si>
  <si>
    <t>RCT-0035</t>
  </si>
  <si>
    <t>PAY-0036</t>
  </si>
  <si>
    <t>REF944370</t>
  </si>
  <si>
    <t>RCT-0036</t>
  </si>
  <si>
    <t>PAY-0037</t>
  </si>
  <si>
    <t>REF361964</t>
  </si>
  <si>
    <t>RCT-0037</t>
  </si>
  <si>
    <t>PAY-0038</t>
  </si>
  <si>
    <t>REF821034</t>
  </si>
  <si>
    <t>RCT-0038</t>
  </si>
  <si>
    <t>PAY-0039</t>
  </si>
  <si>
    <t>REF672891</t>
  </si>
  <si>
    <t>RCT-0039</t>
  </si>
  <si>
    <t>PAY-0040</t>
  </si>
  <si>
    <t>REF543217</t>
  </si>
  <si>
    <t>RCT-0040</t>
  </si>
  <si>
    <t>PAY-0041</t>
  </si>
  <si>
    <t>REF309845</t>
  </si>
  <si>
    <t>RCT-0041</t>
  </si>
  <si>
    <t>TOTAL PAYMENTS RECEIVED</t>
  </si>
  <si>
    <t>Templumis University — Scholarship Programmes</t>
  </si>
  <si>
    <t>Active &amp; Available Scholarships · Academic Year 2023/24</t>
  </si>
  <si>
    <t>Scholarship ID</t>
  </si>
  <si>
    <t>Scholarship Name</t>
  </si>
  <si>
    <t>Type</t>
  </si>
  <si>
    <t>Criteria</t>
  </si>
  <si>
    <t>Value (KES)</t>
  </si>
  <si>
    <t>Coverage</t>
  </si>
  <si>
    <t>Slots Available</t>
  </si>
  <si>
    <t>Slots Filled</t>
  </si>
  <si>
    <t>SCH-001</t>
  </si>
  <si>
    <t>Vice Chancellor's Merit Award</t>
  </si>
  <si>
    <t>Merit</t>
  </si>
  <si>
    <t>Top 5% GPA; minimum GPA 3.80</t>
  </si>
  <si>
    <t>Full Tuition</t>
  </si>
  <si>
    <t>SCH-002</t>
  </si>
  <si>
    <t>Dean's Excellence Bursary</t>
  </si>
  <si>
    <t>GPA 3.50–3.79; Good Standing</t>
  </si>
  <si>
    <t>50% Tuition</t>
  </si>
  <si>
    <t>SCH-003</t>
  </si>
  <si>
    <t>STEM Advancement Fund</t>
  </si>
  <si>
    <t>Merit + Need</t>
  </si>
  <si>
    <t>BSc/MSc programmes; GPA ≥ 3.20</t>
  </si>
  <si>
    <t>40% Tuition</t>
  </si>
  <si>
    <t>SCH-004</t>
  </si>
  <si>
    <t>Pan-African Diversity Grant</t>
  </si>
  <si>
    <t>Diversity</t>
  </si>
  <si>
    <t>Non-Kenyan international students</t>
  </si>
  <si>
    <t>SCH-005</t>
  </si>
  <si>
    <t>Women in Science Scholarship</t>
  </si>
  <si>
    <t>Equity</t>
  </si>
  <si>
    <t>Female students in Science/Engineering</t>
  </si>
  <si>
    <t>SCH-006</t>
  </si>
  <si>
    <t>Bursary for Needy Students</t>
  </si>
  <si>
    <t>Need-Based</t>
  </si>
  <si>
    <t>Demonstrated financial hardship; GPA ≥ 2.50</t>
  </si>
  <si>
    <t>SCH-007</t>
  </si>
  <si>
    <t>Postgraduate Research Fellowship</t>
  </si>
  <si>
    <t>Research</t>
  </si>
  <si>
    <t>MSc/MA by Research students; supervisor endorsement</t>
  </si>
  <si>
    <t>Full Tuition + Stipend</t>
  </si>
  <si>
    <t>SCH-008</t>
  </si>
  <si>
    <t>Community Leaders Award</t>
  </si>
  <si>
    <t>Leadership</t>
  </si>
  <si>
    <t>Community engagement evidence; essay required</t>
  </si>
  <si>
    <t>Flat Grant</t>
  </si>
  <si>
    <t>SCH-009</t>
  </si>
  <si>
    <t>Health Sciences Sponsorship</t>
  </si>
  <si>
    <t>Sectoral</t>
  </si>
  <si>
    <t>BSc Nursing / BPharm / BSc Nutrition students</t>
  </si>
  <si>
    <t>SCH-010</t>
  </si>
  <si>
    <t>Law &amp; Justice Fund</t>
  </si>
  <si>
    <t>LLB students; moot court participation</t>
  </si>
  <si>
    <t>SCH-011</t>
  </si>
  <si>
    <t>Financial Hardship Emergency Bursary</t>
  </si>
  <si>
    <t>Documented fee arrears; household income statement; GPA ≥ 2.50; active enrolment</t>
  </si>
  <si>
    <t>Outstanding Tuition Balance (up to KES 75,000)</t>
  </si>
  <si>
    <t>GPA</t>
  </si>
  <si>
    <t>Templumis University — LMS &amp; SIS Dashboard</t>
  </si>
  <si>
    <t>Academic Year 2023/24 · Semester 1</t>
  </si>
  <si>
    <t>Students</t>
  </si>
  <si>
    <t>Courses &amp; Enrolments</t>
  </si>
  <si>
    <t>Total Students</t>
  </si>
  <si>
    <t>Total Courses</t>
  </si>
  <si>
    <t>Active Courses</t>
  </si>
  <si>
    <t>On Probation</t>
  </si>
  <si>
    <t>Total Enrolments</t>
  </si>
  <si>
    <t>Currently Enrolled</t>
  </si>
  <si>
    <t>Average GPA</t>
  </si>
  <si>
    <t>Avg Current Grade</t>
  </si>
  <si>
    <t>Total Credit Hours</t>
  </si>
  <si>
    <t>Grade A Count</t>
  </si>
  <si>
    <t>── Postgraduate Summary ──</t>
  </si>
  <si>
    <t>Student Lookup</t>
  </si>
  <si>
    <t>PG Students</t>
  </si>
  <si>
    <t>Enter Student ID →</t>
  </si>
  <si>
    <t>MSc Coursework</t>
  </si>
  <si>
    <t>Name</t>
  </si>
  <si>
    <t>Program</t>
  </si>
  <si>
    <t>Avg Attendance %</t>
  </si>
  <si>
    <t>A. STUDENT PROFILE</t>
  </si>
  <si>
    <t>B. ACADEMIC PROGRESSION</t>
  </si>
  <si>
    <t>C. ACADEMIC STANDING</t>
  </si>
  <si>
    <t>D. FINANCIAL CLEARANCE</t>
  </si>
  <si>
    <t>E. RESEARCH / THESIS</t>
  </si>
  <si>
    <t>F. GRADUATION</t>
  </si>
  <si>
    <t>Full Name</t>
  </si>
  <si>
    <t>Enrolment Date</t>
  </si>
  <si>
    <t>Current Year/Sem</t>
  </si>
  <si>
    <t>Sem 1 Status</t>
  </si>
  <si>
    <t>Sem 2 Status</t>
  </si>
  <si>
    <t>Year 2 Progression</t>
  </si>
  <si>
    <t>Year 3+ Progression</t>
  </si>
  <si>
    <t>Last Review Date</t>
  </si>
  <si>
    <t>Fees — Sem 1</t>
  </si>
  <si>
    <t>Fees — Sem 2</t>
  </si>
  <si>
    <t>Proposal Status</t>
  </si>
  <si>
    <t>Data/Coursework Phase</t>
  </si>
  <si>
    <t>Thesis Submission</t>
  </si>
  <si>
    <t>Thesis Defence</t>
  </si>
  <si>
    <t>Clearance Date</t>
  </si>
  <si>
    <t>Graduation Date</t>
  </si>
  <si>
    <t>Complete</t>
  </si>
  <si>
    <t>Sem Year 3</t>
  </si>
  <si>
    <t>Sem Year 2</t>
  </si>
  <si>
    <t>Sem Year 4</t>
  </si>
  <si>
    <t>Sem Year 1</t>
  </si>
  <si>
    <t>Paid (Reg. Only)</t>
  </si>
  <si>
    <t>Arrears — KES 75,000</t>
  </si>
  <si>
    <t>Submitted</t>
  </si>
  <si>
    <t>Passed</t>
  </si>
  <si>
    <t>Complete ✓</t>
  </si>
  <si>
    <t>Proposal Defended ✓ — Candidacy Confirmed</t>
  </si>
  <si>
    <t>Data Collection Active (Year 3)</t>
  </si>
  <si>
    <t>Data Collection Complete ✓</t>
  </si>
  <si>
    <t>In Progress — Writing</t>
  </si>
  <si>
    <t>In Progress — Draft Proposal Stage</t>
  </si>
  <si>
    <t>Foundation Coursework (Year 1)</t>
  </si>
  <si>
    <t>Submitted — Awaiting Proposal Defense</t>
  </si>
  <si>
    <t>Pre-Candidacy Phase (Year 2)</t>
  </si>
  <si>
    <t>TemplumIS University — Global Ranking Indicators Dashboard</t>
  </si>
  <si>
    <t>Academic Year 2023/24 · Semester 1  |  Data sourced from LMS/SIS institutional records</t>
  </si>
  <si>
    <t>INSTITUTIONAL SUMMARY</t>
  </si>
  <si>
    <t>37</t>
  </si>
  <si>
    <t>Avg GPA</t>
  </si>
  <si>
    <t>3.32 / 4.0</t>
  </si>
  <si>
    <t>International Students</t>
  </si>
  <si>
    <t>35.1%</t>
  </si>
  <si>
    <t>Female Ratio</t>
  </si>
  <si>
    <t>48.6%</t>
  </si>
  <si>
    <t>UG Students</t>
  </si>
  <si>
    <t>25</t>
  </si>
  <si>
    <t>Active Students</t>
  </si>
  <si>
    <t>Research Students</t>
  </si>
  <si>
    <t>6</t>
  </si>
  <si>
    <t>Nationalities</t>
  </si>
  <si>
    <t>10</t>
  </si>
  <si>
    <t>12</t>
  </si>
  <si>
    <t>Graduates</t>
  </si>
  <si>
    <t>5</t>
  </si>
  <si>
    <t>Student:Faculty Ratio</t>
  </si>
  <si>
    <t>2.5 : 1</t>
  </si>
  <si>
    <t>Schools / Faculties</t>
  </si>
  <si>
    <t>9</t>
  </si>
  <si>
    <t>Faculty (Instructors)</t>
  </si>
  <si>
    <t>15</t>
  </si>
  <si>
    <t>19</t>
  </si>
  <si>
    <t>Avg Attendance</t>
  </si>
  <si>
    <t>83%</t>
  </si>
  <si>
    <t>Avg Grade</t>
  </si>
  <si>
    <t>77.6%</t>
  </si>
  <si>
    <t>WEBOMETRICS Ranking of World Universities</t>
  </si>
  <si>
    <t>Focus: Web presence, openness &amp; academic output</t>
  </si>
  <si>
    <t>Indicator</t>
  </si>
  <si>
    <t>Weight</t>
  </si>
  <si>
    <t>Score Estimate</t>
  </si>
  <si>
    <t>Notes / TemplumIS Evidence</t>
  </si>
  <si>
    <t>Visibility / Impact (Web links)</t>
  </si>
  <si>
    <t>50%</t>
  </si>
  <si>
    <t>~20%</t>
  </si>
  <si>
    <t>Institutional website not indexed in dataset; no inlink data available</t>
  </si>
  <si>
    <t>⚠</t>
  </si>
  <si>
    <t>Openness / Transparency (OA repos)</t>
  </si>
  <si>
    <t>10%</t>
  </si>
  <si>
    <t>~25%</t>
  </si>
  <si>
    <t>6 research dissertations in progress; no open access repository evidenced</t>
  </si>
  <si>
    <t>Excellence (Google Scholar output)</t>
  </si>
  <si>
    <t>~15%</t>
  </si>
  <si>
    <t>Research topics active (malaria, AI, NLP) but publications not yet confirmed</t>
  </si>
  <si>
    <t>✗</t>
  </si>
  <si>
    <t>Presence (indexed web pages)</t>
  </si>
  <si>
    <t>5%</t>
  </si>
  <si>
    <t>~30%</t>
  </si>
  <si>
    <t>Domain @templumis.ac confirmed; web footprint/page count unknown</t>
  </si>
  <si>
    <t>OVERALL DATA READINESS</t>
  </si>
  <si>
    <t>~22%</t>
  </si>
  <si>
    <t>Weighted estimate based on available institutional data</t>
  </si>
  <si>
    <t>THE World University Rankings</t>
  </si>
  <si>
    <t>Focus: Teaching, research, citations &amp; international outlook</t>
  </si>
  <si>
    <t>Teaching — Learning Environment</t>
  </si>
  <si>
    <t>29.5%</t>
  </si>
  <si>
    <t>~62%</t>
  </si>
  <si>
    <t>SFR 2.5:1 (excellent); avg GPA 3.32; 9 schools; 20 active courses; reputation survey data N/A</t>
  </si>
  <si>
    <t>✓</t>
  </si>
  <si>
    <t>Research — Environment &amp; Productivity</t>
  </si>
  <si>
    <t>29%</t>
  </si>
  <si>
    <t>~18%</t>
  </si>
  <si>
    <t>6 research students; dissertations in health, CS, engineering; research income data unavailable</t>
  </si>
  <si>
    <t>Citations — Research Influence (Scopus)</t>
  </si>
  <si>
    <t>30%</t>
  </si>
  <si>
    <t>~5%</t>
  </si>
  <si>
    <t>No citation records in institutional data; requires Scopus indexing</t>
  </si>
  <si>
    <t>International Outlook</t>
  </si>
  <si>
    <t>7.5%</t>
  </si>
  <si>
    <t>~58%</t>
  </si>
  <si>
    <t>35.1% international students; 10 nationalities; strong Pan-African diversity</t>
  </si>
  <si>
    <t>Industry Income per Academic</t>
  </si>
  <si>
    <t>4%</t>
  </si>
  <si>
    <t>No industry partnership or income data recorded in dataset</t>
  </si>
  <si>
    <t>~26%</t>
  </si>
  <si>
    <t>THE Sub-Saharan Africa Rankings (SSA)</t>
  </si>
  <si>
    <t>Focus: Regionally adapted THE criteria for African universities</t>
  </si>
  <si>
    <t>Teaching &amp; Learning</t>
  </si>
  <si>
    <t>25%</t>
  </si>
  <si>
    <t>~70%</t>
  </si>
  <si>
    <t>SFR 2.5:1; 20 courses; 5 graduates; avg grade 77.6%; strong student support systems</t>
  </si>
  <si>
    <t>~35%</t>
  </si>
  <si>
    <t>6 active research students (16.2%); applied African topics; no citation data</t>
  </si>
  <si>
    <t>Knowledge Transfer to Society</t>
  </si>
  <si>
    <t>20%</t>
  </si>
  <si>
    <t>~40%</t>
  </si>
  <si>
    <t>Dissertations on maternal health, Swahili NLP, solar desalination — locally relevant</t>
  </si>
  <si>
    <t>15%</t>
  </si>
  <si>
    <t>~65%</t>
  </si>
  <si>
    <t>10 nationalities; 35.1% international; Pan-African student mix across 10 countries</t>
  </si>
  <si>
    <t>Access &amp; Inclusion</t>
  </si>
  <si>
    <t>~68%</t>
  </si>
  <si>
    <t>48.6% female; academic support processes (probation, standing review) evidenced</t>
  </si>
  <si>
    <t>~50%</t>
  </si>
  <si>
    <t>Shanghai ARWU (Academic Ranking of World Universities)</t>
  </si>
  <si>
    <t>Focus: Research output, Nobel laureates &amp; high-impact publications</t>
  </si>
  <si>
    <t>Alumni — Nobel / Fields Medal winners</t>
  </si>
  <si>
    <t>~0%</t>
  </si>
  <si>
    <t>5 graduates confirmed; no Nobel/Fields alumni data applicable at this stage</t>
  </si>
  <si>
    <t>Staff — Nobel / Fields Medal winners</t>
  </si>
  <si>
    <t>No data on faculty international awards of this calibre</t>
  </si>
  <si>
    <t>Highly Cited Researchers (Clarivate HiCi)</t>
  </si>
  <si>
    <t>No citation records; Clarivate HiCi designation not evidenced</t>
  </si>
  <si>
    <t>Papers in Nature &amp; Science</t>
  </si>
  <si>
    <t>Research in dissertation phase; no Nature/Science publications confirmed</t>
  </si>
  <si>
    <t>Papers in SCI / SSCI (Web of Science)</t>
  </si>
  <si>
    <t>6 research dissertations underway; journal publishing pipeline not recorded</t>
  </si>
  <si>
    <t>Per capita academic performance (PCP)</t>
  </si>
  <si>
    <t>~8%</t>
  </si>
  <si>
    <t>15 faculty; small institution could score relatively if output begins</t>
  </si>
  <si>
    <t>QS World University Rankings</t>
  </si>
  <si>
    <t>Focus: Reputation, faculty ratio, citations &amp; international diversity</t>
  </si>
  <si>
    <t>Academic Reputation (survey)</t>
  </si>
  <si>
    <t>~10%</t>
  </si>
  <si>
    <t>No global survey presence; institution not yet globally known</t>
  </si>
  <si>
    <t>Employer Reputation (survey)</t>
  </si>
  <si>
    <t>5 graduates; no employment tracking or employer survey data available</t>
  </si>
  <si>
    <t>Faculty/Student Ratio</t>
  </si>
  <si>
    <t>~88%</t>
  </si>
  <si>
    <t>2.5:1 ratio — exceptional; well within global top-tier benchmarks (&lt;10:1)</t>
  </si>
  <si>
    <t>Citations per Faculty (Scopus)</t>
  </si>
  <si>
    <t>No Scopus citation records in dataset; requires active publication base</t>
  </si>
  <si>
    <t>International Faculty Ratio</t>
  </si>
  <si>
    <t>All 15 instructors appear local; international faculty not distinguishable from data</t>
  </si>
  <si>
    <t>International Student Ratio</t>
  </si>
  <si>
    <t>~72%</t>
  </si>
  <si>
    <t>35.1% international students — strong; 13 students from 9 non-Kenyan countries</t>
  </si>
  <si>
    <t>Sustainability (ESG metrics)</t>
  </si>
  <si>
    <t>Community-focused research topics noted; formal sustainability reporting not evidenced</t>
  </si>
  <si>
    <t>Employment Outcomes</t>
  </si>
  <si>
    <t>5 confirmed graduates; no employment rate or alumni outcomes tracking data</t>
  </si>
  <si>
    <t>~32%</t>
  </si>
  <si>
    <t>CWTS Leiden Ranking</t>
  </si>
  <si>
    <t>Focus: Bibliometric research performance (Web of Science)</t>
  </si>
  <si>
    <t>P — Scientific output (WoS papers)</t>
  </si>
  <si>
    <t>6 research theses in progress; malaria, AI/UAV, NLP topics; none confirmed indexed</t>
  </si>
  <si>
    <t>PP(top 10%) — Citation impact</t>
  </si>
  <si>
    <t>~3%</t>
  </si>
  <si>
    <t>No Web of Science citation records available; requires published indexed output</t>
  </si>
  <si>
    <t>MCS — Mean citation score (normalised)</t>
  </si>
  <si>
    <t>Citation tracking requires published and indexed output in WoS</t>
  </si>
  <si>
    <t>PP(collab) — International co-authorship</t>
  </si>
  <si>
    <t>Multi-national student body; potential for collaboration; no co-authorship data recorded</t>
  </si>
  <si>
    <t>PP(gender) — Female authorship</t>
  </si>
  <si>
    <t>Supplementary</t>
  </si>
  <si>
    <t>~45%</t>
  </si>
  <si>
    <t>48.6% female students; 3 of 6 research students are female — strong potential</t>
  </si>
  <si>
    <t>PP(OA) — Open Access publications</t>
  </si>
  <si>
    <t>No open access repository or infrastructure evidenced in institutional data</t>
  </si>
  <si>
    <t>METHODOLOGY NOTE</t>
  </si>
  <si>
    <t>Score estimates are proxies derived from institutional LMS/SIS data available in the TemplumIS dataset. Indicators requiring external data (Scopus, Web of Science, employer surveys, academic reputation surveys, Clarivate HiCi lists) cannot be fully evaluated from internal records alone. Status symbols: ✓ = Performing well, ⚠ = Limited/partial data, ✗ = No data or not applicable. Scores represent current data readiness relative to each ranking's criteria, not projected global ranking positions.</t>
  </si>
  <si>
    <t>Templumis University — Postgraduate Research Tracker</t>
  </si>
  <si>
    <t>Academic Years 2023/24–2025/26  |  All Active &amp; Graduated Postgraduate Students  |  SIS — Research Management Module</t>
  </si>
  <si>
    <t>Supervisor</t>
  </si>
  <si>
    <t>Research / Capstone Title</t>
  </si>
  <si>
    <t>Research Area / Specialisation</t>
  </si>
  <si>
    <t>Programme Status</t>
  </si>
  <si>
    <t>Current Stage</t>
  </si>
  <si>
    <t>Stage Reference</t>
  </si>
  <si>
    <t>M1: Enrolment &amp; Orientation</t>
  </si>
  <si>
    <t>M2: Proposal / Yr 1 Coursework</t>
  </si>
  <si>
    <t>M3: Lit Review / Yr 2 Coursework</t>
  </si>
  <si>
    <t>M4: Data Collection / Capstone</t>
  </si>
  <si>
    <t>M5: Analysis &amp; Writing</t>
  </si>
  <si>
    <t>M6: Thesis / Report Submission</t>
  </si>
  <si>
    <t>M7: Defence / Viva / Presentation</t>
  </si>
  <si>
    <t>Overall Progress (%)</t>
  </si>
  <si>
    <t>Expected Completion</t>
  </si>
  <si>
    <t>Next Review Date</t>
  </si>
  <si>
    <t>Stage Notes</t>
  </si>
  <si>
    <t>Predictive Modeling for Urban Traffic Flow Optimization in Nairobi</t>
  </si>
  <si>
    <t>Capstone Writing Phase</t>
  </si>
  <si>
    <t>N/A (Coursework)</t>
  </si>
  <si>
    <t>On track for June 2024 graduation; data analysis complete; capstone writing in progress</t>
  </si>
  <si>
    <t>TBD — Capstone topic selection due Semester 3</t>
  </si>
  <si>
    <t>Business Administration — Marketing Analytics &amp; Consumer Strategy</t>
  </si>
  <si>
    <t>Coursework Phase — Semester 2</t>
  </si>
  <si>
    <t>GPA 3.41 in Sem 1; performing well in Sem 2; capstone topic selection due Sem 3</t>
  </si>
  <si>
    <t>Kenya's Export Diversification: The Role of Regional Trade Agreements in the EAC</t>
  </si>
  <si>
    <t>Economics — International Trade, Regional Integration &amp; Development Policy</t>
  </si>
  <si>
    <t>Graduated ✓</t>
  </si>
  <si>
    <t>Graduated Good Standing; GPA 3.55; capstone commended by panel; alumni network active</t>
  </si>
  <si>
    <t>N/A — Academic Review; Capstone phase not yet reached</t>
  </si>
  <si>
    <t>Environmental Science — Climate Change Adaptation &amp; Sustainability</t>
  </si>
  <si>
    <t>Academic Review — Probation</t>
  </si>
  <si>
    <t>In Progress (Below Standard)</t>
  </si>
  <si>
    <t>N/A — Academic Review</t>
  </si>
  <si>
    <t>GPA 2.81 — must attain ≥ 3.00 in Sem 2; academic support plan &amp; counselling in place</t>
  </si>
  <si>
    <t>Social Media Influence on Political Participation Among Youth in East Africa</t>
  </si>
  <si>
    <t>Communication Studies — Digital Media, Civic Engagement &amp; Political Discourse</t>
  </si>
  <si>
    <t>On track for June 2024; survey data (n=650 youth, 6 countries) collected &amp; analysed; draft introduction submitted</t>
  </si>
  <si>
    <t>Business Administration — Strategic Management &amp; Organisational Leadership</t>
  </si>
  <si>
    <t>GPA 3.22; Pan-African Diversity Grant awarded; strong Sem 1; capstone topic selection due Sem 3</t>
  </si>
  <si>
    <t>Biochemistry — Antimalarial Drug Discovery, Enzyme Kinetics &amp; Parasitology</t>
  </si>
  <si>
    <t>⚠ Thesis Writing — CHALLENGE: Ch.3 Major Revision Required</t>
  </si>
  <si>
    <t>⚠ Revision Required — Kinetic Model Error Identified</t>
  </si>
  <si>
    <t>Conference Paper: East Africa Biochem Symposium 2024</t>
  </si>
  <si>
    <t>⚠ CASE-PG-001 ACTIVE | Supervisor returned Ch.3 (48pp): enzyme kinetics must use Hill equation not Michaelis-Menten for cooperative binding system. All QA reanalysis needed (8–10 wks). Co-supervisor Dr. Njomo on WHO field duty until Apr 2024 — Dr. Ouma appointed interim. LC-MS/MS booked March 4–8 2024. Viva rescheduled: Oct 2024.</t>
  </si>
  <si>
    <t>Computer Science — Computer Vision, Deep Learning &amp; Precision Agriculture</t>
  </si>
  <si>
    <t>⚠ Data Collection — CHALLENGE: Dataset Crisis + Paper Revisions</t>
  </si>
  <si>
    <t>⚠ Dataset Rebuild Required (31% images unusable — ethics amendment filed)</t>
  </si>
  <si>
    <t>Paper submitted — AAAI Africa 2025 Workshop on AI for Agriculture</t>
  </si>
  <si>
    <t>⚠ CASE-PG-002 ACTIVE | Dataset audit: 155/500 UAV images unusable (motion blur, overexposure, obstruction). Ethics amendment for 2 new counties filed (6–8 wk approval). AAAI paper: Major Revisions — add 3 baselines, ablation study, significance tests. Supervisor on sabbatical Jan–Feb 2024. Revised completion: Nov 2025.</t>
  </si>
  <si>
    <t>Education Studies — EdTech, Instructional Design &amp; Learning Outcomes in SSA</t>
  </si>
  <si>
    <t>Thesis Writing Phase — Research Year 3</t>
  </si>
  <si>
    <t>Fieldwork: 12 secondary schools, n=480 students surveyed; full analysis complete; Chapters 1–4 approved; Ch 5 in progress</t>
  </si>
  <si>
    <t>Mechanical Engineering — Renewable Energy Systems &amp; Rural Water Security</t>
  </si>
  <si>
    <t>On Leave — Proposal Approved (Research Year 2)</t>
  </si>
  <si>
    <t>Pending — On Leave</t>
  </si>
  <si>
    <t>Proposal approved with commendation; prototype design ready; fieldwork paused; expected return: Sem 1 2024/25</t>
  </si>
  <si>
    <t>Public Health — Maternal &amp; Child Health, Community Medicine &amp; Health Systems</t>
  </si>
  <si>
    <t>Graduated ✓ (Research)</t>
  </si>
  <si>
    <t>Graduated highest distinction; thesis commended by external examiners; publication peer-reviewed &amp; indexed in Scopus; Postgraduate Research Fellowship holder</t>
  </si>
  <si>
    <t>Computer Science — Natural Language Processing &amp; African Language AI</t>
  </si>
  <si>
    <t>Research Proposal Phase — Research Year 1</t>
  </si>
  <si>
    <t>Proposal submitted to dept committee; ethics clearance pending; background literature review in progress; dataset scoping begun</t>
  </si>
  <si>
    <t>Computer Science — Federated Learning, Privacy-Preserving ML &amp; mHealth</t>
  </si>
  <si>
    <t>Data Collection Phase — Research Year 3</t>
  </si>
  <si>
    <t>5. Candidacy Confirmed — Data Collection</t>
  </si>
  <si>
    <t>FL model architecture designed; 4 hospital sites IRB-approved; 2 hospitals onboarded; data collection ongoing</t>
  </si>
  <si>
    <t>Public Health — Community Health Systems, Child Survival &amp; Health Systems Strengthening</t>
  </si>
  <si>
    <t>Thesis Writing Phase — Research Year 4</t>
  </si>
  <si>
    <t>14 counties fieldwork complete; n=2,400 CHW interviews analysed; Chapters 1–4 approved; writing Chapter 5</t>
  </si>
  <si>
    <t>Research Proposal Writing — Year 1</t>
  </si>
  <si>
    <t>N/A — Foundation Phase Year 1</t>
  </si>
  <si>
    <t>Foundation CW complete; lit review 60% done; World Bank/UNCTAD panel dataset identified; proposal draft 40% written</t>
  </si>
  <si>
    <t>Environmental Science — Carbon Cycling, Forest Ecology &amp; Climate Change Mitigation</t>
  </si>
  <si>
    <t>Proposal Defense — Pre-Candidacy Phase — Year 2</t>
  </si>
  <si>
    <t>3. Proposal Defense — Pre-Candidacy</t>
  </si>
  <si>
    <t>N/A — Pre-Candidacy Phase</t>
  </si>
  <si>
    <t>Systematic lit review complete; pilot site confirmed (Aberdares Forest, 500ha); proposal submitted to dept; UNEP partnership confirmed; awaiting defense date</t>
  </si>
  <si>
    <t>Templumis University — PG Academic Support &amp; Challenge Log</t>
  </si>
  <si>
    <t>Active cases: challenges, bottlenecks and interventions for currently enrolled PG students  |  SIS — Student Support Module  |  Updated: January 2024</t>
  </si>
  <si>
    <t>Case ID</t>
  </si>
  <si>
    <t>Year</t>
  </si>
  <si>
    <t>Challenge Type</t>
  </si>
  <si>
    <t>Challenge Category</t>
  </si>
  <si>
    <t>Challenge Title</t>
  </si>
  <si>
    <t>Detailed Description</t>
  </si>
  <si>
    <t>Date Identified</t>
  </si>
  <si>
    <t>Severity</t>
  </si>
  <si>
    <t>Timeline Impact</t>
  </si>
  <si>
    <t>Original Completion</t>
  </si>
  <si>
    <t>Revised Completion</t>
  </si>
  <si>
    <t>Intervention 1</t>
  </si>
  <si>
    <t>Intervention 2</t>
  </si>
  <si>
    <t>Intervention 3</t>
  </si>
  <si>
    <t>Resources Assigned</t>
  </si>
  <si>
    <t>Support Officer</t>
  </si>
  <si>
    <t>Next Review</t>
  </si>
  <si>
    <t>Resolution Notes</t>
  </si>
  <si>
    <t>CASE-PG-001a</t>
  </si>
  <si>
    <t>Research Methodology</t>
  </si>
  <si>
    <t>Data Analysis / Statistical Modelling</t>
  </si>
  <si>
    <t>Chapter 3 Major Revision: Incorrect Kinetic Model Applied</t>
  </si>
  <si>
    <t>Supervisor returned Chapter 3 (Results &amp; Analysis, 48pp) marked "Major Revision Required". Enzyme inhibition kinetics was modelled using Michaelis-Menten equation; however the system exhibits cooperative binding behaviour requiring the Hill equation for accurate IC50 determination and cooperative binding coefficient (nH) analysis. All 48 pages of quantitative analysis must be re-run using the corrected model in GraphPad Prism 10.</t>
  </si>
  <si>
    <t>High</t>
  </si>
  <si>
    <t>8–10 weeks</t>
  </si>
  <si>
    <t>Enrol: Enzyme Kinetics Computational Analysis Workshop (School of Science, Feb 2024)</t>
  </si>
  <si>
    <t>4 one-on-one methodology sessions with Dr. Mwangi Kiarie (Biochem Dept) for model remediation</t>
  </si>
  <si>
    <t>Re-run all kinetic experiments using Hill equation in GraphPad Prism 10; submit revised Ch.3 draft to supervisor by 15 March 2024</t>
  </si>
  <si>
    <t>GraphPad Prism 10 license (IT Dept) | Motulsky "Intuitive Biostatistics" (Library LIB-021) | Cornish-Bowden "Enzyme Kinetics" (Library)</t>
  </si>
  <si>
    <t>Dr. Susan Wangari (PG Coordinator)</t>
  </si>
  <si>
    <t>Open</t>
  </si>
  <si>
    <t>Remediation plan confirmed; workshop scheduled Feb 8 2024; Dr. Kiarie sessions booked Tuesdays 2–4pm</t>
  </si>
  <si>
    <t>CASE-PG-001b</t>
  </si>
  <si>
    <t>Supervisory</t>
  </si>
  <si>
    <t>Supervisory Continuity / Administrative</t>
  </si>
  <si>
    <t>Co-Supervisor Unavailability — WHO Field Assignment (DRC)</t>
  </si>
  <si>
    <t>Co-Supervisor Dr. Daniel Njomo (KEMRI) deployed on WHO field assignment in the DRC Republic until April 2024. All feedback on Chapters 2 and 4 delayed 6–8 weeks; standard 2-supervisor review requirement cannot be met. Risk of further delay if WHO assignment is extended.</t>
  </si>
  <si>
    <t>Medium</t>
  </si>
  <si>
    <t>6–8 weeks</t>
  </si>
  <si>
    <t>Formal request to HoD Science for interim co-supervisor: Dr. Atieno Ouma — approved 2024-01-20</t>
  </si>
  <si>
    <t>Asynchronous feedback protocol with Dr. Njomo via email — bi-weekly summary progress reports</t>
  </si>
  <si>
    <t>All major thesis decisions to be made by Principal Supervisor (Prof. Wangari) until Dr. Njomo returns April 2024</t>
  </si>
  <si>
    <t>N/A — Administrative resolution</t>
  </si>
  <si>
    <t>Prof. Margaret Wangari (Principal Supervisor)</t>
  </si>
  <si>
    <t>Dr. Ouma confirmed as interim co-supervisor from Jan 2024; email update cadence agreed with Dr. Njomo</t>
  </si>
  <si>
    <t>CASE-PG-001c</t>
  </si>
  <si>
    <t>Resource Access</t>
  </si>
  <si>
    <t>Laboratory / Equipment Availability</t>
  </si>
  <si>
    <t>LC-MS/MS Facility Fully Booked — Confirmatory Proteomics Analysis Blocked</t>
  </si>
  <si>
    <t>Mass spectrometry facility (LC-MS/MS unit, shared across Biochemistry, Chemistry, Pharmacy) fully booked Jan–Feb 2024 by two other research groups. Helen's planned confirmatory proteomics analysis for Chapter 3 validation is blocked for 2 months. Without this data, the chapter cannot be considered complete even after kinetic model correction.</t>
  </si>
  <si>
    <t>8 weeks</t>
  </si>
  <si>
    <t>Priority booking granted: March 4–8, 2024 (5 consecutive days — approved by HoD Science 2024-01-15)</t>
  </si>
  <si>
    <t>Exploratory MS analysis at University of Nairobi (MOU in place) — booked Feb 14 2024 for interim partial progress</t>
  </si>
  <si>
    <t>In the interim: complete remaining Ch.3 statistical corrections and begin Ch.4 discussion writing to optimise timeline</t>
  </si>
  <si>
    <t>UoN Chemistry Dept contact letter (PG Coordinator) | Priority LC-MS/MS access code issued</t>
  </si>
  <si>
    <t>Lab Manager, School of Science</t>
  </si>
  <si>
    <t>UoN session confirmed Feb 14; Templumis LC-MS/MS booking confirmed March 4–8; Ch.4 writing commenced</t>
  </si>
  <si>
    <t>CASE-PG-002a</t>
  </si>
  <si>
    <t>Research Output</t>
  </si>
  <si>
    <t>Academic Writing / Publication Strategy</t>
  </si>
  <si>
    <t>AAAI Africa 2025 Paper: Major Revisions Required (Near-Rejection)</t>
  </si>
  <si>
    <t>Paper "AI-Based Crop Disease Detection Using UAV Imagery" received Major Revisions Required. Reviewer issues: (1) Only ResNet-50 baseline — must compare YOLOv8, EfficientDet &amp; ViT; (2) 345 images insufficient for generalisability — reviewers recommend ≥1,000; (3) No ablation study to validate model component contributions; (4) Statistical significance tests absent from accuracy comparisons.</t>
  </si>
  <si>
    <t>12–16 weeks</t>
  </si>
  <si>
    <t>Supervisor-led session to identify and implement YOLOv8, EfficientDet, ViT baselines — scheduled Feb 2024</t>
  </si>
  <si>
    <t>Enrol: Academic Research Writing for CS Workshop (Graduate School, March 2024)</t>
  </si>
  <si>
    <t>Design ablation study with Prof. Mwema; add significance framework; resubmit to CVPR Africa 2025 or IEEE Access after full revision</t>
  </si>
  <si>
    <t>"Deep Learning" Goodfellow et al. (Library LIB-015) | "AI: A Modern Approach" (LIB-016) | Overleaf IEEE LaTeX template</t>
  </si>
  <si>
    <t>Supervisor revision plan review scheduled Jan 30 2024; Writing workshop registration confirmed March 2024</t>
  </si>
  <si>
    <t>CASE-PG-002b</t>
  </si>
  <si>
    <t>Dataset Quality / Research Methodology</t>
  </si>
  <si>
    <t>UAV Imagery Dataset Quality Crisis — 31% of Images Unusable</t>
  </si>
  <si>
    <t>Quality audit of UAV imagery dataset (500 images) revealed 155 images (31%) unusable: motion blur — 82 images (high wind during collection); overexposure — 43 images (mid-day collection, no ND filter); obstructed crop rows — 30 images. Effective dataset: 345 images, below the 400-image minimum in the methodology. Current CNN model training is invalid; sample size justification fails.</t>
  </si>
  <si>
    <t>Critical</t>
  </si>
  <si>
    <t>12–14 weeks</t>
  </si>
  <si>
    <t>Submit Ethics Amendment to Research Ethics Committee — expand data collection to Kakamega &amp; Meru counties (6–8 wk approval timeline)</t>
  </si>
  <si>
    <t>Develop revised UAV collection protocol: ND4 filter mandatory; optimal windows 8–10am &amp; 3–5pm; wind abort threshold 25 km/h; GPS-tagged systematic grid; on-site QC workflow</t>
  </si>
  <si>
    <t>Collaborate with School of Engineering Drone Lab (Prof. Mwema, co-supervisor) for supervised collection; target ≥1,000 validated images across 5 counties</t>
  </si>
  <si>
    <t>UAV Operations Manual (Eng Drone Lab) | Ethics amendment forms (Research Office) | Field data SOP template | Power analysis guide (LIB-008)</t>
  </si>
  <si>
    <t>Ethics amendment submitted Jan 25 2024; Prof. Mwema Drone Lab collaboration confirmed; new collection protocol approved by supervisors</t>
  </si>
  <si>
    <t>CASE-PG-002c</t>
  </si>
  <si>
    <t>Principal Supervisor on Research Sabbatical — Supervision Reduced to 1hr/week</t>
  </si>
  <si>
    <t>Dr. Kamande Njoroge on 2-month research sabbatical (Jan–Feb 2024). Supervision reduced from standard 3hrs/week to 1hr/week. This coincides with the critical decision-making period following paper rejection and dataset quality crisis. Delayed decisions on ethics amendment strategy, paper revision approach, and UAV protocol risk compounding the existing timeline challenges.</t>
  </si>
  <si>
    <t>Interim supervision: Dr. Cynthia Aluoch (co-supervisor) takes lead — confirmed at 2hrs/week Jan–Feb 2024</t>
  </si>
  <si>
    <t>Structured bi-weekly email progress reports to Dr. Njoroge during sabbatical; strict agenda for 1hr weekly sessions</t>
  </si>
  <si>
    <t>Pre-approved decision framework: Dr. Aluoch authorised to approve ethics amendment and collection protocol without waiting for Dr. Njoroge</t>
  </si>
  <si>
    <t>Dr. Aluoch confirmed as interim lead Jan 2024; reporting schedule agreed; Dr. Njoroge returns March 2024</t>
  </si>
  <si>
    <t>Templumis University — Postgraduate Library &amp; Learning Resources</t>
  </si>
  <si>
    <t>🔎  Search Guide: Filter column B (Type) | column D (Discipline) | column E (Best For: your programme) | column F (Stage: your current phase) | column G (Access: Free/Open/Subscription)  —  Use Excel AutoFilter (Data → Filter) to find your resources instantly</t>
  </si>
  <si>
    <t>ID</t>
  </si>
  <si>
    <t>Title</t>
  </si>
  <si>
    <t>Discipline(s)</t>
  </si>
  <si>
    <t>Best For</t>
  </si>
  <si>
    <t>Research Stage</t>
  </si>
  <si>
    <t>Access</t>
  </si>
  <si>
    <t>Author(s) / Publisher</t>
  </si>
  <si>
    <t>URL / DOI / Location</t>
  </si>
  <si>
    <t>⭐ Rating</t>
  </si>
  <si>
    <t>Format</t>
  </si>
  <si>
    <t>Description / Key Topics</t>
  </si>
  <si>
    <t>Recommended By</t>
  </si>
  <si>
    <t>LIB-001</t>
  </si>
  <si>
    <t>Book</t>
  </si>
  <si>
    <t>Research Design: Qualitative, Quantitative &amp; Mixed Methods (7th ed.)</t>
  </si>
  <si>
    <t>All Disciplines</t>
  </si>
  <si>
    <t>All PG</t>
  </si>
  <si>
    <t>Proposal | All Stages</t>
  </si>
  <si>
    <t>Library Sub</t>
  </si>
  <si>
    <t>Creswell J.W. &amp; Creswell J.D. | SAGE</t>
  </si>
  <si>
    <t>ISBN 978-1071817940</t>
  </si>
  <si>
    <t>Physical/eBook</t>
  </si>
  <si>
    <t>Foundational text on research paradigms; covers design strategies, data collection and analysis for all methodological approaches</t>
  </si>
  <si>
    <t>PG Coordinator</t>
  </si>
  <si>
    <t>LIB-002</t>
  </si>
  <si>
    <t>Research Methods for Business Students (9th ed.)</t>
  </si>
  <si>
    <t>Business | Economics</t>
  </si>
  <si>
    <t>MBA | PhD Economics | MA</t>
  </si>
  <si>
    <t>Proposal | Analysis | All</t>
  </si>
  <si>
    <t>Saunders M., Lewis P. &amp; Thornhill A. | Pearson</t>
  </si>
  <si>
    <t>ISBN 978-1292402727</t>
  </si>
  <si>
    <t>Comprehensive guide for business research; excellent for MBA capstone and management PhD students; strong on philosophy and strategy</t>
  </si>
  <si>
    <t>LIB-003</t>
  </si>
  <si>
    <t>Social Research Methods (6th ed.)</t>
  </si>
  <si>
    <t>Social Sciences | Education</t>
  </si>
  <si>
    <t>MA Research | PhD</t>
  </si>
  <si>
    <t>All Stages</t>
  </si>
  <si>
    <t>Bryman A. | Oxford University Press</t>
  </si>
  <si>
    <t>ISBN 978-0199689453</t>
  </si>
  <si>
    <t>Authoritative text for social science research; surveys, interviews, ethnography, content analysis; strong ethics chapter</t>
  </si>
  <si>
    <t>LIB-004</t>
  </si>
  <si>
    <t>Research Methodology: A Step-by-Step Guide (6th ed.)</t>
  </si>
  <si>
    <t>Proposal | Data Collection</t>
  </si>
  <si>
    <t>Kumar R. | SAGE Publications</t>
  </si>
  <si>
    <t>ISBN 978-1529609769</t>
  </si>
  <si>
    <t>Beginner-friendly step-by-step guide; useful for Year 1 PhD and MSc students structuring their first research proposal</t>
  </si>
  <si>
    <t>LIB-005</t>
  </si>
  <si>
    <t>Qualitative Data Analysis: A Methods Sourcebook (4th ed.)</t>
  </si>
  <si>
    <t>Analysis | Writing</t>
  </si>
  <si>
    <t>Miles M.B., Huberman A.M. &amp; Saldaña J. | SAGE</t>
  </si>
  <si>
    <t>ISBN 978-1544372228</t>
  </si>
  <si>
    <t>Definitive resource for qualitative analysis; coding, matrices, displays and interpretation; essential for education and social science research</t>
  </si>
  <si>
    <t>LIB-006</t>
  </si>
  <si>
    <t>Discovering Statistics Using IBM SPSS (6th ed.)</t>
  </si>
  <si>
    <t>Analysis</t>
  </si>
  <si>
    <t>Field A. | SAGE Publications</t>
  </si>
  <si>
    <t>ISBN 978-1529672138</t>
  </si>
  <si>
    <t>Engaging, humorous guide to statistics; from basic to advanced; covers ANOVA, regression, factor analysis; includes SPSS and R outputs</t>
  </si>
  <si>
    <t>LIB-007</t>
  </si>
  <si>
    <t>Introductory Econometrics: A Modern Approach (7th ed.)</t>
  </si>
  <si>
    <t>Economics | Business</t>
  </si>
  <si>
    <t>PhD Economics | MBA</t>
  </si>
  <si>
    <t>Wooldridge J.M. | Cengage Learning</t>
  </si>
  <si>
    <t>ISBN 978-1337558860</t>
  </si>
  <si>
    <t>Gold standard for econometrics; cross-sectional, time series and panel data; essential for economics PhD and development studies research</t>
  </si>
  <si>
    <t>LIB-008</t>
  </si>
  <si>
    <t>An Introduction to Statistical Learning with R (3rd ed.)</t>
  </si>
  <si>
    <t>CS | Data Science | All</t>
  </si>
  <si>
    <t>MSc CS | PhD | All PG</t>
  </si>
  <si>
    <t>Free Online</t>
  </si>
  <si>
    <t>James G. et al. | Springer</t>
  </si>
  <si>
    <t>https://www.statlearning.com</t>
  </si>
  <si>
    <t>Free PDF/eBook</t>
  </si>
  <si>
    <t>Accessible machine learning textbook; regression, classification, clustering, tree methods; free PDF at statlearning.com; R code included</t>
  </si>
  <si>
    <t>LIB-009</t>
  </si>
  <si>
    <t>Multivariate Data Analysis (9th ed.)</t>
  </si>
  <si>
    <t>PhD | MSc Research</t>
  </si>
  <si>
    <t>Hair J.F. et al. | Cengage</t>
  </si>
  <si>
    <t>ISBN 978-1473756540</t>
  </si>
  <si>
    <t>Comprehensive multivariate methods: SEM, CFA, cluster, discriminant analysis; widely cited in business, health and social science research</t>
  </si>
  <si>
    <t>LIB-010</t>
  </si>
  <si>
    <t>How to Write a Thesis (5th ed.)</t>
  </si>
  <si>
    <t>Murray R. | Open University Press</t>
  </si>
  <si>
    <t>ISBN 978-0335250691</t>
  </si>
  <si>
    <t>Practical, structured guide for thesis writing; covers structure, argument development, writer's block, supervision; relevant across all disciplines</t>
  </si>
  <si>
    <t>LIB-011</t>
  </si>
  <si>
    <t>Authoring a PhD: Plan, Draft, Write &amp; Finish a Doctoral Thesis</t>
  </si>
  <si>
    <t>Proposal | Writing</t>
  </si>
  <si>
    <t>Dunleavy P. | Palgrave Macmillan</t>
  </si>
  <si>
    <t>ISBN 978-0230576049</t>
  </si>
  <si>
    <t>Essential reading for PhD students; covers intellectual structure, argument, framing, and navigating the doctoral process to completion</t>
  </si>
  <si>
    <t>LIB-012</t>
  </si>
  <si>
    <t>Academic Writing for Graduate Students (4th ed.)</t>
  </si>
  <si>
    <t>Swales J.M. &amp; Feak C.B. | Univ. of Michigan</t>
  </si>
  <si>
    <t>ISBN 978-0472036950</t>
  </si>
  <si>
    <t>Discipline-specific academic writing tasks; literature reviews, methods sections, hedging language; especially useful for international students</t>
  </si>
  <si>
    <t>LIB-013</t>
  </si>
  <si>
    <t>Online Guide</t>
  </si>
  <si>
    <t>Purdue OWL: Online Writing Lab</t>
  </si>
  <si>
    <t>Writing | Proposal</t>
  </si>
  <si>
    <t>Purdue University</t>
  </si>
  <si>
    <t>https://owl.purdue.edu</t>
  </si>
  <si>
    <t>Website</t>
  </si>
  <si>
    <t>Comprehensive free guide to academic writing, citation styles (APA, MLA, Chicago), grammar, and research writing; use for citation formatting</t>
  </si>
  <si>
    <t>LIB-014</t>
  </si>
  <si>
    <t>Scribbr: Academic Writing &amp; Citation Guide</t>
  </si>
  <si>
    <t>Scribbr</t>
  </si>
  <si>
    <t>https://www.scribbr.com</t>
  </si>
  <si>
    <t>Clear guides on paraphrasing, plagiarism, thesis structure, APA/Harvard referencing, and proofreading; also offers citation generator</t>
  </si>
  <si>
    <t>LIB-015</t>
  </si>
  <si>
    <t>Deep Learning</t>
  </si>
  <si>
    <t>CS | AI | Data Science</t>
  </si>
  <si>
    <t>MSc CS | PhD CS</t>
  </si>
  <si>
    <t>Lit Review | Analysis</t>
  </si>
  <si>
    <t>Goodfellow I., Bengio Y. &amp; Courville A. | MIT Press</t>
  </si>
  <si>
    <t>https://www.deeplearningbook.org</t>
  </si>
  <si>
    <t>Free PDF</t>
  </si>
  <si>
    <t>Definitive deep learning reference; neural networks, CNNs, RNNs, generative models; free at deeplearningbook.org; essential for Ibrahim and Amina</t>
  </si>
  <si>
    <t>LIB-016</t>
  </si>
  <si>
    <t>Artificial Intelligence: A Modern Approach (4th ed.)</t>
  </si>
  <si>
    <t>CS | AI</t>
  </si>
  <si>
    <t>Lit Review | Proposal</t>
  </si>
  <si>
    <t>Russell S. &amp; Norvig P. | Pearson</t>
  </si>
  <si>
    <t>ISBN 978-0134610993</t>
  </si>
  <si>
    <t>Authoritative AI textbook; search, logic, probabilistic reasoning, ML, NLP, robotics; required reading for any AI/CS research proposal</t>
  </si>
  <si>
    <t>LIB-017</t>
  </si>
  <si>
    <t>Pattern Recognition and Machine Learning</t>
  </si>
  <si>
    <t>CS | Data Science | Statistics</t>
  </si>
  <si>
    <t>Bishop C.M. | Springer</t>
  </si>
  <si>
    <t>ISBN 978-0387310732</t>
  </si>
  <si>
    <t>Advanced ML reference; Bayesian methods, graphical models, EM algorithm; recommended for students doing model-based ML research</t>
  </si>
  <si>
    <t>LIB-018</t>
  </si>
  <si>
    <t>Journal</t>
  </si>
  <si>
    <t>IEEE Transactions on Medical Informatics</t>
  </si>
  <si>
    <t>CS | Health | AI</t>
  </si>
  <si>
    <t>PhD CS | MSc CS | PhD Health</t>
  </si>
  <si>
    <t>IEEE | IEEE Xplore</t>
  </si>
  <si>
    <t>https://ieeexplore.ieee.org/xpl/RecentIssue.jsp?punumber=4233</t>
  </si>
  <si>
    <t>Online Journal</t>
  </si>
  <si>
    <t>Premier journal for health informatics, medical AI, and clinical data systems; highly relevant for Amina's federated learning research</t>
  </si>
  <si>
    <t>LIB-019</t>
  </si>
  <si>
    <t>Database</t>
  </si>
  <si>
    <t>IEEE Xplore Digital Library</t>
  </si>
  <si>
    <t>CS | Engineering | IT</t>
  </si>
  <si>
    <t>MSc CS | PhD CS | MSc Eng</t>
  </si>
  <si>
    <t>Lit Review | All</t>
  </si>
  <si>
    <t>IEEE | https://ieeexplore.ieee.org</t>
  </si>
  <si>
    <t>https://ieeexplore.ieee.org</t>
  </si>
  <si>
    <t>Access to IEEE journals, conference papers and standards; essential for CS, engineering, and AI research; covers UAV, embedded systems, ML papers</t>
  </si>
  <si>
    <t>LIB-020</t>
  </si>
  <si>
    <t>Biochemistry (10th ed.)</t>
  </si>
  <si>
    <t>Biochemistry | Health</t>
  </si>
  <si>
    <t>MSc Biochem | PhD</t>
  </si>
  <si>
    <t>Lit Review</t>
  </si>
  <si>
    <t>Berg J.M., Tymoczko J.L. &amp; Stryer L. | W.H. Freeman</t>
  </si>
  <si>
    <t>ISBN 978-1319245795</t>
  </si>
  <si>
    <t>Comprehensive biochemistry textbook; enzyme kinetics, metabolism, molecular biology; essential reference for Helen's enzyme inhibition research</t>
  </si>
  <si>
    <t>LIB-021</t>
  </si>
  <si>
    <t>Intuitive Biostatistics (4th ed.)</t>
  </si>
  <si>
    <t>Biochemistry | Health | Biomedical</t>
  </si>
  <si>
    <t>MSc Research | PhD Health</t>
  </si>
  <si>
    <t>Motulsky H. | Oxford University Press</t>
  </si>
  <si>
    <t>ISBN 978-0190643560</t>
  </si>
  <si>
    <t>Non-intimidating biostatistics guide; curve fitting, kinetic models, t-tests, ANOVA, survival analysis; essential for Helen's kinetic model correction</t>
  </si>
  <si>
    <t>LIB-022</t>
  </si>
  <si>
    <t>Enzyme Kinetics: An Introduction</t>
  </si>
  <si>
    <t>MSc Biochem</t>
  </si>
  <si>
    <t>Data Collection | Analysis</t>
  </si>
  <si>
    <t>Bisswanger H. | Wiley-VCH</t>
  </si>
  <si>
    <t>ISBN 978-3527345472</t>
  </si>
  <si>
    <t>Dedicated enzyme kinetics reference; Michaelis-Menten, Hill equation, inhibition models, GraphPad usage; critical for Helen's Chapter 3 revision</t>
  </si>
  <si>
    <t>LIB-023</t>
  </si>
  <si>
    <t>East African Medical Journal (EAMJ)</t>
  </si>
  <si>
    <t>Health Sciences | Public Health</t>
  </si>
  <si>
    <t>MSc Health | PhD | MA</t>
  </si>
  <si>
    <t>Open Access</t>
  </si>
  <si>
    <t>EAMJ Editorial Board</t>
  </si>
  <si>
    <t>https://eamj.or.ke</t>
  </si>
  <si>
    <t>Open Access Journal</t>
  </si>
  <si>
    <t>Long-established peer-reviewed journal for East African health sciences; open access; good for contextualising Kenya/East Africa health research</t>
  </si>
  <si>
    <t>LIB-024</t>
  </si>
  <si>
    <t>PubMed / MEDLINE</t>
  </si>
  <si>
    <t>Biomedical | Health | Biochemistry</t>
  </si>
  <si>
    <t>MSc Biochem | PhD Health | MSc PH</t>
  </si>
  <si>
    <t>Free</t>
  </si>
  <si>
    <t>NIH / NLM | https://pubmed.ncbi.nlm.nih.gov</t>
  </si>
  <si>
    <t>https://pubmed.ncbi.nlm.nih.gov</t>
  </si>
  <si>
    <t>Free Database</t>
  </si>
  <si>
    <t>Premier free biomedical literature database; 35+ million citations; use MeSH terms for precise searches; essential starting point for all health/biomedical literature reviews</t>
  </si>
  <si>
    <t>LIB-025</t>
  </si>
  <si>
    <t>Environmental Science: Earth as a Living Planet (11th ed.)</t>
  </si>
  <si>
    <t>MSc Env | PhD Env</t>
  </si>
  <si>
    <t>Botkin D.B. &amp; Keller E.A. | Wiley</t>
  </si>
  <si>
    <t>ISBN 978-1119784210</t>
  </si>
  <si>
    <t>Comprehensive environmental science textbook; ecosystems, climate, carbon cycles, biodiversity; good foundation text for Derrick and Peter</t>
  </si>
  <si>
    <t>LIB-026</t>
  </si>
  <si>
    <t>Principles of Terrestrial Ecosystem Ecology (3rd ed.)</t>
  </si>
  <si>
    <t>Environmental Science | Carbon Science</t>
  </si>
  <si>
    <t>PhD Env | MSc Env</t>
  </si>
  <si>
    <t>Chapin F.S. et al. | Springer</t>
  </si>
  <si>
    <t>ISBN 978-3030433512</t>
  </si>
  <si>
    <t>Advanced ecosystem ecology; carbon and nutrient cycling, net ecosystem production, land-atmosphere exchange; essential for Peter's carbon sequestration PhD</t>
  </si>
  <si>
    <t>LIB-027</t>
  </si>
  <si>
    <t>IPCC Sixth Assessment Report (AR6) — Working Group I-III</t>
  </si>
  <si>
    <t>Environmental Science | Climate</t>
  </si>
  <si>
    <t>PhD Env | MSc Env | All PG</t>
  </si>
  <si>
    <t>IPCC</t>
  </si>
  <si>
    <t>https://www.ipcc.ch/assessment-report/ar6/</t>
  </si>
  <si>
    <t>Free PDF/Online</t>
  </si>
  <si>
    <t>Definitive global climate science report; carbon budgets, sequestration, mitigation pathways; essential reference for Peter's carbon research and Derrick's environmental studies</t>
  </si>
  <si>
    <t>LIB-028</t>
  </si>
  <si>
    <t>Environmental Science &amp; Technology (ACS)</t>
  </si>
  <si>
    <t>ACS Publications | American Chemical Society</t>
  </si>
  <si>
    <t>https://pubs.acs.org/journal/esthag</t>
  </si>
  <si>
    <t>Top-ranked ES&amp;T journal; environmental analysis, remediation, climate science, carbon quantification; high impact, peer-reviewed; relevant for Peter</t>
  </si>
  <si>
    <t>LIB-029</t>
  </si>
  <si>
    <t>Research Methods in Education (9th ed.)</t>
  </si>
  <si>
    <t>MA Research | PhD Edu</t>
  </si>
  <si>
    <t>Cohen L., Manion L. &amp; Morrison K. | Routledge</t>
  </si>
  <si>
    <t>ISBN 978-1032122380</t>
  </si>
  <si>
    <t>Standard text for educational research; covers case study, survey, ethnography, interviews, triangulation; essential for Janet and any education research student</t>
  </si>
  <si>
    <t>LIB-030</t>
  </si>
  <si>
    <t>Education and Technology: Key Issues and Debates (4th ed.)</t>
  </si>
  <si>
    <t>Education | EdTech</t>
  </si>
  <si>
    <t>Selwyn N. | Bloomsbury Academic</t>
  </si>
  <si>
    <t>ISBN 978-1350261723</t>
  </si>
  <si>
    <t>Critical analysis of EdTech; digital pedagogy, e-learning, equity; directly relevant to Janet's research on digital pedagogy in Kenyan schools</t>
  </si>
  <si>
    <t>LIB-031</t>
  </si>
  <si>
    <t>British Journal of Educational Technology (BJET)</t>
  </si>
  <si>
    <t>MA Edu | PhD Edu</t>
  </si>
  <si>
    <t>Wiley | British Educational Research Association</t>
  </si>
  <si>
    <t>https://bera-journals.onlinelibrary.wiley.com/journal/14678535</t>
  </si>
  <si>
    <t>Premier EdTech journal; learning technologies, digital pedagogy, e-learning outcomes; highly relevant for Janet's PhD scope; good citation source</t>
  </si>
  <si>
    <t>LIB-032</t>
  </si>
  <si>
    <t>Marketing Management (17th ed.)</t>
  </si>
  <si>
    <t>Marketing | Business</t>
  </si>
  <si>
    <t>MBA | MA</t>
  </si>
  <si>
    <t>Kotler P. &amp; Keller K.L. | Pearson</t>
  </si>
  <si>
    <t>ISBN 978-0138240530</t>
  </si>
  <si>
    <t>Standard MBA marketing text; consumer behaviour, digital marketing, brand strategy; core reading for Benjamin's MBA marketing analytics specialisation</t>
  </si>
  <si>
    <t>LIB-033</t>
  </si>
  <si>
    <t>Competitive Strategy</t>
  </si>
  <si>
    <t>MBA | PhD Business</t>
  </si>
  <si>
    <t>Porter M.E. | Free Press</t>
  </si>
  <si>
    <t>ISBN 978-0684841489</t>
  </si>
  <si>
    <t>Classic strategic management text; Five Forces, value chain, competitive positioning; essential foundation reading for MBA strategic management track</t>
  </si>
  <si>
    <t>LIB-034</t>
  </si>
  <si>
    <t>Advanced Microeconomic Theory (3rd ed.)</t>
  </si>
  <si>
    <t>PhD Economics | MA Economics</t>
  </si>
  <si>
    <t>Jehle G.A. &amp; Reny P.J. | Pearson</t>
  </si>
  <si>
    <t>ISBN 978-1292087023</t>
  </si>
  <si>
    <t>Graduate-level microeconomics; utility, production, game theory, general equilibrium; essential for Fatima's PhD in international economics</t>
  </si>
  <si>
    <t>LIB-035</t>
  </si>
  <si>
    <t>African Development Review</t>
  </si>
  <si>
    <t>Economics | Development</t>
  </si>
  <si>
    <t>PhD Economics | MA</t>
  </si>
  <si>
    <t>Wiley / African Development Bank</t>
  </si>
  <si>
    <t>https://onlinelibrary.wiley.com/journal/14678268</t>
  </si>
  <si>
    <t>AfDB-affiliated journal; Africa-specific economics, FDI, trade, structural transformation; highly relevant for Fatima's panel data analysis research</t>
  </si>
  <si>
    <t>Dr. Emmanuel Kiprotich</t>
  </si>
  <si>
    <t>LIB-036</t>
  </si>
  <si>
    <t>Business Source Complete (EBSCOhost)</t>
  </si>
  <si>
    <t>Business | Economics | Management</t>
  </si>
  <si>
    <t>MBA | PhD Business | MA</t>
  </si>
  <si>
    <t>EBSCO | https://www.ebsco.com</t>
  </si>
  <si>
    <t>Library portal → EBSCOhost</t>
  </si>
  <si>
    <t>Comprehensive business database; journals, case studies, company profiles, industry reports; essential for MBA capstone and business PhD literature reviews</t>
  </si>
  <si>
    <t>LIB-037</t>
  </si>
  <si>
    <t>Epidemiology (6th ed.)</t>
  </si>
  <si>
    <t>Public Health | Health Sciences</t>
  </si>
  <si>
    <t>PhD PH | MSc PH</t>
  </si>
  <si>
    <t>Gordis L. &amp; Celentano D.D. | Elsevier</t>
  </si>
  <si>
    <t>ISBN 978-0323547338</t>
  </si>
  <si>
    <t>Standard epidemiology textbook; study design, bias, confounding, causality, outbreak investigation; essential for Samuel's community health research</t>
  </si>
  <si>
    <t>LIB-038</t>
  </si>
  <si>
    <t>Global Health: Disease, Programs, Systems &amp; Policies (5th ed.)</t>
  </si>
  <si>
    <t>Public Health | Global Health</t>
  </si>
  <si>
    <t>Merson M.H. et al. | Jones &amp; Bartlett</t>
  </si>
  <si>
    <t>ISBN 978-1284145045</t>
  </si>
  <si>
    <t>Comprehensive global health text; health systems, CHW programs, maternal health, under-5 mortality; directly relevant for Samuel's PhD research context</t>
  </si>
  <si>
    <t>LIB-039</t>
  </si>
  <si>
    <t>PLOS Global Health</t>
  </si>
  <si>
    <t>Public Health | Global Health | All</t>
  </si>
  <si>
    <t>PhD | MSc Health</t>
  </si>
  <si>
    <t>PLOS | Public Library of Science</t>
  </si>
  <si>
    <t>https://journals.plos.org/globalpublichealth/</t>
  </si>
  <si>
    <t>New open-access flagship for global health; peer-reviewed, indexed in PubMed; no access barriers; relevant for Samuel's CHW integration research</t>
  </si>
  <si>
    <t>LIB-040</t>
  </si>
  <si>
    <t>Thermodynamics: An Engineering Approach (10th ed.)</t>
  </si>
  <si>
    <t>Engineering</t>
  </si>
  <si>
    <t>MSc Eng | PhD Eng</t>
  </si>
  <si>
    <t>Cengel Y.A. &amp; Boles M.A. | McGraw-Hill</t>
  </si>
  <si>
    <t>ISBN 978-1259822674</t>
  </si>
  <si>
    <t>Standard engineering thermodynamics; energy systems, heat transfer, exergy; relevant for Kenneth's solar desalination PhD research</t>
  </si>
  <si>
    <t>LIB-041</t>
  </si>
  <si>
    <t>Renewable Energy Resources (4th ed.)</t>
  </si>
  <si>
    <t>Engineering | Environmental</t>
  </si>
  <si>
    <t>MSc Eng | PhD Env</t>
  </si>
  <si>
    <t>Twidell J. &amp; Weir T. | Routledge</t>
  </si>
  <si>
    <t>ISBN 978-1032055749</t>
  </si>
  <si>
    <t>Comprehensive renewable energy text; solar thermal, photovoltaics, desalination, wind, biomass; essential for Kenneth's low-cost solar desalination work</t>
  </si>
  <si>
    <t>LIB-042</t>
  </si>
  <si>
    <t>Energy (Elsevier)</t>
  </si>
  <si>
    <t>Elsevier | ScienceDirect</t>
  </si>
  <si>
    <t>https://www.sciencedirect.com/journal/energy</t>
  </si>
  <si>
    <t>High-impact energy journal; solar, desalination, renewables for development; relevant for Kenneth's rural water security research</t>
  </si>
  <si>
    <t>LIB-043</t>
  </si>
  <si>
    <t>Scopus</t>
  </si>
  <si>
    <t>All PG | PhD</t>
  </si>
  <si>
    <t>Elsevier | https://www.scopus.com</t>
  </si>
  <si>
    <t>https://www.scopus.com</t>
  </si>
  <si>
    <t>World's largest abstract and citation database; 88 million records; use for systematic literature reviews, citation analysis, author metrics; essential for PhD students</t>
  </si>
  <si>
    <t>LIB-044</t>
  </si>
  <si>
    <t>Web of Science (WoS)</t>
  </si>
  <si>
    <t>Clarivate | https://www.webofscience.com</t>
  </si>
  <si>
    <t>https://www.webofscience.com</t>
  </si>
  <si>
    <t>Leading citation index; Journal Citation Reports (JCR) impact factors; essential for identifying high-quality journals and cited reference searching</t>
  </si>
  <si>
    <t>LIB-045</t>
  </si>
  <si>
    <t>JSTOR</t>
  </si>
  <si>
    <t>Social Sciences | Humanities | Education</t>
  </si>
  <si>
    <t>JSTOR | https://www.jstor.org</t>
  </si>
  <si>
    <t>https://www.jstor.org</t>
  </si>
  <si>
    <t>Extensive archive of academic journals, books, and primary sources; strong in social sciences, humanities, education; older articles especially well covered</t>
  </si>
  <si>
    <t>LIB-046</t>
  </si>
  <si>
    <t>Google Scholar</t>
  </si>
  <si>
    <t>Google | https://scholar.google.com</t>
  </si>
  <si>
    <t>https://scholar.google.com</t>
  </si>
  <si>
    <t>Free broad academic search; useful for grey literature, thesis discovery, and citation tracking; use alongside Scopus/WoS for systematic reviews</t>
  </si>
  <si>
    <t>LIB-047</t>
  </si>
  <si>
    <t>ScienceDirect (Elsevier)</t>
  </si>
  <si>
    <t>Science | Health | Engineering | CS</t>
  </si>
  <si>
    <t>Elsevier | https://www.sciencedirect.com</t>
  </si>
  <si>
    <t>https://www.sciencedirect.com</t>
  </si>
  <si>
    <t>Access to 2,500+ Elsevier journals and 40,000+ ebooks; excellent for science, health, engineering disciplines; search full-text articles directly</t>
  </si>
  <si>
    <t>LIB-048</t>
  </si>
  <si>
    <t>African Journals Online (AJOL)</t>
  </si>
  <si>
    <t>All Disciplines — Africa Focus</t>
  </si>
  <si>
    <t>Free (Registered)</t>
  </si>
  <si>
    <t>AJOL | https://www.ajol.info</t>
  </si>
  <si>
    <t>https://www.ajol.info</t>
  </si>
  <si>
    <t>Pan-African journal aggregator; 500+ African peer-reviewed journals; essential for Africa-contextualised literature across all disciplines; register free</t>
  </si>
  <si>
    <t>LIB-049</t>
  </si>
  <si>
    <t>Research4Life (Hinari/AGORA/OARE/GOALI)</t>
  </si>
  <si>
    <t>Health | Agriculture | Environment | Law</t>
  </si>
  <si>
    <t>Free (Institutional)</t>
  </si>
  <si>
    <t>WHO / FAO / UNEP | https://www.research4life.org</t>
  </si>
  <si>
    <t>https://www.research4life.org</t>
  </si>
  <si>
    <t>Free access to thousands of journals for eligible institutions in low-income countries; register via institutional email; covers health (Hinari), environment (OARE), agriculture (AGORA)</t>
  </si>
  <si>
    <t>LIB-050</t>
  </si>
  <si>
    <t>Dataset</t>
  </si>
  <si>
    <t>World Bank Open Data</t>
  </si>
  <si>
    <t>Economics | Development | All</t>
  </si>
  <si>
    <t>PhD Economics | MA | All PG</t>
  </si>
  <si>
    <t>World Bank | https://data.worldbank.org</t>
  </si>
  <si>
    <t>https://data.worldbank.org</t>
  </si>
  <si>
    <t>Online Dataset</t>
  </si>
  <si>
    <t>Free access to development indicators, GDP, FDI, trade, health, education data for 200+ countries; essential for Fatima's FDI panel data analysis</t>
  </si>
  <si>
    <t>LIB-051</t>
  </si>
  <si>
    <t>WHO Global Health Observatory (GHO)</t>
  </si>
  <si>
    <t>WHO | https://www.who.int/data/gho</t>
  </si>
  <si>
    <t>https://www.who.int/data/gho</t>
  </si>
  <si>
    <t>WHO health statistics database; mortality, morbidity, health systems, CHW data by country; useful for Samuel's under-5 mortality research</t>
  </si>
  <si>
    <t>LIB-052</t>
  </si>
  <si>
    <t>Kenya National Bureau of Statistics (KNBS)</t>
  </si>
  <si>
    <t>Kenya Studies | Economics | Health</t>
  </si>
  <si>
    <t>All PG — Kenya</t>
  </si>
  <si>
    <t>KNBS | https://www.knbs.or.ke</t>
  </si>
  <si>
    <t>https://www.knbs.or.ke</t>
  </si>
  <si>
    <t>Official Kenya statistical data; census, KDHS, economic surveys, county-level data; essential for any Kenya-specific research including Janet, Samuel, Peter</t>
  </si>
  <si>
    <t>LIB-053</t>
  </si>
  <si>
    <t>Course</t>
  </si>
  <si>
    <t>Research Methods: Quantitative &amp; Qualitative (Coursera)</t>
  </si>
  <si>
    <t>Proposal | Methods | All</t>
  </si>
  <si>
    <t>Free (Audit)</t>
  </si>
  <si>
    <t>Duke University / Coursera | https://www.coursera.org</t>
  </si>
  <si>
    <t>https://www.coursera.org/learn/research-methods</t>
  </si>
  <si>
    <t>Online Video + Quiz</t>
  </si>
  <si>
    <t>8-week course covering experimental, survey, and qualitative research design; free to audit; useful for Year 1 PhD and MSc students building research foundations</t>
  </si>
  <si>
    <t>LIB-054</t>
  </si>
  <si>
    <t>Machine Learning Specialization (Coursera)</t>
  </si>
  <si>
    <t>Stanford University (Andrew Ng) / Coursera</t>
  </si>
  <si>
    <t>https://www.coursera.org/specializations/machine-learning-introduction</t>
  </si>
  <si>
    <t>Online Video + Assignment</t>
  </si>
  <si>
    <t>3-course specialization; supervised/unsupervised learning, neural networks; free to audit; essential supplementary learning for Ibrahim and Amina's ML research</t>
  </si>
  <si>
    <t>LIB-055</t>
  </si>
  <si>
    <t>Data Analysis for Life Sciences (edX/HarvardX)</t>
  </si>
  <si>
    <t>Health | Biomedical | Statistics</t>
  </si>
  <si>
    <t>MSc Biochem | PhD Health</t>
  </si>
  <si>
    <t>Harvard University / edX | https://www.edx.org</t>
  </si>
  <si>
    <t>https://www.edx.org/learn/data-analysis</t>
  </si>
  <si>
    <t>R-based biostatistics for life sciences; hypothesis testing, regression, high-dimensional data; directly supports Helen's and Samuel's quantitative analysis work</t>
  </si>
  <si>
    <t>LIB-056</t>
  </si>
  <si>
    <t>MIT OpenCourseWare — Free STEM Courses</t>
  </si>
  <si>
    <t>CS | Engineering | Science | Maths</t>
  </si>
  <si>
    <t>MSc CS | PhD | MSc Eng</t>
  </si>
  <si>
    <t>Massachusetts Institute of Technology | https://ocw.mit.edu</t>
  </si>
  <si>
    <t>https://ocw.mit.edu</t>
  </si>
  <si>
    <t>Free Lecture Notes + Assignments</t>
  </si>
  <si>
    <t>Free access to MIT course materials; thermodynamics, algorithms, ML, biology, economics; no registration required; use as supplementary depth material</t>
  </si>
  <si>
    <t>LIB-057</t>
  </si>
  <si>
    <t>Zotero Reference Manager (Free)</t>
  </si>
  <si>
    <t>Writing | Lit Review</t>
  </si>
  <si>
    <t>Zotero | https://www.zotero.org</t>
  </si>
  <si>
    <t>https://www.zotero.org</t>
  </si>
  <si>
    <t>Free Software</t>
  </si>
  <si>
    <t>Free reference manager; browser plugin for one-click citation saving; auto-generates bibliographies in any style; essential tool for all PG students managing large literature reviews</t>
  </si>
  <si>
    <t>COLOUR KEY:  🟢 Book   🔵 Journal   🟣 Database   🟡 Course   🟠 Dataset   🟩 Online Guide     |     ACCESS:  Open Access = free with account  |  Free Online = no login  |  Library Sub = access via library portal</t>
  </si>
  <si>
    <t>Templumis University — PhD Student Journey Tracker</t>
  </si>
  <si>
    <t>▪ Green = Complete ✓   ▪ Blue = In Progress   ▪ Grey = Not Yet   ▪ Orange = ⚠ Active Challenge   |   Doctoral milestone progression — tracked from Enrolment to Graduation   |   Updated: January 2024</t>
  </si>
  <si>
    <t>● STUDENT PROFILE</t>
  </si>
  <si>
    <t>● PROGRAMME</t>
  </si>
  <si>
    <t>● DOCTORAL MILESTONE TRACKING  M1 → M12</t>
  </si>
  <si>
    <t>● KEY DATES</t>
  </si>
  <si>
    <t>● ACADEMIC STANDING</t>
  </si>
  <si>
    <t>● SUPERVISION &amp; PROGRESS NOTES</t>
  </si>
  <si>
    <t>School / Department</t>
  </si>
  <si>
    <t>Research Title</t>
  </si>
  <si>
    <t>Principal Supervisor</t>
  </si>
  <si>
    <t>Co-Supervisor / External Partner</t>
  </si>
  <si>
    <t>Research Year</t>
  </si>
  <si>
    <t>Overall
Progress (%)</t>
  </si>
  <si>
    <t>M1
Enrolment &amp;
Orientation</t>
  </si>
  <si>
    <t>M2
Foundation
Coursework</t>
  </si>
  <si>
    <t>M3
Systematic
Lit Review</t>
  </si>
  <si>
    <t>M4
Research
Proposal
Written</t>
  </si>
  <si>
    <t>M5
Proposal
Defense</t>
  </si>
  <si>
    <t>M6
Candidacy
Confirmed</t>
  </si>
  <si>
    <t>M7
Data
Collection</t>
  </si>
  <si>
    <t>M8
Data Analysis
&amp; Chapter
Writing</t>
  </si>
  <si>
    <t>M9
Pre-Submission
Seminar</t>
  </si>
  <si>
    <t>M10
Thesis
Submission</t>
  </si>
  <si>
    <t>M11
Viva Voce /
External Exam</t>
  </si>
  <si>
    <t>M12
Final Approval
&amp; Graduation</t>
  </si>
  <si>
    <t>Expected
Thesis
Submission</t>
  </si>
  <si>
    <t>Expected
Viva Date</t>
  </si>
  <si>
    <t>Expected
Graduation</t>
  </si>
  <si>
    <t>Extensions /
Deferrals</t>
  </si>
  <si>
    <t>Current
GPA</t>
  </si>
  <si>
    <t>Academic
Standing</t>
  </si>
  <si>
    <t>Fees
Status</t>
  </si>
  <si>
    <t>Last Progress
Review Date</t>
  </si>
  <si>
    <t>Stage Notes &amp; Active Flags</t>
  </si>
  <si>
    <t>Prof. Ruth Mutua (Strathmore University)</t>
  </si>
  <si>
    <t>55%</t>
  </si>
  <si>
    <t>None</t>
  </si>
  <si>
    <t>FL architecture designed; IRBs approved at all 4 hospital sites; 2 sites data collection active. Next: complete remaining 2 sites + begin federated model training. Working paper submitted to IEEE Trans. Medical Informatics (under review).</t>
  </si>
  <si>
    <t>Dr. Rebecca Adero (WHO Kenya)</t>
  </si>
  <si>
    <t>78%</t>
  </si>
  <si>
    <t>Fieldwork complete (14 counties, n=2,400 CHW interviews). Data fully analysed. Chapters 1–4 approved by supervisor. Currently writing Chapter 5 (Conclusions &amp; Policy Recommendations). 2 publications: African J. Primary Health Care (published 2024) + PLOS Global Health (under review).</t>
  </si>
  <si>
    <t>Dr. Emmanuel Kiprotich (IMF Africa Division)</t>
  </si>
  <si>
    <t>Foundation coursework ongoing (PHD701 complete ✓, PHD702/703 in progress). Systematic lit review 60% done. World Bank WDI + UNCTAD FDI panel dataset identified. Proposal draft 40% written. Target: full proposal to Dept Committee April 2024.</t>
  </si>
  <si>
    <t>Dr. Osei Kwame (UNEP Kenya)</t>
  </si>
  <si>
    <t>38%</t>
  </si>
  <si>
    <t>Systematic lit review complete. Proposal submitted to Dept Committee. Awaiting defense date (target: March 2024). Pilot site confirmed: Aberdares Forest Reserve (500ha). UNEP partnership signed. Ethics clearance application in preparation.</t>
  </si>
  <si>
    <t>LEGEND:  ■ Complete ✓ (Green) = Milestone achieved &amp; supervisor-verified  │  ■ In Progress (Blue) = Currently active  │  ■ Not Yet (Grey) = Future milestone — not yet started  │  ■ ⚠ Challenge (Orange) = Active bottleneck — see PG Academic Support sheet for case details</t>
  </si>
  <si>
    <t>Templumis University — PhD Student Academic Support Guide</t>
  </si>
  <si>
    <t>A comprehensive reference guide for doctoral students at every stage of their PhD journey  |  Graduate School, Templumis University  |  Academic Year 2023–2024</t>
  </si>
  <si>
    <t>◆  SECTION 1 — DOCTORAL STAGE-BY-STAGE SUPPORT GUIDE  (Stages 1–12)</t>
  </si>
  <si>
    <t>Stage
#</t>
  </si>
  <si>
    <t>Stage Name</t>
  </si>
  <si>
    <t>Typical
Year</t>
  </si>
  <si>
    <t>Duration</t>
  </si>
  <si>
    <t>Key Tasks &amp; Deliverables</t>
  </si>
  <si>
    <t>Academic Support Available</t>
  </si>
  <si>
    <t>Key Library Resources
(see Library Resources sheet)</t>
  </si>
  <si>
    <t>Workshops &amp; Training</t>
  </si>
  <si>
    <t>Key Contacts</t>
  </si>
  <si>
    <t>Common Challenges
&amp; How to Address Them</t>
  </si>
  <si>
    <t>Required Forms /
Submissions</t>
  </si>
  <si>
    <t>Milestone Target</t>
  </si>
  <si>
    <t>Enrolment &amp; Orientation</t>
  </si>
  <si>
    <t>Year 1
(Mths 1–2)</t>
  </si>
  <si>
    <t>1–2 months</t>
  </si>
  <si>
    <t>• Complete official registration &amp; ID
• Attend PhD orientation programme
• First supervisor meeting — agree on supervision schedule
• Sign Supervision Agreement
• Set up research tools: Zotero, Overleaf, NVivo/SPSS
• Access all library databases
• Join PhD student community/WhatsApp group
• Identify first reading list with supervisor</t>
  </si>
  <si>
    <t>• Graduate School orientation (3-day induction)
• Library Research Induction (2-hr session)
• IT tools setup support
• PG peer buddy system (connect with Year 2+ PhD student)
• Writing Centre introduction session</t>
  </si>
  <si>
    <t>LIB-010: How to Write a Thesis
LIB-011: Authoring a PhD
LIB-057: Zotero (Reference Manager)
LIB-013: Purdue OWL Writing Guide</t>
  </si>
  <si>
    <t>• PhD Orientation Workshop (Graduate School)
• Library Database Induction
• Research Ethics Overview (1hr)
• Zotero Reference Manager Setup Workshop</t>
  </si>
  <si>
    <t>Graduate School: Dr. Susan Wangari
s.wangari@templumis.ac
Room 201, Admin Block
Library Services: library.pg@templumis.ac
IT Helpdesk: helpdesk@templumis.ac</t>
  </si>
  <si>
    <t>CHALLENGE: Admin delays in system access
→ Contact IT and Registry immediately; escalate via PG Coordinator if unresolved in 5 days
CHALLENGE: Unclear expectations from supervisor
→ Agree on written Supervision Agreement in Week 2</t>
  </si>
  <si>
    <t>• PhD Registration Form
• Supervision Agreement (signed by supervisor + HoD)
• Ethics Awareness Declaration
• Library Access Form</t>
  </si>
  <si>
    <t>✓ Fully registered, tools set up, Supervision Agreement signed, first supervisor meeting completed</t>
  </si>
  <si>
    <t>Foundation Coursework</t>
  </si>
  <si>
    <t>Year 1
(Mths 2–8)</t>
  </si>
  <si>
    <t>6–8 months</t>
  </si>
  <si>
    <t>• Complete all PhD foundation modules:
  – PHD701: Advanced Research Design &amp; Epistemology
  – PHD702: Doctoral Seminar Series
  – PHD703: Comprehensive Exam Preparation
• Attend departmental research seminars (monthly)
• Begin broad literature reading in research area
• Form initial research question and focus
• Write reading reflections/weekly notes</t>
  </si>
  <si>
    <t>• Academic Writing Centre: free weekly drop-ins
• Statistics Support Unit: drop-in Mondays 2–4pm
• Peer PhD writing group (Thursdays 2–5pm)
• Course instructors: office hours for 1-on-1 support
• Online Coursera/edX supplementary courses (free audit)</t>
  </si>
  <si>
    <t>LIB-001: Research Design (Creswell)
LIB-004: Research Methodology (Kumar)
LIB-006: Statistics (Field)
LIB-053: Coursera Research Methods</t>
  </si>
  <si>
    <t>• Academic Writing for Doctoral Students (Wk 4)
• Introduction to Statistical Software: R/SPSS/NVivo
• Research Philosophy &amp; Paradigms Workshop
• Doctoral Seminar (PHD702) — monthly presentations</t>
  </si>
  <si>
    <t>Course Instructors: Dr. Susan Wangari
Academic Writing: writing.centre@templumis.ac
Stats Support: stats.support@templumis.ac
Peer Writing Group: via Graduate School</t>
  </si>
  <si>
    <t>CHALLENGE: Balancing coursework &amp; early research
→ Block 2hrs/day for independent research reading; discuss priority with supervisor
CHALLENGE: Grade below B in foundation course
→ Immediate academic support; may need to repeat module</t>
  </si>
  <si>
    <t>• Course Registration Confirmation
• Coursework completion with minimum grade B
• PhD Training Log (updated each semester)</t>
  </si>
  <si>
    <t>✓ All PhD foundation courses completed with minimum B grade average</t>
  </si>
  <si>
    <t>Systematic Literature Review</t>
  </si>
  <si>
    <t>Year 1
(Mths 6–12)</t>
  </si>
  <si>
    <t>4–6 months
(overlaps with CW)</t>
  </si>
  <si>
    <t>• Define inclusion/exclusion criteria for systematic review
• Search all major databases systematically (Scopus, WoS, PubMed, JSTOR, AJOL)
• Screen &amp; select 80–150+ relevant sources
• Read critically — note research gaps, theoretical debates
• Develop theoretical/conceptual framework
• Write first full draft of Literature Review chapter
• Submit draft to supervisor for feedback
• Revise based on feedback</t>
  </si>
  <si>
    <t>• Subject Librarian for discipline-specific database training (book via library portal)
• Systematic Review Support Sessions (Library, quarterly)
• Supervisor chapter feedback meetings (bi-weekly)
• PG Writing Group — lit review chapter critique sessions
• Reference management workshop (Zotero)</t>
  </si>
  <si>
    <t>LIB-043: Scopus
LIB-044: Web of Science
LIB-046: Google Scholar
LIB-048: AJOL (African journals)
LIB-049: Research4Life/Hinari (free access)
LIB-057: Zotero</t>
  </si>
  <si>
    <t>• Database Search Strategies Training (Library)
• Systematic Review Methods Workshop
• Critical Reading &amp; Annotation Workshop
• Zotero Advanced Features Workshop</t>
  </si>
  <si>
    <t>Subject Librarian: library.pg@templumis.ac
Supervisor: scheduled bi-weekly meetings
PG Writing Group: Thursdays 2–5pm
Grad School: Dr. Susan Wangari</t>
  </si>
  <si>
    <t>CHALLENGE: Too broad — can't manage 1,000+ papers
→ Apply PICO/SPIDER framework; set strict inclusion criteria with supervisor
CHALLENGE: Finding Africa-specific literature
→ Use AJOL + Research4Life; also Google Scholar for grey lit and conference papers</t>
  </si>
  <si>
    <t>• Literature Search Log (databases searched, dates, terms)
• Reference list in Zotero (exported to supervisor)
• Literature Review Draft Chapter
• Research Gap Identification Summary</t>
  </si>
  <si>
    <t>✓ Comprehensive lit review draft approved by supervisor with research gaps clearly identified</t>
  </si>
  <si>
    <t>Research Proposal Writing</t>
  </si>
  <si>
    <t>Year 1
(Mths 9–14)</t>
  </si>
  <si>
    <t>3–5 months</t>
  </si>
  <si>
    <t>• Write full research proposal (15–25 pages):
  – Title, Abstract, Background
  – Research Problem, Questions &amp; Objectives
  – Theoretical Framework
  – Research Methodology (design, sample, tools)
  – Timeline &amp; Budget
  – References (50+ minimum)
• Prepare ethics application
• Multiple rounds of supervisor review &amp; revision
• Peer review by PhD cohort
• Final polish before departmental submission</t>
  </si>
  <si>
    <t>• Proposal Writing Workshop (Graduate School — twice yearly)
• Supervisor review: minimum 3 draft rounds
• Writing Centre — 1-on-1 proposal consultation
• Ethics Office — pre-application guidance session
• IMRaD &amp; proposal structure templates (available from Graduate School)</t>
  </si>
  <si>
    <t>LIB-001: Research Design
LIB-010: How to Write a Thesis
LIB-011: Authoring a PhD
LIB-012: Academic Writing for Grad Students
LIB-002/003: Methods for your discipline</t>
  </si>
  <si>
    <t>• Research Proposal Writing Workshop (Grad School)
• Ethics Application Writing Training
• Academic Argument &amp; Structure Workshop
• Budget Planning for PhD Research (Finance Office)</t>
  </si>
  <si>
    <t>PG Coordinator: Dr. Susan Wangari
Research Ethics: ethics@templumis.ac
Writing Centre: writing.centre@templumis.ac
Your supervisor &amp; co-supervisor</t>
  </si>
  <si>
    <t>CHALLENGE: Scope too broad — supervisor says "do less"
→ Focus on 1–2 clear research questions; depth &gt; breadth for PhD
CHALLENGE: Methodology not aligned to research questions
→ Re-read Creswell Ch. 3–5; discuss paradigm fit with supervisor in dedicated session</t>
  </si>
  <si>
    <t>• Research Proposal Submission Form
• Ethics Application (if involving human subjects, animals, or fieldwork)
• Budget Justification Form
• Plagiarism Check (Turnitin &lt;20% similarity)</t>
  </si>
  <si>
    <t>✓ Full research proposal submitted to Departmental PhD Committee</t>
  </si>
  <si>
    <t>Proposal Defense (Pre-Candidacy)</t>
  </si>
  <si>
    <t>Year 1–2
(Mths 12–18)</t>
  </si>
  <si>
    <t>1–2 months
preparation</t>
  </si>
  <si>
    <t>• Prepare 20-min defense presentation + 15-min Q&amp;A
• Review all feedback from supervisor on proposal
• Anticipate panel questions (methodology, scope, lit gaps)
• Submit final proposal to panel (2 weeks before defense)
• Attend proposal defense before 3-member faculty panel
• Respond to panel questions confidently
• Receive outcome: Pass / Pass with revisions / Fail
• Complete any required post-defense revisions within 4 weeks</t>
  </si>
  <si>
    <t>• Mock defense practice (Graduate School — 2 sessions)
• One-on-one presentation coaching with supervisor
• Peer feedback: present to PhD cohort beforehand
• Previous defense recordings available (Graduate School library)
• Presentation slides template (Templumis branded)</t>
  </si>
  <si>
    <t>LIB-010: How to Write a Thesis
LIB-011: Authoring a PhD
LIB-012: Academic Writing
LIB-014: Scribbr — argument clarity</t>
  </si>
  <si>
    <t>• Academic Presentation Skills Workshop (Grad School)
• Mock Proposal Defense Practice Sessions
• Q&amp;A Handling &amp; Academic Argumentation Workshop</t>
  </si>
  <si>
    <t>PG Coordinator: Dr. Susan Wangari
Dept PhD Committee: via supervisor
Grad School Admin: for defense scheduling
Supervisor: pre-defense coaching sessions</t>
  </si>
  <si>
    <t>CHALLENGE: Panel challenges your methodology
→ Prepare detailed rationale for every methodological choice; cite published studies using same approach in similar contexts
CHALLENGE: Outcome = Pass with Major Revisions
→ Do not panic — very common; create a structured revision plan with supervisor within 1 week</t>
  </si>
  <si>
    <t>• Proposal Defense Application Form
• Final Proposal (submitted to panel 2 weeks prior)
• Presentation Slides (submitted to Graduate School)
• Post-Defense Revision Plan (if revisions required)</t>
  </si>
  <si>
    <t>✓ Proposal defense passed — advance to formal PhD candidacy</t>
  </si>
  <si>
    <t>Candidacy Confirmation</t>
  </si>
  <si>
    <t>Year 2
(Mths 15–18)</t>
  </si>
  <si>
    <t>1 month</t>
  </si>
  <si>
    <t>• Submit revised proposal incorporating panel feedback
• Sign Candidacy Declaration Form
• Apply for formal ethics clearance (if not yet approved)
• Finalise data collection plan and site access agreements
• Meet co-supervisor to align on research plan
• Submit Year 1 Annual Progress Report
• Update Supervision Log
• Confirm research timeline with supervisor</t>
  </si>
  <si>
    <t>• Research Ethics Office: pre-application support session
• Co-supervisor collaboration meeting (arrange via supervisor)
• Research Data Management guidance (Library, 2nd Floor)
• Graduate School: annual review support</t>
  </si>
  <si>
    <t>LIB-004: Research Methodology
LIB-001: Research Design
Ethics guidelines: research.ethics@templumis.ac
Data Management Plan template: Graduate School</t>
  </si>
  <si>
    <t>• Research Ethics Compliance Workshop
• Data Management &amp; Storage Best Practices (IT + Library)
• Fieldwork Safety &amp; Logistics (for field-based research)</t>
  </si>
  <si>
    <t>Research Ethics Committee: ethics@templumis.ac
Research Data Officer: datamanagement@templumis.ac
Supervisor &amp; Co-supervisor
Grad School: Dr. Susan Wangari</t>
  </si>
  <si>
    <t>CHALLENGE: Ethics clearance delayed (6–8 weeks)
→ Submit early; use waiting period for finalising instruments, piloting tools, and writing Methodology chapter draft
CHALLENGE: Site access issues
→ Engage co-supervisor / external partner early; consider alternative sites</t>
  </si>
  <si>
    <t>• Candidacy Declaration Form (signed by student + supervisor)
• Ethics Clearance Certificate (from Ethics Committee)
• Data Management Plan
• Year 1 Annual Progress Report</t>
  </si>
  <si>
    <t>✓ Candidacy confirmed — student is now a formal PhD Candidate</t>
  </si>
  <si>
    <t>Year 2–3
(Mths 18–30)</t>
  </si>
  <si>
    <t>6–18 months
(varies by discipline)</t>
  </si>
  <si>
    <t>• Execute data collection per approved ethics protocol
• Maintain detailed field notes / lab notebooks
• Back up data daily (cloud + local copy minimum)
• Regular progress updates to supervisor (bi-weekly)
• Monitor data quality as you go — fix issues immediately
• Flag any scope changes to Ethics Committee (amendment required)
• Document all deviations from original protocol
• Engage co-supervisor and field partners regularly</t>
  </si>
  <si>
    <t>• Supervisor bi-weekly check-ins: mandatory
• Co-supervisor / field partner coordination meetings
• Research Data Management support (Library)
• Lab Manager / Field Research Coordinator assistance
• Ethics Office: for amendment applications if needed
• IT: secure data storage and backup systems</t>
  </si>
  <si>
    <t>Relevant to your discipline:
CS/AI: LIB-015 (Deep Learning), LIB-016 (AI Modern Approach)
Health: LIB-024 (PubMed), LIB-037/38 (Public Health)
Economics: LIB-050 (World Bank Data), LIB-051 (WHO GHO)
Environmental: LIB-026 (Ecosystem Ecology), LIB-027 (IPCC AR6)
General: LIB-043 (Scopus), LIB-008 (Statistical Learning)</t>
  </si>
  <si>
    <t>• Research Data Management Workshop (Library)
• Field/Lab Research Methods (by discipline)
• Qualitative Coding: NVivo Workshop
• Quantitative Analysis: R/SPSS/Stata Workshop
• Academic Integrity &amp; Data Ethics Refresher</t>
  </si>
  <si>
    <t>Supervisor: bi-weekly progress meetings
Co-supervisor / External Partner
Lab Manager / Field Coordinator
Ethics Office: ethics@templumis.ac
Data Officer: datamanagement@templumis.ac</t>
  </si>
  <si>
    <t>CHALLENGE: Low response rate / poor sample
→ Notify supervisor immediately; explore ethics amendment for expanded sample; do not hide the issue
CHALLENGE: Equipment failure / weather disruption
→ Activate contingency plan (discuss with supervisor); document all disruptions formally
CHALLENGE: Supervisor not responsive
→ Escalate to PG Coordinator (Dr. Wangari); maintain supervision log as evidence</t>
  </si>
  <si>
    <t>• Data Collection Log (weekly)
• Supervision Meeting Log (mandatory — 8+ per year)
• Mid-Year Progress Report (Year 2/3)
• Ethics Amendment Form (if scope changes)
• Data Storage Declaration</t>
  </si>
  <si>
    <t>✓ Target dataset fully collected and quality-validated against methodology benchmarks</t>
  </si>
  <si>
    <t>Data Analysis &amp; Chapter Writing</t>
  </si>
  <si>
    <t>Year 3
(Mths 28–42)</t>
  </si>
  <si>
    <t>8–18 months</t>
  </si>
  <si>
    <t>• Systematic analysis of collected dataset
• Write Results &amp; Analysis chapters (typically Ch.3–4)
• Submit each chapter to supervisor for approval before moving on
• Attend monthly PhD seminars — present progress
• Link analysis back to Literature Review (Ch.2)
• Explore publication of 1–2 papers (peer-reviewed journals)
• Begin writing Introduction and Conclusion outlines
• Keep Supervision Log current</t>
  </si>
  <si>
    <t>• Statistics Support Unit: analysis consults (Mon 2–4pm + by appointment)
• Writing Centre: chapter structure and argument reviews
• Supervisor chapter feedback: minimum 2 revision rounds per chapter
• PhD writing group: chapter peer review sessions
• PhD Writing Retreats (February and August — 2 days each)</t>
  </si>
  <si>
    <t>By discipline — check Library Resources sheet:
LIB-006: SPSS Statistics, LIB-007: Econometrics
LIB-008: Statistical Learning (R)
LIB-009: Multivariate Data Analysis
LIB-015/16: Deep Learning / AI (CS students)
LIB-053/54/55: Online courses for method support</t>
  </si>
  <si>
    <t>• Advanced Statistical Analysis Workshop
• Academic Paper Writing Workshop (incl. journal selection)
• Data Visualisation for Research (R/Python/Excel)
• PhD Annual Seminar Presentation (required)</t>
  </si>
  <si>
    <t>Statistics Support: stats.support@templumis.ac
Writing Centre: writing.centre@templumis.ac
Supervisor: chapter review meetings
Journal editor guidance via supervisor
Grad School: annual review coordination</t>
  </si>
  <si>
    <t>CHALLENGE: Writer's block on thesis chapters
→ Use the "shitty first draft" technique — write fast, edit later; join writing group; PhD retreats very effective
CHALLENGE: Negative or unexpected results
→ Null results are publishable; re-examine theoretical framework; consult supervisor — do NOT hide unexpected findings
CHALLENGE: Supervisor keeps requesting major revisions
→ Request explicit, written criteria for chapter approval at start of each chapter</t>
  </si>
  <si>
    <t>• Chapter Approval Form (signed by supervisor per chapter)
• Year 3 Annual Progress Report
• Seminar Presentation (Grad School requirement)
• Research Output Summary (papers, presentations)</t>
  </si>
  <si>
    <t>✓ All analysis/results chapters approved by supervisor in writing</t>
  </si>
  <si>
    <t>Pre-Submission Seminar</t>
  </si>
  <si>
    <t>Year 3–4
(Mths 36–48)</t>
  </si>
  <si>
    <t>• Prepare full thesis presentation (30–45 min + 20 min Q&amp;A)
• Submit complete or near-complete thesis draft to supervisor
• Present to departmental faculty panel (broader audience than proposal)
• Receive comprehensive feedback — this is your last internal safety net
• Create structured plan to address all feedback
• Complete Introduction (Ch.1) and Conclusion (Ch.5/6) writing
• Begin final thesis formatting</t>
  </si>
  <si>
    <t>• Graduate School: Pre-Submission Seminar scheduling and support
• Supervisor: pre-seminar coaching on full thesis coherence
• Writing Centre: Introduction and Conclusion chapters review
• Thesis formatting guide and template (Graduate School website)
• PhD peer support: run a mock pre-submission seminar</t>
  </si>
  <si>
    <t>LIB-010: How to Write a Thesis
LIB-011: Authoring a PhD
LIB-012: Academic Writing for Grad Students
LIB-014: Scribbr (for final proofread &amp; citations)</t>
  </si>
  <si>
    <t>• Pre-Submission Seminar Preparation Coaching
• Thesis Formatting &amp; Submission Workshop
• Turnitin &amp; Academic Integrity Final Session
• Academic Presentation: Advanced Workshop</t>
  </si>
  <si>
    <t>PG Coordinator: Dr. Susan Wangari
Dept PhD Committee: via supervisor
Writing Centre: writing.centre@templumis.ac
Grad School Admin: for seminar scheduling</t>
  </si>
  <si>
    <t>CHALLENGE: Feedback reveals major structural gaps
→ Do not panic; create a chapter-by-chapter revision plan; agree timeline with supervisor; supervisor must explicitly re-approve each revised section
CHALLENGE: Time pressure before seminar
→ Submit to Grad School minimum 3 weeks in advance; do not rush — delay if necessary</t>
  </si>
  <si>
    <t>• Pre-Submission Seminar Application Form
• Full or Near-Complete Thesis Draft
• Presentation Slides
• Post-Seminar Revision Plan (within 2 weeks of seminar)</t>
  </si>
  <si>
    <t>✓ Pre-submission seminar passed — thesis approved for final editing and submission</t>
  </si>
  <si>
    <t>Year 4
(Mths 42–54)</t>
  </si>
  <si>
    <t>3–6 months
final writing</t>
  </si>
  <si>
    <t>• Complete and polish all chapters
• Ensure all supervisor approvals documented
• Format thesis strictly per Templumis PhD guidelines
• Full proofreading (self + Writing Centre)
• Run Turnitin check (must be &lt;30% similarity)
• Get supervisor Declaration of Completion signed
• Submit digitally + 3 bound hardcopies to Graduate School
• Nominate external examiner (via supervisor + Graduate School)</t>
  </si>
  <si>
    <t>• Writing Centre: final thesis proofreading service (book 4 weeks in advance)
• Library: thesis formatting compliance check
• Graduate School: submission checklist walkthrough
• IT: secure digital submission portal support
• Finance: confirm no outstanding fees before submission</t>
  </si>
  <si>
    <t>LIB-010: How to Write a Thesis
LIB-013: Purdue OWL (citation formatting)
LIB-014: Scribbr (reference check)
LIB-046: Google Scholar (citation verification)</t>
  </si>
  <si>
    <t>• Thesis Formatting &amp; Submission Workshop
• Turnitin Academic Integrity Final Check
• Soft-binding &amp; Hard-binding Guidance (Library)</t>
  </si>
  <si>
    <t>Grad School Office: Dr. Susan Wangari
Library (binding/format): library.pg@templumis.ac
IT Portal Support: helpdesk@templumis.ac
Finance: finance.pg@templumis.ac
Supervisor: final Declaration sign-off</t>
  </si>
  <si>
    <t>CHALLENGE: Turnitin similarity &gt;30%
→ Review highlighted sections; rewrite/paraphrase; self-plagiarism from published papers requires proper citation; do not submit until below 30%
CHALLENGE: Last-minute supervisor feedback after Declaration signed
→ Graduate School must be notified; supervisor must amend Declaration; do not submit without resolution</t>
  </si>
  <si>
    <t>• Thesis Submission Form
• Supervisor Declaration of Completion (signed)
• Turnitin Similarity Report (must be &lt;30%)
• External Examiner Nomination Form
• Library Copy Deposit Form
• Outstanding Fees Clearance Certificate</t>
  </si>
  <si>
    <t>✓ Thesis submitted to Graduate School — under external examination</t>
  </si>
  <si>
    <t>Viva Voce / External Examination</t>
  </si>
  <si>
    <t>Year 4–5</t>
  </si>
  <si>
    <t>1–3 months
post-submission</t>
  </si>
  <si>
    <t>• Receive external examiner report (4–8 weeks after submission)
• Prepare intensively: re-read entire thesis + know it deeply
• Rehearse key arguments, methodological decisions, and limitations
• Anticipate common viva questions (list from Grad School)
• Attend viva (typically 2–4 hours): examination panel + supervisor as observer
• Respond to questions with confidence and academic precision
• Receive outcome: Pass / Minor Corrections / Major Corrections / Resubmission
• If corrections required: receive written list within 2 weeks</t>
  </si>
  <si>
    <t>• Graduate School: mock viva sessions (2 × 90 min; book 3 weeks before viva)
• Supervisor: intensive pre-viva coaching (3–5 sessions)
• Peer support: recent PhD graduates as mock examiners
• Graduate School: viva preparation guide + common questions list
• Wellbeing support: counselling available pre- and post-viva</t>
  </si>
  <si>
    <t>LIB-011: Authoring a PhD — viva preparation chapter
Recent Templumis PhD theses (Library archive)
Common viva question lists (Graduate School)</t>
  </si>
  <si>
    <t>• Viva Preparation Workshop (Graduate School)
• Mock Viva Practice Sessions (2 sessions)
• Post-Viva Coping &amp; Corrections Planning (Grad School)</t>
  </si>
  <si>
    <t>Grad School: Dr. Susan Wangari
Supervisor: pre-viva coaching
External Examiner: via Grad School only
Wellbeing: wellbeing@templumis.ac</t>
  </si>
  <si>
    <t>CHALLENGE: Outcome = Major Corrections
→ This is not failure — it is very common; create corrections plan within 1 week; agree timeline with supervisor; corrections must be completed within 12 months
CHALLENGE: Examination anxiety
→ Access counselling; practice with mock vivas; remember: you know your research better than anyone in that room</t>
  </si>
  <si>
    <t>• Viva Application Form
• Post-Viva Outcome Form (signed by panel)
• Corrections Plan (if required — within 2 weeks)
• Post-Viva Progress Report</t>
  </si>
  <si>
    <t>✓ Viva passed (with or without corrections) — PhD award pending final clearance</t>
  </si>
  <si>
    <t>Corrections, Final Approval &amp; Graduation</t>
  </si>
  <si>
    <t>1–6 months
(by corrections type)</t>
  </si>
  <si>
    <t>• Complete all examiner-required corrections precisely
• Resubmit corrected thesis to supervisor for review
• Supervisor confirms corrections completed → submit to Graduate School
• Graduate School confirms to external examiner
• Receive final approval certificate
• Pay graduation fee (Finance Office)
• Attend graduation ceremony
• Submit 3 final bound hardcopies + digital copy to Library
• Update ORCID, academic CV, LinkedIn
• Apply for post-PhD opportunities (Careers Centre)</t>
  </si>
  <si>
    <t>• Graduate School: corrections submission and tracking support
• Supervisor: corrections review and sign-off
• Library: final binding, digital repository submission
• Finance: graduation fee payment + clearance
• Careers Centre: post-PhD career planning services
• Wellbeing: celebration and transition support</t>
  </si>
  <si>
    <t>LIB-057: Zotero (final reference sweep)
Graduation portal: grad.templumis.ac
Careers resources: careers.templumis.ac</t>
  </si>
  <si>
    <t>• Post-PhD Career Planning Workshop (Careers Centre)
• Knowledge Translation &amp; Policy Brief Writing
• Academic Job Market Preparation (if applicable)
• Graduation Ceremony Preparation Briefing</t>
  </si>
  <si>
    <t>Grad School Office: Dr. Susan Wangari
Finance: finance.pg@templumis.ac
Library: library.pg@templumis.ac
Careers Centre: careers@templumis.ac
Supervisor: reference letter + final sign-off</t>
  </si>
  <si>
    <t>CHALLENGE: Corrections take longer than expected
→ Communicate proactively with supervisor and Grad School; request extension if needed (minor = 3 months; major = 12 months max)
CHALLENGE: Re-examination required (for major corrections)
→ Treat as second viva; extensive supervisor coaching; Grad School tracks timeline</t>
  </si>
  <si>
    <t>• Corrections Submission Form
• Supervisor Corrections Approval Declaration
• Final Examiner Approval Certificate
• Graduation Application Form
• Library Deposit Form (3 bound + 1 digital copy)
• Outstanding Fees Clearance</t>
  </si>
  <si>
    <t>🎓 PhD AWARDED — Doctor of Philosophy, Templumis University</t>
  </si>
  <si>
    <t>◆  SECTION 2 — ESSENTIAL CONTACTS &amp; SUPPORT SERVICES</t>
  </si>
  <si>
    <t>Role</t>
  </si>
  <si>
    <t>Name / Office</t>
  </si>
  <si>
    <t>Email</t>
  </si>
  <si>
    <t>Location</t>
  </si>
  <si>
    <t>Office Hours</t>
  </si>
  <si>
    <t>When to Contact</t>
  </si>
  <si>
    <t>(Additional details / notes)</t>
  </si>
  <si>
    <t>PhD Coordinator / Graduate School</t>
  </si>
  <si>
    <t>s.wangari@templumis.ac</t>
  </si>
  <si>
    <t>Room 201, Admin Block</t>
  </si>
  <si>
    <t>Mon–Fri  8am–5pm</t>
  </si>
  <si>
    <t>Any PhD issue: enrollment, supervision, milestone forms, annual reviews, academic concerns</t>
  </si>
  <si>
    <t>Research Ethics Committee (REC)</t>
  </si>
  <si>
    <t>Dr. Otieno Simiyu (Chair)</t>
  </si>
  <si>
    <t>ethics@templumis.ac</t>
  </si>
  <si>
    <t>Room 105, Research Centre</t>
  </si>
  <si>
    <t>Tuesdays 9am–12pm (drop-in)</t>
  </si>
  <si>
    <t>Ethics applications, amendments, clearance certificates, ethical concerns during research</t>
  </si>
  <si>
    <t>Library — PG Research Services</t>
  </si>
  <si>
    <t>Postgrad Research Librarian</t>
  </si>
  <si>
    <t>library.pg@templumis.ac</t>
  </si>
  <si>
    <t>Main Library, 1st Floor</t>
  </si>
  <si>
    <t>Mon–Fri  8am–6pm</t>
  </si>
  <si>
    <t>Database access, systematic review support, interlibrary loans, thesis formatting, AJOL/Hinari</t>
  </si>
  <si>
    <t>Statistics &amp; Data Analysis Support</t>
  </si>
  <si>
    <t>Dr. Cynthia Aluoch</t>
  </si>
  <si>
    <t>stats.support@templumis.ac</t>
  </si>
  <si>
    <t>Room 312, Computing Block</t>
  </si>
  <si>
    <t>Mondays 2–4pm; by appointment</t>
  </si>
  <si>
    <t>Statistical design, data analysis support, R/SPSS/Stata, power analysis, model selection</t>
  </si>
  <si>
    <t>Academic Writing Centre</t>
  </si>
  <si>
    <t>Mr. Barasa Wekesa (Lead Tutor)</t>
  </si>
  <si>
    <t>writing.centre@templumis.ac</t>
  </si>
  <si>
    <t>Room 114, Humanities Block</t>
  </si>
  <si>
    <t>Tue + Thu  10am–4pm; book 48hrs in advance</t>
  </si>
  <si>
    <t>Thesis writing, chapter structure, academic argument, citation, proposal review, proofreading</t>
  </si>
  <si>
    <t>Student Wellbeing &amp; Counselling</t>
  </si>
  <si>
    <t>Dr. Njambi Karanja</t>
  </si>
  <si>
    <t>wellbeing@templumis.ac</t>
  </si>
  <si>
    <t>Room 003, Student Services</t>
  </si>
  <si>
    <t>Mon–Fri  9am–4pm (walk-in &amp; booked)</t>
  </si>
  <si>
    <t>PhD-related stress, anxiety, isolation, personal difficulties, mental health support — CONFIDENTIAL</t>
  </si>
  <si>
    <t>Research Data Management</t>
  </si>
  <si>
    <t>Data Management Officer</t>
  </si>
  <si>
    <t>datamanagement@templumis.ac</t>
  </si>
  <si>
    <t>Library, 2nd Floor</t>
  </si>
  <si>
    <t>Wednesdays 10am–12pm</t>
  </si>
  <si>
    <t>Data management plans, secure storage, backups, data sharing, archiving, FAIR data principles</t>
  </si>
  <si>
    <t>Finance Office — PG / Scholarships</t>
  </si>
  <si>
    <t>Ms. Wanjiku Mwangi</t>
  </si>
  <si>
    <t>finance.pg@templumis.ac</t>
  </si>
  <si>
    <t>Finance Block, Ground Floor</t>
  </si>
  <si>
    <t>Mon–Fri  8:30am–4:30pm</t>
  </si>
  <si>
    <t>Fee payments, scholarship applications, conference bursaries (up to KES 80,000), outstanding balances</t>
  </si>
  <si>
    <t>IT Helpdesk &amp; Research Computing</t>
  </si>
  <si>
    <t>IT Support Team</t>
  </si>
  <si>
    <t>helpdesk@templumis.ac</t>
  </si>
  <si>
    <t>IT Block, Ground Floor (also online portal)</t>
  </si>
  <si>
    <t>Mon–Fri  7:30am–6pm</t>
  </si>
  <si>
    <t>Software licenses (Zotero, SPSS, NVivo, Overleaf), server access, data backup, VPN, system access</t>
  </si>
  <si>
    <t>Careers Centre (Post-PhD)</t>
  </si>
  <si>
    <t>Mr. Tony Omondi</t>
  </si>
  <si>
    <t>careers@templumis.ac</t>
  </si>
  <si>
    <t>Student Centre, Room 22</t>
  </si>
  <si>
    <t>Mon/Wed/Fri  10am–3pm</t>
  </si>
  <si>
    <t>Post-PhD job search, academic CVs, LinkedIn, postdoc applications, networking, career coaching</t>
  </si>
  <si>
    <t>◆  SECTION 3 — MANDATORY ANNUAL PROGRESS REVIEW SCHEDULE</t>
  </si>
  <si>
    <t>Review Name</t>
  </si>
  <si>
    <t>Typical Year</t>
  </si>
  <si>
    <t>Period</t>
  </si>
  <si>
    <t>Purpose</t>
  </si>
  <si>
    <t>Required Documents</t>
  </si>
  <si>
    <t>Outcome / Next Step</t>
  </si>
  <si>
    <t>Year 1 Foundation Review (FRev1)</t>
  </si>
  <si>
    <t>Months 8–10</t>
  </si>
  <si>
    <t>Assess foundation coursework progress, supervision quality, research focus, and proposal readiness</t>
  </si>
  <si>
    <t>1. Self-assessment form (Grad School template)
2. Foundation coursework grade certificates
3. Supervision meeting log (min 8 sessions)
4. Proposed research question &amp; preliminary lit review outline</t>
  </si>
  <si>
    <t>Outcome: Pass → proceed to proposal writing | Conditional Pass → specific targets within 3 months | Fail → academic probation; restart review in 3 months</t>
  </si>
  <si>
    <t>Year 2 Candidacy Review (CRev)</t>
  </si>
  <si>
    <t>Year 1–2</t>
  </si>
  <si>
    <t>Months 16–20</t>
  </si>
  <si>
    <t>Confirm PhD candidacy after proposal defense; verify ethics clearance, data collection readiness, and supervision continuity</t>
  </si>
  <si>
    <t>1. Candidacy Declaration Form (signed)
2. Ethics Clearance Certificate (or pending application status)
3. Approved research proposal
4. Supervision log (Year 1 complete)
5. Detailed data collection timeline</t>
  </si>
  <si>
    <t>Outcome: Candidacy Confirmed ✓ → formal PhD researcher status | Deferred → specific targets required before candidacy granted</t>
  </si>
  <si>
    <t>Year 3 Interim Research Review (IRRev)</t>
  </si>
  <si>
    <t>Months 30–34</t>
  </si>
  <si>
    <t>Assess data collection completion / progress, early analysis, chapter drafts, and publication outputs</t>
  </si>
  <si>
    <t>1. Self-assessment form
2. Data collection completion evidence (datasets, field logs)
3. Min 1 chapter draft (approved by supervisor)
4. Research output summary (conference papers, journal submissions)
5. Updated timeline to completion</t>
  </si>
  <si>
    <t>Outcome: Good Progress → continue | Requires Action → specific support plan + 3-month targets | At Risk → formal intervention plan with PG Coordinator</t>
  </si>
  <si>
    <t>Year 4 Pre-Submission Review (PSRev)</t>
  </si>
  <si>
    <t>Year 3–4</t>
  </si>
  <si>
    <t>Months 40–46</t>
  </si>
  <si>
    <t>Verify thesis is on track for submission; confirm all chapters approved; assess pre-submission seminar completion; confirm thesis quality</t>
  </si>
  <si>
    <t>1. All chapter drafts (supervisor-approved)
2. Pre-submission seminar completion certificate
3. Turnitin similarity report (draft)
4. Year 4 supervision log
5. Confirmed submission and viva timeline</t>
  </si>
  <si>
    <t>Outcome: Cleared for Submission → proceed to thesis preparation | Revisions Required → 3-month targeted review | Not Cleared → escalated support with PG Coordinator</t>
  </si>
  <si>
    <t>◆  SECTION 4 — WRITING SUPPORT, WELLBEING &amp; PROFESSIONAL DEVELOPMENT</t>
  </si>
  <si>
    <t>Support Area</t>
  </si>
  <si>
    <t>Category</t>
  </si>
  <si>
    <t>Description &amp; How to Access</t>
  </si>
  <si>
    <t>PhD Writing Group</t>
  </si>
  <si>
    <t>Academic support</t>
  </si>
  <si>
    <t>Peer writing sessions every Thursday 2–5pm | Rotating chapter review + accountability system | Open to all PhD students at any stage | Facilitator: Mr. Barasa Wekesa | Sign up: writing.centre@templumis.ac</t>
  </si>
  <si>
    <t>PhD Writing Retreats</t>
  </si>
  <si>
    <t>2-day intensive residential writing retreats held twice yearly (February &amp; August) | Structured 8hrs/day of supervised writing | Accommodation + meals included | Apply via Graduate School | Limited to 12 students per retreat | Highly recommended for Year 3–4 students</t>
  </si>
  <si>
    <t>Conference Travel Bursary</t>
  </si>
  <si>
    <t>Financial support</t>
  </si>
  <si>
    <t>Up to KES 80,000 per year for presenting research at accredited conferences | Apply minimum 6 weeks before conference | Requires abstract acceptance + supervisor endorsement | Submit via Finance: finance.pg@templumis.ac | Both national and international conferences eligible</t>
  </si>
  <si>
    <t>Publication Support Grant</t>
  </si>
  <si>
    <t>Graduate School covers Article Processing Charges (APC) for Open Access publishing | Maximum KES 50,000 per publication | Must be submitted jointly with supervisor | Apply via Graduate School before submission | Encourages AJOL, PLOS, and IEEE Open Access journals</t>
  </si>
  <si>
    <t>Monthly PhD Coffee Mornings</t>
  </si>
  <si>
    <t>Community &amp; wellbeing</t>
  </si>
  <si>
    <t>First Friday of every month, 10–11am | Student Centre, Common Room 2 | Informal networking + updates from Grad School | Guest speakers: recent PhD graduates, external researchers | All PhD students welcome | Attendance recorded as professional development</t>
  </si>
  <si>
    <t>PhD Peer Support WhatsApp Group</t>
  </si>
  <si>
    <t>Active peer support group managed by PhD Student Rep | Share resources, celebrate milestones, discuss challenges | Join via QR code on Graduate School noticeboard | Policy: professional conduct expected; no complaints about supervisors publicly</t>
  </si>
  <si>
    <t>Student Counselling &amp; Mental Health</t>
  </si>
  <si>
    <t>Wellbeing</t>
  </si>
  <si>
    <t>Free confidential counselling for all students | Walk-in: Mon–Fri 9am–4pm | Booked appointments available same-week | PhD-specific group therapy sessions (monthly) | Crisis support: 24/7 helpline +254 700 HELP (4357) | Contact: wellbeing@templumis.ac | Research shows 30–40% of PhD students experience significant anxiety/depression — seeking support is a sign of strength</t>
  </si>
  <si>
    <t>Turnitin &amp; Overleaf Institutional Licenses</t>
  </si>
  <si>
    <t>Tools &amp; software</t>
  </si>
  <si>
    <t>Institutional Turnitin license: &lt;30% similarity threshold for PhD thesis submission | Overleaf Professional: free institutional access for all registered students | SPSS, NVivo, MATLAB, R Studio server licenses available via IT | Request access: helpdesk@templumis.ac with your student ID</t>
  </si>
  <si>
    <t>PhD Doctoral Seminar Series</t>
  </si>
  <si>
    <t>Professional development</t>
  </si>
  <si>
    <t>Monthly PHD702 seminar — all PhD students present once per year | External speakers: 6 per year (industry + academia) | Journal club: quarterly deep-dive sessions | Build academic presentation confidence and receive structured feedback | Certificate of attendance counts toward professional development log</t>
  </si>
  <si>
    <t>Post-PhD Career Pathways</t>
  </si>
  <si>
    <t>Careers Centre: academic and non-academic PhD career guidance | Academic job market preparation: CV, cover letter, teaching portfolio | Industry pathways: research, consulting, policy, development sector | Postdoctoral fellowship search support (national and international) | Annual PhD Career Fair (November) | Contact: careers@templumis.ac</t>
  </si>
  <si>
    <t>📌  Templumis University Graduate School  |  PhD Academic Support Guide  |  For updates or corrections contact Dr. Susan Wangari: s.wangari@templumis.ac  |  This guide is reviewed annually each September.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</si>
</sst>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numFmt numFmtId="165" formatCode="yyyy\-mm\-dd"/>
  </numFmts>
  <fonts count="67" x14ac:knownFonts="1">
    <font>
      <sz val="11"/>
      <color theme="1"/>
      <name val="Calibri"/>
      <family val="2"/>
      <charset val="1"/>
    </font>
    <font>
      <b/>
      <sz val="10"/>
      <color rgb="FFFFFFFF"/>
      <name val="Arial"/>
      <charset val="1"/>
    </font>
    <font>
      <sz val="9"/>
      <color rgb="FF212121"/>
      <name val="Arial"/>
      <charset val="1"/>
    </font>
    <font>
      <b/>
      <sz val="11"/>
      <color rgb="FFFFFFFF"/>
      <name val="Arial"/>
      <charset val="1"/>
    </font>
    <font>
      <sz val="10"/>
      <name val="Arial"/>
      <charset val="1"/>
    </font>
    <font>
      <b/>
      <sz val="13"/>
      <color rgb="FF1B3A6B"/>
      <name val="Arial"/>
      <charset val="1"/>
    </font>
    <font>
      <i/>
      <sz val="10"/>
      <color rgb="FF666666"/>
      <name val="Arial"/>
      <charset val="1"/>
    </font>
    <font>
      <sz val="10"/>
      <color rgb="FF000000"/>
      <name val="Arial"/>
      <charset val="1"/>
    </font>
    <font>
      <b/>
      <sz val="10"/>
      <color rgb="FF2E7D32"/>
      <name val="Arial"/>
      <charset val="1"/>
    </font>
    <font>
      <b/>
      <sz val="10"/>
      <color rgb="FFE65100"/>
      <name val="Arial"/>
      <charset val="1"/>
    </font>
    <font>
      <b/>
      <sz val="10"/>
      <color rgb="FF4A148C"/>
      <name val="Arial"/>
      <charset val="1"/>
    </font>
    <font>
      <b/>
      <sz val="10"/>
      <color rgb="FFC62828"/>
      <name val="Arial"/>
      <charset val="1"/>
    </font>
    <font>
      <b/>
      <sz val="10"/>
      <color rgb="FF000000"/>
      <name val="Arial"/>
      <charset val="1"/>
    </font>
    <font>
      <b/>
      <sz val="15"/>
      <color rgb="FFFFFFFF"/>
      <name val="Arial"/>
      <charset val="1"/>
    </font>
    <font>
      <sz val="11"/>
      <color rgb="FF5A6A8A"/>
      <name val="Arial"/>
      <charset val="1"/>
    </font>
    <font>
      <b/>
      <sz val="11"/>
      <color rgb="FF1F3864"/>
      <name val="Arial"/>
      <charset val="1"/>
    </font>
    <font>
      <b/>
      <sz val="12"/>
      <color rgb="FF1F3864"/>
      <name val="Arial"/>
      <charset val="1"/>
    </font>
    <font>
      <b/>
      <sz val="10"/>
      <color rgb="FF212121"/>
      <name val="Arial"/>
      <charset val="1"/>
    </font>
    <font>
      <b/>
      <sz val="9"/>
      <color rgb="FF212121"/>
      <name val="Arial"/>
      <charset val="1"/>
    </font>
    <font>
      <sz val="10"/>
      <color rgb="FF5A6A8A"/>
      <name val="Arial"/>
      <charset val="1"/>
    </font>
    <font>
      <b/>
      <sz val="11"/>
      <name val="Arial"/>
      <charset val="1"/>
    </font>
    <font>
      <b/>
      <sz val="9"/>
      <color rgb="FFFFFFFF"/>
      <name val="Arial"/>
      <charset val="1"/>
    </font>
    <font>
      <b/>
      <sz val="14"/>
      <color rgb="FF1B3A6B"/>
      <name val="Arial"/>
      <charset val="1"/>
    </font>
    <font>
      <sz val="10"/>
      <color rgb="FF555555"/>
      <name val="Arial"/>
      <charset val="1"/>
    </font>
    <font>
      <b/>
      <sz val="11"/>
      <color rgb="FF1B3A6B"/>
      <name val="Arial"/>
      <charset val="1"/>
    </font>
    <font>
      <b/>
      <sz val="12"/>
      <color rgb="FFFFFFFF"/>
      <name val="Arial"/>
      <charset val="1"/>
    </font>
    <font>
      <i/>
      <sz val="10"/>
      <color rgb="FF1565C0"/>
      <name val="Arial"/>
      <charset val="1"/>
    </font>
    <font>
      <b/>
      <sz val="12"/>
      <color rgb="FFE65100"/>
      <name val="Arial"/>
      <charset val="1"/>
    </font>
    <font>
      <b/>
      <sz val="12"/>
      <color rgb="FFC62828"/>
      <name val="Arial"/>
      <charset val="1"/>
    </font>
    <font>
      <b/>
      <sz val="10"/>
      <color rgb="FF1565C0"/>
      <name val="Arial"/>
      <charset val="1"/>
    </font>
    <font>
      <b/>
      <sz val="11"/>
      <color rgb="FF1565C0"/>
      <name val="Arial"/>
      <charset val="1"/>
    </font>
    <font>
      <i/>
      <sz val="10"/>
      <color rgb="FF2E7D32"/>
      <name val="Arial"/>
      <charset val="1"/>
    </font>
    <font>
      <b/>
      <sz val="12"/>
      <color rgb="FF2E7D32"/>
      <name val="Arial"/>
      <charset val="1"/>
    </font>
    <font>
      <b/>
      <sz val="11"/>
      <color rgb="FF2E7D32"/>
      <name val="Arial"/>
      <charset val="1"/>
    </font>
    <font>
      <i/>
      <sz val="10"/>
      <color rgb="FF006064"/>
      <name val="Arial"/>
      <charset val="1"/>
    </font>
    <font>
      <b/>
      <sz val="10"/>
      <color rgb="FF006064"/>
      <name val="Arial"/>
      <charset val="1"/>
    </font>
    <font>
      <b/>
      <sz val="11"/>
      <color rgb="FF006064"/>
      <name val="Arial"/>
      <charset val="1"/>
    </font>
    <font>
      <i/>
      <sz val="10"/>
      <color rgb="FFE65100"/>
      <name val="Arial"/>
      <charset val="1"/>
    </font>
    <font>
      <b/>
      <sz val="11"/>
      <color rgb="FFE65100"/>
      <name val="Arial"/>
      <charset val="1"/>
    </font>
    <font>
      <i/>
      <sz val="10"/>
      <color rgb="FF4A148C"/>
      <name val="Arial"/>
      <charset val="1"/>
    </font>
    <font>
      <b/>
      <sz val="11"/>
      <color rgb="FF4A148C"/>
      <name val="Arial"/>
      <charset val="1"/>
    </font>
    <font>
      <i/>
      <sz val="10"/>
      <color rgb="FF880E4F"/>
      <name val="Arial"/>
      <charset val="1"/>
    </font>
    <font>
      <b/>
      <sz val="10"/>
      <color rgb="FF880E4F"/>
      <name val="Arial"/>
      <charset val="1"/>
    </font>
    <font>
      <b/>
      <sz val="11"/>
      <color rgb="FF880E4F"/>
      <name val="Arial"/>
      <charset val="1"/>
    </font>
    <font>
      <i/>
      <sz val="10"/>
      <color rgb="FF444444"/>
      <name val="Arial"/>
      <charset val="1"/>
    </font>
    <font>
      <b/>
      <sz val="11"/>
      <name val="Calibri"/>
    </font>
    <font>
      <b/>
      <sz val="13"/>
      <name val="Arial"/>
    </font>
    <font>
      <i/>
      <sz val="10"/>
      <name val="Arial"/>
    </font>
    <font>
      <b/>
      <sz val="10"/>
      <color rgb="FFFFFFFF"/>
      <name val="Arial"/>
    </font>
    <font>
      <sz val="10"/>
      <name val="Arial"/>
    </font>
    <font>
      <b/>
      <sz val="10"/>
      <color rgb="FF1F3864"/>
      <name val="Arial"/>
    </font>
    <font>
      <i/>
      <sz val="9"/>
      <name val="Arial"/>
    </font>
    <font>
      <b/>
      <sz val="14"/>
      <color rgb="FFFFFFFF"/>
      <name val="Arial"/>
    </font>
    <font>
      <i/>
      <sz val="9"/>
      <color rgb="FFFFFFFF"/>
      <name val="Arial"/>
    </font>
    <font>
      <b/>
      <sz val="9"/>
      <color rgb="FFFFFFFF"/>
      <name val="Arial"/>
    </font>
    <font>
      <b/>
      <sz val="8"/>
      <color rgb="FFFFFFFF"/>
      <name val="Arial"/>
    </font>
    <font>
      <b/>
      <sz val="9"/>
      <name val="Arial"/>
    </font>
    <font>
      <sz val="9"/>
      <name val="Arial"/>
    </font>
    <font>
      <b/>
      <sz val="8"/>
      <color rgb="FF375623"/>
      <name val="Arial"/>
    </font>
    <font>
      <b/>
      <sz val="8"/>
      <color rgb="FF1F3864"/>
      <name val="Arial"/>
    </font>
    <font>
      <sz val="8"/>
      <color rgb="FF595959"/>
      <name val="Arial"/>
    </font>
    <font>
      <i/>
      <sz val="8"/>
      <color rgb="FF1F3864"/>
      <name val="Arial"/>
    </font>
    <font>
      <b/>
      <sz val="11"/>
      <color rgb="FFFFFFFF"/>
      <name val="Arial"/>
    </font>
    <font>
      <b/>
      <sz val="12"/>
      <color rgb="FFFFFFFF"/>
      <name val="Arial"/>
    </font>
    <font>
      <i/>
      <sz val="8"/>
      <name val="Arial"/>
    </font>
    <font>
      <b/>
      <sz val="9"/>
      <color rgb="FFC00000"/>
      <name val="Arial"/>
    </font>
    <font>
      <b/>
      <sz val="9"/>
      <color rgb="FF843C0C"/>
      <name val="Arial"/>
    </font>
  </fonts>
  <fills count="72">
    <fill>
      <patternFill patternType="none"/>
    </fill>
    <fill>
      <patternFill patternType="gray125"/>
    </fill>
    <fill>
      <patternFill patternType="solid">
        <fgColor rgb="FF1F4E79"/>
        <bgColor rgb="FF1B3A6B"/>
      </patternFill>
    </fill>
    <fill>
      <patternFill patternType="solid">
        <fgColor rgb="FF4A148C"/>
        <bgColor rgb="FF800080"/>
      </patternFill>
    </fill>
    <fill>
      <patternFill patternType="solid">
        <fgColor rgb="FFDEEAF1"/>
        <bgColor rgb="FFE8EAF6"/>
      </patternFill>
    </fill>
    <fill>
      <patternFill patternType="solid">
        <fgColor rgb="FFC6EFCE"/>
        <bgColor rgb="FFDEEAF1"/>
      </patternFill>
    </fill>
    <fill>
      <patternFill patternType="solid">
        <fgColor rgb="FFFFF2CC"/>
        <bgColor rgb="FFFFF9C4"/>
      </patternFill>
    </fill>
    <fill>
      <patternFill patternType="solid">
        <fgColor rgb="FFF5F5F5"/>
        <bgColor rgb="FFF7F9FC"/>
      </patternFill>
    </fill>
    <fill>
      <patternFill patternType="solid">
        <fgColor rgb="FFFFCDD2"/>
        <bgColor rgb="FFFCE4EC"/>
      </patternFill>
    </fill>
    <fill>
      <patternFill patternType="solid">
        <fgColor rgb="FFEDE7F6"/>
        <bgColor rgb="FFE8EAF6"/>
      </patternFill>
    </fill>
    <fill>
      <patternFill patternType="solid">
        <fgColor rgb="FFF3E5F5"/>
        <bgColor rgb="FFEDE7F6"/>
      </patternFill>
    </fill>
    <fill>
      <patternFill patternType="solid">
        <fgColor rgb="FF1F3864"/>
        <bgColor rgb="FF1B3A6B"/>
      </patternFill>
    </fill>
    <fill>
      <patternFill patternType="solid">
        <fgColor rgb="FFEBF0FA"/>
        <bgColor rgb="FFEEF4FB"/>
      </patternFill>
    </fill>
    <fill>
      <patternFill patternType="solid">
        <fgColor rgb="FFFFFFFF"/>
        <bgColor rgb="FFF7F9FC"/>
      </patternFill>
    </fill>
    <fill>
      <patternFill patternType="solid">
        <fgColor rgb="FF1B3A6B"/>
        <bgColor rgb="FF1F3864"/>
      </patternFill>
    </fill>
    <fill>
      <patternFill patternType="solid">
        <fgColor rgb="FFE8F5E9"/>
        <bgColor rgb="FFE0F2F1"/>
      </patternFill>
    </fill>
    <fill>
      <patternFill patternType="solid">
        <fgColor rgb="FFF7F9FC"/>
        <bgColor rgb="FFF5F5F5"/>
      </patternFill>
    </fill>
    <fill>
      <patternFill patternType="solid">
        <fgColor rgb="FFFFF8E1"/>
        <bgColor rgb="FFFFF3E0"/>
      </patternFill>
    </fill>
    <fill>
      <patternFill patternType="solid">
        <fgColor rgb="FFFFEBEE"/>
        <bgColor rgb="FFFCE4EC"/>
      </patternFill>
    </fill>
    <fill>
      <patternFill patternType="solid">
        <fgColor rgb="FFE8EAF6"/>
        <bgColor rgb="FFEDE7F6"/>
      </patternFill>
    </fill>
    <fill>
      <patternFill patternType="solid">
        <fgColor rgb="FF2E5EA8"/>
        <bgColor rgb="FF1565C0"/>
      </patternFill>
    </fill>
    <fill>
      <patternFill patternType="solid">
        <fgColor rgb="FFFFFDE7"/>
        <bgColor rgb="FFFFF8E1"/>
      </patternFill>
    </fill>
    <fill>
      <patternFill patternType="solid">
        <fgColor rgb="FFE3F2FD"/>
        <bgColor rgb="FFE0F7FA"/>
      </patternFill>
    </fill>
    <fill>
      <patternFill patternType="solid">
        <fgColor rgb="FFFFF3E0"/>
        <bgColor rgb="FFFFF8E1"/>
      </patternFill>
    </fill>
    <fill>
      <patternFill patternType="solid">
        <fgColor rgb="FFFCE4EC"/>
        <bgColor rgb="FFFFEBEE"/>
      </patternFill>
    </fill>
    <fill>
      <patternFill patternType="solid">
        <fgColor rgb="FFE0F2F1"/>
        <bgColor rgb="FFE3F2FD"/>
      </patternFill>
    </fill>
    <fill>
      <patternFill patternType="solid">
        <fgColor rgb="FF37474F"/>
        <bgColor rgb="FF374151"/>
      </patternFill>
    </fill>
    <fill>
      <patternFill patternType="solid">
        <fgColor rgb="FFFFF9C4"/>
        <bgColor rgb="FFFFF2CC"/>
      </patternFill>
    </fill>
    <fill>
      <patternFill patternType="solid">
        <fgColor rgb="FFEEEEEE"/>
        <bgColor rgb="FFEBF0FA"/>
      </patternFill>
    </fill>
    <fill>
      <patternFill patternType="solid">
        <fgColor rgb="FFEEF4FB"/>
        <bgColor rgb="FFEBF0FA"/>
      </patternFill>
    </fill>
    <fill>
      <patternFill patternType="solid">
        <fgColor rgb="FF1565C0"/>
        <bgColor rgb="FF2E5EA8"/>
      </patternFill>
    </fill>
    <fill>
      <patternFill patternType="solid">
        <fgColor rgb="FF374151"/>
        <bgColor rgb="FF37474F"/>
      </patternFill>
    </fill>
    <fill>
      <patternFill patternType="solid">
        <fgColor rgb="FF2E7D32"/>
        <bgColor rgb="FF008000"/>
      </patternFill>
    </fill>
    <fill>
      <patternFill patternType="solid">
        <fgColor rgb="FF006064"/>
        <bgColor rgb="FF1F4E79"/>
      </patternFill>
    </fill>
    <fill>
      <patternFill patternType="solid">
        <fgColor rgb="FFE0F7FA"/>
        <bgColor rgb="FFE3F2FD"/>
      </patternFill>
    </fill>
    <fill>
      <patternFill patternType="solid">
        <fgColor rgb="FFE65100"/>
        <bgColor rgb="FFC62828"/>
      </patternFill>
    </fill>
    <fill>
      <patternFill patternType="solid">
        <fgColor rgb="FF880E4F"/>
        <bgColor rgb="FF800080"/>
      </patternFill>
    </fill>
    <fill>
      <patternFill patternType="solid">
        <fgColor rgb="FF2F5496"/>
      </patternFill>
    </fill>
    <fill>
      <patternFill patternType="solid">
        <fgColor rgb="FFFFFFFF"/>
      </patternFill>
    </fill>
    <fill>
      <patternFill patternType="solid">
        <fgColor rgb="FFD6E4F7"/>
      </patternFill>
    </fill>
    <fill>
      <patternFill patternType="solid">
        <fgColor rgb="FFEBF3FF"/>
      </patternFill>
    </fill>
    <fill>
      <patternFill patternType="solid">
        <fgColor rgb="FFFFF9C4"/>
      </patternFill>
    </fill>
    <fill>
      <patternFill patternType="solid">
        <fgColor rgb="FFFF6600"/>
      </patternFill>
    </fill>
    <fill>
      <patternFill patternType="solid">
        <fgColor rgb="FFFFA500"/>
      </patternFill>
    </fill>
    <fill>
      <patternFill patternType="solid">
        <fgColor rgb="FFFFEBEE"/>
      </patternFill>
    </fill>
    <fill>
      <patternFill patternType="solid">
        <fgColor rgb="FFFF0000"/>
      </patternFill>
    </fill>
    <fill>
      <patternFill patternType="solid">
        <fgColor rgb="FFD9E1F2"/>
      </patternFill>
    </fill>
    <fill>
      <patternFill patternType="solid">
        <fgColor rgb="FFD9EAD3"/>
      </patternFill>
    </fill>
    <fill>
      <patternFill patternType="solid">
        <fgColor rgb="FFD0E4D7"/>
      </patternFill>
    </fill>
    <fill>
      <patternFill patternType="solid">
        <fgColor rgb="FFCFE2F3"/>
      </patternFill>
    </fill>
    <fill>
      <patternFill patternType="solid">
        <fgColor rgb="FFEAD1DC"/>
      </patternFill>
    </fill>
    <fill>
      <patternFill patternType="solid">
        <fgColor rgb="FFFCE5CD"/>
      </patternFill>
    </fill>
    <fill>
      <patternFill patternType="solid">
        <fgColor rgb="FFFFF2CC"/>
      </patternFill>
    </fill>
    <fill>
      <patternFill patternType="solid">
        <fgColor rgb="FFF2F2F2"/>
      </patternFill>
    </fill>
    <fill>
      <patternFill patternType="solid">
        <fgColor rgb="FF1F3864"/>
      </patternFill>
    </fill>
    <fill>
      <patternFill patternType="solid">
        <fgColor rgb="FF4472C4"/>
      </patternFill>
    </fill>
    <fill>
      <patternFill patternType="solid">
        <fgColor rgb="FF00B0C8"/>
      </patternFill>
    </fill>
    <fill>
      <patternFill patternType="solid">
        <fgColor rgb="FF375623"/>
      </patternFill>
    </fill>
    <fill>
      <patternFill patternType="solid">
        <fgColor rgb="FF7030A0"/>
      </patternFill>
    </fill>
    <fill>
      <patternFill patternType="solid">
        <fgColor rgb="FF843C0C"/>
      </patternFill>
    </fill>
    <fill>
      <patternFill patternType="solid">
        <fgColor rgb="FFF0F5FF"/>
      </patternFill>
    </fill>
    <fill>
      <patternFill patternType="solid">
        <fgColor rgb="FFBDD7EE"/>
      </patternFill>
    </fill>
    <fill>
      <patternFill patternType="solid">
        <fgColor rgb="FFC6EFCE"/>
      </patternFill>
    </fill>
    <fill>
      <patternFill patternType="solid">
        <fgColor rgb="FFE8F0FE"/>
      </patternFill>
    </fill>
    <fill>
      <patternFill patternType="solid">
        <fgColor rgb="FFDDEFF6"/>
      </patternFill>
    </fill>
    <fill>
      <patternFill patternType="solid">
        <fgColor rgb="FF70AD47"/>
      </patternFill>
    </fill>
    <fill>
      <patternFill patternType="solid">
        <fgColor rgb="FFE2EFDA"/>
      </patternFill>
    </fill>
    <fill>
      <patternFill patternType="solid">
        <fgColor rgb="FFDDEEFF"/>
      </patternFill>
    </fill>
    <fill>
      <patternFill patternType="solid">
        <fgColor rgb="FFC9A227"/>
      </patternFill>
    </fill>
    <fill>
      <patternFill patternType="solid">
        <fgColor rgb="FFEAD1F5"/>
      </patternFill>
    </fill>
    <fill>
      <patternFill patternType="solid">
        <fgColor rgb="FFFCE4D6"/>
      </patternFill>
    </fill>
    <fill>
      <patternFill patternType="solid">
        <fgColor rgb="FFFFCCCC"/>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C9D4EA"/>
      </left>
      <right style="thin">
        <color rgb="FFC9D4EA"/>
      </right>
      <top style="thin">
        <color rgb="FFC9D4EA"/>
      </top>
      <bottom style="thin">
        <color rgb="FFC9D4EA"/>
      </bottom>
      <diagonal/>
    </border>
    <border>
      <left style="thin">
        <color rgb="FFCCCCCC"/>
      </left>
      <right style="thin">
        <color rgb="FFCCCCCC"/>
      </right>
      <top style="thin">
        <color rgb="FFCCCCCC"/>
      </top>
      <bottom style="thin">
        <color rgb="FFCCCCCC"/>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212">
    <xf numFmtId="0" fontId="0" fillId="0" borderId="0" xfId="0"/>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4" borderId="1" xfId="0" applyFont="1" applyFill="1" applyBorder="1" applyAlignment="1">
      <alignment horizontal="left" vertical="center" wrapText="1"/>
    </xf>
    <xf numFmtId="0" fontId="2" fillId="5" borderId="1" xfId="0" applyFont="1" applyFill="1" applyBorder="1" applyAlignment="1">
      <alignment horizontal="center" vertical="center" wrapText="1"/>
    </xf>
    <xf numFmtId="0" fontId="2" fillId="5" borderId="1" xfId="0" applyFont="1" applyFill="1" applyBorder="1" applyAlignment="1">
      <alignment horizontal="left" vertical="center" wrapText="1"/>
    </xf>
    <xf numFmtId="0" fontId="2" fillId="6" borderId="1" xfId="0" applyFont="1" applyFill="1" applyBorder="1" applyAlignment="1">
      <alignment horizontal="center" vertical="center" wrapText="1"/>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8" borderId="1" xfId="0" applyFont="1" applyFill="1" applyBorder="1" applyAlignment="1">
      <alignment horizontal="center" vertical="center" wrapText="1"/>
    </xf>
    <xf numFmtId="0" fontId="2" fillId="8" borderId="1" xfId="0" applyFont="1" applyFill="1" applyBorder="1" applyAlignment="1">
      <alignment horizontal="left" vertical="center" wrapText="1"/>
    </xf>
    <xf numFmtId="0" fontId="2" fillId="9" borderId="1" xfId="0" applyFont="1" applyFill="1" applyBorder="1" applyAlignment="1">
      <alignment horizontal="center" vertical="center" wrapText="1"/>
    </xf>
    <xf numFmtId="0" fontId="2" fillId="9" borderId="1" xfId="0" applyFont="1" applyFill="1" applyBorder="1" applyAlignment="1">
      <alignment horizontal="left" vertical="center" wrapText="1"/>
    </xf>
    <xf numFmtId="0" fontId="2" fillId="10" borderId="1" xfId="0" applyFont="1" applyFill="1" applyBorder="1" applyAlignment="1">
      <alignment horizontal="center" vertical="center" wrapText="1"/>
    </xf>
    <xf numFmtId="0" fontId="2" fillId="10" borderId="1" xfId="0" applyFont="1" applyFill="1" applyBorder="1" applyAlignment="1">
      <alignment horizontal="left" vertical="center" wrapText="1"/>
    </xf>
    <xf numFmtId="0" fontId="3" fillId="11" borderId="2" xfId="0" applyFont="1" applyFill="1" applyBorder="1" applyAlignment="1">
      <alignment horizontal="center" vertical="center" wrapText="1"/>
    </xf>
    <xf numFmtId="0" fontId="4" fillId="12" borderId="2" xfId="0" applyFont="1" applyFill="1" applyBorder="1" applyAlignment="1">
      <alignment vertical="center"/>
    </xf>
    <xf numFmtId="0" fontId="4" fillId="13" borderId="2" xfId="0" applyFont="1" applyFill="1" applyBorder="1" applyAlignment="1">
      <alignment vertical="center"/>
    </xf>
    <xf numFmtId="164" fontId="4" fillId="12" borderId="2" xfId="0" applyNumberFormat="1" applyFont="1" applyFill="1" applyBorder="1" applyAlignment="1">
      <alignment vertical="center"/>
    </xf>
    <xf numFmtId="164" fontId="4" fillId="13" borderId="2" xfId="0" applyNumberFormat="1" applyFont="1" applyFill="1" applyBorder="1" applyAlignment="1">
      <alignment vertical="center"/>
    </xf>
    <xf numFmtId="0" fontId="1" fillId="14" borderId="3" xfId="0" applyFont="1" applyFill="1" applyBorder="1" applyAlignment="1">
      <alignment horizontal="center" vertical="center"/>
    </xf>
    <xf numFmtId="0" fontId="7" fillId="0" borderId="3" xfId="0" applyFont="1" applyBorder="1" applyAlignment="1">
      <alignment horizontal="center" vertical="center"/>
    </xf>
    <xf numFmtId="0" fontId="7" fillId="0" borderId="3" xfId="0" applyFont="1" applyBorder="1" applyAlignment="1">
      <alignment horizontal="left" vertical="center"/>
    </xf>
    <xf numFmtId="3" fontId="7" fillId="0" borderId="3" xfId="0" applyNumberFormat="1" applyFont="1" applyBorder="1" applyAlignment="1">
      <alignment horizontal="center" vertical="center"/>
    </xf>
    <xf numFmtId="0" fontId="8" fillId="15" borderId="3" xfId="0" applyFont="1" applyFill="1" applyBorder="1" applyAlignment="1">
      <alignment horizontal="center" vertical="center"/>
    </xf>
    <xf numFmtId="0" fontId="7" fillId="16" borderId="3" xfId="0" applyFont="1" applyFill="1" applyBorder="1" applyAlignment="1">
      <alignment horizontal="center" vertical="center"/>
    </xf>
    <xf numFmtId="0" fontId="7" fillId="16" borderId="3" xfId="0" applyFont="1" applyFill="1" applyBorder="1" applyAlignment="1">
      <alignment horizontal="left" vertical="center"/>
    </xf>
    <xf numFmtId="3" fontId="7" fillId="16" borderId="3" xfId="0" applyNumberFormat="1" applyFont="1" applyFill="1" applyBorder="1" applyAlignment="1">
      <alignment horizontal="center" vertical="center"/>
    </xf>
    <xf numFmtId="0" fontId="9" fillId="17" borderId="3" xfId="0" applyFont="1" applyFill="1" applyBorder="1" applyAlignment="1">
      <alignment horizontal="center" vertical="center"/>
    </xf>
    <xf numFmtId="0" fontId="10" fillId="10" borderId="3" xfId="0" applyFont="1" applyFill="1" applyBorder="1" applyAlignment="1">
      <alignment horizontal="center" vertical="center"/>
    </xf>
    <xf numFmtId="0" fontId="11" fillId="18" borderId="3" xfId="0" applyFont="1" applyFill="1" applyBorder="1" applyAlignment="1">
      <alignment horizontal="center" vertical="center"/>
    </xf>
    <xf numFmtId="0" fontId="12" fillId="19" borderId="3" xfId="0" applyFont="1" applyFill="1" applyBorder="1"/>
    <xf numFmtId="0" fontId="0" fillId="19" borderId="3" xfId="0" applyFill="1" applyBorder="1"/>
    <xf numFmtId="3" fontId="12" fillId="19" borderId="3" xfId="0" applyNumberFormat="1" applyFont="1" applyFill="1" applyBorder="1" applyAlignment="1">
      <alignment horizontal="center" vertical="center"/>
    </xf>
    <xf numFmtId="0" fontId="7" fillId="0" borderId="3" xfId="0" applyFont="1" applyBorder="1" applyAlignment="1">
      <alignment horizontal="left" vertical="center" wrapText="1"/>
    </xf>
    <xf numFmtId="0" fontId="7" fillId="16" borderId="3" xfId="0" applyFont="1" applyFill="1" applyBorder="1" applyAlignment="1">
      <alignment horizontal="left" vertical="center" wrapText="1"/>
    </xf>
    <xf numFmtId="0" fontId="15" fillId="12" borderId="2" xfId="0" applyFont="1" applyFill="1" applyBorder="1" applyAlignment="1">
      <alignment horizontal="left" vertical="center"/>
    </xf>
    <xf numFmtId="0" fontId="16" fillId="13" borderId="2" xfId="0" applyFont="1" applyFill="1" applyBorder="1" applyAlignment="1">
      <alignment horizontal="center" vertical="center"/>
    </xf>
    <xf numFmtId="0" fontId="2" fillId="12" borderId="2" xfId="0" applyFont="1" applyFill="1" applyBorder="1" applyAlignment="1">
      <alignment horizontal="left" vertical="center"/>
    </xf>
    <xf numFmtId="0" fontId="18" fillId="13" borderId="2" xfId="0" applyFont="1" applyFill="1" applyBorder="1" applyAlignment="1">
      <alignment horizontal="center" vertical="center"/>
    </xf>
    <xf numFmtId="0" fontId="19" fillId="12" borderId="2" xfId="0" applyFont="1" applyFill="1" applyBorder="1" applyAlignment="1">
      <alignment horizontal="left" vertical="center"/>
    </xf>
    <xf numFmtId="0" fontId="20" fillId="21" borderId="2" xfId="0" applyFont="1" applyFill="1" applyBorder="1"/>
    <xf numFmtId="0" fontId="21" fillId="2" borderId="1" xfId="0" applyFont="1" applyFill="1" applyBorder="1" applyAlignment="1">
      <alignment horizontal="center" vertical="center" wrapText="1"/>
    </xf>
    <xf numFmtId="0" fontId="21" fillId="26" borderId="1" xfId="0" applyFont="1" applyFill="1" applyBorder="1" applyAlignment="1">
      <alignment horizontal="center" vertical="center" wrapText="1"/>
    </xf>
    <xf numFmtId="0" fontId="2" fillId="27" borderId="1" xfId="0" applyFont="1" applyFill="1" applyBorder="1" applyAlignment="1">
      <alignment horizontal="center" vertical="center" wrapText="1"/>
    </xf>
    <xf numFmtId="0" fontId="2" fillId="28" borderId="1" xfId="0" applyFont="1" applyFill="1" applyBorder="1" applyAlignment="1">
      <alignment horizontal="center" vertical="center" wrapText="1"/>
    </xf>
    <xf numFmtId="0" fontId="2" fillId="28" borderId="1" xfId="0" applyFont="1" applyFill="1" applyBorder="1" applyAlignment="1">
      <alignment horizontal="left" vertical="center" wrapText="1"/>
    </xf>
    <xf numFmtId="0" fontId="2" fillId="27" borderId="1" xfId="0" applyFont="1" applyFill="1" applyBorder="1" applyAlignment="1">
      <alignment horizontal="left" vertical="center" wrapText="1"/>
    </xf>
    <xf numFmtId="0" fontId="23" fillId="7" borderId="3" xfId="0" applyFont="1" applyFill="1" applyBorder="1" applyAlignment="1">
      <alignment horizontal="center" vertical="center" wrapText="1"/>
    </xf>
    <xf numFmtId="0" fontId="24" fillId="29" borderId="3" xfId="0" applyFont="1" applyFill="1" applyBorder="1" applyAlignment="1">
      <alignment horizontal="center" vertical="center" wrapText="1"/>
    </xf>
    <xf numFmtId="0" fontId="1" fillId="31" borderId="3" xfId="0" applyFont="1" applyFill="1" applyBorder="1" applyAlignment="1">
      <alignment horizontal="center" vertical="center" wrapText="1"/>
    </xf>
    <xf numFmtId="0" fontId="4" fillId="0" borderId="3" xfId="0" applyFont="1" applyBorder="1" applyAlignment="1">
      <alignment horizontal="left" vertical="center" wrapText="1"/>
    </xf>
    <xf numFmtId="0" fontId="4" fillId="0" borderId="3" xfId="0" applyFont="1" applyBorder="1" applyAlignment="1">
      <alignment horizontal="center" vertical="center" wrapText="1"/>
    </xf>
    <xf numFmtId="0" fontId="27" fillId="0" borderId="3" xfId="0" applyFont="1" applyBorder="1" applyAlignment="1">
      <alignment horizontal="center" vertical="center" wrapText="1"/>
    </xf>
    <xf numFmtId="0" fontId="28" fillId="0" borderId="3" xfId="0" applyFont="1" applyBorder="1" applyAlignment="1">
      <alignment horizontal="center" vertical="center" wrapText="1"/>
    </xf>
    <xf numFmtId="0" fontId="29" fillId="22" borderId="3" xfId="0" applyFont="1" applyFill="1" applyBorder="1" applyAlignment="1">
      <alignment horizontal="left" vertical="center" wrapText="1"/>
    </xf>
    <xf numFmtId="0" fontId="0" fillId="0" borderId="3" xfId="0" applyBorder="1" applyAlignment="1">
      <alignment horizontal="center" vertical="center" wrapText="1"/>
    </xf>
    <xf numFmtId="0" fontId="30" fillId="22" borderId="3" xfId="0" applyFont="1" applyFill="1" applyBorder="1" applyAlignment="1">
      <alignment horizontal="center" vertical="center" wrapText="1"/>
    </xf>
    <xf numFmtId="0" fontId="6" fillId="0" borderId="3" xfId="0" applyFont="1" applyBorder="1"/>
    <xf numFmtId="0" fontId="0" fillId="0" borderId="3" xfId="0" applyBorder="1"/>
    <xf numFmtId="0" fontId="32" fillId="0" borderId="3" xfId="0" applyFont="1" applyBorder="1" applyAlignment="1">
      <alignment horizontal="center" vertical="center" wrapText="1"/>
    </xf>
    <xf numFmtId="0" fontId="8" fillId="15" borderId="3" xfId="0" applyFont="1" applyFill="1" applyBorder="1" applyAlignment="1">
      <alignment horizontal="left" vertical="center" wrapText="1"/>
    </xf>
    <xf numFmtId="0" fontId="33" fillId="15" borderId="3" xfId="0" applyFont="1" applyFill="1" applyBorder="1" applyAlignment="1">
      <alignment horizontal="center" vertical="center" wrapText="1"/>
    </xf>
    <xf numFmtId="0" fontId="35" fillId="34" borderId="3" xfId="0" applyFont="1" applyFill="1" applyBorder="1" applyAlignment="1">
      <alignment horizontal="left" vertical="center" wrapText="1"/>
    </xf>
    <xf numFmtId="0" fontId="36" fillId="34" borderId="3" xfId="0" applyFont="1" applyFill="1" applyBorder="1" applyAlignment="1">
      <alignment horizontal="center" vertical="center" wrapText="1"/>
    </xf>
    <xf numFmtId="0" fontId="9" fillId="23" borderId="3" xfId="0" applyFont="1" applyFill="1" applyBorder="1" applyAlignment="1">
      <alignment horizontal="left" vertical="center" wrapText="1"/>
    </xf>
    <xf numFmtId="0" fontId="38" fillId="23" borderId="3" xfId="0" applyFont="1" applyFill="1" applyBorder="1" applyAlignment="1">
      <alignment horizontal="center" vertical="center" wrapText="1"/>
    </xf>
    <xf numFmtId="0" fontId="10" fillId="10" borderId="3" xfId="0" applyFont="1" applyFill="1" applyBorder="1" applyAlignment="1">
      <alignment horizontal="left" vertical="center" wrapText="1"/>
    </xf>
    <xf numFmtId="0" fontId="40" fillId="10" borderId="3" xfId="0" applyFont="1" applyFill="1" applyBorder="1" applyAlignment="1">
      <alignment horizontal="center" vertical="center" wrapText="1"/>
    </xf>
    <xf numFmtId="0" fontId="42" fillId="24" borderId="3" xfId="0" applyFont="1" applyFill="1" applyBorder="1" applyAlignment="1">
      <alignment horizontal="left" vertical="center" wrapText="1"/>
    </xf>
    <xf numFmtId="0" fontId="43" fillId="24" borderId="3" xfId="0" applyFont="1" applyFill="1" applyBorder="1" applyAlignment="1">
      <alignment horizontal="center" vertical="center" wrapText="1"/>
    </xf>
    <xf numFmtId="0" fontId="45" fillId="0" borderId="0" xfId="0" applyFont="1"/>
    <xf numFmtId="165" fontId="0" fillId="0" borderId="0" xfId="0" applyNumberFormat="1"/>
    <xf numFmtId="0" fontId="48" fillId="37" borderId="0" xfId="0" applyFont="1" applyFill="1" applyAlignment="1">
      <alignment horizontal="center" vertical="center" wrapText="1"/>
    </xf>
    <xf numFmtId="0" fontId="49" fillId="38" borderId="0" xfId="0" applyFont="1" applyFill="1" applyAlignment="1">
      <alignment horizontal="center" vertical="center" wrapText="1"/>
    </xf>
    <xf numFmtId="0" fontId="49" fillId="38" borderId="0" xfId="0" applyFont="1" applyFill="1" applyAlignment="1">
      <alignment horizontal="left" vertical="center" wrapText="1"/>
    </xf>
    <xf numFmtId="165" fontId="49" fillId="38" borderId="0" xfId="0" applyNumberFormat="1" applyFont="1" applyFill="1" applyAlignment="1">
      <alignment horizontal="left" vertical="center" wrapText="1"/>
    </xf>
    <xf numFmtId="0" fontId="49" fillId="39" borderId="0" xfId="0" applyFont="1" applyFill="1" applyAlignment="1">
      <alignment horizontal="center" vertical="center" wrapText="1"/>
    </xf>
    <xf numFmtId="0" fontId="49" fillId="39" borderId="0" xfId="0" applyFont="1" applyFill="1" applyAlignment="1">
      <alignment horizontal="left" vertical="center" wrapText="1"/>
    </xf>
    <xf numFmtId="165" fontId="49" fillId="39" borderId="0" xfId="0" applyNumberFormat="1" applyFont="1" applyFill="1" applyAlignment="1">
      <alignment horizontal="left" vertical="center" wrapText="1"/>
    </xf>
    <xf numFmtId="0" fontId="49" fillId="40" borderId="0" xfId="0" applyFont="1" applyFill="1" applyAlignment="1">
      <alignment horizontal="center" vertical="center" wrapText="1"/>
    </xf>
    <xf numFmtId="0" fontId="49" fillId="40" borderId="0" xfId="0" applyFont="1" applyFill="1" applyAlignment="1">
      <alignment horizontal="left" vertical="center" wrapText="1"/>
    </xf>
    <xf numFmtId="165" fontId="49" fillId="40" borderId="0" xfId="0" applyNumberFormat="1" applyFont="1" applyFill="1" applyAlignment="1">
      <alignment horizontal="left" vertical="center" wrapText="1"/>
    </xf>
    <xf numFmtId="0" fontId="49" fillId="41" borderId="0" xfId="0" applyFont="1" applyFill="1" applyAlignment="1">
      <alignment horizontal="center" vertical="center" wrapText="1"/>
    </xf>
    <xf numFmtId="0" fontId="49" fillId="41" borderId="0" xfId="0" applyFont="1" applyFill="1" applyAlignment="1">
      <alignment horizontal="left" vertical="center" wrapText="1"/>
    </xf>
    <xf numFmtId="165" fontId="49" fillId="41" borderId="0" xfId="0" applyNumberFormat="1" applyFont="1" applyFill="1" applyAlignment="1">
      <alignment horizontal="center" vertical="center" wrapText="1"/>
    </xf>
    <xf numFmtId="0" fontId="48" fillId="42" borderId="0" xfId="0" applyFont="1" applyFill="1" applyAlignment="1">
      <alignment horizontal="center" vertical="center" wrapText="1"/>
    </xf>
    <xf numFmtId="0" fontId="48" fillId="43" borderId="0" xfId="0" applyFont="1" applyFill="1" applyAlignment="1">
      <alignment horizontal="center" vertical="center" wrapText="1"/>
    </xf>
    <xf numFmtId="0" fontId="49" fillId="44" borderId="0" xfId="0" applyFont="1" applyFill="1" applyAlignment="1">
      <alignment horizontal="center" vertical="center" wrapText="1"/>
    </xf>
    <xf numFmtId="0" fontId="49" fillId="44" borderId="0" xfId="0" applyFont="1" applyFill="1" applyAlignment="1">
      <alignment horizontal="left" vertical="center" wrapText="1"/>
    </xf>
    <xf numFmtId="165" fontId="49" fillId="44" borderId="0" xfId="0" applyNumberFormat="1" applyFont="1" applyFill="1" applyAlignment="1">
      <alignment horizontal="center" vertical="center" wrapText="1"/>
    </xf>
    <xf numFmtId="0" fontId="48" fillId="45" borderId="0" xfId="0" applyFont="1" applyFill="1" applyAlignment="1">
      <alignment horizontal="center" vertical="center" wrapText="1"/>
    </xf>
    <xf numFmtId="0" fontId="49" fillId="47" borderId="0" xfId="0" applyFont="1" applyFill="1" applyAlignment="1">
      <alignment horizontal="center" vertical="center" wrapText="1"/>
    </xf>
    <xf numFmtId="0" fontId="49" fillId="47" borderId="0" xfId="0" applyFont="1" applyFill="1" applyAlignment="1">
      <alignment horizontal="left" vertical="center" wrapText="1"/>
    </xf>
    <xf numFmtId="0" fontId="49" fillId="48" borderId="0" xfId="0" applyFont="1" applyFill="1" applyAlignment="1">
      <alignment horizontal="center" vertical="center" wrapText="1"/>
    </xf>
    <xf numFmtId="0" fontId="49" fillId="48" borderId="0" xfId="0" applyFont="1" applyFill="1" applyAlignment="1">
      <alignment horizontal="left" vertical="center" wrapText="1"/>
    </xf>
    <xf numFmtId="0" fontId="49" fillId="49" borderId="0" xfId="0" applyFont="1" applyFill="1" applyAlignment="1">
      <alignment horizontal="center" vertical="center" wrapText="1"/>
    </xf>
    <xf numFmtId="0" fontId="49" fillId="49" borderId="0" xfId="0" applyFont="1" applyFill="1" applyAlignment="1">
      <alignment horizontal="left" vertical="center" wrapText="1"/>
    </xf>
    <xf numFmtId="0" fontId="49" fillId="50" borderId="0" xfId="0" applyFont="1" applyFill="1" applyAlignment="1">
      <alignment horizontal="center" vertical="center" wrapText="1"/>
    </xf>
    <xf numFmtId="0" fontId="49" fillId="50" borderId="0" xfId="0" applyFont="1" applyFill="1" applyAlignment="1">
      <alignment horizontal="left" vertical="center" wrapText="1"/>
    </xf>
    <xf numFmtId="0" fontId="49" fillId="51" borderId="0" xfId="0" applyFont="1" applyFill="1" applyAlignment="1">
      <alignment horizontal="center" vertical="center" wrapText="1"/>
    </xf>
    <xf numFmtId="0" fontId="49" fillId="51" borderId="0" xfId="0" applyFont="1" applyFill="1" applyAlignment="1">
      <alignment horizontal="left" vertical="center" wrapText="1"/>
    </xf>
    <xf numFmtId="0" fontId="49" fillId="52" borderId="0" xfId="0" applyFont="1" applyFill="1" applyAlignment="1">
      <alignment horizontal="center" vertical="center" wrapText="1"/>
    </xf>
    <xf numFmtId="0" fontId="49" fillId="52" borderId="0" xfId="0" applyFont="1" applyFill="1" applyAlignment="1">
      <alignment horizontal="left" vertical="center" wrapText="1"/>
    </xf>
    <xf numFmtId="0" fontId="54" fillId="37" borderId="0" xfId="0" applyFont="1" applyFill="1" applyAlignment="1">
      <alignment horizontal="center" vertical="center" wrapText="1"/>
    </xf>
    <xf numFmtId="0" fontId="55" fillId="54" borderId="0" xfId="0" applyFont="1" applyFill="1" applyAlignment="1">
      <alignment horizontal="center" vertical="center" wrapText="1"/>
    </xf>
    <xf numFmtId="0" fontId="55" fillId="37" borderId="0" xfId="0" applyFont="1" applyFill="1" applyAlignment="1">
      <alignment horizontal="center" vertical="center" wrapText="1"/>
    </xf>
    <xf numFmtId="0" fontId="55" fillId="56" borderId="0" xfId="0" applyFont="1" applyFill="1" applyAlignment="1">
      <alignment horizontal="center" vertical="center" wrapText="1"/>
    </xf>
    <xf numFmtId="0" fontId="55" fillId="57" borderId="0" xfId="0" applyFont="1" applyFill="1" applyAlignment="1">
      <alignment horizontal="center" vertical="center" wrapText="1"/>
    </xf>
    <xf numFmtId="0" fontId="55" fillId="58" borderId="0" xfId="0" applyFont="1" applyFill="1" applyAlignment="1">
      <alignment horizontal="center" vertical="center" wrapText="1"/>
    </xf>
    <xf numFmtId="0" fontId="55" fillId="59" borderId="0" xfId="0" applyFont="1" applyFill="1" applyAlignment="1">
      <alignment horizontal="center" vertical="center" wrapText="1"/>
    </xf>
    <xf numFmtId="0" fontId="56" fillId="60" borderId="0" xfId="0" applyFont="1" applyFill="1" applyAlignment="1">
      <alignment horizontal="center" vertical="center" wrapText="1"/>
    </xf>
    <xf numFmtId="0" fontId="56" fillId="60" borderId="0" xfId="0" applyFont="1" applyFill="1" applyAlignment="1">
      <alignment horizontal="left" vertical="center" wrapText="1"/>
    </xf>
    <xf numFmtId="0" fontId="57" fillId="60" borderId="0" xfId="0" applyFont="1" applyFill="1" applyAlignment="1">
      <alignment horizontal="left" vertical="center" wrapText="1"/>
    </xf>
    <xf numFmtId="165" fontId="57" fillId="60" borderId="0" xfId="0" applyNumberFormat="1" applyFont="1" applyFill="1" applyAlignment="1">
      <alignment horizontal="center" vertical="center" wrapText="1"/>
    </xf>
    <xf numFmtId="0" fontId="56" fillId="61" borderId="0" xfId="0" applyFont="1" applyFill="1" applyAlignment="1">
      <alignment horizontal="center" vertical="center" wrapText="1"/>
    </xf>
    <xf numFmtId="0" fontId="58" fillId="62" borderId="0" xfId="0" applyFont="1" applyFill="1" applyAlignment="1">
      <alignment horizontal="center" vertical="center" wrapText="1"/>
    </xf>
    <xf numFmtId="0" fontId="59" fillId="61" borderId="0" xfId="0" applyFont="1" applyFill="1" applyAlignment="1">
      <alignment horizontal="center" vertical="center" wrapText="1"/>
    </xf>
    <xf numFmtId="0" fontId="60" fillId="53" borderId="0" xfId="0" applyFont="1" applyFill="1" applyAlignment="1">
      <alignment horizontal="center" vertical="center" wrapText="1"/>
    </xf>
    <xf numFmtId="0" fontId="57" fillId="60" borderId="0" xfId="0" applyFont="1" applyFill="1" applyAlignment="1">
      <alignment horizontal="center" vertical="center" wrapText="1"/>
    </xf>
    <xf numFmtId="0" fontId="56" fillId="62" borderId="0" xfId="0" applyFont="1" applyFill="1" applyAlignment="1">
      <alignment horizontal="center" vertical="center" wrapText="1"/>
    </xf>
    <xf numFmtId="0" fontId="57" fillId="60" borderId="0" xfId="0" applyFont="1" applyFill="1" applyAlignment="1">
      <alignment horizontal="left" vertical="top" wrapText="1"/>
    </xf>
    <xf numFmtId="0" fontId="56" fillId="38" borderId="0" xfId="0" applyFont="1" applyFill="1" applyAlignment="1">
      <alignment horizontal="center" vertical="center" wrapText="1"/>
    </xf>
    <xf numFmtId="0" fontId="56" fillId="38" borderId="0" xfId="0" applyFont="1" applyFill="1" applyAlignment="1">
      <alignment horizontal="left" vertical="center" wrapText="1"/>
    </xf>
    <xf numFmtId="0" fontId="57" fillId="38" borderId="0" xfId="0" applyFont="1" applyFill="1" applyAlignment="1">
      <alignment horizontal="left" vertical="center" wrapText="1"/>
    </xf>
    <xf numFmtId="165" fontId="57" fillId="38" borderId="0" xfId="0" applyNumberFormat="1" applyFont="1" applyFill="1" applyAlignment="1">
      <alignment horizontal="center" vertical="center" wrapText="1"/>
    </xf>
    <xf numFmtId="0" fontId="57" fillId="38" borderId="0" xfId="0" applyFont="1" applyFill="1" applyAlignment="1">
      <alignment horizontal="center" vertical="center" wrapText="1"/>
    </xf>
    <xf numFmtId="0" fontId="57" fillId="38" borderId="0" xfId="0" applyFont="1" applyFill="1" applyAlignment="1">
      <alignment horizontal="left" vertical="top" wrapText="1"/>
    </xf>
    <xf numFmtId="0" fontId="56" fillId="52" borderId="0" xfId="0" applyFont="1" applyFill="1" applyAlignment="1">
      <alignment horizontal="center" vertical="center" wrapText="1"/>
    </xf>
    <xf numFmtId="0" fontId="63" fillId="56" borderId="0" xfId="0" applyFont="1" applyFill="1" applyAlignment="1">
      <alignment horizontal="center" vertical="center" wrapText="1"/>
    </xf>
    <xf numFmtId="0" fontId="56" fillId="56" borderId="0" xfId="0" applyFont="1" applyFill="1" applyAlignment="1">
      <alignment horizontal="left" vertical="center" wrapText="1"/>
    </xf>
    <xf numFmtId="0" fontId="57" fillId="64" borderId="0" xfId="0" applyFont="1" applyFill="1" applyAlignment="1">
      <alignment horizontal="center" vertical="center" wrapText="1"/>
    </xf>
    <xf numFmtId="0" fontId="57" fillId="64" borderId="0" xfId="0" applyFont="1" applyFill="1" applyAlignment="1">
      <alignment horizontal="left" vertical="top" wrapText="1"/>
    </xf>
    <xf numFmtId="0" fontId="63" fillId="65" borderId="0" xfId="0" applyFont="1" applyFill="1" applyAlignment="1">
      <alignment horizontal="center" vertical="center" wrapText="1"/>
    </xf>
    <xf numFmtId="0" fontId="56" fillId="65" borderId="0" xfId="0" applyFont="1" applyFill="1" applyAlignment="1">
      <alignment horizontal="left" vertical="center" wrapText="1"/>
    </xf>
    <xf numFmtId="0" fontId="57" fillId="66" borderId="0" xfId="0" applyFont="1" applyFill="1" applyAlignment="1">
      <alignment horizontal="center" vertical="center" wrapText="1"/>
    </xf>
    <xf numFmtId="0" fontId="57" fillId="66" borderId="0" xfId="0" applyFont="1" applyFill="1" applyAlignment="1">
      <alignment horizontal="left" vertical="top" wrapText="1"/>
    </xf>
    <xf numFmtId="0" fontId="63" fillId="37" borderId="0" xfId="0" applyFont="1" applyFill="1" applyAlignment="1">
      <alignment horizontal="center" vertical="center" wrapText="1"/>
    </xf>
    <xf numFmtId="0" fontId="56" fillId="37" borderId="0" xfId="0" applyFont="1" applyFill="1" applyAlignment="1">
      <alignment horizontal="left" vertical="center" wrapText="1"/>
    </xf>
    <xf numFmtId="0" fontId="57" fillId="67" borderId="0" xfId="0" applyFont="1" applyFill="1" applyAlignment="1">
      <alignment horizontal="center" vertical="center" wrapText="1"/>
    </xf>
    <xf numFmtId="0" fontId="57" fillId="67" borderId="0" xfId="0" applyFont="1" applyFill="1" applyAlignment="1">
      <alignment horizontal="left" vertical="top" wrapText="1"/>
    </xf>
    <xf numFmtId="0" fontId="63" fillId="68" borderId="0" xfId="0" applyFont="1" applyFill="1" applyAlignment="1">
      <alignment horizontal="center" vertical="center" wrapText="1"/>
    </xf>
    <xf numFmtId="0" fontId="56" fillId="68" borderId="0" xfId="0" applyFont="1" applyFill="1" applyAlignment="1">
      <alignment horizontal="left" vertical="center" wrapText="1"/>
    </xf>
    <xf numFmtId="0" fontId="57" fillId="52" borderId="0" xfId="0" applyFont="1" applyFill="1" applyAlignment="1">
      <alignment horizontal="center" vertical="center" wrapText="1"/>
    </xf>
    <xf numFmtId="0" fontId="57" fillId="52" borderId="0" xfId="0" applyFont="1" applyFill="1" applyAlignment="1">
      <alignment horizontal="left" vertical="top" wrapText="1"/>
    </xf>
    <xf numFmtId="0" fontId="63" fillId="58" borderId="0" xfId="0" applyFont="1" applyFill="1" applyAlignment="1">
      <alignment horizontal="center" vertical="center" wrapText="1"/>
    </xf>
    <xf numFmtId="0" fontId="56" fillId="58" borderId="0" xfId="0" applyFont="1" applyFill="1" applyAlignment="1">
      <alignment horizontal="left" vertical="center" wrapText="1"/>
    </xf>
    <xf numFmtId="0" fontId="57" fillId="69" borderId="0" xfId="0" applyFont="1" applyFill="1" applyAlignment="1">
      <alignment horizontal="center" vertical="center" wrapText="1"/>
    </xf>
    <xf numFmtId="0" fontId="57" fillId="69" borderId="0" xfId="0" applyFont="1" applyFill="1" applyAlignment="1">
      <alignment horizontal="left" vertical="top" wrapText="1"/>
    </xf>
    <xf numFmtId="0" fontId="57" fillId="66" borderId="0" xfId="0" applyFont="1" applyFill="1" applyAlignment="1">
      <alignment horizontal="left" vertical="center" wrapText="1"/>
    </xf>
    <xf numFmtId="0" fontId="57" fillId="64" borderId="0" xfId="0" applyFont="1" applyFill="1" applyAlignment="1">
      <alignment horizontal="left" vertical="center" wrapText="1"/>
    </xf>
    <xf numFmtId="0" fontId="65" fillId="4" borderId="1" xfId="0" applyFont="1" applyFill="1" applyBorder="1" applyAlignment="1">
      <alignment horizontal="center" vertical="center" wrapText="1"/>
    </xf>
    <xf numFmtId="3" fontId="7" fillId="70" borderId="3" xfId="0" applyNumberFormat="1" applyFont="1" applyFill="1" applyBorder="1" applyAlignment="1">
      <alignment horizontal="center" vertical="center"/>
    </xf>
    <xf numFmtId="0" fontId="65" fillId="71" borderId="3" xfId="0" applyFont="1" applyFill="1" applyBorder="1" applyAlignment="1">
      <alignment horizontal="center" vertical="center"/>
    </xf>
    <xf numFmtId="0" fontId="66" fillId="41" borderId="0" xfId="0" applyFont="1" applyFill="1" applyAlignment="1">
      <alignment horizontal="left" vertical="center" wrapText="1"/>
    </xf>
    <xf numFmtId="0" fontId="2" fillId="70" borderId="1" xfId="0" applyFont="1" applyFill="1" applyBorder="1" applyAlignment="1">
      <alignment horizontal="center" vertical="center" wrapText="1"/>
    </xf>
    <xf numFmtId="0" fontId="65" fillId="71" borderId="1" xfId="0" applyFont="1" applyFill="1" applyBorder="1" applyAlignment="1">
      <alignment horizontal="center" vertical="center" wrapText="1"/>
    </xf>
    <xf numFmtId="0" fontId="6" fillId="0" borderId="0" xfId="0" applyFont="1" applyAlignment="1">
      <alignment horizontal="left" vertical="center"/>
    </xf>
    <xf numFmtId="0" fontId="0" fillId="0" borderId="0" xfId="0"/>
    <xf numFmtId="0" fontId="5" fillId="0" borderId="0" xfId="0" applyFont="1" applyAlignment="1">
      <alignment horizontal="left" vertical="center"/>
    </xf>
    <xf numFmtId="0" fontId="3" fillId="20" borderId="0" xfId="0" applyFont="1" applyFill="1" applyAlignment="1">
      <alignment horizontal="center" vertical="center"/>
    </xf>
    <xf numFmtId="0" fontId="13" fillId="11" borderId="0" xfId="0" applyFont="1" applyFill="1" applyAlignment="1">
      <alignment horizontal="center" vertical="center"/>
    </xf>
    <xf numFmtId="0" fontId="17" fillId="20" borderId="0" xfId="0" applyFont="1" applyFill="1" applyAlignment="1">
      <alignment horizontal="center" vertical="center"/>
    </xf>
    <xf numFmtId="0" fontId="14" fillId="0" borderId="0" xfId="0" applyFont="1" applyAlignment="1">
      <alignment horizontal="center"/>
    </xf>
    <xf numFmtId="0" fontId="17" fillId="23" borderId="1" xfId="0" applyFont="1" applyFill="1" applyBorder="1" applyAlignment="1">
      <alignment horizontal="center" vertical="center" wrapText="1"/>
    </xf>
    <xf numFmtId="0" fontId="0" fillId="0" borderId="4" xfId="0" applyBorder="1"/>
    <xf numFmtId="0" fontId="0" fillId="0" borderId="5" xfId="0" applyBorder="1"/>
    <xf numFmtId="0" fontId="17" fillId="24" borderId="1" xfId="0" applyFont="1" applyFill="1" applyBorder="1" applyAlignment="1">
      <alignment horizontal="center" vertical="center" wrapText="1"/>
    </xf>
    <xf numFmtId="0" fontId="17" fillId="9" borderId="1" xfId="0" applyFont="1" applyFill="1" applyBorder="1" applyAlignment="1">
      <alignment horizontal="center" vertical="center" wrapText="1"/>
    </xf>
    <xf numFmtId="0" fontId="17" fillId="22" borderId="1" xfId="0" applyFont="1" applyFill="1" applyBorder="1" applyAlignment="1">
      <alignment horizontal="center" vertical="center" wrapText="1"/>
    </xf>
    <xf numFmtId="0" fontId="17" fillId="15" borderId="1" xfId="0" applyFont="1" applyFill="1" applyBorder="1" applyAlignment="1">
      <alignment horizontal="center" vertical="center" wrapText="1"/>
    </xf>
    <xf numFmtId="0" fontId="17" fillId="25" borderId="1" xfId="0" applyFont="1" applyFill="1" applyBorder="1" applyAlignment="1">
      <alignment horizontal="center" vertical="center" wrapText="1"/>
    </xf>
    <xf numFmtId="0" fontId="25" fillId="3" borderId="0" xfId="0" applyFont="1" applyFill="1" applyAlignment="1">
      <alignment horizontal="left" vertical="center" wrapText="1"/>
    </xf>
    <xf numFmtId="0" fontId="3" fillId="14" borderId="0" xfId="0" applyFont="1" applyFill="1" applyAlignment="1">
      <alignment horizontal="center" vertical="center" wrapText="1"/>
    </xf>
    <xf numFmtId="0" fontId="34" fillId="34" borderId="0" xfId="0" applyFont="1" applyFill="1" applyAlignment="1">
      <alignment horizontal="left" vertical="center" wrapText="1"/>
    </xf>
    <xf numFmtId="0" fontId="25" fillId="35" borderId="0" xfId="0" applyFont="1" applyFill="1" applyAlignment="1">
      <alignment horizontal="left" vertical="center" wrapText="1"/>
    </xf>
    <xf numFmtId="0" fontId="25" fillId="33" borderId="0" xfId="0" applyFont="1" applyFill="1" applyAlignment="1">
      <alignment horizontal="left" vertical="center" wrapText="1"/>
    </xf>
    <xf numFmtId="0" fontId="31" fillId="15" borderId="0" xfId="0" applyFont="1" applyFill="1" applyAlignment="1">
      <alignment horizontal="left" vertical="center" wrapText="1"/>
    </xf>
    <xf numFmtId="0" fontId="6" fillId="0" borderId="0" xfId="0" applyFont="1" applyAlignment="1">
      <alignment horizontal="center" vertical="center" wrapText="1"/>
    </xf>
    <xf numFmtId="0" fontId="39" fillId="10" borderId="0" xfId="0" applyFont="1" applyFill="1" applyAlignment="1">
      <alignment horizontal="left" vertical="center" wrapText="1"/>
    </xf>
    <xf numFmtId="0" fontId="25" fillId="36" borderId="0" xfId="0" applyFont="1" applyFill="1" applyAlignment="1">
      <alignment horizontal="left" vertical="center" wrapText="1"/>
    </xf>
    <xf numFmtId="0" fontId="25" fillId="30" borderId="0" xfId="0" applyFont="1" applyFill="1" applyAlignment="1">
      <alignment horizontal="left" vertical="center" wrapText="1"/>
    </xf>
    <xf numFmtId="0" fontId="41" fillId="24" borderId="0" xfId="0" applyFont="1" applyFill="1" applyAlignment="1">
      <alignment horizontal="left" vertical="center" wrapText="1"/>
    </xf>
    <xf numFmtId="0" fontId="25" fillId="32" borderId="0" xfId="0" applyFont="1" applyFill="1" applyAlignment="1">
      <alignment horizontal="left" vertical="center" wrapText="1"/>
    </xf>
    <xf numFmtId="0" fontId="26" fillId="22" borderId="0" xfId="0" applyFont="1" applyFill="1" applyAlignment="1">
      <alignment horizontal="left" vertical="center" wrapText="1"/>
    </xf>
    <xf numFmtId="0" fontId="22" fillId="0" borderId="0" xfId="0" applyFont="1" applyAlignment="1">
      <alignment horizontal="center" vertical="center" wrapText="1"/>
    </xf>
    <xf numFmtId="0" fontId="44" fillId="21" borderId="0" xfId="0" applyFont="1" applyFill="1" applyAlignment="1">
      <alignment horizontal="left" vertical="top" wrapText="1"/>
    </xf>
    <xf numFmtId="0" fontId="37" fillId="23" borderId="0" xfId="0" applyFont="1" applyFill="1" applyAlignment="1">
      <alignment horizontal="left" vertical="center" wrapText="1"/>
    </xf>
    <xf numFmtId="0" fontId="47" fillId="0" borderId="0" xfId="0" applyFont="1" applyAlignment="1">
      <alignment horizontal="left" vertical="center"/>
    </xf>
    <xf numFmtId="0" fontId="46" fillId="0" borderId="0" xfId="0" applyFont="1" applyAlignment="1">
      <alignment horizontal="center" vertical="center" wrapText="1"/>
    </xf>
    <xf numFmtId="0" fontId="47" fillId="0" borderId="0" xfId="0" applyFont="1" applyAlignment="1">
      <alignment horizontal="left" vertical="center" wrapText="1"/>
    </xf>
    <xf numFmtId="0" fontId="51" fillId="53" borderId="0" xfId="0" applyFont="1" applyFill="1" applyAlignment="1">
      <alignment horizontal="left" vertical="center" wrapText="1"/>
    </xf>
    <xf numFmtId="0" fontId="50" fillId="46" borderId="0" xfId="0" applyFont="1" applyFill="1" applyAlignment="1">
      <alignment horizontal="left" vertical="center" wrapText="1"/>
    </xf>
    <xf numFmtId="0" fontId="54" fillId="57" borderId="0" xfId="0" applyFont="1" applyFill="1" applyAlignment="1">
      <alignment horizontal="center" vertical="center" wrapText="1"/>
    </xf>
    <xf numFmtId="0" fontId="54" fillId="54" borderId="0" xfId="0" applyFont="1" applyFill="1" applyAlignment="1">
      <alignment horizontal="center" vertical="center" wrapText="1"/>
    </xf>
    <xf numFmtId="0" fontId="53" fillId="55" borderId="0" xfId="0" applyFont="1" applyFill="1" applyAlignment="1">
      <alignment horizontal="left" vertical="center" wrapText="1"/>
    </xf>
    <xf numFmtId="0" fontId="61" fillId="63" borderId="0" xfId="0" applyFont="1" applyFill="1" applyAlignment="1">
      <alignment horizontal="left" vertical="center" wrapText="1"/>
    </xf>
    <xf numFmtId="0" fontId="54" fillId="37" borderId="0" xfId="0" applyFont="1" applyFill="1" applyAlignment="1">
      <alignment horizontal="center" vertical="center" wrapText="1"/>
    </xf>
    <xf numFmtId="0" fontId="54" fillId="58" borderId="0" xfId="0" applyFont="1" applyFill="1" applyAlignment="1">
      <alignment horizontal="center" vertical="center" wrapText="1"/>
    </xf>
    <xf numFmtId="0" fontId="54" fillId="56" borderId="0" xfId="0" applyFont="1" applyFill="1" applyAlignment="1">
      <alignment horizontal="center" vertical="center" wrapText="1"/>
    </xf>
    <xf numFmtId="0" fontId="52" fillId="54" borderId="0" xfId="0" applyFont="1" applyFill="1" applyAlignment="1">
      <alignment horizontal="center" vertical="center" wrapText="1"/>
    </xf>
    <xf numFmtId="0" fontId="54" fillId="59" borderId="0" xfId="0" applyFont="1" applyFill="1" applyAlignment="1">
      <alignment horizontal="center" vertical="center" wrapText="1"/>
    </xf>
    <xf numFmtId="0" fontId="57" fillId="67" borderId="0" xfId="0" applyFont="1" applyFill="1" applyAlignment="1">
      <alignment horizontal="left" vertical="top" wrapText="1"/>
    </xf>
    <xf numFmtId="0" fontId="57" fillId="38" borderId="0" xfId="0" applyFont="1" applyFill="1" applyAlignment="1">
      <alignment horizontal="left" vertical="top" wrapText="1"/>
    </xf>
    <xf numFmtId="0" fontId="56" fillId="38" borderId="0" xfId="0" applyFont="1" applyFill="1" applyAlignment="1">
      <alignment horizontal="left" vertical="center" wrapText="1"/>
    </xf>
    <xf numFmtId="0" fontId="48" fillId="54" borderId="0" xfId="0" applyFont="1" applyFill="1" applyAlignment="1">
      <alignment horizontal="center" vertical="center" wrapText="1"/>
    </xf>
    <xf numFmtId="0" fontId="56" fillId="67" borderId="0" xfId="0" applyFont="1" applyFill="1" applyAlignment="1">
      <alignment horizontal="left" vertical="center" wrapText="1"/>
    </xf>
    <xf numFmtId="0" fontId="57" fillId="66" borderId="0" xfId="0" applyFont="1" applyFill="1" applyAlignment="1">
      <alignment horizontal="center" vertical="center" wrapText="1"/>
    </xf>
    <xf numFmtId="0" fontId="64" fillId="53" borderId="0" xfId="0" applyFont="1" applyFill="1" applyAlignment="1">
      <alignment horizontal="left" vertical="center" wrapText="1"/>
    </xf>
    <xf numFmtId="0" fontId="62" fillId="54"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FFFDE7"/>
      <rgbColor rgb="FF0000FF"/>
      <rgbColor rgb="FFFFF8E1"/>
      <rgbColor rgb="FFFF00FF"/>
      <rgbColor rgb="FFEBF0FA"/>
      <rgbColor rgb="FF800000"/>
      <rgbColor rgb="FF008000"/>
      <rgbColor rgb="FF000080"/>
      <rgbColor rgb="FFF5F5F5"/>
      <rgbColor rgb="FF880E4F"/>
      <rgbColor rgb="FF006064"/>
      <rgbColor rgb="FFBDBDBD"/>
      <rgbColor rgb="FF666666"/>
      <rgbColor rgb="FFDEEAF1"/>
      <rgbColor rgb="FF555555"/>
      <rgbColor rgb="FFFFF9C4"/>
      <rgbColor rgb="FFE0F7FA"/>
      <rgbColor rgb="FF4A148C"/>
      <rgbColor rgb="FFE8EAF6"/>
      <rgbColor rgb="FF1565C0"/>
      <rgbColor rgb="FFC9D4EA"/>
      <rgbColor rgb="FF000080"/>
      <rgbColor rgb="FFFF00FF"/>
      <rgbColor rgb="FFFFF3E0"/>
      <rgbColor rgb="FFEEF4FB"/>
      <rgbColor rgb="FF800080"/>
      <rgbColor rgb="FF800000"/>
      <rgbColor rgb="FF1F4E79"/>
      <rgbColor rgb="FF0000FF"/>
      <rgbColor rgb="FFF7F9FC"/>
      <rgbColor rgb="FFE0F2F1"/>
      <rgbColor rgb="FFC6EFCE"/>
      <rgbColor rgb="FFFFF2CC"/>
      <rgbColor rgb="FFCCCCCC"/>
      <rgbColor rgb="FFFCE4EC"/>
      <rgbColor rgb="FFF3E5F5"/>
      <rgbColor rgb="FFFFCDD2"/>
      <rgbColor rgb="FF2E5EA8"/>
      <rgbColor rgb="FFE3F2FD"/>
      <rgbColor rgb="FFE8F5E9"/>
      <rgbColor rgb="FFFFEBEE"/>
      <rgbColor rgb="FFEEEEEE"/>
      <rgbColor rgb="FFE65100"/>
      <rgbColor rgb="FF5A6A8A"/>
      <rgbColor rgb="FFEDE7F6"/>
      <rgbColor rgb="FF1B3A6B"/>
      <rgbColor rgb="FF2E7D32"/>
      <rgbColor rgb="FF37474F"/>
      <rgbColor rgb="FF212121"/>
      <rgbColor rgb="FFC62828"/>
      <rgbColor rgb="FF444444"/>
      <rgbColor rgb="FF1F3864"/>
      <rgbColor rgb="FF37415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42"/>
  <sheetViews>
    <sheetView showGridLines="0" zoomScaleNormal="100" workbookViewId="0">
      <pane xSplit="2" ySplit="1" topLeftCell="C2" activePane="bottomRight" state="frozen"/>
      <selection pane="topRight" activeCell="C1" sqref="C1"/>
      <selection pane="bottomLeft" activeCell="A2" sqref="A2"/>
      <selection pane="bottomRight"/>
    </sheetView>
  </sheetViews>
  <sheetFormatPr defaultColWidth="8.7109375" defaultRowHeight="15" x14ac:dyDescent="0.25"/>
  <cols>
    <col min="1" max="1" width="18" customWidth="1"/>
    <col min="2" max="2" width="22" customWidth="1"/>
    <col min="3" max="3" width="9" customWidth="1"/>
    <col min="4" max="4" width="13" customWidth="1"/>
    <col min="5" max="5" width="28" customWidth="1"/>
    <col min="6" max="6" width="16" customWidth="1"/>
    <col min="7" max="7" width="8" customWidth="1"/>
    <col min="8" max="8" width="22" customWidth="1"/>
    <col min="9" max="9" width="24" customWidth="1"/>
    <col min="10" max="10" width="10" customWidth="1"/>
    <col min="11" max="11" width="7" customWidth="1"/>
    <col min="12" max="12" width="8" customWidth="1"/>
    <col min="13" max="13" width="12" customWidth="1"/>
    <col min="14" max="15" width="14" customWidth="1"/>
    <col min="16" max="16" width="16" customWidth="1"/>
    <col min="17" max="17" width="14" customWidth="1"/>
    <col min="18" max="18" width="18" customWidth="1"/>
    <col min="19" max="19" width="32" customWidth="1"/>
    <col min="20" max="20" width="14" customWidth="1"/>
    <col min="21" max="21" width="12" customWidth="1"/>
    <col min="22" max="22" width="16" customWidth="1"/>
    <col min="23" max="23" width="14" customWidth="1"/>
    <col min="24" max="24" width="16" customWidth="1"/>
    <col min="25" max="25" width="40" customWidth="1"/>
    <col min="26" max="26" width="22" customWidth="1"/>
    <col min="27" max="28" width="18" customWidth="1"/>
  </cols>
  <sheetData>
    <row r="1" spans="1:35"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16</v>
      </c>
      <c r="R1" s="2" t="s">
        <v>17</v>
      </c>
      <c r="S1" s="2" t="s">
        <v>18</v>
      </c>
      <c r="T1" s="2" t="s">
        <v>19</v>
      </c>
      <c r="U1" s="2" t="s">
        <v>20</v>
      </c>
      <c r="V1" s="2" t="s">
        <v>21</v>
      </c>
      <c r="W1" s="2" t="s">
        <v>22</v>
      </c>
      <c r="X1" s="2" t="s">
        <v>23</v>
      </c>
      <c r="Y1" s="2" t="s">
        <v>24</v>
      </c>
      <c r="Z1" s="2" t="s">
        <v>25</v>
      </c>
      <c r="AA1" s="2" t="s">
        <v>26</v>
      </c>
      <c r="AB1" s="2" t="s">
        <v>27</v>
      </c>
      <c r="AC1" s="73" t="s">
        <v>28</v>
      </c>
      <c r="AD1" s="73" t="s">
        <v>29</v>
      </c>
      <c r="AE1" s="73" t="s">
        <v>30</v>
      </c>
      <c r="AF1" s="73" t="s">
        <v>31</v>
      </c>
      <c r="AG1" s="73" t="s">
        <v>32</v>
      </c>
      <c r="AH1" s="73" t="s">
        <v>33</v>
      </c>
      <c r="AI1" s="73" t="s">
        <v>34</v>
      </c>
    </row>
    <row r="2" spans="1:35" ht="15" customHeight="1" x14ac:dyDescent="0.25">
      <c r="A2" s="3" t="s">
        <v>35</v>
      </c>
      <c r="B2" s="4" t="s">
        <v>36</v>
      </c>
      <c r="C2" s="3" t="s">
        <v>37</v>
      </c>
      <c r="D2" s="3" t="s">
        <v>38</v>
      </c>
      <c r="E2" s="3" t="s">
        <v>39</v>
      </c>
      <c r="F2" s="3" t="s">
        <v>40</v>
      </c>
      <c r="G2" s="3" t="s">
        <v>41</v>
      </c>
      <c r="H2" s="4" t="s">
        <v>42</v>
      </c>
      <c r="I2" s="3" t="s">
        <v>43</v>
      </c>
      <c r="J2" s="3" t="s">
        <v>44</v>
      </c>
      <c r="K2" s="3">
        <v>3.78</v>
      </c>
      <c r="L2" s="3">
        <v>96</v>
      </c>
      <c r="M2" s="3" t="s">
        <v>45</v>
      </c>
      <c r="N2" s="3" t="s">
        <v>46</v>
      </c>
      <c r="O2" s="3" t="s">
        <v>47</v>
      </c>
      <c r="P2" s="3" t="s">
        <v>48</v>
      </c>
      <c r="Q2" s="3" t="s">
        <v>49</v>
      </c>
      <c r="R2" s="3" t="s">
        <v>41</v>
      </c>
      <c r="S2" s="4" t="s">
        <v>50</v>
      </c>
      <c r="T2" s="3" t="s">
        <v>51</v>
      </c>
      <c r="U2" s="3" t="s">
        <v>52</v>
      </c>
      <c r="V2" s="3">
        <v>0</v>
      </c>
      <c r="W2" s="3" t="s">
        <v>53</v>
      </c>
      <c r="X2" s="3" t="s">
        <v>54</v>
      </c>
      <c r="Y2" s="4" t="s">
        <v>55</v>
      </c>
      <c r="Z2" s="4" t="s">
        <v>55</v>
      </c>
      <c r="AA2" s="3" t="s">
        <v>56</v>
      </c>
      <c r="AB2" s="3"/>
    </row>
    <row r="3" spans="1:35" ht="15" customHeight="1" x14ac:dyDescent="0.25">
      <c r="A3" s="3" t="s">
        <v>57</v>
      </c>
      <c r="B3" s="4" t="s">
        <v>58</v>
      </c>
      <c r="C3" s="3" t="s">
        <v>59</v>
      </c>
      <c r="D3" s="3" t="s">
        <v>60</v>
      </c>
      <c r="E3" s="3" t="s">
        <v>61</v>
      </c>
      <c r="F3" s="3" t="s">
        <v>62</v>
      </c>
      <c r="G3" s="3" t="s">
        <v>63</v>
      </c>
      <c r="H3" s="4" t="s">
        <v>64</v>
      </c>
      <c r="I3" s="3" t="s">
        <v>65</v>
      </c>
      <c r="J3" s="3" t="s">
        <v>66</v>
      </c>
      <c r="K3" s="3">
        <v>3.12</v>
      </c>
      <c r="L3" s="3">
        <v>64</v>
      </c>
      <c r="M3" s="3" t="s">
        <v>45</v>
      </c>
      <c r="N3" s="3" t="s">
        <v>46</v>
      </c>
      <c r="O3" s="3" t="s">
        <v>67</v>
      </c>
      <c r="P3" s="3" t="s">
        <v>68</v>
      </c>
      <c r="Q3" s="3" t="s">
        <v>49</v>
      </c>
      <c r="R3" s="3" t="s">
        <v>63</v>
      </c>
      <c r="S3" s="4" t="s">
        <v>69</v>
      </c>
      <c r="T3" s="3" t="s">
        <v>70</v>
      </c>
      <c r="U3" s="3" t="s">
        <v>52</v>
      </c>
      <c r="V3" s="3">
        <v>0</v>
      </c>
      <c r="W3" s="3" t="s">
        <v>53</v>
      </c>
      <c r="X3" s="3" t="s">
        <v>54</v>
      </c>
      <c r="Y3" s="4" t="s">
        <v>55</v>
      </c>
      <c r="Z3" s="4" t="s">
        <v>55</v>
      </c>
      <c r="AA3" s="3" t="s">
        <v>56</v>
      </c>
      <c r="AB3" s="3"/>
    </row>
    <row r="4" spans="1:35" ht="15" customHeight="1" x14ac:dyDescent="0.25">
      <c r="A4" s="3" t="s">
        <v>71</v>
      </c>
      <c r="B4" s="4" t="s">
        <v>72</v>
      </c>
      <c r="C4" s="3" t="s">
        <v>37</v>
      </c>
      <c r="D4" s="3" t="s">
        <v>73</v>
      </c>
      <c r="E4" s="3" t="s">
        <v>74</v>
      </c>
      <c r="F4" s="3" t="s">
        <v>75</v>
      </c>
      <c r="G4" s="3" t="s">
        <v>41</v>
      </c>
      <c r="H4" s="4" t="s">
        <v>76</v>
      </c>
      <c r="I4" s="3" t="s">
        <v>77</v>
      </c>
      <c r="J4" s="3" t="s">
        <v>78</v>
      </c>
      <c r="K4" s="3">
        <v>3.55</v>
      </c>
      <c r="L4" s="3">
        <v>128</v>
      </c>
      <c r="M4" s="3" t="s">
        <v>45</v>
      </c>
      <c r="N4" s="3" t="s">
        <v>79</v>
      </c>
      <c r="O4" s="3" t="s">
        <v>80</v>
      </c>
      <c r="P4" s="3" t="s">
        <v>81</v>
      </c>
      <c r="Q4" s="3" t="s">
        <v>49</v>
      </c>
      <c r="R4" s="3" t="s">
        <v>41</v>
      </c>
      <c r="S4" s="4" t="s">
        <v>82</v>
      </c>
      <c r="T4" s="3" t="s">
        <v>83</v>
      </c>
      <c r="U4" s="3" t="s">
        <v>52</v>
      </c>
      <c r="V4" s="3">
        <v>0</v>
      </c>
      <c r="W4" s="3" t="s">
        <v>53</v>
      </c>
      <c r="X4" s="3" t="s">
        <v>54</v>
      </c>
      <c r="Y4" s="4" t="s">
        <v>55</v>
      </c>
      <c r="Z4" s="4" t="s">
        <v>55</v>
      </c>
      <c r="AA4" s="3" t="s">
        <v>84</v>
      </c>
      <c r="AB4" s="3"/>
    </row>
    <row r="5" spans="1:35" ht="15" customHeight="1" x14ac:dyDescent="0.25">
      <c r="A5" s="5" t="s">
        <v>85</v>
      </c>
      <c r="B5" s="6" t="s">
        <v>86</v>
      </c>
      <c r="C5" s="5" t="s">
        <v>59</v>
      </c>
      <c r="D5" s="5" t="s">
        <v>87</v>
      </c>
      <c r="E5" s="5" t="s">
        <v>88</v>
      </c>
      <c r="F5" s="5" t="s">
        <v>89</v>
      </c>
      <c r="G5" s="5" t="s">
        <v>41</v>
      </c>
      <c r="H5" s="6" t="s">
        <v>90</v>
      </c>
      <c r="I5" s="5" t="s">
        <v>91</v>
      </c>
      <c r="J5" s="5" t="s">
        <v>78</v>
      </c>
      <c r="K5" s="5">
        <v>3.9</v>
      </c>
      <c r="L5" s="5">
        <v>132</v>
      </c>
      <c r="M5" s="5" t="s">
        <v>92</v>
      </c>
      <c r="N5" s="5" t="s">
        <v>93</v>
      </c>
      <c r="O5" s="5" t="s">
        <v>94</v>
      </c>
      <c r="P5" s="5"/>
      <c r="Q5" s="5" t="s">
        <v>49</v>
      </c>
      <c r="R5" s="5" t="s">
        <v>41</v>
      </c>
      <c r="S5" s="6" t="s">
        <v>95</v>
      </c>
      <c r="T5" s="5" t="s">
        <v>96</v>
      </c>
      <c r="U5" s="5" t="s">
        <v>97</v>
      </c>
      <c r="V5" s="5">
        <v>0</v>
      </c>
      <c r="W5" s="5" t="s">
        <v>97</v>
      </c>
      <c r="X5" s="5" t="s">
        <v>54</v>
      </c>
      <c r="Y5" s="6" t="s">
        <v>55</v>
      </c>
      <c r="Z5" s="6" t="s">
        <v>55</v>
      </c>
      <c r="AA5" s="5" t="s">
        <v>98</v>
      </c>
      <c r="AB5" s="5" t="s">
        <v>99</v>
      </c>
    </row>
    <row r="6" spans="1:35" ht="15" customHeight="1" x14ac:dyDescent="0.25">
      <c r="A6" s="7" t="s">
        <v>100</v>
      </c>
      <c r="B6" s="8" t="s">
        <v>101</v>
      </c>
      <c r="C6" s="7" t="s">
        <v>37</v>
      </c>
      <c r="D6" s="7" t="s">
        <v>102</v>
      </c>
      <c r="E6" s="7" t="s">
        <v>103</v>
      </c>
      <c r="F6" s="7" t="s">
        <v>104</v>
      </c>
      <c r="G6" s="7" t="s">
        <v>41</v>
      </c>
      <c r="H6" s="8" t="s">
        <v>105</v>
      </c>
      <c r="I6" s="7" t="s">
        <v>106</v>
      </c>
      <c r="J6" s="7" t="s">
        <v>107</v>
      </c>
      <c r="K6" s="7">
        <v>2.4500000000000002</v>
      </c>
      <c r="L6" s="7">
        <v>32</v>
      </c>
      <c r="M6" s="7" t="s">
        <v>108</v>
      </c>
      <c r="N6" s="7" t="s">
        <v>46</v>
      </c>
      <c r="O6" s="7" t="s">
        <v>109</v>
      </c>
      <c r="P6" s="7" t="s">
        <v>110</v>
      </c>
      <c r="Q6" s="7" t="s">
        <v>49</v>
      </c>
      <c r="R6" s="7" t="s">
        <v>41</v>
      </c>
      <c r="S6" s="8" t="s">
        <v>111</v>
      </c>
      <c r="T6" s="7" t="s">
        <v>112</v>
      </c>
      <c r="U6" s="7" t="s">
        <v>113</v>
      </c>
      <c r="V6" s="7">
        <v>35000</v>
      </c>
      <c r="W6" s="7" t="s">
        <v>108</v>
      </c>
      <c r="X6" s="7" t="s">
        <v>114</v>
      </c>
      <c r="Y6" s="8" t="s">
        <v>55</v>
      </c>
      <c r="Z6" s="8" t="s">
        <v>55</v>
      </c>
      <c r="AA6" s="7" t="s">
        <v>115</v>
      </c>
      <c r="AB6" s="7"/>
    </row>
    <row r="7" spans="1:35" ht="15" customHeight="1" x14ac:dyDescent="0.25">
      <c r="A7" s="3" t="s">
        <v>116</v>
      </c>
      <c r="B7" s="4" t="s">
        <v>117</v>
      </c>
      <c r="C7" s="3" t="s">
        <v>59</v>
      </c>
      <c r="D7" s="3" t="s">
        <v>118</v>
      </c>
      <c r="E7" s="3" t="s">
        <v>119</v>
      </c>
      <c r="F7" s="3" t="s">
        <v>120</v>
      </c>
      <c r="G7" s="3" t="s">
        <v>121</v>
      </c>
      <c r="H7" s="4" t="s">
        <v>122</v>
      </c>
      <c r="I7" s="3" t="s">
        <v>123</v>
      </c>
      <c r="J7" s="3" t="s">
        <v>44</v>
      </c>
      <c r="K7" s="3">
        <v>3.22</v>
      </c>
      <c r="L7" s="3">
        <v>98</v>
      </c>
      <c r="M7" s="3" t="s">
        <v>45</v>
      </c>
      <c r="N7" s="3" t="s">
        <v>46</v>
      </c>
      <c r="O7" s="3" t="s">
        <v>47</v>
      </c>
      <c r="P7" s="3" t="s">
        <v>48</v>
      </c>
      <c r="Q7" s="3" t="s">
        <v>49</v>
      </c>
      <c r="R7" s="3" t="s">
        <v>121</v>
      </c>
      <c r="S7" s="4" t="s">
        <v>50</v>
      </c>
      <c r="T7" s="3" t="s">
        <v>51</v>
      </c>
      <c r="U7" s="3" t="s">
        <v>52</v>
      </c>
      <c r="V7" s="3">
        <v>0</v>
      </c>
      <c r="W7" s="3" t="s">
        <v>53</v>
      </c>
      <c r="X7" s="3" t="s">
        <v>54</v>
      </c>
      <c r="Y7" s="4" t="s">
        <v>55</v>
      </c>
      <c r="Z7" s="4" t="s">
        <v>55</v>
      </c>
      <c r="AA7" s="3" t="s">
        <v>56</v>
      </c>
      <c r="AB7" s="3"/>
    </row>
    <row r="8" spans="1:35" ht="15" customHeight="1" x14ac:dyDescent="0.25">
      <c r="A8" s="3" t="s">
        <v>124</v>
      </c>
      <c r="B8" s="4" t="s">
        <v>125</v>
      </c>
      <c r="C8" s="3" t="s">
        <v>37</v>
      </c>
      <c r="D8" s="3" t="s">
        <v>126</v>
      </c>
      <c r="E8" s="3" t="s">
        <v>127</v>
      </c>
      <c r="F8" s="3" t="s">
        <v>128</v>
      </c>
      <c r="G8" s="3" t="s">
        <v>41</v>
      </c>
      <c r="H8" s="4" t="s">
        <v>129</v>
      </c>
      <c r="I8" s="3" t="s">
        <v>106</v>
      </c>
      <c r="J8" s="3" t="s">
        <v>66</v>
      </c>
      <c r="K8" s="3">
        <v>3.68</v>
      </c>
      <c r="L8" s="3">
        <v>66</v>
      </c>
      <c r="M8" s="3" t="s">
        <v>45</v>
      </c>
      <c r="N8" s="3" t="s">
        <v>46</v>
      </c>
      <c r="O8" s="3" t="s">
        <v>130</v>
      </c>
      <c r="P8" s="3" t="s">
        <v>68</v>
      </c>
      <c r="Q8" s="3" t="s">
        <v>49</v>
      </c>
      <c r="R8" s="3" t="s">
        <v>41</v>
      </c>
      <c r="S8" s="4" t="s">
        <v>69</v>
      </c>
      <c r="T8" s="3" t="s">
        <v>70</v>
      </c>
      <c r="U8" s="3" t="s">
        <v>52</v>
      </c>
      <c r="V8" s="3">
        <v>0</v>
      </c>
      <c r="W8" s="3" t="s">
        <v>53</v>
      </c>
      <c r="X8" s="3" t="s">
        <v>54</v>
      </c>
      <c r="Y8" s="4" t="s">
        <v>55</v>
      </c>
      <c r="Z8" s="4" t="s">
        <v>55</v>
      </c>
      <c r="AA8" s="3" t="s">
        <v>56</v>
      </c>
      <c r="AB8" s="3"/>
    </row>
    <row r="9" spans="1:35" ht="15" customHeight="1" x14ac:dyDescent="0.25">
      <c r="A9" s="3" t="s">
        <v>131</v>
      </c>
      <c r="B9" s="4" t="s">
        <v>132</v>
      </c>
      <c r="C9" s="3" t="s">
        <v>59</v>
      </c>
      <c r="D9" s="3" t="s">
        <v>133</v>
      </c>
      <c r="E9" s="3" t="s">
        <v>134</v>
      </c>
      <c r="F9" s="3" t="s">
        <v>135</v>
      </c>
      <c r="G9" s="3" t="s">
        <v>136</v>
      </c>
      <c r="H9" s="4" t="s">
        <v>137</v>
      </c>
      <c r="I9" s="3" t="s">
        <v>138</v>
      </c>
      <c r="J9" s="3" t="s">
        <v>78</v>
      </c>
      <c r="K9" s="3">
        <v>3.1</v>
      </c>
      <c r="L9" s="3">
        <v>120</v>
      </c>
      <c r="M9" s="3" t="s">
        <v>45</v>
      </c>
      <c r="N9" s="3" t="s">
        <v>139</v>
      </c>
      <c r="O9" s="3" t="s">
        <v>80</v>
      </c>
      <c r="P9" s="3" t="s">
        <v>81</v>
      </c>
      <c r="Q9" s="3" t="s">
        <v>49</v>
      </c>
      <c r="R9" s="3" t="s">
        <v>136</v>
      </c>
      <c r="S9" s="4" t="s">
        <v>82</v>
      </c>
      <c r="T9" s="3" t="s">
        <v>83</v>
      </c>
      <c r="U9" s="3" t="s">
        <v>52</v>
      </c>
      <c r="V9" s="3">
        <v>0</v>
      </c>
      <c r="W9" s="3" t="s">
        <v>53</v>
      </c>
      <c r="X9" s="3" t="s">
        <v>54</v>
      </c>
      <c r="Y9" s="4" t="s">
        <v>55</v>
      </c>
      <c r="Z9" s="4" t="s">
        <v>55</v>
      </c>
      <c r="AA9" s="3" t="s">
        <v>84</v>
      </c>
      <c r="AB9" s="3"/>
    </row>
    <row r="10" spans="1:35" ht="15" customHeight="1" x14ac:dyDescent="0.25">
      <c r="A10" s="9" t="s">
        <v>140</v>
      </c>
      <c r="B10" s="10" t="s">
        <v>141</v>
      </c>
      <c r="C10" s="9" t="s">
        <v>37</v>
      </c>
      <c r="D10" s="9" t="s">
        <v>142</v>
      </c>
      <c r="E10" s="9" t="s">
        <v>143</v>
      </c>
      <c r="F10" s="9" t="s">
        <v>144</v>
      </c>
      <c r="G10" s="9" t="s">
        <v>145</v>
      </c>
      <c r="H10" s="10" t="s">
        <v>146</v>
      </c>
      <c r="I10" s="9" t="s">
        <v>65</v>
      </c>
      <c r="J10" s="9" t="s">
        <v>44</v>
      </c>
      <c r="K10" s="9">
        <v>2.8</v>
      </c>
      <c r="L10" s="9">
        <v>90</v>
      </c>
      <c r="M10" s="9" t="s">
        <v>147</v>
      </c>
      <c r="N10" s="9" t="s">
        <v>46</v>
      </c>
      <c r="O10" s="9" t="s">
        <v>47</v>
      </c>
      <c r="P10" s="9" t="s">
        <v>48</v>
      </c>
      <c r="Q10" s="9" t="s">
        <v>49</v>
      </c>
      <c r="R10" s="9" t="s">
        <v>145</v>
      </c>
      <c r="S10" s="10" t="s">
        <v>148</v>
      </c>
      <c r="T10" s="9" t="s">
        <v>51</v>
      </c>
      <c r="U10" s="9" t="s">
        <v>149</v>
      </c>
      <c r="V10" s="9">
        <v>0</v>
      </c>
      <c r="W10" s="9" t="s">
        <v>53</v>
      </c>
      <c r="X10" s="9" t="s">
        <v>54</v>
      </c>
      <c r="Y10" s="10" t="s">
        <v>55</v>
      </c>
      <c r="Z10" s="10" t="s">
        <v>55</v>
      </c>
      <c r="AA10" s="9" t="s">
        <v>56</v>
      </c>
      <c r="AB10" s="9"/>
    </row>
    <row r="11" spans="1:35" ht="15" customHeight="1" x14ac:dyDescent="0.25">
      <c r="A11" s="3" t="s">
        <v>150</v>
      </c>
      <c r="B11" s="4" t="s">
        <v>151</v>
      </c>
      <c r="C11" s="3" t="s">
        <v>59</v>
      </c>
      <c r="D11" s="3" t="s">
        <v>152</v>
      </c>
      <c r="E11" s="3" t="s">
        <v>153</v>
      </c>
      <c r="F11" s="3" t="s">
        <v>154</v>
      </c>
      <c r="G11" s="3" t="s">
        <v>41</v>
      </c>
      <c r="H11" s="4" t="s">
        <v>155</v>
      </c>
      <c r="I11" s="3" t="s">
        <v>43</v>
      </c>
      <c r="J11" s="3" t="s">
        <v>107</v>
      </c>
      <c r="K11" s="3">
        <v>3.4</v>
      </c>
      <c r="L11" s="3">
        <v>30</v>
      </c>
      <c r="M11" s="3" t="s">
        <v>45</v>
      </c>
      <c r="N11" s="3" t="s">
        <v>46</v>
      </c>
      <c r="O11" s="3" t="s">
        <v>109</v>
      </c>
      <c r="P11" s="3" t="s">
        <v>110</v>
      </c>
      <c r="Q11" s="3" t="s">
        <v>49</v>
      </c>
      <c r="R11" s="3" t="s">
        <v>41</v>
      </c>
      <c r="S11" s="4" t="s">
        <v>156</v>
      </c>
      <c r="T11" s="3" t="s">
        <v>112</v>
      </c>
      <c r="U11" s="3" t="s">
        <v>52</v>
      </c>
      <c r="V11" s="3">
        <v>0</v>
      </c>
      <c r="W11" s="3" t="s">
        <v>53</v>
      </c>
      <c r="X11" s="3" t="s">
        <v>54</v>
      </c>
      <c r="Y11" s="4" t="s">
        <v>55</v>
      </c>
      <c r="Z11" s="4" t="s">
        <v>55</v>
      </c>
      <c r="AA11" s="3" t="s">
        <v>56</v>
      </c>
      <c r="AB11" s="3"/>
    </row>
    <row r="12" spans="1:35" ht="15" customHeight="1" x14ac:dyDescent="0.25">
      <c r="A12" s="3" t="s">
        <v>157</v>
      </c>
      <c r="B12" s="4" t="s">
        <v>158</v>
      </c>
      <c r="C12" s="3" t="s">
        <v>37</v>
      </c>
      <c r="D12" s="3" t="s">
        <v>159</v>
      </c>
      <c r="E12" s="3" t="s">
        <v>160</v>
      </c>
      <c r="F12" s="3" t="s">
        <v>161</v>
      </c>
      <c r="G12" s="3" t="s">
        <v>41</v>
      </c>
      <c r="H12" s="4" t="s">
        <v>162</v>
      </c>
      <c r="I12" s="3" t="s">
        <v>106</v>
      </c>
      <c r="J12" s="3" t="s">
        <v>66</v>
      </c>
      <c r="K12" s="3">
        <v>3.05</v>
      </c>
      <c r="L12" s="3">
        <v>60</v>
      </c>
      <c r="M12" s="3" t="s">
        <v>45</v>
      </c>
      <c r="N12" s="3" t="s">
        <v>46</v>
      </c>
      <c r="O12" s="3" t="s">
        <v>130</v>
      </c>
      <c r="P12" s="3" t="s">
        <v>68</v>
      </c>
      <c r="Q12" s="3" t="s">
        <v>49</v>
      </c>
      <c r="R12" s="3" t="s">
        <v>41</v>
      </c>
      <c r="S12" s="4" t="s">
        <v>69</v>
      </c>
      <c r="T12" s="3" t="s">
        <v>70</v>
      </c>
      <c r="U12" s="3" t="s">
        <v>52</v>
      </c>
      <c r="V12" s="3">
        <v>0</v>
      </c>
      <c r="W12" s="3" t="s">
        <v>53</v>
      </c>
      <c r="X12" s="3" t="s">
        <v>54</v>
      </c>
      <c r="Y12" s="4" t="s">
        <v>55</v>
      </c>
      <c r="Z12" s="4" t="s">
        <v>55</v>
      </c>
      <c r="AA12" s="3" t="s">
        <v>56</v>
      </c>
      <c r="AB12" s="3"/>
    </row>
    <row r="13" spans="1:35" ht="15" customHeight="1" x14ac:dyDescent="0.25">
      <c r="A13" s="5" t="s">
        <v>163</v>
      </c>
      <c r="B13" s="6" t="s">
        <v>164</v>
      </c>
      <c r="C13" s="5" t="s">
        <v>59</v>
      </c>
      <c r="D13" s="5" t="s">
        <v>165</v>
      </c>
      <c r="E13" s="5" t="s">
        <v>166</v>
      </c>
      <c r="F13" s="5" t="s">
        <v>167</v>
      </c>
      <c r="G13" s="5" t="s">
        <v>41</v>
      </c>
      <c r="H13" s="6" t="s">
        <v>168</v>
      </c>
      <c r="I13" s="5" t="s">
        <v>77</v>
      </c>
      <c r="J13" s="5" t="s">
        <v>78</v>
      </c>
      <c r="K13" s="5">
        <v>2.6</v>
      </c>
      <c r="L13" s="5">
        <v>124</v>
      </c>
      <c r="M13" s="5" t="s">
        <v>92</v>
      </c>
      <c r="N13" s="5" t="s">
        <v>169</v>
      </c>
      <c r="O13" s="5" t="s">
        <v>94</v>
      </c>
      <c r="P13" s="5"/>
      <c r="Q13" s="5" t="s">
        <v>49</v>
      </c>
      <c r="R13" s="5" t="s">
        <v>41</v>
      </c>
      <c r="S13" s="6" t="s">
        <v>95</v>
      </c>
      <c r="T13" s="5" t="s">
        <v>96</v>
      </c>
      <c r="U13" s="5" t="s">
        <v>97</v>
      </c>
      <c r="V13" s="5">
        <v>0</v>
      </c>
      <c r="W13" s="5" t="s">
        <v>97</v>
      </c>
      <c r="X13" s="5" t="s">
        <v>54</v>
      </c>
      <c r="Y13" s="6" t="s">
        <v>55</v>
      </c>
      <c r="Z13" s="6" t="s">
        <v>55</v>
      </c>
      <c r="AA13" s="5" t="s">
        <v>98</v>
      </c>
      <c r="AB13" s="5" t="s">
        <v>99</v>
      </c>
    </row>
    <row r="14" spans="1:35" ht="15" customHeight="1" x14ac:dyDescent="0.25">
      <c r="A14" s="3" t="s">
        <v>170</v>
      </c>
      <c r="B14" s="4" t="s">
        <v>171</v>
      </c>
      <c r="C14" s="3" t="s">
        <v>37</v>
      </c>
      <c r="D14" s="3" t="s">
        <v>172</v>
      </c>
      <c r="E14" s="3" t="s">
        <v>173</v>
      </c>
      <c r="F14" s="3" t="s">
        <v>174</v>
      </c>
      <c r="G14" s="3" t="s">
        <v>63</v>
      </c>
      <c r="H14" s="4" t="s">
        <v>175</v>
      </c>
      <c r="I14" s="3" t="s">
        <v>176</v>
      </c>
      <c r="J14" s="3" t="s">
        <v>44</v>
      </c>
      <c r="K14" s="3">
        <v>3.5</v>
      </c>
      <c r="L14" s="3">
        <v>94</v>
      </c>
      <c r="M14" s="3" t="s">
        <v>45</v>
      </c>
      <c r="N14" s="3" t="s">
        <v>46</v>
      </c>
      <c r="O14" s="3" t="s">
        <v>47</v>
      </c>
      <c r="P14" s="3" t="s">
        <v>48</v>
      </c>
      <c r="Q14" s="3" t="s">
        <v>49</v>
      </c>
      <c r="R14" s="3" t="s">
        <v>63</v>
      </c>
      <c r="S14" s="4" t="s">
        <v>50</v>
      </c>
      <c r="T14" s="3" t="s">
        <v>51</v>
      </c>
      <c r="U14" s="3" t="s">
        <v>52</v>
      </c>
      <c r="V14" s="3">
        <v>0</v>
      </c>
      <c r="W14" s="3" t="s">
        <v>53</v>
      </c>
      <c r="X14" s="3" t="s">
        <v>54</v>
      </c>
      <c r="Y14" s="4" t="s">
        <v>55</v>
      </c>
      <c r="Z14" s="4" t="s">
        <v>55</v>
      </c>
      <c r="AA14" s="3" t="s">
        <v>56</v>
      </c>
      <c r="AB14" s="3"/>
    </row>
    <row r="15" spans="1:35" ht="15" customHeight="1" x14ac:dyDescent="0.25">
      <c r="A15" s="11" t="s">
        <v>177</v>
      </c>
      <c r="B15" s="12" t="s">
        <v>178</v>
      </c>
      <c r="C15" s="11" t="s">
        <v>59</v>
      </c>
      <c r="D15" s="11" t="s">
        <v>179</v>
      </c>
      <c r="E15" s="11" t="s">
        <v>180</v>
      </c>
      <c r="F15" s="11" t="s">
        <v>181</v>
      </c>
      <c r="G15" s="11" t="s">
        <v>182</v>
      </c>
      <c r="H15" s="12" t="s">
        <v>183</v>
      </c>
      <c r="I15" s="11" t="s">
        <v>91</v>
      </c>
      <c r="J15" s="11" t="s">
        <v>78</v>
      </c>
      <c r="K15" s="11">
        <v>1.9</v>
      </c>
      <c r="L15" s="11">
        <v>112</v>
      </c>
      <c r="M15" s="11" t="s">
        <v>184</v>
      </c>
      <c r="N15" s="11" t="s">
        <v>46</v>
      </c>
      <c r="O15" s="11" t="s">
        <v>80</v>
      </c>
      <c r="P15" s="11" t="s">
        <v>81</v>
      </c>
      <c r="Q15" s="11" t="s">
        <v>49</v>
      </c>
      <c r="R15" s="11" t="s">
        <v>182</v>
      </c>
      <c r="S15" s="12" t="s">
        <v>185</v>
      </c>
      <c r="T15" s="11" t="s">
        <v>83</v>
      </c>
      <c r="U15" s="11" t="s">
        <v>186</v>
      </c>
      <c r="V15" s="11">
        <v>75000</v>
      </c>
      <c r="W15" s="11" t="s">
        <v>184</v>
      </c>
      <c r="X15" s="11" t="s">
        <v>114</v>
      </c>
      <c r="Y15" s="12" t="s">
        <v>55</v>
      </c>
      <c r="Z15" s="12" t="s">
        <v>55</v>
      </c>
      <c r="AA15" s="11" t="s">
        <v>115</v>
      </c>
      <c r="AB15" s="11"/>
    </row>
    <row r="16" spans="1:35" ht="15" customHeight="1" x14ac:dyDescent="0.25">
      <c r="A16" s="3" t="s">
        <v>187</v>
      </c>
      <c r="B16" s="4" t="s">
        <v>188</v>
      </c>
      <c r="C16" s="3" t="s">
        <v>37</v>
      </c>
      <c r="D16" s="3" t="s">
        <v>189</v>
      </c>
      <c r="E16" s="3" t="s">
        <v>190</v>
      </c>
      <c r="F16" s="3" t="s">
        <v>191</v>
      </c>
      <c r="G16" s="3" t="s">
        <v>63</v>
      </c>
      <c r="H16" s="4" t="s">
        <v>192</v>
      </c>
      <c r="I16" s="3" t="s">
        <v>193</v>
      </c>
      <c r="J16" s="3" t="s">
        <v>107</v>
      </c>
      <c r="K16" s="3">
        <v>3.82</v>
      </c>
      <c r="L16" s="3">
        <v>34</v>
      </c>
      <c r="M16" s="3" t="s">
        <v>45</v>
      </c>
      <c r="N16" s="3" t="s">
        <v>46</v>
      </c>
      <c r="O16" s="3" t="s">
        <v>109</v>
      </c>
      <c r="P16" s="3" t="s">
        <v>110</v>
      </c>
      <c r="Q16" s="3" t="s">
        <v>49</v>
      </c>
      <c r="R16" s="3" t="s">
        <v>63</v>
      </c>
      <c r="S16" s="4" t="s">
        <v>156</v>
      </c>
      <c r="T16" s="3" t="s">
        <v>112</v>
      </c>
      <c r="U16" s="3" t="s">
        <v>52</v>
      </c>
      <c r="V16" s="3">
        <v>0</v>
      </c>
      <c r="W16" s="3" t="s">
        <v>53</v>
      </c>
      <c r="X16" s="3" t="s">
        <v>54</v>
      </c>
      <c r="Y16" s="4" t="s">
        <v>55</v>
      </c>
      <c r="Z16" s="4" t="s">
        <v>55</v>
      </c>
      <c r="AA16" s="3" t="s">
        <v>56</v>
      </c>
      <c r="AB16" s="3"/>
    </row>
    <row r="17" spans="1:35" ht="15" customHeight="1" x14ac:dyDescent="0.25">
      <c r="A17" s="3" t="s">
        <v>194</v>
      </c>
      <c r="B17" s="4" t="s">
        <v>195</v>
      </c>
      <c r="C17" s="3" t="s">
        <v>59</v>
      </c>
      <c r="D17" s="3" t="s">
        <v>196</v>
      </c>
      <c r="E17" s="3" t="s">
        <v>197</v>
      </c>
      <c r="F17" s="3" t="s">
        <v>198</v>
      </c>
      <c r="G17" s="3" t="s">
        <v>41</v>
      </c>
      <c r="H17" s="4" t="s">
        <v>199</v>
      </c>
      <c r="I17" s="3" t="s">
        <v>106</v>
      </c>
      <c r="J17" s="3" t="s">
        <v>66</v>
      </c>
      <c r="K17" s="3">
        <v>2.95</v>
      </c>
      <c r="L17" s="3">
        <v>58</v>
      </c>
      <c r="M17" s="3" t="s">
        <v>45</v>
      </c>
      <c r="N17" s="3" t="s">
        <v>46</v>
      </c>
      <c r="O17" s="3" t="s">
        <v>130</v>
      </c>
      <c r="P17" s="3" t="s">
        <v>68</v>
      </c>
      <c r="Q17" s="3" t="s">
        <v>49</v>
      </c>
      <c r="R17" s="3" t="s">
        <v>41</v>
      </c>
      <c r="S17" s="4" t="s">
        <v>69</v>
      </c>
      <c r="T17" s="3" t="s">
        <v>70</v>
      </c>
      <c r="U17" s="3" t="s">
        <v>52</v>
      </c>
      <c r="V17" s="3">
        <v>0</v>
      </c>
      <c r="W17" s="3" t="s">
        <v>53</v>
      </c>
      <c r="X17" s="3" t="s">
        <v>54</v>
      </c>
      <c r="Y17" s="4" t="s">
        <v>55</v>
      </c>
      <c r="Z17" s="4" t="s">
        <v>55</v>
      </c>
      <c r="AA17" s="3" t="s">
        <v>56</v>
      </c>
      <c r="AB17" s="3"/>
    </row>
    <row r="18" spans="1:35" ht="15" customHeight="1" x14ac:dyDescent="0.25">
      <c r="A18" s="3" t="s">
        <v>200</v>
      </c>
      <c r="B18" s="4" t="s">
        <v>201</v>
      </c>
      <c r="C18" s="3" t="s">
        <v>37</v>
      </c>
      <c r="D18" s="3" t="s">
        <v>202</v>
      </c>
      <c r="E18" s="3" t="s">
        <v>203</v>
      </c>
      <c r="F18" s="3" t="s">
        <v>204</v>
      </c>
      <c r="G18" s="3" t="s">
        <v>41</v>
      </c>
      <c r="H18" s="4" t="s">
        <v>42</v>
      </c>
      <c r="I18" s="3" t="s">
        <v>43</v>
      </c>
      <c r="J18" s="3" t="s">
        <v>44</v>
      </c>
      <c r="K18" s="3">
        <v>3.95</v>
      </c>
      <c r="L18" s="3">
        <v>100</v>
      </c>
      <c r="M18" s="3" t="s">
        <v>45</v>
      </c>
      <c r="N18" s="3" t="s">
        <v>46</v>
      </c>
      <c r="O18" s="3" t="s">
        <v>47</v>
      </c>
      <c r="P18" s="3" t="s">
        <v>48</v>
      </c>
      <c r="Q18" s="3" t="s">
        <v>49</v>
      </c>
      <c r="R18" s="3" t="s">
        <v>41</v>
      </c>
      <c r="S18" s="4" t="s">
        <v>50</v>
      </c>
      <c r="T18" s="3" t="s">
        <v>51</v>
      </c>
      <c r="U18" s="3" t="s">
        <v>52</v>
      </c>
      <c r="V18" s="3">
        <v>0</v>
      </c>
      <c r="W18" s="3" t="s">
        <v>53</v>
      </c>
      <c r="X18" s="3" t="s">
        <v>54</v>
      </c>
      <c r="Y18" s="4" t="s">
        <v>55</v>
      </c>
      <c r="Z18" s="4" t="s">
        <v>55</v>
      </c>
      <c r="AA18" s="3" t="s">
        <v>56</v>
      </c>
      <c r="AB18" s="3"/>
    </row>
    <row r="19" spans="1:35" ht="15" customHeight="1" x14ac:dyDescent="0.25">
      <c r="A19" s="3" t="s">
        <v>205</v>
      </c>
      <c r="B19" s="4" t="s">
        <v>206</v>
      </c>
      <c r="C19" s="3" t="s">
        <v>59</v>
      </c>
      <c r="D19" s="3" t="s">
        <v>207</v>
      </c>
      <c r="E19" s="3" t="s">
        <v>208</v>
      </c>
      <c r="F19" s="3" t="s">
        <v>209</v>
      </c>
      <c r="G19" s="3" t="s">
        <v>121</v>
      </c>
      <c r="H19" s="4" t="s">
        <v>210</v>
      </c>
      <c r="I19" s="3" t="s">
        <v>123</v>
      </c>
      <c r="J19" s="3" t="s">
        <v>78</v>
      </c>
      <c r="K19" s="3">
        <v>3.3</v>
      </c>
      <c r="L19" s="3">
        <v>118</v>
      </c>
      <c r="M19" s="3" t="s">
        <v>45</v>
      </c>
      <c r="N19" s="3" t="s">
        <v>211</v>
      </c>
      <c r="O19" s="3" t="s">
        <v>80</v>
      </c>
      <c r="P19" s="3" t="s">
        <v>81</v>
      </c>
      <c r="Q19" s="3" t="s">
        <v>49</v>
      </c>
      <c r="R19" s="3" t="s">
        <v>121</v>
      </c>
      <c r="S19" s="4" t="s">
        <v>82</v>
      </c>
      <c r="T19" s="3" t="s">
        <v>83</v>
      </c>
      <c r="U19" s="3" t="s">
        <v>52</v>
      </c>
      <c r="V19" s="3">
        <v>0</v>
      </c>
      <c r="W19" s="3" t="s">
        <v>53</v>
      </c>
      <c r="X19" s="3" t="s">
        <v>54</v>
      </c>
      <c r="Y19" s="4" t="s">
        <v>55</v>
      </c>
      <c r="Z19" s="4" t="s">
        <v>55</v>
      </c>
      <c r="AA19" s="3" t="s">
        <v>84</v>
      </c>
      <c r="AB19" s="3"/>
    </row>
    <row r="20" spans="1:35" ht="15" customHeight="1" x14ac:dyDescent="0.25">
      <c r="A20" s="3" t="s">
        <v>212</v>
      </c>
      <c r="B20" s="4" t="s">
        <v>213</v>
      </c>
      <c r="C20" s="3" t="s">
        <v>37</v>
      </c>
      <c r="D20" s="3" t="s">
        <v>214</v>
      </c>
      <c r="E20" s="3" t="s">
        <v>215</v>
      </c>
      <c r="F20" s="3" t="s">
        <v>216</v>
      </c>
      <c r="G20" s="3" t="s">
        <v>41</v>
      </c>
      <c r="H20" s="4" t="s">
        <v>217</v>
      </c>
      <c r="I20" s="3" t="s">
        <v>91</v>
      </c>
      <c r="J20" s="3" t="s">
        <v>107</v>
      </c>
      <c r="K20" s="3">
        <v>3.15</v>
      </c>
      <c r="L20" s="3">
        <v>28</v>
      </c>
      <c r="M20" s="3" t="s">
        <v>45</v>
      </c>
      <c r="N20" s="3" t="s">
        <v>46</v>
      </c>
      <c r="O20" s="3" t="s">
        <v>109</v>
      </c>
      <c r="P20" s="3" t="s">
        <v>110</v>
      </c>
      <c r="Q20" s="3" t="s">
        <v>49</v>
      </c>
      <c r="R20" s="3" t="s">
        <v>41</v>
      </c>
      <c r="S20" s="4" t="s">
        <v>156</v>
      </c>
      <c r="T20" s="3" t="s">
        <v>112</v>
      </c>
      <c r="U20" s="3" t="s">
        <v>52</v>
      </c>
      <c r="V20" s="3">
        <v>0</v>
      </c>
      <c r="W20" s="3" t="s">
        <v>53</v>
      </c>
      <c r="X20" s="3" t="s">
        <v>54</v>
      </c>
      <c r="Y20" s="4" t="s">
        <v>55</v>
      </c>
      <c r="Z20" s="4" t="s">
        <v>55</v>
      </c>
      <c r="AA20" s="3" t="s">
        <v>56</v>
      </c>
      <c r="AB20" s="3"/>
    </row>
    <row r="21" spans="1:35" ht="15" customHeight="1" x14ac:dyDescent="0.25">
      <c r="A21" s="3" t="s">
        <v>218</v>
      </c>
      <c r="B21" s="4" t="s">
        <v>219</v>
      </c>
      <c r="C21" s="3" t="s">
        <v>59</v>
      </c>
      <c r="D21" s="3" t="s">
        <v>220</v>
      </c>
      <c r="E21" s="3" t="s">
        <v>221</v>
      </c>
      <c r="F21" s="3" t="s">
        <v>222</v>
      </c>
      <c r="G21" s="3" t="s">
        <v>136</v>
      </c>
      <c r="H21" s="4" t="s">
        <v>137</v>
      </c>
      <c r="I21" s="3" t="s">
        <v>138</v>
      </c>
      <c r="J21" s="3" t="s">
        <v>66</v>
      </c>
      <c r="K21" s="3">
        <v>3.6</v>
      </c>
      <c r="L21" s="3">
        <v>62</v>
      </c>
      <c r="M21" s="3" t="s">
        <v>45</v>
      </c>
      <c r="N21" s="3" t="s">
        <v>169</v>
      </c>
      <c r="O21" s="3" t="s">
        <v>130</v>
      </c>
      <c r="P21" s="3" t="s">
        <v>68</v>
      </c>
      <c r="Q21" s="3" t="s">
        <v>49</v>
      </c>
      <c r="R21" s="3" t="s">
        <v>136</v>
      </c>
      <c r="S21" s="4" t="s">
        <v>69</v>
      </c>
      <c r="T21" s="3" t="s">
        <v>70</v>
      </c>
      <c r="U21" s="3" t="s">
        <v>52</v>
      </c>
      <c r="V21" s="3">
        <v>0</v>
      </c>
      <c r="W21" s="3" t="s">
        <v>53</v>
      </c>
      <c r="X21" s="3" t="s">
        <v>54</v>
      </c>
      <c r="Y21" s="4" t="s">
        <v>55</v>
      </c>
      <c r="Z21" s="4" t="s">
        <v>55</v>
      </c>
      <c r="AA21" s="3" t="s">
        <v>56</v>
      </c>
      <c r="AB21" s="3"/>
    </row>
    <row r="22" spans="1:35" ht="15" customHeight="1" x14ac:dyDescent="0.25">
      <c r="A22" s="9" t="s">
        <v>223</v>
      </c>
      <c r="B22" s="10" t="s">
        <v>224</v>
      </c>
      <c r="C22" s="9" t="s">
        <v>59</v>
      </c>
      <c r="D22" s="9" t="s">
        <v>225</v>
      </c>
      <c r="E22" s="9" t="s">
        <v>226</v>
      </c>
      <c r="F22" s="9" t="s">
        <v>227</v>
      </c>
      <c r="G22" s="9" t="s">
        <v>63</v>
      </c>
      <c r="H22" s="10" t="s">
        <v>228</v>
      </c>
      <c r="I22" s="9" t="s">
        <v>176</v>
      </c>
      <c r="J22" s="9" t="s">
        <v>44</v>
      </c>
      <c r="K22" s="9">
        <v>2.75</v>
      </c>
      <c r="L22" s="9">
        <v>88</v>
      </c>
      <c r="M22" s="9" t="s">
        <v>147</v>
      </c>
      <c r="N22" s="9" t="s">
        <v>169</v>
      </c>
      <c r="O22" s="9" t="s">
        <v>47</v>
      </c>
      <c r="P22" s="9" t="s">
        <v>48</v>
      </c>
      <c r="Q22" s="9" t="s">
        <v>49</v>
      </c>
      <c r="R22" s="9" t="s">
        <v>63</v>
      </c>
      <c r="S22" s="10" t="s">
        <v>148</v>
      </c>
      <c r="T22" s="9" t="s">
        <v>51</v>
      </c>
      <c r="U22" s="9" t="s">
        <v>149</v>
      </c>
      <c r="V22" s="9">
        <v>0</v>
      </c>
      <c r="W22" s="9" t="s">
        <v>53</v>
      </c>
      <c r="X22" s="9" t="s">
        <v>54</v>
      </c>
      <c r="Y22" s="10" t="s">
        <v>55</v>
      </c>
      <c r="Z22" s="10" t="s">
        <v>55</v>
      </c>
      <c r="AA22" s="9" t="s">
        <v>56</v>
      </c>
      <c r="AB22" s="9"/>
    </row>
    <row r="23" spans="1:35" ht="15" customHeight="1" x14ac:dyDescent="0.25">
      <c r="A23" s="5" t="s">
        <v>229</v>
      </c>
      <c r="B23" s="6" t="s">
        <v>230</v>
      </c>
      <c r="C23" s="5" t="s">
        <v>37</v>
      </c>
      <c r="D23" s="5" t="s">
        <v>231</v>
      </c>
      <c r="E23" s="5" t="s">
        <v>232</v>
      </c>
      <c r="F23" s="5" t="s">
        <v>233</v>
      </c>
      <c r="G23" s="5" t="s">
        <v>41</v>
      </c>
      <c r="H23" s="6" t="s">
        <v>129</v>
      </c>
      <c r="I23" s="5" t="s">
        <v>106</v>
      </c>
      <c r="J23" s="5" t="s">
        <v>78</v>
      </c>
      <c r="K23" s="5">
        <v>3.88</v>
      </c>
      <c r="L23" s="5">
        <v>134</v>
      </c>
      <c r="M23" s="5" t="s">
        <v>92</v>
      </c>
      <c r="N23" s="5" t="s">
        <v>46</v>
      </c>
      <c r="O23" s="5" t="s">
        <v>94</v>
      </c>
      <c r="P23" s="5"/>
      <c r="Q23" s="5" t="s">
        <v>49</v>
      </c>
      <c r="R23" s="5" t="s">
        <v>41</v>
      </c>
      <c r="S23" s="6" t="s">
        <v>95</v>
      </c>
      <c r="T23" s="5" t="s">
        <v>96</v>
      </c>
      <c r="U23" s="5" t="s">
        <v>97</v>
      </c>
      <c r="V23" s="5">
        <v>0</v>
      </c>
      <c r="W23" s="5" t="s">
        <v>97</v>
      </c>
      <c r="X23" s="5" t="s">
        <v>54</v>
      </c>
      <c r="Y23" s="6" t="s">
        <v>55</v>
      </c>
      <c r="Z23" s="6" t="s">
        <v>55</v>
      </c>
      <c r="AA23" s="5" t="s">
        <v>98</v>
      </c>
      <c r="AB23" s="5" t="s">
        <v>99</v>
      </c>
    </row>
    <row r="24" spans="1:35" ht="15" customHeight="1" x14ac:dyDescent="0.25">
      <c r="A24" s="7" t="s">
        <v>234</v>
      </c>
      <c r="B24" s="8" t="s">
        <v>235</v>
      </c>
      <c r="C24" s="7" t="s">
        <v>59</v>
      </c>
      <c r="D24" s="7" t="s">
        <v>236</v>
      </c>
      <c r="E24" s="7" t="s">
        <v>237</v>
      </c>
      <c r="F24" s="7" t="s">
        <v>238</v>
      </c>
      <c r="G24" s="7" t="s">
        <v>145</v>
      </c>
      <c r="H24" s="8" t="s">
        <v>239</v>
      </c>
      <c r="I24" s="7" t="s">
        <v>65</v>
      </c>
      <c r="J24" s="7" t="s">
        <v>107</v>
      </c>
      <c r="K24" s="7">
        <v>2.2000000000000002</v>
      </c>
      <c r="L24" s="7">
        <v>26</v>
      </c>
      <c r="M24" s="7" t="s">
        <v>108</v>
      </c>
      <c r="N24" s="7" t="s">
        <v>46</v>
      </c>
      <c r="O24" s="7" t="s">
        <v>109</v>
      </c>
      <c r="P24" s="7" t="s">
        <v>110</v>
      </c>
      <c r="Q24" s="7" t="s">
        <v>49</v>
      </c>
      <c r="R24" s="7" t="s">
        <v>145</v>
      </c>
      <c r="S24" s="8" t="s">
        <v>111</v>
      </c>
      <c r="T24" s="7" t="s">
        <v>112</v>
      </c>
      <c r="U24" s="7" t="s">
        <v>113</v>
      </c>
      <c r="V24" s="7">
        <v>35000</v>
      </c>
      <c r="W24" s="7" t="s">
        <v>108</v>
      </c>
      <c r="X24" s="7" t="s">
        <v>114</v>
      </c>
      <c r="Y24" s="8" t="s">
        <v>55</v>
      </c>
      <c r="Z24" s="8" t="s">
        <v>55</v>
      </c>
      <c r="AA24" s="7" t="s">
        <v>115</v>
      </c>
      <c r="AB24" s="7"/>
    </row>
    <row r="25" spans="1:35" ht="15" customHeight="1" x14ac:dyDescent="0.25">
      <c r="A25" s="3" t="s">
        <v>240</v>
      </c>
      <c r="B25" s="4" t="s">
        <v>241</v>
      </c>
      <c r="C25" s="3" t="s">
        <v>37</v>
      </c>
      <c r="D25" s="3" t="s">
        <v>242</v>
      </c>
      <c r="E25" s="3" t="s">
        <v>243</v>
      </c>
      <c r="F25" s="3" t="s">
        <v>244</v>
      </c>
      <c r="G25" s="3" t="s">
        <v>41</v>
      </c>
      <c r="H25" s="4" t="s">
        <v>155</v>
      </c>
      <c r="I25" s="3" t="s">
        <v>43</v>
      </c>
      <c r="J25" s="3" t="s">
        <v>66</v>
      </c>
      <c r="K25" s="3">
        <v>3.42</v>
      </c>
      <c r="L25" s="3">
        <v>68</v>
      </c>
      <c r="M25" s="3" t="s">
        <v>45</v>
      </c>
      <c r="N25" s="3" t="s">
        <v>46</v>
      </c>
      <c r="O25" s="3" t="s">
        <v>130</v>
      </c>
      <c r="P25" s="3" t="s">
        <v>68</v>
      </c>
      <c r="Q25" s="3" t="s">
        <v>49</v>
      </c>
      <c r="R25" s="3" t="s">
        <v>41</v>
      </c>
      <c r="S25" s="4" t="s">
        <v>69</v>
      </c>
      <c r="T25" s="3" t="s">
        <v>70</v>
      </c>
      <c r="U25" s="3" t="s">
        <v>52</v>
      </c>
      <c r="V25" s="3">
        <v>0</v>
      </c>
      <c r="W25" s="3" t="s">
        <v>53</v>
      </c>
      <c r="X25" s="3" t="s">
        <v>54</v>
      </c>
      <c r="Y25" s="4" t="s">
        <v>55</v>
      </c>
      <c r="Z25" s="4" t="s">
        <v>55</v>
      </c>
      <c r="AA25" s="3" t="s">
        <v>56</v>
      </c>
      <c r="AB25" s="3"/>
    </row>
    <row r="26" spans="1:35" ht="15" customHeight="1" x14ac:dyDescent="0.25">
      <c r="A26" s="3" t="s">
        <v>245</v>
      </c>
      <c r="B26" s="4" t="s">
        <v>246</v>
      </c>
      <c r="C26" s="3" t="s">
        <v>59</v>
      </c>
      <c r="D26" s="3" t="s">
        <v>247</v>
      </c>
      <c r="E26" s="3" t="s">
        <v>248</v>
      </c>
      <c r="F26" s="3" t="s">
        <v>249</v>
      </c>
      <c r="G26" s="3" t="s">
        <v>41</v>
      </c>
      <c r="H26" s="4" t="s">
        <v>42</v>
      </c>
      <c r="I26" s="3" t="s">
        <v>43</v>
      </c>
      <c r="J26" s="3" t="s">
        <v>107</v>
      </c>
      <c r="K26" s="3">
        <v>3.65</v>
      </c>
      <c r="L26" s="3">
        <v>32</v>
      </c>
      <c r="M26" s="3" t="s">
        <v>45</v>
      </c>
      <c r="N26" s="3" t="s">
        <v>46</v>
      </c>
      <c r="O26" s="3" t="s">
        <v>109</v>
      </c>
      <c r="P26" s="3" t="s">
        <v>110</v>
      </c>
      <c r="Q26" s="3" t="s">
        <v>49</v>
      </c>
      <c r="R26" s="3" t="s">
        <v>41</v>
      </c>
      <c r="S26" s="4" t="s">
        <v>156</v>
      </c>
      <c r="T26" s="3" t="s">
        <v>112</v>
      </c>
      <c r="U26" s="153" t="s">
        <v>250</v>
      </c>
      <c r="V26" s="153">
        <v>75000</v>
      </c>
      <c r="W26" s="3" t="s">
        <v>53</v>
      </c>
      <c r="X26" s="3" t="s">
        <v>54</v>
      </c>
      <c r="Y26" s="4" t="s">
        <v>55</v>
      </c>
      <c r="Z26" s="4" t="s">
        <v>55</v>
      </c>
      <c r="AA26" s="3" t="s">
        <v>56</v>
      </c>
      <c r="AB26" s="3"/>
    </row>
    <row r="27" spans="1:35" ht="15" customHeight="1" x14ac:dyDescent="0.25">
      <c r="A27" s="13" t="s">
        <v>251</v>
      </c>
      <c r="B27" s="14" t="s">
        <v>252</v>
      </c>
      <c r="C27" s="13" t="s">
        <v>37</v>
      </c>
      <c r="D27" s="13" t="s">
        <v>253</v>
      </c>
      <c r="E27" s="13" t="s">
        <v>254</v>
      </c>
      <c r="F27" s="13" t="s">
        <v>255</v>
      </c>
      <c r="G27" s="13" t="s">
        <v>256</v>
      </c>
      <c r="H27" s="14" t="s">
        <v>257</v>
      </c>
      <c r="I27" s="13" t="s">
        <v>43</v>
      </c>
      <c r="J27" s="13" t="s">
        <v>66</v>
      </c>
      <c r="K27" s="13">
        <v>3.72</v>
      </c>
      <c r="L27" s="13">
        <v>48</v>
      </c>
      <c r="M27" s="13" t="s">
        <v>45</v>
      </c>
      <c r="N27" s="13" t="s">
        <v>258</v>
      </c>
      <c r="O27" s="13" t="s">
        <v>67</v>
      </c>
      <c r="P27" s="13" t="s">
        <v>81</v>
      </c>
      <c r="Q27" s="13" t="s">
        <v>259</v>
      </c>
      <c r="R27" s="14" t="s">
        <v>260</v>
      </c>
      <c r="S27" s="13" t="s">
        <v>261</v>
      </c>
      <c r="T27" s="13" t="s">
        <v>70</v>
      </c>
      <c r="U27" s="13" t="s">
        <v>52</v>
      </c>
      <c r="V27" s="13">
        <v>0</v>
      </c>
      <c r="W27" s="13" t="s">
        <v>53</v>
      </c>
      <c r="X27" s="13" t="s">
        <v>54</v>
      </c>
      <c r="Y27" s="13" t="s">
        <v>55</v>
      </c>
      <c r="Z27" s="14" t="s">
        <v>55</v>
      </c>
      <c r="AA27" s="14" t="s">
        <v>84</v>
      </c>
      <c r="AB27" s="13"/>
      <c r="AC27" t="s">
        <v>262</v>
      </c>
      <c r="AD27" t="s">
        <v>263</v>
      </c>
      <c r="AE27" t="s">
        <v>264</v>
      </c>
      <c r="AF27" s="74">
        <v>45473</v>
      </c>
      <c r="AG27" t="s">
        <v>265</v>
      </c>
      <c r="AH27" t="s">
        <v>266</v>
      </c>
      <c r="AI27" t="s">
        <v>267</v>
      </c>
    </row>
    <row r="28" spans="1:35" ht="15" customHeight="1" x14ac:dyDescent="0.25">
      <c r="A28" s="13" t="s">
        <v>268</v>
      </c>
      <c r="B28" s="14" t="s">
        <v>269</v>
      </c>
      <c r="C28" s="13" t="s">
        <v>59</v>
      </c>
      <c r="D28" s="13" t="s">
        <v>270</v>
      </c>
      <c r="E28" s="13" t="s">
        <v>271</v>
      </c>
      <c r="F28" s="13" t="s">
        <v>272</v>
      </c>
      <c r="G28" s="13" t="s">
        <v>273</v>
      </c>
      <c r="H28" s="14" t="s">
        <v>274</v>
      </c>
      <c r="I28" s="13" t="s">
        <v>65</v>
      </c>
      <c r="J28" s="13" t="s">
        <v>107</v>
      </c>
      <c r="K28" s="13">
        <v>3.41</v>
      </c>
      <c r="L28" s="13">
        <v>24</v>
      </c>
      <c r="M28" s="13" t="s">
        <v>45</v>
      </c>
      <c r="N28" s="13" t="s">
        <v>275</v>
      </c>
      <c r="O28" s="13" t="s">
        <v>109</v>
      </c>
      <c r="P28" s="13" t="s">
        <v>48</v>
      </c>
      <c r="Q28" s="13" t="s">
        <v>259</v>
      </c>
      <c r="R28" s="14" t="s">
        <v>276</v>
      </c>
      <c r="S28" s="13" t="s">
        <v>277</v>
      </c>
      <c r="T28" s="13" t="s">
        <v>112</v>
      </c>
      <c r="U28" s="13" t="s">
        <v>52</v>
      </c>
      <c r="V28" s="13">
        <v>0</v>
      </c>
      <c r="W28" s="13" t="s">
        <v>53</v>
      </c>
      <c r="X28" s="13" t="s">
        <v>54</v>
      </c>
      <c r="Y28" s="13" t="s">
        <v>55</v>
      </c>
      <c r="Z28" s="14" t="s">
        <v>55</v>
      </c>
      <c r="AA28" s="14" t="s">
        <v>56</v>
      </c>
      <c r="AB28" s="13"/>
      <c r="AC28" t="s">
        <v>278</v>
      </c>
      <c r="AD28" t="s">
        <v>55</v>
      </c>
      <c r="AE28" t="s">
        <v>279</v>
      </c>
      <c r="AF28" s="74">
        <v>45838</v>
      </c>
      <c r="AG28" t="s">
        <v>280</v>
      </c>
      <c r="AH28" t="s">
        <v>281</v>
      </c>
      <c r="AI28" t="s">
        <v>282</v>
      </c>
    </row>
    <row r="29" spans="1:35" ht="15" customHeight="1" x14ac:dyDescent="0.25">
      <c r="A29" s="5" t="s">
        <v>283</v>
      </c>
      <c r="B29" s="6" t="s">
        <v>284</v>
      </c>
      <c r="C29" s="5" t="s">
        <v>37</v>
      </c>
      <c r="D29" s="5" t="s">
        <v>285</v>
      </c>
      <c r="E29" s="5" t="s">
        <v>286</v>
      </c>
      <c r="F29" s="5" t="s">
        <v>287</v>
      </c>
      <c r="G29" s="5" t="s">
        <v>288</v>
      </c>
      <c r="H29" s="6" t="s">
        <v>64</v>
      </c>
      <c r="I29" s="5" t="s">
        <v>65</v>
      </c>
      <c r="J29" s="5" t="s">
        <v>66</v>
      </c>
      <c r="K29" s="5">
        <v>3.55</v>
      </c>
      <c r="L29" s="5">
        <v>52</v>
      </c>
      <c r="M29" s="5" t="s">
        <v>92</v>
      </c>
      <c r="N29" s="5" t="s">
        <v>46</v>
      </c>
      <c r="O29" s="5" t="s">
        <v>67</v>
      </c>
      <c r="P29" s="5"/>
      <c r="Q29" s="5" t="s">
        <v>259</v>
      </c>
      <c r="R29" s="6" t="s">
        <v>289</v>
      </c>
      <c r="S29" s="5" t="s">
        <v>290</v>
      </c>
      <c r="T29" s="5" t="s">
        <v>96</v>
      </c>
      <c r="U29" s="5" t="s">
        <v>97</v>
      </c>
      <c r="V29" s="5">
        <v>0</v>
      </c>
      <c r="W29" s="5" t="s">
        <v>97</v>
      </c>
      <c r="X29" s="5" t="s">
        <v>291</v>
      </c>
      <c r="Y29" s="5" t="s">
        <v>55</v>
      </c>
      <c r="Z29" s="6" t="s">
        <v>55</v>
      </c>
      <c r="AA29" s="6" t="s">
        <v>98</v>
      </c>
      <c r="AB29" s="5" t="s">
        <v>99</v>
      </c>
      <c r="AC29" t="s">
        <v>278</v>
      </c>
      <c r="AD29" t="s">
        <v>55</v>
      </c>
      <c r="AE29" t="s">
        <v>292</v>
      </c>
      <c r="AF29" s="74">
        <v>45971</v>
      </c>
      <c r="AG29" t="s">
        <v>293</v>
      </c>
      <c r="AH29" t="s">
        <v>294</v>
      </c>
      <c r="AI29" t="s">
        <v>295</v>
      </c>
    </row>
    <row r="30" spans="1:35" ht="15" customHeight="1" x14ac:dyDescent="0.25">
      <c r="A30" s="7" t="s">
        <v>296</v>
      </c>
      <c r="B30" s="8" t="s">
        <v>297</v>
      </c>
      <c r="C30" s="7" t="s">
        <v>59</v>
      </c>
      <c r="D30" s="7" t="s">
        <v>298</v>
      </c>
      <c r="E30" s="7" t="s">
        <v>299</v>
      </c>
      <c r="F30" s="7" t="s">
        <v>300</v>
      </c>
      <c r="G30" s="7" t="s">
        <v>256</v>
      </c>
      <c r="H30" s="8" t="s">
        <v>162</v>
      </c>
      <c r="I30" s="7" t="s">
        <v>106</v>
      </c>
      <c r="J30" s="7" t="s">
        <v>107</v>
      </c>
      <c r="K30" s="7">
        <v>2.81</v>
      </c>
      <c r="L30" s="7">
        <v>20</v>
      </c>
      <c r="M30" s="7" t="s">
        <v>108</v>
      </c>
      <c r="N30" s="7" t="s">
        <v>79</v>
      </c>
      <c r="O30" s="7" t="s">
        <v>109</v>
      </c>
      <c r="P30" s="7" t="s">
        <v>48</v>
      </c>
      <c r="Q30" s="7" t="s">
        <v>259</v>
      </c>
      <c r="R30" s="8" t="s">
        <v>260</v>
      </c>
      <c r="S30" s="7" t="s">
        <v>111</v>
      </c>
      <c r="T30" s="7" t="s">
        <v>112</v>
      </c>
      <c r="U30" s="7" t="s">
        <v>113</v>
      </c>
      <c r="V30" s="7">
        <v>35000</v>
      </c>
      <c r="W30" s="7" t="s">
        <v>108</v>
      </c>
      <c r="X30" s="7" t="s">
        <v>114</v>
      </c>
      <c r="Y30" s="7" t="s">
        <v>55</v>
      </c>
      <c r="Z30" s="8" t="s">
        <v>55</v>
      </c>
      <c r="AA30" s="8" t="s">
        <v>115</v>
      </c>
      <c r="AB30" s="7"/>
      <c r="AC30" t="s">
        <v>301</v>
      </c>
      <c r="AD30" t="s">
        <v>55</v>
      </c>
      <c r="AE30" t="s">
        <v>302</v>
      </c>
      <c r="AF30" s="74">
        <v>46022</v>
      </c>
      <c r="AG30" t="s">
        <v>303</v>
      </c>
      <c r="AH30" t="s">
        <v>304</v>
      </c>
      <c r="AI30" t="s">
        <v>305</v>
      </c>
    </row>
    <row r="31" spans="1:35" ht="15" customHeight="1" x14ac:dyDescent="0.25">
      <c r="A31" s="13" t="s">
        <v>306</v>
      </c>
      <c r="B31" s="14" t="s">
        <v>307</v>
      </c>
      <c r="C31" s="13" t="s">
        <v>37</v>
      </c>
      <c r="D31" s="13" t="s">
        <v>308</v>
      </c>
      <c r="E31" s="13" t="s">
        <v>309</v>
      </c>
      <c r="F31" s="13" t="s">
        <v>310</v>
      </c>
      <c r="G31" s="13" t="s">
        <v>288</v>
      </c>
      <c r="H31" s="14" t="s">
        <v>192</v>
      </c>
      <c r="I31" s="13" t="s">
        <v>193</v>
      </c>
      <c r="J31" s="13" t="s">
        <v>66</v>
      </c>
      <c r="K31" s="13">
        <v>3.65</v>
      </c>
      <c r="L31" s="13">
        <v>46</v>
      </c>
      <c r="M31" s="13" t="s">
        <v>45</v>
      </c>
      <c r="N31" s="13" t="s">
        <v>46</v>
      </c>
      <c r="O31" s="13" t="s">
        <v>67</v>
      </c>
      <c r="P31" s="13" t="s">
        <v>81</v>
      </c>
      <c r="Q31" s="13" t="s">
        <v>259</v>
      </c>
      <c r="R31" s="14" t="s">
        <v>289</v>
      </c>
      <c r="S31" s="13" t="s">
        <v>261</v>
      </c>
      <c r="T31" s="13" t="s">
        <v>70</v>
      </c>
      <c r="U31" s="13" t="s">
        <v>52</v>
      </c>
      <c r="V31" s="13">
        <v>0</v>
      </c>
      <c r="W31" s="13" t="s">
        <v>53</v>
      </c>
      <c r="X31" s="13" t="s">
        <v>54</v>
      </c>
      <c r="Y31" s="13" t="s">
        <v>55</v>
      </c>
      <c r="Z31" s="14" t="s">
        <v>55</v>
      </c>
      <c r="AA31" s="14" t="s">
        <v>84</v>
      </c>
      <c r="AB31" s="13"/>
      <c r="AC31" t="s">
        <v>311</v>
      </c>
      <c r="AD31" t="s">
        <v>312</v>
      </c>
      <c r="AE31" t="s">
        <v>313</v>
      </c>
      <c r="AF31" s="74">
        <v>45473</v>
      </c>
      <c r="AG31" t="s">
        <v>314</v>
      </c>
      <c r="AH31" t="s">
        <v>266</v>
      </c>
      <c r="AI31" t="s">
        <v>267</v>
      </c>
    </row>
    <row r="32" spans="1:35" ht="15" customHeight="1" x14ac:dyDescent="0.25">
      <c r="A32" s="13" t="s">
        <v>315</v>
      </c>
      <c r="B32" s="14" t="s">
        <v>316</v>
      </c>
      <c r="C32" s="13" t="s">
        <v>59</v>
      </c>
      <c r="D32" s="13" t="s">
        <v>317</v>
      </c>
      <c r="E32" s="13" t="s">
        <v>318</v>
      </c>
      <c r="F32" s="13" t="s">
        <v>319</v>
      </c>
      <c r="G32" s="13" t="s">
        <v>273</v>
      </c>
      <c r="H32" s="14" t="s">
        <v>320</v>
      </c>
      <c r="I32" s="13" t="s">
        <v>65</v>
      </c>
      <c r="J32" s="13" t="s">
        <v>107</v>
      </c>
      <c r="K32" s="13">
        <v>3.22</v>
      </c>
      <c r="L32" s="13">
        <v>24</v>
      </c>
      <c r="M32" s="13" t="s">
        <v>45</v>
      </c>
      <c r="N32" s="13" t="s">
        <v>321</v>
      </c>
      <c r="O32" s="13" t="s">
        <v>109</v>
      </c>
      <c r="P32" s="13" t="s">
        <v>48</v>
      </c>
      <c r="Q32" s="13" t="s">
        <v>259</v>
      </c>
      <c r="R32" s="14" t="s">
        <v>276</v>
      </c>
      <c r="S32" s="13" t="s">
        <v>277</v>
      </c>
      <c r="T32" s="13" t="s">
        <v>112</v>
      </c>
      <c r="U32" s="13" t="s">
        <v>52</v>
      </c>
      <c r="V32" s="13">
        <v>0</v>
      </c>
      <c r="W32" s="13" t="s">
        <v>53</v>
      </c>
      <c r="X32" s="13" t="s">
        <v>54</v>
      </c>
      <c r="Y32" s="13" t="s">
        <v>55</v>
      </c>
      <c r="Z32" s="14" t="s">
        <v>55</v>
      </c>
      <c r="AA32" s="14" t="s">
        <v>56</v>
      </c>
      <c r="AB32" s="13"/>
      <c r="AC32" t="s">
        <v>278</v>
      </c>
      <c r="AD32" t="s">
        <v>55</v>
      </c>
      <c r="AE32" t="s">
        <v>322</v>
      </c>
      <c r="AF32" s="74">
        <v>45838</v>
      </c>
      <c r="AG32" t="s">
        <v>280</v>
      </c>
      <c r="AH32" t="s">
        <v>323</v>
      </c>
      <c r="AI32" t="s">
        <v>282</v>
      </c>
    </row>
    <row r="33" spans="1:35" ht="21.75" customHeight="1" x14ac:dyDescent="0.25">
      <c r="A33" s="15" t="s">
        <v>324</v>
      </c>
      <c r="B33" s="16" t="s">
        <v>325</v>
      </c>
      <c r="C33" s="15" t="s">
        <v>37</v>
      </c>
      <c r="D33" s="15" t="s">
        <v>326</v>
      </c>
      <c r="E33" s="15" t="s">
        <v>327</v>
      </c>
      <c r="F33" s="15" t="s">
        <v>328</v>
      </c>
      <c r="G33" s="15" t="s">
        <v>329</v>
      </c>
      <c r="H33" s="16" t="s">
        <v>129</v>
      </c>
      <c r="I33" s="15" t="s">
        <v>106</v>
      </c>
      <c r="J33" s="15" t="s">
        <v>44</v>
      </c>
      <c r="K33" s="15">
        <v>3.82</v>
      </c>
      <c r="L33" s="15">
        <v>36</v>
      </c>
      <c r="M33" s="15" t="s">
        <v>45</v>
      </c>
      <c r="N33" s="15" t="s">
        <v>46</v>
      </c>
      <c r="O33" s="15" t="s">
        <v>330</v>
      </c>
      <c r="P33" s="15" t="s">
        <v>81</v>
      </c>
      <c r="Q33" s="15" t="s">
        <v>259</v>
      </c>
      <c r="R33" s="16" t="s">
        <v>329</v>
      </c>
      <c r="S33" s="15" t="s">
        <v>331</v>
      </c>
      <c r="T33" s="15" t="s">
        <v>332</v>
      </c>
      <c r="U33" s="15" t="s">
        <v>52</v>
      </c>
      <c r="V33" s="15">
        <v>0</v>
      </c>
      <c r="W33" s="15" t="s">
        <v>53</v>
      </c>
      <c r="X33" s="15" t="s">
        <v>54</v>
      </c>
      <c r="Y33" s="15" t="s">
        <v>333</v>
      </c>
      <c r="Z33" s="16" t="s">
        <v>334</v>
      </c>
      <c r="AA33" s="16" t="s">
        <v>56</v>
      </c>
      <c r="AB33" s="15"/>
      <c r="AC33" t="s">
        <v>335</v>
      </c>
      <c r="AD33" t="s">
        <v>336</v>
      </c>
      <c r="AE33" t="s">
        <v>337</v>
      </c>
      <c r="AF33" s="74">
        <v>45463</v>
      </c>
      <c r="AG33" t="s">
        <v>338</v>
      </c>
      <c r="AH33" t="s">
        <v>339</v>
      </c>
      <c r="AI33" t="s">
        <v>340</v>
      </c>
    </row>
    <row r="34" spans="1:35" ht="21.75" customHeight="1" x14ac:dyDescent="0.25">
      <c r="A34" s="15" t="s">
        <v>341</v>
      </c>
      <c r="B34" s="16" t="s">
        <v>342</v>
      </c>
      <c r="C34" s="15" t="s">
        <v>59</v>
      </c>
      <c r="D34" s="15" t="s">
        <v>343</v>
      </c>
      <c r="E34" s="15" t="s">
        <v>344</v>
      </c>
      <c r="F34" s="15" t="s">
        <v>345</v>
      </c>
      <c r="G34" s="15" t="s">
        <v>329</v>
      </c>
      <c r="H34" s="16" t="s">
        <v>42</v>
      </c>
      <c r="I34" s="15" t="s">
        <v>43</v>
      </c>
      <c r="J34" s="15" t="s">
        <v>66</v>
      </c>
      <c r="K34" s="15">
        <v>3.61</v>
      </c>
      <c r="L34" s="15">
        <v>24</v>
      </c>
      <c r="M34" s="15" t="s">
        <v>45</v>
      </c>
      <c r="N34" s="15" t="s">
        <v>346</v>
      </c>
      <c r="O34" s="15" t="s">
        <v>67</v>
      </c>
      <c r="P34" s="15" t="s">
        <v>48</v>
      </c>
      <c r="Q34" s="15" t="s">
        <v>259</v>
      </c>
      <c r="R34" s="16" t="s">
        <v>329</v>
      </c>
      <c r="S34" s="15" t="s">
        <v>347</v>
      </c>
      <c r="T34" s="15" t="s">
        <v>348</v>
      </c>
      <c r="U34" s="15" t="s">
        <v>52</v>
      </c>
      <c r="V34" s="15">
        <v>0</v>
      </c>
      <c r="W34" s="15" t="s">
        <v>53</v>
      </c>
      <c r="X34" s="15" t="s">
        <v>54</v>
      </c>
      <c r="Y34" s="15" t="s">
        <v>349</v>
      </c>
      <c r="Z34" s="16" t="s">
        <v>350</v>
      </c>
      <c r="AA34" s="16" t="s">
        <v>56</v>
      </c>
      <c r="AB34" s="15"/>
      <c r="AC34" t="s">
        <v>351</v>
      </c>
      <c r="AD34" t="s">
        <v>352</v>
      </c>
      <c r="AE34" t="s">
        <v>353</v>
      </c>
      <c r="AF34" s="74">
        <v>45792</v>
      </c>
      <c r="AG34" t="s">
        <v>354</v>
      </c>
      <c r="AH34" t="s">
        <v>355</v>
      </c>
      <c r="AI34" t="s">
        <v>356</v>
      </c>
    </row>
    <row r="35" spans="1:35" ht="21.75" customHeight="1" x14ac:dyDescent="0.25">
      <c r="A35" s="15" t="s">
        <v>357</v>
      </c>
      <c r="B35" s="16" t="s">
        <v>358</v>
      </c>
      <c r="C35" s="15" t="s">
        <v>37</v>
      </c>
      <c r="D35" s="15" t="s">
        <v>359</v>
      </c>
      <c r="E35" s="15" t="s">
        <v>360</v>
      </c>
      <c r="F35" s="15" t="s">
        <v>361</v>
      </c>
      <c r="G35" s="15" t="s">
        <v>362</v>
      </c>
      <c r="H35" s="16" t="s">
        <v>122</v>
      </c>
      <c r="I35" s="15" t="s">
        <v>123</v>
      </c>
      <c r="J35" s="15" t="s">
        <v>44</v>
      </c>
      <c r="K35" s="15">
        <v>3.48</v>
      </c>
      <c r="L35" s="15">
        <v>36</v>
      </c>
      <c r="M35" s="15" t="s">
        <v>45</v>
      </c>
      <c r="N35" s="15" t="s">
        <v>46</v>
      </c>
      <c r="O35" s="15" t="s">
        <v>330</v>
      </c>
      <c r="P35" s="15" t="s">
        <v>81</v>
      </c>
      <c r="Q35" s="15" t="s">
        <v>259</v>
      </c>
      <c r="R35" s="16" t="s">
        <v>362</v>
      </c>
      <c r="S35" s="15" t="s">
        <v>331</v>
      </c>
      <c r="T35" s="15" t="s">
        <v>332</v>
      </c>
      <c r="U35" s="15" t="s">
        <v>52</v>
      </c>
      <c r="V35" s="15">
        <v>0</v>
      </c>
      <c r="W35" s="15" t="s">
        <v>53</v>
      </c>
      <c r="X35" s="15" t="s">
        <v>54</v>
      </c>
      <c r="Y35" s="15" t="s">
        <v>363</v>
      </c>
      <c r="Z35" s="16" t="s">
        <v>334</v>
      </c>
      <c r="AA35" s="16" t="s">
        <v>56</v>
      </c>
      <c r="AB35" s="15"/>
      <c r="AC35" t="s">
        <v>364</v>
      </c>
      <c r="AD35" t="s">
        <v>365</v>
      </c>
      <c r="AE35" t="s">
        <v>366</v>
      </c>
      <c r="AF35" s="74">
        <v>45534</v>
      </c>
      <c r="AG35" t="s">
        <v>367</v>
      </c>
      <c r="AH35" t="s">
        <v>368</v>
      </c>
      <c r="AI35" t="s">
        <v>369</v>
      </c>
    </row>
    <row r="36" spans="1:35" ht="21.75" customHeight="1" x14ac:dyDescent="0.25">
      <c r="A36" s="9" t="s">
        <v>370</v>
      </c>
      <c r="B36" s="10" t="s">
        <v>371</v>
      </c>
      <c r="C36" s="9" t="s">
        <v>59</v>
      </c>
      <c r="D36" s="9" t="s">
        <v>372</v>
      </c>
      <c r="E36" s="9" t="s">
        <v>373</v>
      </c>
      <c r="F36" s="9" t="s">
        <v>374</v>
      </c>
      <c r="G36" s="9" t="s">
        <v>329</v>
      </c>
      <c r="H36" s="10" t="s">
        <v>375</v>
      </c>
      <c r="I36" s="9" t="s">
        <v>77</v>
      </c>
      <c r="J36" s="9" t="s">
        <v>66</v>
      </c>
      <c r="K36" s="9">
        <v>3.31</v>
      </c>
      <c r="L36" s="9">
        <v>18</v>
      </c>
      <c r="M36" s="9" t="s">
        <v>147</v>
      </c>
      <c r="N36" s="9" t="s">
        <v>93</v>
      </c>
      <c r="O36" s="9" t="s">
        <v>67</v>
      </c>
      <c r="P36" s="9" t="s">
        <v>68</v>
      </c>
      <c r="Q36" s="9" t="s">
        <v>259</v>
      </c>
      <c r="R36" s="10" t="s">
        <v>329</v>
      </c>
      <c r="S36" s="9" t="s">
        <v>376</v>
      </c>
      <c r="T36" s="9" t="s">
        <v>348</v>
      </c>
      <c r="U36" s="9" t="s">
        <v>149</v>
      </c>
      <c r="V36" s="9">
        <v>0</v>
      </c>
      <c r="W36" s="9" t="s">
        <v>53</v>
      </c>
      <c r="X36" s="9" t="s">
        <v>54</v>
      </c>
      <c r="Y36" s="9" t="s">
        <v>377</v>
      </c>
      <c r="Z36" s="10" t="s">
        <v>378</v>
      </c>
      <c r="AA36" s="10" t="s">
        <v>56</v>
      </c>
      <c r="AB36" s="9"/>
      <c r="AC36" t="s">
        <v>379</v>
      </c>
      <c r="AD36" t="s">
        <v>380</v>
      </c>
      <c r="AE36" t="s">
        <v>381</v>
      </c>
      <c r="AF36" s="74">
        <v>46203</v>
      </c>
      <c r="AG36" t="s">
        <v>382</v>
      </c>
      <c r="AH36" t="s">
        <v>383</v>
      </c>
      <c r="AI36" t="s">
        <v>384</v>
      </c>
    </row>
    <row r="37" spans="1:35" ht="21.75" customHeight="1" x14ac:dyDescent="0.25">
      <c r="A37" s="5" t="s">
        <v>385</v>
      </c>
      <c r="B37" s="6" t="s">
        <v>386</v>
      </c>
      <c r="C37" s="5" t="s">
        <v>37</v>
      </c>
      <c r="D37" s="5" t="s">
        <v>387</v>
      </c>
      <c r="E37" s="5" t="s">
        <v>388</v>
      </c>
      <c r="F37" s="5" t="s">
        <v>389</v>
      </c>
      <c r="G37" s="5" t="s">
        <v>329</v>
      </c>
      <c r="H37" s="6" t="s">
        <v>390</v>
      </c>
      <c r="I37" s="5" t="s">
        <v>91</v>
      </c>
      <c r="J37" s="5" t="s">
        <v>78</v>
      </c>
      <c r="K37" s="5">
        <v>3.91</v>
      </c>
      <c r="L37" s="5">
        <v>48</v>
      </c>
      <c r="M37" s="5" t="s">
        <v>92</v>
      </c>
      <c r="N37" s="5" t="s">
        <v>46</v>
      </c>
      <c r="O37" s="5" t="s">
        <v>80</v>
      </c>
      <c r="P37" s="5"/>
      <c r="Q37" s="5" t="s">
        <v>259</v>
      </c>
      <c r="R37" s="6" t="s">
        <v>329</v>
      </c>
      <c r="S37" s="5" t="s">
        <v>391</v>
      </c>
      <c r="T37" s="5" t="s">
        <v>96</v>
      </c>
      <c r="U37" s="5" t="s">
        <v>97</v>
      </c>
      <c r="V37" s="5">
        <v>0</v>
      </c>
      <c r="W37" s="5" t="s">
        <v>97</v>
      </c>
      <c r="X37" s="5" t="s">
        <v>291</v>
      </c>
      <c r="Y37" s="5" t="s">
        <v>392</v>
      </c>
      <c r="Z37" s="6" t="s">
        <v>393</v>
      </c>
      <c r="AA37" s="6" t="s">
        <v>98</v>
      </c>
      <c r="AB37" s="5" t="s">
        <v>99</v>
      </c>
      <c r="AC37" t="s">
        <v>394</v>
      </c>
      <c r="AD37" t="s">
        <v>395</v>
      </c>
      <c r="AE37" t="s">
        <v>396</v>
      </c>
      <c r="AF37" s="74">
        <v>45915</v>
      </c>
      <c r="AG37" t="s">
        <v>397</v>
      </c>
      <c r="AH37" t="s">
        <v>294</v>
      </c>
      <c r="AI37" t="s">
        <v>398</v>
      </c>
    </row>
    <row r="38" spans="1:35" ht="21.75" customHeight="1" x14ac:dyDescent="0.25">
      <c r="A38" s="15" t="s">
        <v>399</v>
      </c>
      <c r="B38" s="16" t="s">
        <v>400</v>
      </c>
      <c r="C38" s="15" t="s">
        <v>59</v>
      </c>
      <c r="D38" s="15" t="s">
        <v>401</v>
      </c>
      <c r="E38" s="15" t="s">
        <v>402</v>
      </c>
      <c r="F38" s="15" t="s">
        <v>403</v>
      </c>
      <c r="G38" s="15" t="s">
        <v>329</v>
      </c>
      <c r="H38" s="16" t="s">
        <v>42</v>
      </c>
      <c r="I38" s="15" t="s">
        <v>43</v>
      </c>
      <c r="J38" s="15" t="s">
        <v>107</v>
      </c>
      <c r="K38" s="15">
        <v>3.52</v>
      </c>
      <c r="L38" s="15">
        <v>12</v>
      </c>
      <c r="M38" s="15" t="s">
        <v>45</v>
      </c>
      <c r="N38" s="15" t="s">
        <v>46</v>
      </c>
      <c r="O38" s="15" t="s">
        <v>109</v>
      </c>
      <c r="P38" s="15" t="s">
        <v>68</v>
      </c>
      <c r="Q38" s="15" t="s">
        <v>259</v>
      </c>
      <c r="R38" s="16" t="s">
        <v>329</v>
      </c>
      <c r="S38" s="15" t="s">
        <v>404</v>
      </c>
      <c r="T38" s="15" t="s">
        <v>405</v>
      </c>
      <c r="U38" s="15" t="s">
        <v>52</v>
      </c>
      <c r="V38" s="15">
        <v>0</v>
      </c>
      <c r="W38" s="15" t="s">
        <v>53</v>
      </c>
      <c r="X38" s="15" t="s">
        <v>54</v>
      </c>
      <c r="Y38" s="15" t="s">
        <v>406</v>
      </c>
      <c r="Z38" s="16" t="s">
        <v>407</v>
      </c>
      <c r="AA38" s="16" t="s">
        <v>56</v>
      </c>
      <c r="AB38" s="15"/>
      <c r="AC38" t="s">
        <v>351</v>
      </c>
      <c r="AD38" t="s">
        <v>262</v>
      </c>
      <c r="AE38" t="s">
        <v>408</v>
      </c>
      <c r="AF38" s="74">
        <v>46203</v>
      </c>
      <c r="AG38" t="s">
        <v>409</v>
      </c>
      <c r="AH38" t="s">
        <v>410</v>
      </c>
      <c r="AI38" t="s">
        <v>411</v>
      </c>
    </row>
    <row r="39" spans="1:35" x14ac:dyDescent="0.25">
      <c r="A39" t="s">
        <v>412</v>
      </c>
      <c r="B39" t="s">
        <v>413</v>
      </c>
      <c r="C39" t="s">
        <v>37</v>
      </c>
      <c r="D39" s="74">
        <v>33465</v>
      </c>
      <c r="E39" t="s">
        <v>414</v>
      </c>
      <c r="F39" t="s">
        <v>415</v>
      </c>
      <c r="G39" t="s">
        <v>416</v>
      </c>
      <c r="H39" t="s">
        <v>42</v>
      </c>
      <c r="I39" t="s">
        <v>43</v>
      </c>
      <c r="J39" t="s">
        <v>44</v>
      </c>
      <c r="K39">
        <v>3.88</v>
      </c>
      <c r="L39">
        <v>36</v>
      </c>
      <c r="M39" t="s">
        <v>45</v>
      </c>
      <c r="N39" t="s">
        <v>93</v>
      </c>
      <c r="O39" s="74">
        <v>45175</v>
      </c>
      <c r="P39" s="74">
        <v>46203</v>
      </c>
      <c r="Q39" t="s">
        <v>259</v>
      </c>
      <c r="R39" t="s">
        <v>417</v>
      </c>
      <c r="S39" t="s">
        <v>418</v>
      </c>
      <c r="T39" t="s">
        <v>332</v>
      </c>
      <c r="U39" t="s">
        <v>52</v>
      </c>
      <c r="V39">
        <v>0</v>
      </c>
      <c r="W39" t="s">
        <v>53</v>
      </c>
      <c r="X39" s="74">
        <v>45306</v>
      </c>
      <c r="Y39" t="s">
        <v>419</v>
      </c>
      <c r="Z39" t="s">
        <v>350</v>
      </c>
      <c r="AA39" t="s">
        <v>56</v>
      </c>
      <c r="AC39" t="s">
        <v>351</v>
      </c>
      <c r="AD39" t="s">
        <v>420</v>
      </c>
      <c r="AE39" t="s">
        <v>421</v>
      </c>
      <c r="AF39" s="74">
        <v>46142</v>
      </c>
      <c r="AG39" t="s">
        <v>422</v>
      </c>
      <c r="AH39" t="s">
        <v>423</v>
      </c>
      <c r="AI39" t="s">
        <v>424</v>
      </c>
    </row>
    <row r="40" spans="1:35" x14ac:dyDescent="0.25">
      <c r="A40" t="s">
        <v>425</v>
      </c>
      <c r="B40" t="s">
        <v>426</v>
      </c>
      <c r="C40" t="s">
        <v>59</v>
      </c>
      <c r="D40" s="74">
        <v>32954</v>
      </c>
      <c r="E40" t="s">
        <v>427</v>
      </c>
      <c r="F40" t="s">
        <v>428</v>
      </c>
      <c r="G40" t="s">
        <v>416</v>
      </c>
      <c r="H40" t="s">
        <v>390</v>
      </c>
      <c r="I40" t="s">
        <v>91</v>
      </c>
      <c r="J40" t="s">
        <v>78</v>
      </c>
      <c r="K40">
        <v>3.71</v>
      </c>
      <c r="L40">
        <v>48</v>
      </c>
      <c r="M40" t="s">
        <v>45</v>
      </c>
      <c r="N40" t="s">
        <v>46</v>
      </c>
      <c r="O40" s="74">
        <v>45176</v>
      </c>
      <c r="P40" s="74">
        <v>46203</v>
      </c>
      <c r="Q40" t="s">
        <v>259</v>
      </c>
      <c r="R40" t="s">
        <v>417</v>
      </c>
      <c r="S40" t="s">
        <v>429</v>
      </c>
      <c r="T40" t="s">
        <v>430</v>
      </c>
      <c r="U40" t="s">
        <v>52</v>
      </c>
      <c r="V40">
        <v>0</v>
      </c>
      <c r="W40" t="s">
        <v>53</v>
      </c>
      <c r="X40" s="74">
        <v>45306</v>
      </c>
      <c r="Y40" t="s">
        <v>431</v>
      </c>
      <c r="Z40" t="s">
        <v>334</v>
      </c>
      <c r="AA40" t="s">
        <v>432</v>
      </c>
      <c r="AC40" t="s">
        <v>394</v>
      </c>
      <c r="AD40" t="s">
        <v>433</v>
      </c>
      <c r="AE40" t="s">
        <v>434</v>
      </c>
      <c r="AF40" s="74">
        <v>45930</v>
      </c>
      <c r="AG40" t="s">
        <v>435</v>
      </c>
      <c r="AH40" t="s">
        <v>436</v>
      </c>
      <c r="AI40" t="s">
        <v>437</v>
      </c>
    </row>
    <row r="41" spans="1:35" x14ac:dyDescent="0.25">
      <c r="A41" t="s">
        <v>438</v>
      </c>
      <c r="B41" t="s">
        <v>439</v>
      </c>
      <c r="C41" t="s">
        <v>37</v>
      </c>
      <c r="D41" s="74">
        <v>34303</v>
      </c>
      <c r="E41" t="s">
        <v>440</v>
      </c>
      <c r="F41" t="s">
        <v>441</v>
      </c>
      <c r="G41" t="s">
        <v>416</v>
      </c>
      <c r="H41" t="s">
        <v>64</v>
      </c>
      <c r="I41" t="s">
        <v>65</v>
      </c>
      <c r="J41" t="s">
        <v>107</v>
      </c>
      <c r="K41">
        <v>3.65</v>
      </c>
      <c r="L41">
        <v>12</v>
      </c>
      <c r="M41" t="s">
        <v>45</v>
      </c>
      <c r="N41" t="s">
        <v>442</v>
      </c>
      <c r="O41" s="74">
        <v>45173</v>
      </c>
      <c r="P41" s="74">
        <v>46203</v>
      </c>
      <c r="Q41" t="s">
        <v>259</v>
      </c>
      <c r="R41" t="s">
        <v>417</v>
      </c>
      <c r="S41" t="s">
        <v>443</v>
      </c>
      <c r="T41" t="s">
        <v>405</v>
      </c>
      <c r="U41" t="s">
        <v>52</v>
      </c>
      <c r="V41">
        <v>0</v>
      </c>
      <c r="W41" t="s">
        <v>53</v>
      </c>
      <c r="X41" s="74">
        <v>45306</v>
      </c>
      <c r="Y41" t="s">
        <v>444</v>
      </c>
      <c r="Z41" t="s">
        <v>445</v>
      </c>
      <c r="AA41" t="s">
        <v>56</v>
      </c>
      <c r="AC41" t="s">
        <v>278</v>
      </c>
      <c r="AD41" t="s">
        <v>446</v>
      </c>
      <c r="AE41" t="s">
        <v>447</v>
      </c>
      <c r="AF41" s="74">
        <v>46203</v>
      </c>
      <c r="AG41" t="s">
        <v>448</v>
      </c>
      <c r="AH41" t="s">
        <v>449</v>
      </c>
      <c r="AI41" t="s">
        <v>450</v>
      </c>
    </row>
    <row r="42" spans="1:35" x14ac:dyDescent="0.25">
      <c r="A42" t="s">
        <v>451</v>
      </c>
      <c r="B42" t="s">
        <v>452</v>
      </c>
      <c r="C42" t="s">
        <v>59</v>
      </c>
      <c r="D42" s="74">
        <v>32646</v>
      </c>
      <c r="E42" t="s">
        <v>453</v>
      </c>
      <c r="F42" t="s">
        <v>454</v>
      </c>
      <c r="G42" t="s">
        <v>416</v>
      </c>
      <c r="H42" t="s">
        <v>162</v>
      </c>
      <c r="I42" t="s">
        <v>106</v>
      </c>
      <c r="J42" t="s">
        <v>66</v>
      </c>
      <c r="K42">
        <v>3.42</v>
      </c>
      <c r="L42">
        <v>24</v>
      </c>
      <c r="M42" t="s">
        <v>45</v>
      </c>
      <c r="N42" t="s">
        <v>46</v>
      </c>
      <c r="O42" s="74">
        <v>45540</v>
      </c>
      <c r="P42" s="74">
        <v>46203</v>
      </c>
      <c r="Q42" t="s">
        <v>259</v>
      </c>
      <c r="R42" t="s">
        <v>417</v>
      </c>
      <c r="S42" t="s">
        <v>455</v>
      </c>
      <c r="T42" t="s">
        <v>348</v>
      </c>
      <c r="U42" t="s">
        <v>52</v>
      </c>
      <c r="V42">
        <v>0</v>
      </c>
      <c r="W42" t="s">
        <v>53</v>
      </c>
      <c r="X42" s="74">
        <v>45306</v>
      </c>
      <c r="Y42" t="s">
        <v>456</v>
      </c>
      <c r="Z42" t="s">
        <v>457</v>
      </c>
      <c r="AA42" t="s">
        <v>56</v>
      </c>
      <c r="AC42" t="s">
        <v>301</v>
      </c>
      <c r="AD42" t="s">
        <v>458</v>
      </c>
      <c r="AE42" t="s">
        <v>459</v>
      </c>
      <c r="AF42" s="74">
        <v>46387</v>
      </c>
      <c r="AG42" t="s">
        <v>460</v>
      </c>
      <c r="AH42" t="s">
        <v>461</v>
      </c>
      <c r="AI42" t="s">
        <v>462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3"/>
  <sheetViews>
    <sheetView showGridLines="0" zoomScaleNormal="100" workbookViewId="0">
      <pane ySplit="1" topLeftCell="A2" activePane="bottomLeft" state="frozen"/>
      <selection pane="bottomLeft"/>
    </sheetView>
  </sheetViews>
  <sheetFormatPr defaultColWidth="8.7109375" defaultRowHeight="15" x14ac:dyDescent="0.25"/>
  <cols>
    <col min="1" max="1" width="10" customWidth="1"/>
    <col min="2" max="2" width="30" customWidth="1"/>
    <col min="3" max="3" width="24" customWidth="1"/>
    <col min="4" max="4" width="22" customWidth="1"/>
    <col min="5" max="5" width="8" customWidth="1"/>
    <col min="6" max="7" width="10" customWidth="1"/>
    <col min="8" max="8" width="18" customWidth="1"/>
    <col min="9" max="9" width="8" customWidth="1"/>
    <col min="10" max="10" width="10" customWidth="1"/>
  </cols>
  <sheetData>
    <row r="1" spans="1:10" ht="30" customHeight="1" x14ac:dyDescent="0.25">
      <c r="A1" s="17" t="s">
        <v>463</v>
      </c>
      <c r="B1" s="17" t="s">
        <v>464</v>
      </c>
      <c r="C1" s="17" t="s">
        <v>8</v>
      </c>
      <c r="D1" s="17" t="s">
        <v>465</v>
      </c>
      <c r="E1" s="17" t="s">
        <v>466</v>
      </c>
      <c r="F1" s="17" t="s">
        <v>467</v>
      </c>
      <c r="G1" s="17" t="s">
        <v>468</v>
      </c>
      <c r="H1" s="17" t="s">
        <v>469</v>
      </c>
      <c r="I1" s="17" t="s">
        <v>470</v>
      </c>
      <c r="J1" s="17" t="s">
        <v>12</v>
      </c>
    </row>
    <row r="2" spans="1:10" ht="15" customHeight="1" x14ac:dyDescent="0.25">
      <c r="A2" s="18" t="s">
        <v>471</v>
      </c>
      <c r="B2" s="18" t="s">
        <v>472</v>
      </c>
      <c r="C2" s="18" t="s">
        <v>43</v>
      </c>
      <c r="D2" s="18" t="s">
        <v>351</v>
      </c>
      <c r="E2" s="18">
        <v>4</v>
      </c>
      <c r="F2" s="18">
        <v>18</v>
      </c>
      <c r="G2" s="18" t="s">
        <v>473</v>
      </c>
      <c r="H2" s="18" t="s">
        <v>474</v>
      </c>
      <c r="I2" s="18" t="s">
        <v>475</v>
      </c>
      <c r="J2" s="18" t="s">
        <v>45</v>
      </c>
    </row>
    <row r="3" spans="1:10" ht="15" customHeight="1" x14ac:dyDescent="0.25">
      <c r="A3" s="19" t="s">
        <v>476</v>
      </c>
      <c r="B3" s="19" t="s">
        <v>477</v>
      </c>
      <c r="C3" s="19" t="s">
        <v>43</v>
      </c>
      <c r="D3" s="19" t="s">
        <v>351</v>
      </c>
      <c r="E3" s="19">
        <v>3</v>
      </c>
      <c r="F3" s="19">
        <v>22</v>
      </c>
      <c r="G3" s="19" t="s">
        <v>473</v>
      </c>
      <c r="H3" s="19" t="s">
        <v>478</v>
      </c>
      <c r="I3" s="19" t="s">
        <v>479</v>
      </c>
      <c r="J3" s="19" t="s">
        <v>45</v>
      </c>
    </row>
    <row r="4" spans="1:10" ht="15" customHeight="1" x14ac:dyDescent="0.25">
      <c r="A4" s="18" t="s">
        <v>480</v>
      </c>
      <c r="B4" s="18" t="s">
        <v>481</v>
      </c>
      <c r="C4" s="18" t="s">
        <v>65</v>
      </c>
      <c r="D4" s="18" t="s">
        <v>278</v>
      </c>
      <c r="E4" s="18">
        <v>3</v>
      </c>
      <c r="F4" s="18">
        <v>35</v>
      </c>
      <c r="G4" s="18" t="s">
        <v>473</v>
      </c>
      <c r="H4" s="18" t="s">
        <v>482</v>
      </c>
      <c r="I4" s="18" t="s">
        <v>483</v>
      </c>
      <c r="J4" s="18" t="s">
        <v>45</v>
      </c>
    </row>
    <row r="5" spans="1:10" ht="15" customHeight="1" x14ac:dyDescent="0.25">
      <c r="A5" s="19" t="s">
        <v>484</v>
      </c>
      <c r="B5" s="19" t="s">
        <v>485</v>
      </c>
      <c r="C5" s="19" t="s">
        <v>65</v>
      </c>
      <c r="D5" s="19" t="s">
        <v>486</v>
      </c>
      <c r="E5" s="19">
        <v>4</v>
      </c>
      <c r="F5" s="19">
        <v>28</v>
      </c>
      <c r="G5" s="19" t="s">
        <v>473</v>
      </c>
      <c r="H5" s="19" t="s">
        <v>487</v>
      </c>
      <c r="I5" s="19" t="s">
        <v>488</v>
      </c>
      <c r="J5" s="19" t="s">
        <v>45</v>
      </c>
    </row>
    <row r="6" spans="1:10" ht="15" customHeight="1" x14ac:dyDescent="0.25">
      <c r="A6" s="18" t="s">
        <v>489</v>
      </c>
      <c r="B6" s="18" t="s">
        <v>490</v>
      </c>
      <c r="C6" s="18" t="s">
        <v>77</v>
      </c>
      <c r="D6" s="18" t="s">
        <v>379</v>
      </c>
      <c r="E6" s="18">
        <v>4</v>
      </c>
      <c r="F6" s="18">
        <v>15</v>
      </c>
      <c r="G6" s="18" t="s">
        <v>473</v>
      </c>
      <c r="H6" s="18" t="s">
        <v>491</v>
      </c>
      <c r="I6" s="18" t="s">
        <v>492</v>
      </c>
      <c r="J6" s="18" t="s">
        <v>45</v>
      </c>
    </row>
    <row r="7" spans="1:10" ht="15" customHeight="1" x14ac:dyDescent="0.25">
      <c r="A7" s="19" t="s">
        <v>493</v>
      </c>
      <c r="B7" s="19" t="s">
        <v>494</v>
      </c>
      <c r="C7" s="19" t="s">
        <v>77</v>
      </c>
      <c r="D7" s="19" t="s">
        <v>495</v>
      </c>
      <c r="E7" s="19">
        <v>4</v>
      </c>
      <c r="F7" s="19">
        <v>12</v>
      </c>
      <c r="G7" s="19" t="s">
        <v>473</v>
      </c>
      <c r="H7" s="19" t="s">
        <v>496</v>
      </c>
      <c r="I7" s="19" t="s">
        <v>497</v>
      </c>
      <c r="J7" s="19" t="s">
        <v>45</v>
      </c>
    </row>
    <row r="8" spans="1:10" ht="15" customHeight="1" x14ac:dyDescent="0.25">
      <c r="A8" s="18" t="s">
        <v>498</v>
      </c>
      <c r="B8" s="18" t="s">
        <v>499</v>
      </c>
      <c r="C8" s="18" t="s">
        <v>138</v>
      </c>
      <c r="D8" s="18" t="s">
        <v>500</v>
      </c>
      <c r="E8" s="18">
        <v>4</v>
      </c>
      <c r="F8" s="18">
        <v>20</v>
      </c>
      <c r="G8" s="18" t="s">
        <v>473</v>
      </c>
      <c r="H8" s="18" t="s">
        <v>501</v>
      </c>
      <c r="I8" s="18" t="s">
        <v>502</v>
      </c>
      <c r="J8" s="18" t="s">
        <v>45</v>
      </c>
    </row>
    <row r="9" spans="1:10" ht="15" customHeight="1" x14ac:dyDescent="0.25">
      <c r="A9" s="19" t="s">
        <v>503</v>
      </c>
      <c r="B9" s="19" t="s">
        <v>504</v>
      </c>
      <c r="C9" s="19" t="s">
        <v>106</v>
      </c>
      <c r="D9" s="19" t="s">
        <v>505</v>
      </c>
      <c r="E9" s="19">
        <v>3</v>
      </c>
      <c r="F9" s="19">
        <v>24</v>
      </c>
      <c r="G9" s="19" t="s">
        <v>473</v>
      </c>
      <c r="H9" s="19" t="s">
        <v>506</v>
      </c>
      <c r="I9" s="19" t="s">
        <v>507</v>
      </c>
      <c r="J9" s="19" t="s">
        <v>45</v>
      </c>
    </row>
    <row r="10" spans="1:10" ht="15" customHeight="1" x14ac:dyDescent="0.25">
      <c r="A10" s="18" t="s">
        <v>508</v>
      </c>
      <c r="B10" s="18" t="s">
        <v>509</v>
      </c>
      <c r="C10" s="18" t="s">
        <v>91</v>
      </c>
      <c r="D10" s="18" t="s">
        <v>394</v>
      </c>
      <c r="E10" s="18">
        <v>5</v>
      </c>
      <c r="F10" s="18">
        <v>18</v>
      </c>
      <c r="G10" s="18" t="s">
        <v>473</v>
      </c>
      <c r="H10" s="18" t="s">
        <v>510</v>
      </c>
      <c r="I10" s="18" t="s">
        <v>511</v>
      </c>
      <c r="J10" s="18" t="s">
        <v>45</v>
      </c>
    </row>
    <row r="11" spans="1:10" ht="15" customHeight="1" x14ac:dyDescent="0.25">
      <c r="A11" s="19" t="s">
        <v>512</v>
      </c>
      <c r="B11" s="19" t="s">
        <v>513</v>
      </c>
      <c r="C11" s="19" t="s">
        <v>123</v>
      </c>
      <c r="D11" s="19" t="s">
        <v>364</v>
      </c>
      <c r="E11" s="19">
        <v>3</v>
      </c>
      <c r="F11" s="19">
        <v>20</v>
      </c>
      <c r="G11" s="19" t="s">
        <v>473</v>
      </c>
      <c r="H11" s="19" t="s">
        <v>514</v>
      </c>
      <c r="I11" s="19" t="s">
        <v>515</v>
      </c>
      <c r="J11" s="19" t="s">
        <v>45</v>
      </c>
    </row>
    <row r="12" spans="1:10" ht="15" customHeight="1" x14ac:dyDescent="0.25">
      <c r="A12" s="18" t="s">
        <v>516</v>
      </c>
      <c r="B12" s="18" t="s">
        <v>517</v>
      </c>
      <c r="C12" s="18" t="s">
        <v>176</v>
      </c>
      <c r="D12" s="18" t="s">
        <v>518</v>
      </c>
      <c r="E12" s="18">
        <v>3</v>
      </c>
      <c r="F12" s="18">
        <v>26</v>
      </c>
      <c r="G12" s="18" t="s">
        <v>473</v>
      </c>
      <c r="H12" s="18" t="s">
        <v>519</v>
      </c>
      <c r="I12" s="18" t="s">
        <v>520</v>
      </c>
      <c r="J12" s="18" t="s">
        <v>45</v>
      </c>
    </row>
    <row r="13" spans="1:10" ht="15" customHeight="1" x14ac:dyDescent="0.25">
      <c r="A13" s="19" t="s">
        <v>521</v>
      </c>
      <c r="B13" s="19" t="s">
        <v>522</v>
      </c>
      <c r="C13" s="19" t="s">
        <v>193</v>
      </c>
      <c r="D13" s="19" t="s">
        <v>311</v>
      </c>
      <c r="E13" s="19">
        <v>3</v>
      </c>
      <c r="F13" s="19">
        <v>30</v>
      </c>
      <c r="G13" s="19" t="s">
        <v>473</v>
      </c>
      <c r="H13" s="19" t="s">
        <v>523</v>
      </c>
      <c r="I13" s="19" t="s">
        <v>524</v>
      </c>
      <c r="J13" s="19" t="s">
        <v>45</v>
      </c>
    </row>
    <row r="14" spans="1:10" ht="15" customHeight="1" x14ac:dyDescent="0.25">
      <c r="A14" s="18" t="s">
        <v>525</v>
      </c>
      <c r="B14" s="18" t="s">
        <v>526</v>
      </c>
      <c r="C14" s="18" t="s">
        <v>106</v>
      </c>
      <c r="D14" s="18" t="s">
        <v>527</v>
      </c>
      <c r="E14" s="18">
        <v>4</v>
      </c>
      <c r="F14" s="18">
        <v>40</v>
      </c>
      <c r="G14" s="18" t="s">
        <v>473</v>
      </c>
      <c r="H14" s="18" t="s">
        <v>528</v>
      </c>
      <c r="I14" s="18" t="s">
        <v>529</v>
      </c>
      <c r="J14" s="18" t="s">
        <v>45</v>
      </c>
    </row>
    <row r="15" spans="1:10" ht="15" customHeight="1" x14ac:dyDescent="0.25">
      <c r="A15" s="19" t="s">
        <v>530</v>
      </c>
      <c r="B15" s="19" t="s">
        <v>531</v>
      </c>
      <c r="C15" s="19" t="s">
        <v>106</v>
      </c>
      <c r="D15" s="19" t="s">
        <v>527</v>
      </c>
      <c r="E15" s="19">
        <v>3</v>
      </c>
      <c r="F15" s="19">
        <v>32</v>
      </c>
      <c r="G15" s="19" t="s">
        <v>473</v>
      </c>
      <c r="H15" s="19" t="s">
        <v>532</v>
      </c>
      <c r="I15" s="19" t="s">
        <v>533</v>
      </c>
      <c r="J15" s="19" t="s">
        <v>45</v>
      </c>
    </row>
    <row r="16" spans="1:10" ht="15" customHeight="1" x14ac:dyDescent="0.25">
      <c r="A16" s="18" t="s">
        <v>534</v>
      </c>
      <c r="B16" s="18" t="s">
        <v>535</v>
      </c>
      <c r="C16" s="18" t="s">
        <v>43</v>
      </c>
      <c r="D16" s="18" t="s">
        <v>262</v>
      </c>
      <c r="E16" s="18">
        <v>3</v>
      </c>
      <c r="F16" s="18">
        <v>26</v>
      </c>
      <c r="G16" s="18" t="s">
        <v>473</v>
      </c>
      <c r="H16" s="18" t="s">
        <v>536</v>
      </c>
      <c r="I16" s="18" t="s">
        <v>537</v>
      </c>
      <c r="J16" s="18" t="s">
        <v>45</v>
      </c>
    </row>
    <row r="17" spans="1:10" ht="15" customHeight="1" x14ac:dyDescent="0.25">
      <c r="A17" s="19" t="s">
        <v>538</v>
      </c>
      <c r="B17" s="19" t="s">
        <v>539</v>
      </c>
      <c r="C17" s="19" t="s">
        <v>106</v>
      </c>
      <c r="D17" s="19" t="s">
        <v>301</v>
      </c>
      <c r="E17" s="19">
        <v>3</v>
      </c>
      <c r="F17" s="19">
        <v>22</v>
      </c>
      <c r="G17" s="19" t="s">
        <v>540</v>
      </c>
      <c r="H17" s="19" t="s">
        <v>541</v>
      </c>
      <c r="I17" s="19" t="s">
        <v>542</v>
      </c>
      <c r="J17" s="19" t="s">
        <v>45</v>
      </c>
    </row>
    <row r="18" spans="1:10" ht="15" customHeight="1" x14ac:dyDescent="0.25">
      <c r="A18" s="18" t="s">
        <v>543</v>
      </c>
      <c r="B18" s="18" t="s">
        <v>544</v>
      </c>
      <c r="C18" s="18" t="s">
        <v>65</v>
      </c>
      <c r="D18" s="18" t="s">
        <v>545</v>
      </c>
      <c r="E18" s="18">
        <v>3</v>
      </c>
      <c r="F18" s="18">
        <v>34</v>
      </c>
      <c r="G18" s="18" t="s">
        <v>473</v>
      </c>
      <c r="H18" s="18" t="s">
        <v>474</v>
      </c>
      <c r="I18" s="18" t="s">
        <v>546</v>
      </c>
      <c r="J18" s="18" t="s">
        <v>45</v>
      </c>
    </row>
    <row r="19" spans="1:10" ht="15" customHeight="1" x14ac:dyDescent="0.25">
      <c r="A19" s="19" t="s">
        <v>547</v>
      </c>
      <c r="B19" s="19" t="s">
        <v>548</v>
      </c>
      <c r="C19" s="19" t="s">
        <v>91</v>
      </c>
      <c r="D19" s="19" t="s">
        <v>394</v>
      </c>
      <c r="E19" s="19">
        <v>4</v>
      </c>
      <c r="F19" s="19">
        <v>14</v>
      </c>
      <c r="G19" s="19" t="s">
        <v>473</v>
      </c>
      <c r="H19" s="19" t="s">
        <v>487</v>
      </c>
      <c r="I19" s="19" t="s">
        <v>549</v>
      </c>
      <c r="J19" s="19" t="s">
        <v>184</v>
      </c>
    </row>
    <row r="20" spans="1:10" ht="15" customHeight="1" x14ac:dyDescent="0.25">
      <c r="A20" s="18" t="s">
        <v>550</v>
      </c>
      <c r="B20" s="18" t="s">
        <v>551</v>
      </c>
      <c r="C20" s="18" t="s">
        <v>43</v>
      </c>
      <c r="D20" s="18" t="s">
        <v>262</v>
      </c>
      <c r="E20" s="18">
        <v>3</v>
      </c>
      <c r="F20" s="18">
        <v>45</v>
      </c>
      <c r="G20" s="18" t="s">
        <v>473</v>
      </c>
      <c r="H20" s="18" t="s">
        <v>482</v>
      </c>
      <c r="I20" s="18" t="s">
        <v>552</v>
      </c>
      <c r="J20" s="18" t="s">
        <v>45</v>
      </c>
    </row>
    <row r="21" spans="1:10" ht="15" customHeight="1" x14ac:dyDescent="0.25">
      <c r="A21" s="19" t="s">
        <v>553</v>
      </c>
      <c r="B21" s="19" t="s">
        <v>554</v>
      </c>
      <c r="C21" s="19" t="s">
        <v>193</v>
      </c>
      <c r="D21" s="19" t="s">
        <v>311</v>
      </c>
      <c r="E21" s="19">
        <v>2</v>
      </c>
      <c r="F21" s="19">
        <v>80</v>
      </c>
      <c r="G21" s="19" t="s">
        <v>473</v>
      </c>
      <c r="H21" s="19" t="s">
        <v>555</v>
      </c>
      <c r="I21" s="19" t="s">
        <v>556</v>
      </c>
      <c r="J21" s="19" t="s">
        <v>45</v>
      </c>
    </row>
    <row r="22" spans="1:10" x14ac:dyDescent="0.25">
      <c r="A22" t="s">
        <v>557</v>
      </c>
      <c r="B22" t="s">
        <v>558</v>
      </c>
      <c r="C22" t="s">
        <v>559</v>
      </c>
      <c r="D22" t="s">
        <v>560</v>
      </c>
      <c r="E22">
        <v>3</v>
      </c>
      <c r="F22">
        <v>8</v>
      </c>
      <c r="G22" t="s">
        <v>561</v>
      </c>
      <c r="H22" t="s">
        <v>523</v>
      </c>
      <c r="I22" t="s">
        <v>562</v>
      </c>
      <c r="J22" t="s">
        <v>45</v>
      </c>
    </row>
    <row r="23" spans="1:10" x14ac:dyDescent="0.25">
      <c r="A23" t="s">
        <v>563</v>
      </c>
      <c r="B23" t="s">
        <v>564</v>
      </c>
      <c r="C23" t="s">
        <v>559</v>
      </c>
      <c r="D23" t="s">
        <v>311</v>
      </c>
      <c r="E23">
        <v>2</v>
      </c>
      <c r="F23">
        <v>6</v>
      </c>
      <c r="G23" t="s">
        <v>561</v>
      </c>
      <c r="H23" t="s">
        <v>565</v>
      </c>
      <c r="I23" t="s">
        <v>562</v>
      </c>
      <c r="J23" t="s">
        <v>45</v>
      </c>
    </row>
    <row r="24" spans="1:10" x14ac:dyDescent="0.25">
      <c r="A24" t="s">
        <v>566</v>
      </c>
      <c r="B24" t="s">
        <v>567</v>
      </c>
      <c r="C24" t="s">
        <v>559</v>
      </c>
      <c r="D24" t="s">
        <v>560</v>
      </c>
      <c r="E24">
        <v>1</v>
      </c>
      <c r="F24">
        <v>11</v>
      </c>
      <c r="G24" t="s">
        <v>561</v>
      </c>
      <c r="H24" t="s">
        <v>568</v>
      </c>
      <c r="I24" t="s">
        <v>569</v>
      </c>
      <c r="J24" t="s">
        <v>45</v>
      </c>
    </row>
    <row r="25" spans="1:10" x14ac:dyDescent="0.25">
      <c r="A25" t="s">
        <v>570</v>
      </c>
      <c r="B25" t="s">
        <v>571</v>
      </c>
      <c r="C25" t="s">
        <v>559</v>
      </c>
      <c r="D25" t="s">
        <v>560</v>
      </c>
      <c r="E25">
        <v>1</v>
      </c>
      <c r="F25">
        <v>6</v>
      </c>
      <c r="G25" t="s">
        <v>561</v>
      </c>
      <c r="H25" t="s">
        <v>572</v>
      </c>
      <c r="I25" t="s">
        <v>573</v>
      </c>
      <c r="J25" t="s">
        <v>45</v>
      </c>
    </row>
    <row r="26" spans="1:10" x14ac:dyDescent="0.25">
      <c r="A26" t="s">
        <v>574</v>
      </c>
      <c r="B26" t="s">
        <v>575</v>
      </c>
      <c r="C26" t="s">
        <v>65</v>
      </c>
      <c r="D26" t="s">
        <v>278</v>
      </c>
      <c r="E26">
        <v>3</v>
      </c>
      <c r="F26">
        <v>3</v>
      </c>
      <c r="G26" t="s">
        <v>576</v>
      </c>
      <c r="H26" t="s">
        <v>523</v>
      </c>
      <c r="I26" t="s">
        <v>577</v>
      </c>
      <c r="J26" t="s">
        <v>45</v>
      </c>
    </row>
    <row r="27" spans="1:10" x14ac:dyDescent="0.25">
      <c r="A27" t="s">
        <v>578</v>
      </c>
      <c r="B27" t="s">
        <v>579</v>
      </c>
      <c r="C27" t="s">
        <v>65</v>
      </c>
      <c r="D27" t="s">
        <v>486</v>
      </c>
      <c r="E27">
        <v>3</v>
      </c>
      <c r="F27">
        <v>3</v>
      </c>
      <c r="G27" t="s">
        <v>576</v>
      </c>
      <c r="H27" t="s">
        <v>532</v>
      </c>
      <c r="I27" t="s">
        <v>580</v>
      </c>
      <c r="J27" t="s">
        <v>45</v>
      </c>
    </row>
    <row r="28" spans="1:10" x14ac:dyDescent="0.25">
      <c r="A28" t="s">
        <v>581</v>
      </c>
      <c r="B28" t="s">
        <v>582</v>
      </c>
      <c r="C28" t="s">
        <v>65</v>
      </c>
      <c r="D28" t="s">
        <v>545</v>
      </c>
      <c r="E28">
        <v>3</v>
      </c>
      <c r="F28">
        <v>3</v>
      </c>
      <c r="G28" t="s">
        <v>576</v>
      </c>
      <c r="H28" t="s">
        <v>583</v>
      </c>
      <c r="I28" t="s">
        <v>584</v>
      </c>
      <c r="J28" t="s">
        <v>45</v>
      </c>
    </row>
    <row r="29" spans="1:10" x14ac:dyDescent="0.25">
      <c r="A29" t="s">
        <v>585</v>
      </c>
      <c r="B29" t="s">
        <v>586</v>
      </c>
      <c r="C29" t="s">
        <v>43</v>
      </c>
      <c r="D29" t="s">
        <v>262</v>
      </c>
      <c r="E29">
        <v>3</v>
      </c>
      <c r="F29">
        <v>1</v>
      </c>
      <c r="G29" t="s">
        <v>587</v>
      </c>
      <c r="H29" t="s">
        <v>482</v>
      </c>
      <c r="I29" t="s">
        <v>588</v>
      </c>
      <c r="J29" t="s">
        <v>45</v>
      </c>
    </row>
    <row r="30" spans="1:10" x14ac:dyDescent="0.25">
      <c r="A30" t="s">
        <v>589</v>
      </c>
      <c r="B30" t="s">
        <v>590</v>
      </c>
      <c r="C30" t="s">
        <v>106</v>
      </c>
      <c r="D30" t="s">
        <v>301</v>
      </c>
      <c r="E30">
        <v>3</v>
      </c>
      <c r="F30">
        <v>1</v>
      </c>
      <c r="G30" t="s">
        <v>587</v>
      </c>
      <c r="H30" t="s">
        <v>501</v>
      </c>
      <c r="I30" t="s">
        <v>591</v>
      </c>
      <c r="J30" t="s">
        <v>45</v>
      </c>
    </row>
    <row r="31" spans="1:10" x14ac:dyDescent="0.25">
      <c r="A31" t="s">
        <v>592</v>
      </c>
      <c r="B31" t="s">
        <v>593</v>
      </c>
      <c r="C31" t="s">
        <v>559</v>
      </c>
      <c r="D31" t="s">
        <v>560</v>
      </c>
      <c r="E31">
        <v>3</v>
      </c>
      <c r="F31">
        <v>4</v>
      </c>
      <c r="G31" t="s">
        <v>594</v>
      </c>
      <c r="H31" t="s">
        <v>501</v>
      </c>
      <c r="I31" t="s">
        <v>573</v>
      </c>
      <c r="J31" t="s">
        <v>45</v>
      </c>
    </row>
    <row r="32" spans="1:10" x14ac:dyDescent="0.25">
      <c r="A32" t="s">
        <v>595</v>
      </c>
      <c r="B32" t="s">
        <v>596</v>
      </c>
      <c r="C32" t="s">
        <v>559</v>
      </c>
      <c r="D32" t="s">
        <v>560</v>
      </c>
      <c r="E32">
        <v>1</v>
      </c>
      <c r="F32">
        <v>4</v>
      </c>
      <c r="G32" t="s">
        <v>594</v>
      </c>
      <c r="H32" t="s">
        <v>597</v>
      </c>
      <c r="I32" t="s">
        <v>569</v>
      </c>
      <c r="J32" t="s">
        <v>45</v>
      </c>
    </row>
    <row r="33" spans="1:10" x14ac:dyDescent="0.25">
      <c r="A33" t="s">
        <v>598</v>
      </c>
      <c r="B33" t="s">
        <v>599</v>
      </c>
      <c r="C33" t="s">
        <v>559</v>
      </c>
      <c r="D33" t="s">
        <v>560</v>
      </c>
      <c r="E33">
        <v>2</v>
      </c>
      <c r="F33">
        <v>2</v>
      </c>
      <c r="G33" t="s">
        <v>594</v>
      </c>
      <c r="H33" t="s">
        <v>600</v>
      </c>
      <c r="I33" t="s">
        <v>562</v>
      </c>
      <c r="J33" t="s">
        <v>45</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15"/>
  <sheetViews>
    <sheetView showGridLines="0" zoomScaleNormal="100" workbookViewId="0">
      <pane ySplit="1" topLeftCell="A2" activePane="bottomLeft" state="frozen"/>
      <selection pane="bottomLeft"/>
    </sheetView>
  </sheetViews>
  <sheetFormatPr defaultColWidth="8.7109375" defaultRowHeight="15" x14ac:dyDescent="0.25"/>
  <cols>
    <col min="1" max="1" width="14" customWidth="1"/>
    <col min="2" max="2" width="16" customWidth="1"/>
    <col min="3" max="3" width="22" customWidth="1"/>
    <col min="4" max="4" width="10" customWidth="1"/>
    <col min="5" max="5" width="28" customWidth="1"/>
    <col min="6" max="7" width="12" customWidth="1"/>
    <col min="8" max="8" width="10" customWidth="1"/>
    <col min="9" max="9" width="14" customWidth="1"/>
  </cols>
  <sheetData>
    <row r="1" spans="1:9" ht="30" customHeight="1" x14ac:dyDescent="0.25">
      <c r="A1" s="17" t="s">
        <v>601</v>
      </c>
      <c r="B1" s="17" t="s">
        <v>0</v>
      </c>
      <c r="C1" s="17" t="s">
        <v>602</v>
      </c>
      <c r="D1" s="17" t="s">
        <v>463</v>
      </c>
      <c r="E1" s="17" t="s">
        <v>603</v>
      </c>
      <c r="F1" s="17" t="s">
        <v>604</v>
      </c>
      <c r="G1" s="17" t="s">
        <v>12</v>
      </c>
      <c r="H1" s="17" t="s">
        <v>605</v>
      </c>
      <c r="I1" s="17" t="s">
        <v>606</v>
      </c>
    </row>
    <row r="2" spans="1:9" ht="15" customHeight="1" x14ac:dyDescent="0.25">
      <c r="A2" s="18" t="s">
        <v>607</v>
      </c>
      <c r="B2" s="18" t="s">
        <v>35</v>
      </c>
      <c r="C2" s="18" t="s">
        <v>36</v>
      </c>
      <c r="D2" s="18" t="s">
        <v>471</v>
      </c>
      <c r="E2" s="18" t="s">
        <v>472</v>
      </c>
      <c r="F2" s="18" t="s">
        <v>608</v>
      </c>
      <c r="G2" s="18" t="s">
        <v>609</v>
      </c>
      <c r="H2" s="18">
        <v>82</v>
      </c>
      <c r="I2" s="20">
        <v>85</v>
      </c>
    </row>
    <row r="3" spans="1:9" ht="15" customHeight="1" x14ac:dyDescent="0.25">
      <c r="A3" s="19" t="s">
        <v>610</v>
      </c>
      <c r="B3" s="19" t="s">
        <v>35</v>
      </c>
      <c r="C3" s="19" t="s">
        <v>36</v>
      </c>
      <c r="D3" s="19" t="s">
        <v>476</v>
      </c>
      <c r="E3" s="19" t="s">
        <v>477</v>
      </c>
      <c r="F3" s="19" t="s">
        <v>608</v>
      </c>
      <c r="G3" s="19" t="s">
        <v>609</v>
      </c>
      <c r="H3" s="19">
        <v>88</v>
      </c>
      <c r="I3" s="21">
        <v>87</v>
      </c>
    </row>
    <row r="4" spans="1:9" ht="15" customHeight="1" x14ac:dyDescent="0.25">
      <c r="A4" s="18" t="s">
        <v>611</v>
      </c>
      <c r="B4" s="18" t="s">
        <v>35</v>
      </c>
      <c r="C4" s="18" t="s">
        <v>36</v>
      </c>
      <c r="D4" s="18" t="s">
        <v>525</v>
      </c>
      <c r="E4" s="18" t="s">
        <v>526</v>
      </c>
      <c r="F4" s="18" t="s">
        <v>608</v>
      </c>
      <c r="G4" s="18" t="s">
        <v>609</v>
      </c>
      <c r="H4" s="18">
        <v>75</v>
      </c>
      <c r="I4" s="20">
        <v>78</v>
      </c>
    </row>
    <row r="5" spans="1:9" ht="15" customHeight="1" x14ac:dyDescent="0.25">
      <c r="A5" s="19" t="s">
        <v>612</v>
      </c>
      <c r="B5" s="19" t="s">
        <v>35</v>
      </c>
      <c r="C5" s="19" t="s">
        <v>36</v>
      </c>
      <c r="D5" s="19" t="s">
        <v>553</v>
      </c>
      <c r="E5" s="19" t="s">
        <v>554</v>
      </c>
      <c r="F5" s="19" t="s">
        <v>608</v>
      </c>
      <c r="G5" s="19" t="s">
        <v>609</v>
      </c>
      <c r="H5" s="19">
        <v>90</v>
      </c>
      <c r="I5" s="21">
        <v>91</v>
      </c>
    </row>
    <row r="6" spans="1:9" ht="15" customHeight="1" x14ac:dyDescent="0.25">
      <c r="A6" s="18" t="s">
        <v>613</v>
      </c>
      <c r="B6" s="18" t="s">
        <v>57</v>
      </c>
      <c r="C6" s="18" t="s">
        <v>58</v>
      </c>
      <c r="D6" s="18" t="s">
        <v>480</v>
      </c>
      <c r="E6" s="18" t="s">
        <v>481</v>
      </c>
      <c r="F6" s="18" t="s">
        <v>608</v>
      </c>
      <c r="G6" s="18" t="s">
        <v>609</v>
      </c>
      <c r="H6" s="18">
        <v>72</v>
      </c>
      <c r="I6" s="20">
        <v>74</v>
      </c>
    </row>
    <row r="7" spans="1:9" ht="15" customHeight="1" x14ac:dyDescent="0.25">
      <c r="A7" s="19" t="s">
        <v>614</v>
      </c>
      <c r="B7" s="19" t="s">
        <v>57</v>
      </c>
      <c r="C7" s="19" t="s">
        <v>58</v>
      </c>
      <c r="D7" s="19" t="s">
        <v>543</v>
      </c>
      <c r="E7" s="19" t="s">
        <v>544</v>
      </c>
      <c r="F7" s="19" t="s">
        <v>608</v>
      </c>
      <c r="G7" s="19" t="s">
        <v>609</v>
      </c>
      <c r="H7" s="19">
        <v>68</v>
      </c>
      <c r="I7" s="21">
        <v>70</v>
      </c>
    </row>
    <row r="8" spans="1:9" ht="15" customHeight="1" x14ac:dyDescent="0.25">
      <c r="A8" s="18" t="s">
        <v>615</v>
      </c>
      <c r="B8" s="18" t="s">
        <v>57</v>
      </c>
      <c r="C8" s="18" t="s">
        <v>58</v>
      </c>
      <c r="D8" s="18" t="s">
        <v>525</v>
      </c>
      <c r="E8" s="18" t="s">
        <v>526</v>
      </c>
      <c r="F8" s="18" t="s">
        <v>608</v>
      </c>
      <c r="G8" s="18" t="s">
        <v>609</v>
      </c>
      <c r="H8" s="18">
        <v>65</v>
      </c>
      <c r="I8" s="20">
        <v>67</v>
      </c>
    </row>
    <row r="9" spans="1:9" ht="15" customHeight="1" x14ac:dyDescent="0.25">
      <c r="A9" s="19" t="s">
        <v>616</v>
      </c>
      <c r="B9" s="19" t="s">
        <v>57</v>
      </c>
      <c r="C9" s="19" t="s">
        <v>58</v>
      </c>
      <c r="D9" s="19" t="s">
        <v>553</v>
      </c>
      <c r="E9" s="19" t="s">
        <v>554</v>
      </c>
      <c r="F9" s="19" t="s">
        <v>608</v>
      </c>
      <c r="G9" s="19" t="s">
        <v>609</v>
      </c>
      <c r="H9" s="19">
        <v>78</v>
      </c>
      <c r="I9" s="21">
        <v>77</v>
      </c>
    </row>
    <row r="10" spans="1:9" ht="15" customHeight="1" x14ac:dyDescent="0.25">
      <c r="A10" s="18" t="s">
        <v>617</v>
      </c>
      <c r="B10" s="18" t="s">
        <v>71</v>
      </c>
      <c r="C10" s="18" t="s">
        <v>72</v>
      </c>
      <c r="D10" s="18" t="s">
        <v>489</v>
      </c>
      <c r="E10" s="18" t="s">
        <v>490</v>
      </c>
      <c r="F10" s="18" t="s">
        <v>618</v>
      </c>
      <c r="G10" s="18" t="s">
        <v>609</v>
      </c>
      <c r="H10" s="18">
        <v>80</v>
      </c>
      <c r="I10" s="20">
        <v>82</v>
      </c>
    </row>
    <row r="11" spans="1:9" ht="15" customHeight="1" x14ac:dyDescent="0.25">
      <c r="A11" s="19" t="s">
        <v>619</v>
      </c>
      <c r="B11" s="19" t="s">
        <v>71</v>
      </c>
      <c r="C11" s="19" t="s">
        <v>72</v>
      </c>
      <c r="D11" s="19" t="s">
        <v>525</v>
      </c>
      <c r="E11" s="19" t="s">
        <v>526</v>
      </c>
      <c r="F11" s="19" t="s">
        <v>618</v>
      </c>
      <c r="G11" s="19" t="s">
        <v>609</v>
      </c>
      <c r="H11" s="19">
        <v>76</v>
      </c>
      <c r="I11" s="21">
        <v>78</v>
      </c>
    </row>
    <row r="12" spans="1:9" ht="15" customHeight="1" x14ac:dyDescent="0.25">
      <c r="A12" s="18" t="s">
        <v>620</v>
      </c>
      <c r="B12" s="18" t="s">
        <v>71</v>
      </c>
      <c r="C12" s="18" t="s">
        <v>72</v>
      </c>
      <c r="D12" s="18" t="s">
        <v>538</v>
      </c>
      <c r="E12" s="18" t="s">
        <v>539</v>
      </c>
      <c r="F12" s="18" t="s">
        <v>618</v>
      </c>
      <c r="G12" s="18" t="s">
        <v>609</v>
      </c>
      <c r="H12" s="18">
        <v>83</v>
      </c>
      <c r="I12" s="20">
        <v>84</v>
      </c>
    </row>
    <row r="13" spans="1:9" ht="15" customHeight="1" x14ac:dyDescent="0.25">
      <c r="A13" s="19" t="s">
        <v>621</v>
      </c>
      <c r="B13" s="19" t="s">
        <v>71</v>
      </c>
      <c r="C13" s="19" t="s">
        <v>72</v>
      </c>
      <c r="D13" s="19" t="s">
        <v>553</v>
      </c>
      <c r="E13" s="19" t="s">
        <v>554</v>
      </c>
      <c r="F13" s="19" t="s">
        <v>618</v>
      </c>
      <c r="G13" s="19" t="s">
        <v>609</v>
      </c>
      <c r="H13" s="19">
        <v>88</v>
      </c>
      <c r="I13" s="21">
        <v>89</v>
      </c>
    </row>
    <row r="14" spans="1:9" ht="15" customHeight="1" x14ac:dyDescent="0.25">
      <c r="A14" s="18" t="s">
        <v>622</v>
      </c>
      <c r="B14" s="18" t="s">
        <v>85</v>
      </c>
      <c r="C14" s="18" t="s">
        <v>86</v>
      </c>
      <c r="D14" s="18" t="s">
        <v>508</v>
      </c>
      <c r="E14" s="18" t="s">
        <v>509</v>
      </c>
      <c r="F14" s="18" t="s">
        <v>623</v>
      </c>
      <c r="G14" s="18" t="s">
        <v>96</v>
      </c>
      <c r="H14" s="18">
        <v>91</v>
      </c>
      <c r="I14" s="20">
        <v>93</v>
      </c>
    </row>
    <row r="15" spans="1:9" ht="15" customHeight="1" x14ac:dyDescent="0.25">
      <c r="A15" s="19" t="s">
        <v>624</v>
      </c>
      <c r="B15" s="19" t="s">
        <v>85</v>
      </c>
      <c r="C15" s="19" t="s">
        <v>86</v>
      </c>
      <c r="D15" s="19" t="s">
        <v>503</v>
      </c>
      <c r="E15" s="19" t="s">
        <v>504</v>
      </c>
      <c r="F15" s="19" t="s">
        <v>623</v>
      </c>
      <c r="G15" s="19" t="s">
        <v>96</v>
      </c>
      <c r="H15" s="19">
        <v>88</v>
      </c>
      <c r="I15" s="21">
        <v>90</v>
      </c>
    </row>
    <row r="16" spans="1:9" ht="15" customHeight="1" x14ac:dyDescent="0.25">
      <c r="A16" s="18" t="s">
        <v>625</v>
      </c>
      <c r="B16" s="18" t="s">
        <v>85</v>
      </c>
      <c r="C16" s="18" t="s">
        <v>86</v>
      </c>
      <c r="D16" s="18" t="s">
        <v>553</v>
      </c>
      <c r="E16" s="18" t="s">
        <v>554</v>
      </c>
      <c r="F16" s="18" t="s">
        <v>623</v>
      </c>
      <c r="G16" s="18" t="s">
        <v>96</v>
      </c>
      <c r="H16" s="18">
        <v>92</v>
      </c>
      <c r="I16" s="20">
        <v>94</v>
      </c>
    </row>
    <row r="17" spans="1:9" ht="15" customHeight="1" x14ac:dyDescent="0.25">
      <c r="A17" s="19" t="s">
        <v>626</v>
      </c>
      <c r="B17" s="19" t="s">
        <v>100</v>
      </c>
      <c r="C17" s="19" t="s">
        <v>101</v>
      </c>
      <c r="D17" s="19" t="s">
        <v>525</v>
      </c>
      <c r="E17" s="19" t="s">
        <v>526</v>
      </c>
      <c r="F17" s="19" t="s">
        <v>109</v>
      </c>
      <c r="G17" s="19" t="s">
        <v>609</v>
      </c>
      <c r="H17" s="19">
        <v>48</v>
      </c>
      <c r="I17" s="21">
        <v>52</v>
      </c>
    </row>
    <row r="18" spans="1:9" ht="15" customHeight="1" x14ac:dyDescent="0.25">
      <c r="A18" s="18" t="s">
        <v>627</v>
      </c>
      <c r="B18" s="18" t="s">
        <v>100</v>
      </c>
      <c r="C18" s="18" t="s">
        <v>101</v>
      </c>
      <c r="D18" s="18" t="s">
        <v>530</v>
      </c>
      <c r="E18" s="18" t="s">
        <v>531</v>
      </c>
      <c r="F18" s="18" t="s">
        <v>109</v>
      </c>
      <c r="G18" s="18" t="s">
        <v>609</v>
      </c>
      <c r="H18" s="18">
        <v>55</v>
      </c>
      <c r="I18" s="20">
        <v>57</v>
      </c>
    </row>
    <row r="19" spans="1:9" ht="15" customHeight="1" x14ac:dyDescent="0.25">
      <c r="A19" s="19" t="s">
        <v>628</v>
      </c>
      <c r="B19" s="19" t="s">
        <v>100</v>
      </c>
      <c r="C19" s="19" t="s">
        <v>101</v>
      </c>
      <c r="D19" s="19" t="s">
        <v>553</v>
      </c>
      <c r="E19" s="19" t="s">
        <v>554</v>
      </c>
      <c r="F19" s="19" t="s">
        <v>109</v>
      </c>
      <c r="G19" s="19" t="s">
        <v>609</v>
      </c>
      <c r="H19" s="19">
        <v>60</v>
      </c>
      <c r="I19" s="21">
        <v>62</v>
      </c>
    </row>
    <row r="20" spans="1:9" ht="15" customHeight="1" x14ac:dyDescent="0.25">
      <c r="A20" s="18" t="s">
        <v>629</v>
      </c>
      <c r="B20" s="18" t="s">
        <v>116</v>
      </c>
      <c r="C20" s="18" t="s">
        <v>117</v>
      </c>
      <c r="D20" s="18" t="s">
        <v>512</v>
      </c>
      <c r="E20" s="18" t="s">
        <v>513</v>
      </c>
      <c r="F20" s="18" t="s">
        <v>608</v>
      </c>
      <c r="G20" s="18" t="s">
        <v>609</v>
      </c>
      <c r="H20" s="18">
        <v>74</v>
      </c>
      <c r="I20" s="20">
        <v>76</v>
      </c>
    </row>
    <row r="21" spans="1:9" ht="15" customHeight="1" x14ac:dyDescent="0.25">
      <c r="A21" s="19" t="s">
        <v>630</v>
      </c>
      <c r="B21" s="19" t="s">
        <v>116</v>
      </c>
      <c r="C21" s="19" t="s">
        <v>117</v>
      </c>
      <c r="D21" s="19" t="s">
        <v>516</v>
      </c>
      <c r="E21" s="19" t="s">
        <v>517</v>
      </c>
      <c r="F21" s="19" t="s">
        <v>608</v>
      </c>
      <c r="G21" s="19" t="s">
        <v>609</v>
      </c>
      <c r="H21" s="19">
        <v>71</v>
      </c>
      <c r="I21" s="21">
        <v>73</v>
      </c>
    </row>
    <row r="22" spans="1:9" ht="15" customHeight="1" x14ac:dyDescent="0.25">
      <c r="A22" s="18" t="s">
        <v>631</v>
      </c>
      <c r="B22" s="18" t="s">
        <v>116</v>
      </c>
      <c r="C22" s="18" t="s">
        <v>117</v>
      </c>
      <c r="D22" s="18" t="s">
        <v>553</v>
      </c>
      <c r="E22" s="18" t="s">
        <v>554</v>
      </c>
      <c r="F22" s="18" t="s">
        <v>608</v>
      </c>
      <c r="G22" s="18" t="s">
        <v>609</v>
      </c>
      <c r="H22" s="18">
        <v>79</v>
      </c>
      <c r="I22" s="20">
        <v>80</v>
      </c>
    </row>
    <row r="23" spans="1:9" ht="15" customHeight="1" x14ac:dyDescent="0.25">
      <c r="A23" s="19" t="s">
        <v>632</v>
      </c>
      <c r="B23" s="19" t="s">
        <v>124</v>
      </c>
      <c r="C23" s="19" t="s">
        <v>125</v>
      </c>
      <c r="D23" s="19" t="s">
        <v>503</v>
      </c>
      <c r="E23" s="19" t="s">
        <v>504</v>
      </c>
      <c r="F23" s="19" t="s">
        <v>633</v>
      </c>
      <c r="G23" s="19" t="s">
        <v>609</v>
      </c>
      <c r="H23" s="19">
        <v>84</v>
      </c>
      <c r="I23" s="21">
        <v>86</v>
      </c>
    </row>
    <row r="24" spans="1:9" ht="15" customHeight="1" x14ac:dyDescent="0.25">
      <c r="A24" s="18" t="s">
        <v>634</v>
      </c>
      <c r="B24" s="18" t="s">
        <v>124</v>
      </c>
      <c r="C24" s="18" t="s">
        <v>125</v>
      </c>
      <c r="D24" s="18" t="s">
        <v>538</v>
      </c>
      <c r="E24" s="18" t="s">
        <v>539</v>
      </c>
      <c r="F24" s="18" t="s">
        <v>633</v>
      </c>
      <c r="G24" s="18" t="s">
        <v>609</v>
      </c>
      <c r="H24" s="18">
        <v>80</v>
      </c>
      <c r="I24" s="20">
        <v>82</v>
      </c>
    </row>
    <row r="25" spans="1:9" ht="15" customHeight="1" x14ac:dyDescent="0.25">
      <c r="A25" s="19" t="s">
        <v>635</v>
      </c>
      <c r="B25" s="19" t="s">
        <v>124</v>
      </c>
      <c r="C25" s="19" t="s">
        <v>125</v>
      </c>
      <c r="D25" s="19" t="s">
        <v>525</v>
      </c>
      <c r="E25" s="19" t="s">
        <v>526</v>
      </c>
      <c r="F25" s="19" t="s">
        <v>633</v>
      </c>
      <c r="G25" s="19" t="s">
        <v>609</v>
      </c>
      <c r="H25" s="19">
        <v>77</v>
      </c>
      <c r="I25" s="21">
        <v>79</v>
      </c>
    </row>
    <row r="26" spans="1:9" ht="15" customHeight="1" x14ac:dyDescent="0.25">
      <c r="A26" s="18" t="s">
        <v>636</v>
      </c>
      <c r="B26" s="18" t="s">
        <v>124</v>
      </c>
      <c r="C26" s="18" t="s">
        <v>125</v>
      </c>
      <c r="D26" s="18" t="s">
        <v>553</v>
      </c>
      <c r="E26" s="18" t="s">
        <v>554</v>
      </c>
      <c r="F26" s="18" t="s">
        <v>633</v>
      </c>
      <c r="G26" s="18" t="s">
        <v>609</v>
      </c>
      <c r="H26" s="18">
        <v>88</v>
      </c>
      <c r="I26" s="20">
        <v>89</v>
      </c>
    </row>
    <row r="27" spans="1:9" ht="15" customHeight="1" x14ac:dyDescent="0.25">
      <c r="A27" s="19" t="s">
        <v>637</v>
      </c>
      <c r="B27" s="19" t="s">
        <v>131</v>
      </c>
      <c r="C27" s="19" t="s">
        <v>132</v>
      </c>
      <c r="D27" s="19" t="s">
        <v>498</v>
      </c>
      <c r="E27" s="19" t="s">
        <v>499</v>
      </c>
      <c r="F27" s="19" t="s">
        <v>618</v>
      </c>
      <c r="G27" s="19" t="s">
        <v>609</v>
      </c>
      <c r="H27" s="19">
        <v>73</v>
      </c>
      <c r="I27" s="21">
        <v>74</v>
      </c>
    </row>
    <row r="28" spans="1:9" ht="15" customHeight="1" x14ac:dyDescent="0.25">
      <c r="A28" s="18" t="s">
        <v>638</v>
      </c>
      <c r="B28" s="18" t="s">
        <v>131</v>
      </c>
      <c r="C28" s="18" t="s">
        <v>132</v>
      </c>
      <c r="D28" s="18" t="s">
        <v>516</v>
      </c>
      <c r="E28" s="18" t="s">
        <v>517</v>
      </c>
      <c r="F28" s="18" t="s">
        <v>618</v>
      </c>
      <c r="G28" s="18" t="s">
        <v>609</v>
      </c>
      <c r="H28" s="18">
        <v>70</v>
      </c>
      <c r="I28" s="20">
        <v>72</v>
      </c>
    </row>
    <row r="29" spans="1:9" ht="15" customHeight="1" x14ac:dyDescent="0.25">
      <c r="A29" s="19" t="s">
        <v>639</v>
      </c>
      <c r="B29" s="19" t="s">
        <v>131</v>
      </c>
      <c r="C29" s="19" t="s">
        <v>132</v>
      </c>
      <c r="D29" s="19" t="s">
        <v>553</v>
      </c>
      <c r="E29" s="19" t="s">
        <v>554</v>
      </c>
      <c r="F29" s="19" t="s">
        <v>618</v>
      </c>
      <c r="G29" s="19" t="s">
        <v>609</v>
      </c>
      <c r="H29" s="19">
        <v>75</v>
      </c>
      <c r="I29" s="21">
        <v>76</v>
      </c>
    </row>
    <row r="30" spans="1:9" ht="15" customHeight="1" x14ac:dyDescent="0.25">
      <c r="A30" s="18" t="s">
        <v>640</v>
      </c>
      <c r="B30" s="18" t="s">
        <v>140</v>
      </c>
      <c r="C30" s="18" t="s">
        <v>141</v>
      </c>
      <c r="D30" s="18" t="s">
        <v>484</v>
      </c>
      <c r="E30" s="18" t="s">
        <v>485</v>
      </c>
      <c r="F30" s="18" t="s">
        <v>608</v>
      </c>
      <c r="G30" s="18" t="s">
        <v>609</v>
      </c>
      <c r="H30" s="18">
        <v>66</v>
      </c>
      <c r="I30" s="20">
        <v>68</v>
      </c>
    </row>
    <row r="31" spans="1:9" ht="15" customHeight="1" x14ac:dyDescent="0.25">
      <c r="A31" s="19" t="s">
        <v>641</v>
      </c>
      <c r="B31" s="19" t="s">
        <v>140</v>
      </c>
      <c r="C31" s="19" t="s">
        <v>141</v>
      </c>
      <c r="D31" s="19" t="s">
        <v>480</v>
      </c>
      <c r="E31" s="19" t="s">
        <v>481</v>
      </c>
      <c r="F31" s="19" t="s">
        <v>608</v>
      </c>
      <c r="G31" s="19" t="s">
        <v>609</v>
      </c>
      <c r="H31" s="19">
        <v>63</v>
      </c>
      <c r="I31" s="21">
        <v>65</v>
      </c>
    </row>
    <row r="32" spans="1:9" ht="15" customHeight="1" x14ac:dyDescent="0.25">
      <c r="A32" s="18" t="s">
        <v>642</v>
      </c>
      <c r="B32" s="18" t="s">
        <v>140</v>
      </c>
      <c r="C32" s="18" t="s">
        <v>141</v>
      </c>
      <c r="D32" s="18" t="s">
        <v>553</v>
      </c>
      <c r="E32" s="18" t="s">
        <v>554</v>
      </c>
      <c r="F32" s="18" t="s">
        <v>608</v>
      </c>
      <c r="G32" s="18" t="s">
        <v>609</v>
      </c>
      <c r="H32" s="18">
        <v>70</v>
      </c>
      <c r="I32" s="20">
        <v>71</v>
      </c>
    </row>
    <row r="33" spans="1:9" ht="15" customHeight="1" x14ac:dyDescent="0.25">
      <c r="A33" s="19" t="s">
        <v>643</v>
      </c>
      <c r="B33" s="19" t="s">
        <v>150</v>
      </c>
      <c r="C33" s="19" t="s">
        <v>151</v>
      </c>
      <c r="D33" s="19" t="s">
        <v>550</v>
      </c>
      <c r="E33" s="19" t="s">
        <v>551</v>
      </c>
      <c r="F33" s="19" t="s">
        <v>109</v>
      </c>
      <c r="G33" s="19" t="s">
        <v>609</v>
      </c>
      <c r="H33" s="19">
        <v>79</v>
      </c>
      <c r="I33" s="21">
        <v>81</v>
      </c>
    </row>
    <row r="34" spans="1:9" ht="15" customHeight="1" x14ac:dyDescent="0.25">
      <c r="A34" s="18" t="s">
        <v>644</v>
      </c>
      <c r="B34" s="18" t="s">
        <v>150</v>
      </c>
      <c r="C34" s="18" t="s">
        <v>151</v>
      </c>
      <c r="D34" s="18" t="s">
        <v>534</v>
      </c>
      <c r="E34" s="18" t="s">
        <v>535</v>
      </c>
      <c r="F34" s="18" t="s">
        <v>109</v>
      </c>
      <c r="G34" s="18" t="s">
        <v>609</v>
      </c>
      <c r="H34" s="18">
        <v>76</v>
      </c>
      <c r="I34" s="20">
        <v>78</v>
      </c>
    </row>
    <row r="35" spans="1:9" ht="15" customHeight="1" x14ac:dyDescent="0.25">
      <c r="A35" s="19" t="s">
        <v>645</v>
      </c>
      <c r="B35" s="19" t="s">
        <v>150</v>
      </c>
      <c r="C35" s="19" t="s">
        <v>151</v>
      </c>
      <c r="D35" s="19" t="s">
        <v>553</v>
      </c>
      <c r="E35" s="19" t="s">
        <v>554</v>
      </c>
      <c r="F35" s="19" t="s">
        <v>109</v>
      </c>
      <c r="G35" s="19" t="s">
        <v>609</v>
      </c>
      <c r="H35" s="19">
        <v>83</v>
      </c>
      <c r="I35" s="21">
        <v>84</v>
      </c>
    </row>
    <row r="36" spans="1:9" ht="15" customHeight="1" x14ac:dyDescent="0.25">
      <c r="A36" s="18" t="s">
        <v>646</v>
      </c>
      <c r="B36" s="18" t="s">
        <v>157</v>
      </c>
      <c r="C36" s="18" t="s">
        <v>158</v>
      </c>
      <c r="D36" s="18" t="s">
        <v>538</v>
      </c>
      <c r="E36" s="18" t="s">
        <v>539</v>
      </c>
      <c r="F36" s="18" t="s">
        <v>633</v>
      </c>
      <c r="G36" s="18" t="s">
        <v>609</v>
      </c>
      <c r="H36" s="18">
        <v>74</v>
      </c>
      <c r="I36" s="20">
        <v>75</v>
      </c>
    </row>
    <row r="37" spans="1:9" ht="15" customHeight="1" x14ac:dyDescent="0.25">
      <c r="A37" s="19" t="s">
        <v>647</v>
      </c>
      <c r="B37" s="19" t="s">
        <v>157</v>
      </c>
      <c r="C37" s="19" t="s">
        <v>158</v>
      </c>
      <c r="D37" s="19" t="s">
        <v>530</v>
      </c>
      <c r="E37" s="19" t="s">
        <v>531</v>
      </c>
      <c r="F37" s="19" t="s">
        <v>633</v>
      </c>
      <c r="G37" s="19" t="s">
        <v>609</v>
      </c>
      <c r="H37" s="19">
        <v>70</v>
      </c>
      <c r="I37" s="21">
        <v>72</v>
      </c>
    </row>
    <row r="38" spans="1:9" ht="15" customHeight="1" x14ac:dyDescent="0.25">
      <c r="A38" s="18" t="s">
        <v>648</v>
      </c>
      <c r="B38" s="18" t="s">
        <v>157</v>
      </c>
      <c r="C38" s="18" t="s">
        <v>158</v>
      </c>
      <c r="D38" s="18" t="s">
        <v>553</v>
      </c>
      <c r="E38" s="18" t="s">
        <v>554</v>
      </c>
      <c r="F38" s="18" t="s">
        <v>633</v>
      </c>
      <c r="G38" s="18" t="s">
        <v>609</v>
      </c>
      <c r="H38" s="18">
        <v>77</v>
      </c>
      <c r="I38" s="20">
        <v>78</v>
      </c>
    </row>
    <row r="39" spans="1:9" ht="15" customHeight="1" x14ac:dyDescent="0.25">
      <c r="A39" s="19" t="s">
        <v>649</v>
      </c>
      <c r="B39" s="19" t="s">
        <v>163</v>
      </c>
      <c r="C39" s="19" t="s">
        <v>164</v>
      </c>
      <c r="D39" s="19" t="s">
        <v>493</v>
      </c>
      <c r="E39" s="19" t="s">
        <v>494</v>
      </c>
      <c r="F39" s="19" t="s">
        <v>623</v>
      </c>
      <c r="G39" s="19" t="s">
        <v>96</v>
      </c>
      <c r="H39" s="19">
        <v>65</v>
      </c>
      <c r="I39" s="21">
        <v>67</v>
      </c>
    </row>
    <row r="40" spans="1:9" ht="15" customHeight="1" x14ac:dyDescent="0.25">
      <c r="A40" s="18" t="s">
        <v>650</v>
      </c>
      <c r="B40" s="18" t="s">
        <v>163</v>
      </c>
      <c r="C40" s="18" t="s">
        <v>164</v>
      </c>
      <c r="D40" s="18" t="s">
        <v>525</v>
      </c>
      <c r="E40" s="18" t="s">
        <v>526</v>
      </c>
      <c r="F40" s="18" t="s">
        <v>623</v>
      </c>
      <c r="G40" s="18" t="s">
        <v>96</v>
      </c>
      <c r="H40" s="18">
        <v>60</v>
      </c>
      <c r="I40" s="20">
        <v>62</v>
      </c>
    </row>
    <row r="41" spans="1:9" ht="15" customHeight="1" x14ac:dyDescent="0.25">
      <c r="A41" s="19" t="s">
        <v>651</v>
      </c>
      <c r="B41" s="19" t="s">
        <v>163</v>
      </c>
      <c r="C41" s="19" t="s">
        <v>164</v>
      </c>
      <c r="D41" s="19" t="s">
        <v>553</v>
      </c>
      <c r="E41" s="19" t="s">
        <v>554</v>
      </c>
      <c r="F41" s="19" t="s">
        <v>623</v>
      </c>
      <c r="G41" s="19" t="s">
        <v>96</v>
      </c>
      <c r="H41" s="19">
        <v>68</v>
      </c>
      <c r="I41" s="21">
        <v>70</v>
      </c>
    </row>
    <row r="42" spans="1:9" ht="15" customHeight="1" x14ac:dyDescent="0.25">
      <c r="A42" s="18" t="s">
        <v>652</v>
      </c>
      <c r="B42" s="18" t="s">
        <v>170</v>
      </c>
      <c r="C42" s="18" t="s">
        <v>171</v>
      </c>
      <c r="D42" s="18" t="s">
        <v>516</v>
      </c>
      <c r="E42" s="18" t="s">
        <v>517</v>
      </c>
      <c r="F42" s="18" t="s">
        <v>608</v>
      </c>
      <c r="G42" s="18" t="s">
        <v>609</v>
      </c>
      <c r="H42" s="18">
        <v>82</v>
      </c>
      <c r="I42" s="20">
        <v>84</v>
      </c>
    </row>
    <row r="43" spans="1:9" ht="15" customHeight="1" x14ac:dyDescent="0.25">
      <c r="A43" s="19" t="s">
        <v>653</v>
      </c>
      <c r="B43" s="19" t="s">
        <v>170</v>
      </c>
      <c r="C43" s="19" t="s">
        <v>171</v>
      </c>
      <c r="D43" s="19" t="s">
        <v>521</v>
      </c>
      <c r="E43" s="19" t="s">
        <v>522</v>
      </c>
      <c r="F43" s="19" t="s">
        <v>608</v>
      </c>
      <c r="G43" s="19" t="s">
        <v>609</v>
      </c>
      <c r="H43" s="19">
        <v>85</v>
      </c>
      <c r="I43" s="21">
        <v>86</v>
      </c>
    </row>
    <row r="44" spans="1:9" ht="15" customHeight="1" x14ac:dyDescent="0.25">
      <c r="A44" s="18" t="s">
        <v>654</v>
      </c>
      <c r="B44" s="18" t="s">
        <v>170</v>
      </c>
      <c r="C44" s="18" t="s">
        <v>171</v>
      </c>
      <c r="D44" s="18" t="s">
        <v>553</v>
      </c>
      <c r="E44" s="18" t="s">
        <v>554</v>
      </c>
      <c r="F44" s="18" t="s">
        <v>608</v>
      </c>
      <c r="G44" s="18" t="s">
        <v>609</v>
      </c>
      <c r="H44" s="18">
        <v>88</v>
      </c>
      <c r="I44" s="20">
        <v>89</v>
      </c>
    </row>
    <row r="45" spans="1:9" ht="15" customHeight="1" x14ac:dyDescent="0.25">
      <c r="A45" s="19" t="s">
        <v>655</v>
      </c>
      <c r="B45" s="19" t="s">
        <v>177</v>
      </c>
      <c r="C45" s="19" t="s">
        <v>178</v>
      </c>
      <c r="D45" s="19" t="s">
        <v>547</v>
      </c>
      <c r="E45" s="19" t="s">
        <v>548</v>
      </c>
      <c r="F45" s="19" t="s">
        <v>618</v>
      </c>
      <c r="G45" s="19" t="s">
        <v>656</v>
      </c>
      <c r="H45" s="19">
        <v>40</v>
      </c>
      <c r="I45" s="21">
        <v>42</v>
      </c>
    </row>
    <row r="46" spans="1:9" ht="15" customHeight="1" x14ac:dyDescent="0.25">
      <c r="A46" s="18" t="s">
        <v>657</v>
      </c>
      <c r="B46" s="18" t="s">
        <v>177</v>
      </c>
      <c r="C46" s="18" t="s">
        <v>178</v>
      </c>
      <c r="D46" s="18" t="s">
        <v>503</v>
      </c>
      <c r="E46" s="18" t="s">
        <v>504</v>
      </c>
      <c r="F46" s="18" t="s">
        <v>618</v>
      </c>
      <c r="G46" s="18" t="s">
        <v>609</v>
      </c>
      <c r="H46" s="18">
        <v>45</v>
      </c>
      <c r="I46" s="20">
        <v>47</v>
      </c>
    </row>
    <row r="47" spans="1:9" ht="15" customHeight="1" x14ac:dyDescent="0.25">
      <c r="A47" s="19" t="s">
        <v>658</v>
      </c>
      <c r="B47" s="19" t="s">
        <v>177</v>
      </c>
      <c r="C47" s="19" t="s">
        <v>178</v>
      </c>
      <c r="D47" s="19" t="s">
        <v>553</v>
      </c>
      <c r="E47" s="19" t="s">
        <v>554</v>
      </c>
      <c r="F47" s="19" t="s">
        <v>618</v>
      </c>
      <c r="G47" s="19" t="s">
        <v>609</v>
      </c>
      <c r="H47" s="19">
        <v>50</v>
      </c>
      <c r="I47" s="21">
        <v>52</v>
      </c>
    </row>
    <row r="48" spans="1:9" ht="15" customHeight="1" x14ac:dyDescent="0.25">
      <c r="A48" s="18" t="s">
        <v>659</v>
      </c>
      <c r="B48" s="18" t="s">
        <v>187</v>
      </c>
      <c r="C48" s="18" t="s">
        <v>188</v>
      </c>
      <c r="D48" s="18" t="s">
        <v>521</v>
      </c>
      <c r="E48" s="18" t="s">
        <v>522</v>
      </c>
      <c r="F48" s="18" t="s">
        <v>109</v>
      </c>
      <c r="G48" s="18" t="s">
        <v>609</v>
      </c>
      <c r="H48" s="18">
        <v>89</v>
      </c>
      <c r="I48" s="20">
        <v>91</v>
      </c>
    </row>
    <row r="49" spans="1:9" ht="15" customHeight="1" x14ac:dyDescent="0.25">
      <c r="A49" s="19" t="s">
        <v>660</v>
      </c>
      <c r="B49" s="19" t="s">
        <v>187</v>
      </c>
      <c r="C49" s="19" t="s">
        <v>188</v>
      </c>
      <c r="D49" s="19" t="s">
        <v>553</v>
      </c>
      <c r="E49" s="19" t="s">
        <v>554</v>
      </c>
      <c r="F49" s="19" t="s">
        <v>109</v>
      </c>
      <c r="G49" s="19" t="s">
        <v>609</v>
      </c>
      <c r="H49" s="19">
        <v>92</v>
      </c>
      <c r="I49" s="21">
        <v>93</v>
      </c>
    </row>
    <row r="50" spans="1:9" ht="15" customHeight="1" x14ac:dyDescent="0.25">
      <c r="A50" s="18" t="s">
        <v>661</v>
      </c>
      <c r="B50" s="18" t="s">
        <v>187</v>
      </c>
      <c r="C50" s="18" t="s">
        <v>188</v>
      </c>
      <c r="D50" s="18" t="s">
        <v>516</v>
      </c>
      <c r="E50" s="18" t="s">
        <v>517</v>
      </c>
      <c r="F50" s="18" t="s">
        <v>109</v>
      </c>
      <c r="G50" s="18" t="s">
        <v>609</v>
      </c>
      <c r="H50" s="18">
        <v>86</v>
      </c>
      <c r="I50" s="20">
        <v>87</v>
      </c>
    </row>
    <row r="51" spans="1:9" ht="15" customHeight="1" x14ac:dyDescent="0.25">
      <c r="A51" s="19" t="s">
        <v>662</v>
      </c>
      <c r="B51" s="19" t="s">
        <v>194</v>
      </c>
      <c r="C51" s="19" t="s">
        <v>195</v>
      </c>
      <c r="D51" s="19" t="s">
        <v>530</v>
      </c>
      <c r="E51" s="19" t="s">
        <v>531</v>
      </c>
      <c r="F51" s="19" t="s">
        <v>633</v>
      </c>
      <c r="G51" s="19" t="s">
        <v>609</v>
      </c>
      <c r="H51" s="19">
        <v>69</v>
      </c>
      <c r="I51" s="21">
        <v>71</v>
      </c>
    </row>
    <row r="52" spans="1:9" ht="15" customHeight="1" x14ac:dyDescent="0.25">
      <c r="A52" s="18" t="s">
        <v>663</v>
      </c>
      <c r="B52" s="18" t="s">
        <v>194</v>
      </c>
      <c r="C52" s="18" t="s">
        <v>195</v>
      </c>
      <c r="D52" s="18" t="s">
        <v>525</v>
      </c>
      <c r="E52" s="18" t="s">
        <v>526</v>
      </c>
      <c r="F52" s="18" t="s">
        <v>633</v>
      </c>
      <c r="G52" s="18" t="s">
        <v>609</v>
      </c>
      <c r="H52" s="18">
        <v>66</v>
      </c>
      <c r="I52" s="20">
        <v>68</v>
      </c>
    </row>
    <row r="53" spans="1:9" ht="15" customHeight="1" x14ac:dyDescent="0.25">
      <c r="A53" s="19" t="s">
        <v>664</v>
      </c>
      <c r="B53" s="19" t="s">
        <v>194</v>
      </c>
      <c r="C53" s="19" t="s">
        <v>195</v>
      </c>
      <c r="D53" s="19" t="s">
        <v>553</v>
      </c>
      <c r="E53" s="19" t="s">
        <v>554</v>
      </c>
      <c r="F53" s="19" t="s">
        <v>633</v>
      </c>
      <c r="G53" s="19" t="s">
        <v>609</v>
      </c>
      <c r="H53" s="19">
        <v>72</v>
      </c>
      <c r="I53" s="21">
        <v>73</v>
      </c>
    </row>
    <row r="54" spans="1:9" ht="15" customHeight="1" x14ac:dyDescent="0.25">
      <c r="A54" s="18" t="s">
        <v>665</v>
      </c>
      <c r="B54" s="18" t="s">
        <v>200</v>
      </c>
      <c r="C54" s="18" t="s">
        <v>201</v>
      </c>
      <c r="D54" s="18" t="s">
        <v>471</v>
      </c>
      <c r="E54" s="18" t="s">
        <v>472</v>
      </c>
      <c r="F54" s="18" t="s">
        <v>608</v>
      </c>
      <c r="G54" s="18" t="s">
        <v>609</v>
      </c>
      <c r="H54" s="18">
        <v>95</v>
      </c>
      <c r="I54" s="20">
        <v>96</v>
      </c>
    </row>
    <row r="55" spans="1:9" ht="15" customHeight="1" x14ac:dyDescent="0.25">
      <c r="A55" s="19" t="s">
        <v>666</v>
      </c>
      <c r="B55" s="19" t="s">
        <v>200</v>
      </c>
      <c r="C55" s="19" t="s">
        <v>201</v>
      </c>
      <c r="D55" s="19" t="s">
        <v>534</v>
      </c>
      <c r="E55" s="19" t="s">
        <v>535</v>
      </c>
      <c r="F55" s="19" t="s">
        <v>608</v>
      </c>
      <c r="G55" s="19" t="s">
        <v>609</v>
      </c>
      <c r="H55" s="19">
        <v>92</v>
      </c>
      <c r="I55" s="21">
        <v>93</v>
      </c>
    </row>
    <row r="56" spans="1:9" ht="15" customHeight="1" x14ac:dyDescent="0.25">
      <c r="A56" s="18" t="s">
        <v>667</v>
      </c>
      <c r="B56" s="18" t="s">
        <v>200</v>
      </c>
      <c r="C56" s="18" t="s">
        <v>201</v>
      </c>
      <c r="D56" s="18" t="s">
        <v>476</v>
      </c>
      <c r="E56" s="18" t="s">
        <v>477</v>
      </c>
      <c r="F56" s="18" t="s">
        <v>608</v>
      </c>
      <c r="G56" s="18" t="s">
        <v>609</v>
      </c>
      <c r="H56" s="18">
        <v>94</v>
      </c>
      <c r="I56" s="20">
        <v>95</v>
      </c>
    </row>
    <row r="57" spans="1:9" ht="15" customHeight="1" x14ac:dyDescent="0.25">
      <c r="A57" s="19" t="s">
        <v>668</v>
      </c>
      <c r="B57" s="19" t="s">
        <v>200</v>
      </c>
      <c r="C57" s="19" t="s">
        <v>201</v>
      </c>
      <c r="D57" s="19" t="s">
        <v>553</v>
      </c>
      <c r="E57" s="19" t="s">
        <v>554</v>
      </c>
      <c r="F57" s="19" t="s">
        <v>608</v>
      </c>
      <c r="G57" s="19" t="s">
        <v>609</v>
      </c>
      <c r="H57" s="19">
        <v>96</v>
      </c>
      <c r="I57" s="21">
        <v>97</v>
      </c>
    </row>
    <row r="58" spans="1:9" ht="15" customHeight="1" x14ac:dyDescent="0.25">
      <c r="A58" s="18" t="s">
        <v>669</v>
      </c>
      <c r="B58" s="18" t="s">
        <v>205</v>
      </c>
      <c r="C58" s="18" t="s">
        <v>206</v>
      </c>
      <c r="D58" s="18" t="s">
        <v>512</v>
      </c>
      <c r="E58" s="18" t="s">
        <v>513</v>
      </c>
      <c r="F58" s="18" t="s">
        <v>618</v>
      </c>
      <c r="G58" s="18" t="s">
        <v>609</v>
      </c>
      <c r="H58" s="18">
        <v>78</v>
      </c>
      <c r="I58" s="20">
        <v>80</v>
      </c>
    </row>
    <row r="59" spans="1:9" ht="15" customHeight="1" x14ac:dyDescent="0.25">
      <c r="A59" s="19" t="s">
        <v>670</v>
      </c>
      <c r="B59" s="19" t="s">
        <v>205</v>
      </c>
      <c r="C59" s="19" t="s">
        <v>206</v>
      </c>
      <c r="D59" s="19" t="s">
        <v>516</v>
      </c>
      <c r="E59" s="19" t="s">
        <v>517</v>
      </c>
      <c r="F59" s="19" t="s">
        <v>618</v>
      </c>
      <c r="G59" s="19" t="s">
        <v>609</v>
      </c>
      <c r="H59" s="19">
        <v>75</v>
      </c>
      <c r="I59" s="21">
        <v>77</v>
      </c>
    </row>
    <row r="60" spans="1:9" ht="15" customHeight="1" x14ac:dyDescent="0.25">
      <c r="A60" s="18" t="s">
        <v>671</v>
      </c>
      <c r="B60" s="18" t="s">
        <v>205</v>
      </c>
      <c r="C60" s="18" t="s">
        <v>206</v>
      </c>
      <c r="D60" s="18" t="s">
        <v>553</v>
      </c>
      <c r="E60" s="18" t="s">
        <v>554</v>
      </c>
      <c r="F60" s="18" t="s">
        <v>618</v>
      </c>
      <c r="G60" s="18" t="s">
        <v>609</v>
      </c>
      <c r="H60" s="18">
        <v>82</v>
      </c>
      <c r="I60" s="20">
        <v>83</v>
      </c>
    </row>
    <row r="61" spans="1:9" ht="15" customHeight="1" x14ac:dyDescent="0.25">
      <c r="A61" s="19" t="s">
        <v>672</v>
      </c>
      <c r="B61" s="19" t="s">
        <v>212</v>
      </c>
      <c r="C61" s="19" t="s">
        <v>213</v>
      </c>
      <c r="D61" s="19" t="s">
        <v>508</v>
      </c>
      <c r="E61" s="19" t="s">
        <v>509</v>
      </c>
      <c r="F61" s="19" t="s">
        <v>109</v>
      </c>
      <c r="G61" s="19" t="s">
        <v>609</v>
      </c>
      <c r="H61" s="19">
        <v>77</v>
      </c>
      <c r="I61" s="21">
        <v>79</v>
      </c>
    </row>
    <row r="62" spans="1:9" ht="15" customHeight="1" x14ac:dyDescent="0.25">
      <c r="A62" s="18" t="s">
        <v>673</v>
      </c>
      <c r="B62" s="18" t="s">
        <v>212</v>
      </c>
      <c r="C62" s="18" t="s">
        <v>213</v>
      </c>
      <c r="D62" s="18" t="s">
        <v>503</v>
      </c>
      <c r="E62" s="18" t="s">
        <v>504</v>
      </c>
      <c r="F62" s="18" t="s">
        <v>109</v>
      </c>
      <c r="G62" s="18" t="s">
        <v>609</v>
      </c>
      <c r="H62" s="18">
        <v>74</v>
      </c>
      <c r="I62" s="20">
        <v>76</v>
      </c>
    </row>
    <row r="63" spans="1:9" ht="15" customHeight="1" x14ac:dyDescent="0.25">
      <c r="A63" s="19" t="s">
        <v>674</v>
      </c>
      <c r="B63" s="19" t="s">
        <v>212</v>
      </c>
      <c r="C63" s="19" t="s">
        <v>213</v>
      </c>
      <c r="D63" s="19" t="s">
        <v>553</v>
      </c>
      <c r="E63" s="19" t="s">
        <v>554</v>
      </c>
      <c r="F63" s="19" t="s">
        <v>109</v>
      </c>
      <c r="G63" s="19" t="s">
        <v>609</v>
      </c>
      <c r="H63" s="19">
        <v>80</v>
      </c>
      <c r="I63" s="21">
        <v>81</v>
      </c>
    </row>
    <row r="64" spans="1:9" ht="15" customHeight="1" x14ac:dyDescent="0.25">
      <c r="A64" s="18" t="s">
        <v>675</v>
      </c>
      <c r="B64" s="18" t="s">
        <v>218</v>
      </c>
      <c r="C64" s="18" t="s">
        <v>219</v>
      </c>
      <c r="D64" s="18" t="s">
        <v>498</v>
      </c>
      <c r="E64" s="18" t="s">
        <v>499</v>
      </c>
      <c r="F64" s="18" t="s">
        <v>633</v>
      </c>
      <c r="G64" s="18" t="s">
        <v>609</v>
      </c>
      <c r="H64" s="18">
        <v>84</v>
      </c>
      <c r="I64" s="20">
        <v>86</v>
      </c>
    </row>
    <row r="65" spans="1:9" ht="15" customHeight="1" x14ac:dyDescent="0.25">
      <c r="A65" s="19" t="s">
        <v>676</v>
      </c>
      <c r="B65" s="19" t="s">
        <v>218</v>
      </c>
      <c r="C65" s="19" t="s">
        <v>219</v>
      </c>
      <c r="D65" s="19" t="s">
        <v>516</v>
      </c>
      <c r="E65" s="19" t="s">
        <v>517</v>
      </c>
      <c r="F65" s="19" t="s">
        <v>633</v>
      </c>
      <c r="G65" s="19" t="s">
        <v>609</v>
      </c>
      <c r="H65" s="19">
        <v>81</v>
      </c>
      <c r="I65" s="21">
        <v>83</v>
      </c>
    </row>
    <row r="66" spans="1:9" ht="15" customHeight="1" x14ac:dyDescent="0.25">
      <c r="A66" s="18" t="s">
        <v>677</v>
      </c>
      <c r="B66" s="18" t="s">
        <v>218</v>
      </c>
      <c r="C66" s="18" t="s">
        <v>219</v>
      </c>
      <c r="D66" s="18" t="s">
        <v>553</v>
      </c>
      <c r="E66" s="18" t="s">
        <v>554</v>
      </c>
      <c r="F66" s="18" t="s">
        <v>633</v>
      </c>
      <c r="G66" s="18" t="s">
        <v>609</v>
      </c>
      <c r="H66" s="18">
        <v>87</v>
      </c>
      <c r="I66" s="20">
        <v>88</v>
      </c>
    </row>
    <row r="67" spans="1:9" ht="15" customHeight="1" x14ac:dyDescent="0.25">
      <c r="A67" s="19" t="s">
        <v>678</v>
      </c>
      <c r="B67" s="19" t="s">
        <v>223</v>
      </c>
      <c r="C67" s="19" t="s">
        <v>224</v>
      </c>
      <c r="D67" s="19" t="s">
        <v>516</v>
      </c>
      <c r="E67" s="19" t="s">
        <v>517</v>
      </c>
      <c r="F67" s="19" t="s">
        <v>608</v>
      </c>
      <c r="G67" s="19" t="s">
        <v>609</v>
      </c>
      <c r="H67" s="19">
        <v>64</v>
      </c>
      <c r="I67" s="21">
        <v>66</v>
      </c>
    </row>
    <row r="68" spans="1:9" ht="15" customHeight="1" x14ac:dyDescent="0.25">
      <c r="A68" s="18" t="s">
        <v>679</v>
      </c>
      <c r="B68" s="18" t="s">
        <v>223</v>
      </c>
      <c r="C68" s="18" t="s">
        <v>224</v>
      </c>
      <c r="D68" s="18" t="s">
        <v>521</v>
      </c>
      <c r="E68" s="18" t="s">
        <v>522</v>
      </c>
      <c r="F68" s="18" t="s">
        <v>608</v>
      </c>
      <c r="G68" s="18" t="s">
        <v>609</v>
      </c>
      <c r="H68" s="18">
        <v>61</v>
      </c>
      <c r="I68" s="20">
        <v>63</v>
      </c>
    </row>
    <row r="69" spans="1:9" ht="15" customHeight="1" x14ac:dyDescent="0.25">
      <c r="A69" s="19" t="s">
        <v>680</v>
      </c>
      <c r="B69" s="19" t="s">
        <v>223</v>
      </c>
      <c r="C69" s="19" t="s">
        <v>224</v>
      </c>
      <c r="D69" s="19" t="s">
        <v>553</v>
      </c>
      <c r="E69" s="19" t="s">
        <v>554</v>
      </c>
      <c r="F69" s="19" t="s">
        <v>608</v>
      </c>
      <c r="G69" s="19" t="s">
        <v>609</v>
      </c>
      <c r="H69" s="19">
        <v>67</v>
      </c>
      <c r="I69" s="21">
        <v>69</v>
      </c>
    </row>
    <row r="70" spans="1:9" ht="15" customHeight="1" x14ac:dyDescent="0.25">
      <c r="A70" s="18" t="s">
        <v>681</v>
      </c>
      <c r="B70" s="18" t="s">
        <v>229</v>
      </c>
      <c r="C70" s="18" t="s">
        <v>230</v>
      </c>
      <c r="D70" s="18" t="s">
        <v>503</v>
      </c>
      <c r="E70" s="18" t="s">
        <v>504</v>
      </c>
      <c r="F70" s="18" t="s">
        <v>623</v>
      </c>
      <c r="G70" s="18" t="s">
        <v>96</v>
      </c>
      <c r="H70" s="18">
        <v>90</v>
      </c>
      <c r="I70" s="20">
        <v>92</v>
      </c>
    </row>
    <row r="71" spans="1:9" ht="15" customHeight="1" x14ac:dyDescent="0.25">
      <c r="A71" s="19" t="s">
        <v>682</v>
      </c>
      <c r="B71" s="19" t="s">
        <v>229</v>
      </c>
      <c r="C71" s="19" t="s">
        <v>230</v>
      </c>
      <c r="D71" s="19" t="s">
        <v>538</v>
      </c>
      <c r="E71" s="19" t="s">
        <v>539</v>
      </c>
      <c r="F71" s="19" t="s">
        <v>623</v>
      </c>
      <c r="G71" s="19" t="s">
        <v>96</v>
      </c>
      <c r="H71" s="19">
        <v>87</v>
      </c>
      <c r="I71" s="21">
        <v>89</v>
      </c>
    </row>
    <row r="72" spans="1:9" ht="15" customHeight="1" x14ac:dyDescent="0.25">
      <c r="A72" s="18" t="s">
        <v>683</v>
      </c>
      <c r="B72" s="18" t="s">
        <v>229</v>
      </c>
      <c r="C72" s="18" t="s">
        <v>230</v>
      </c>
      <c r="D72" s="18" t="s">
        <v>553</v>
      </c>
      <c r="E72" s="18" t="s">
        <v>554</v>
      </c>
      <c r="F72" s="18" t="s">
        <v>623</v>
      </c>
      <c r="G72" s="18" t="s">
        <v>96</v>
      </c>
      <c r="H72" s="18">
        <v>93</v>
      </c>
      <c r="I72" s="20">
        <v>94</v>
      </c>
    </row>
    <row r="73" spans="1:9" ht="15" customHeight="1" x14ac:dyDescent="0.25">
      <c r="A73" s="19" t="s">
        <v>684</v>
      </c>
      <c r="B73" s="19" t="s">
        <v>234</v>
      </c>
      <c r="C73" s="19" t="s">
        <v>235</v>
      </c>
      <c r="D73" s="19" t="s">
        <v>543</v>
      </c>
      <c r="E73" s="19" t="s">
        <v>544</v>
      </c>
      <c r="F73" s="19" t="s">
        <v>109</v>
      </c>
      <c r="G73" s="19" t="s">
        <v>609</v>
      </c>
      <c r="H73" s="19">
        <v>53</v>
      </c>
      <c r="I73" s="21">
        <v>55</v>
      </c>
    </row>
    <row r="74" spans="1:9" ht="15" customHeight="1" x14ac:dyDescent="0.25">
      <c r="A74" s="18" t="s">
        <v>685</v>
      </c>
      <c r="B74" s="18" t="s">
        <v>234</v>
      </c>
      <c r="C74" s="18" t="s">
        <v>235</v>
      </c>
      <c r="D74" s="18" t="s">
        <v>480</v>
      </c>
      <c r="E74" s="18" t="s">
        <v>481</v>
      </c>
      <c r="F74" s="18" t="s">
        <v>109</v>
      </c>
      <c r="G74" s="18" t="s">
        <v>609</v>
      </c>
      <c r="H74" s="18">
        <v>50</v>
      </c>
      <c r="I74" s="20">
        <v>52</v>
      </c>
    </row>
    <row r="75" spans="1:9" ht="15" customHeight="1" x14ac:dyDescent="0.25">
      <c r="A75" s="19" t="s">
        <v>686</v>
      </c>
      <c r="B75" s="19" t="s">
        <v>234</v>
      </c>
      <c r="C75" s="19" t="s">
        <v>235</v>
      </c>
      <c r="D75" s="19" t="s">
        <v>553</v>
      </c>
      <c r="E75" s="19" t="s">
        <v>554</v>
      </c>
      <c r="F75" s="19" t="s">
        <v>109</v>
      </c>
      <c r="G75" s="19" t="s">
        <v>609</v>
      </c>
      <c r="H75" s="19">
        <v>58</v>
      </c>
      <c r="I75" s="21">
        <v>60</v>
      </c>
    </row>
    <row r="76" spans="1:9" ht="15" customHeight="1" x14ac:dyDescent="0.25">
      <c r="A76" s="18" t="s">
        <v>687</v>
      </c>
      <c r="B76" s="18" t="s">
        <v>240</v>
      </c>
      <c r="C76" s="18" t="s">
        <v>241</v>
      </c>
      <c r="D76" s="18" t="s">
        <v>534</v>
      </c>
      <c r="E76" s="18" t="s">
        <v>535</v>
      </c>
      <c r="F76" s="18" t="s">
        <v>633</v>
      </c>
      <c r="G76" s="18" t="s">
        <v>609</v>
      </c>
      <c r="H76" s="18">
        <v>80</v>
      </c>
      <c r="I76" s="20">
        <v>82</v>
      </c>
    </row>
    <row r="77" spans="1:9" ht="15" customHeight="1" x14ac:dyDescent="0.25">
      <c r="A77" s="19" t="s">
        <v>688</v>
      </c>
      <c r="B77" s="19" t="s">
        <v>240</v>
      </c>
      <c r="C77" s="19" t="s">
        <v>241</v>
      </c>
      <c r="D77" s="19" t="s">
        <v>476</v>
      </c>
      <c r="E77" s="19" t="s">
        <v>477</v>
      </c>
      <c r="F77" s="19" t="s">
        <v>633</v>
      </c>
      <c r="G77" s="19" t="s">
        <v>609</v>
      </c>
      <c r="H77" s="19">
        <v>77</v>
      </c>
      <c r="I77" s="21">
        <v>79</v>
      </c>
    </row>
    <row r="78" spans="1:9" ht="15" customHeight="1" x14ac:dyDescent="0.25">
      <c r="A78" s="18" t="s">
        <v>689</v>
      </c>
      <c r="B78" s="18" t="s">
        <v>240</v>
      </c>
      <c r="C78" s="18" t="s">
        <v>241</v>
      </c>
      <c r="D78" s="18" t="s">
        <v>553</v>
      </c>
      <c r="E78" s="18" t="s">
        <v>554</v>
      </c>
      <c r="F78" s="18" t="s">
        <v>633</v>
      </c>
      <c r="G78" s="18" t="s">
        <v>609</v>
      </c>
      <c r="H78" s="18">
        <v>83</v>
      </c>
      <c r="I78" s="20">
        <v>85</v>
      </c>
    </row>
    <row r="79" spans="1:9" ht="15" customHeight="1" x14ac:dyDescent="0.25">
      <c r="A79" s="19" t="s">
        <v>690</v>
      </c>
      <c r="B79" s="19" t="s">
        <v>245</v>
      </c>
      <c r="C79" s="19" t="s">
        <v>246</v>
      </c>
      <c r="D79" s="19" t="s">
        <v>550</v>
      </c>
      <c r="E79" s="19" t="s">
        <v>551</v>
      </c>
      <c r="F79" s="19" t="s">
        <v>109</v>
      </c>
      <c r="G79" s="19" t="s">
        <v>609</v>
      </c>
      <c r="H79" s="19">
        <v>84</v>
      </c>
      <c r="I79" s="21">
        <v>86</v>
      </c>
    </row>
    <row r="80" spans="1:9" ht="15" customHeight="1" x14ac:dyDescent="0.25">
      <c r="A80" s="18" t="s">
        <v>691</v>
      </c>
      <c r="B80" s="18" t="s">
        <v>245</v>
      </c>
      <c r="C80" s="18" t="s">
        <v>246</v>
      </c>
      <c r="D80" s="18" t="s">
        <v>534</v>
      </c>
      <c r="E80" s="18" t="s">
        <v>535</v>
      </c>
      <c r="F80" s="18" t="s">
        <v>109</v>
      </c>
      <c r="G80" s="18" t="s">
        <v>609</v>
      </c>
      <c r="H80" s="18">
        <v>78</v>
      </c>
      <c r="I80" s="20">
        <v>80</v>
      </c>
    </row>
    <row r="81" spans="1:9" ht="15" customHeight="1" x14ac:dyDescent="0.25">
      <c r="A81" s="19" t="s">
        <v>692</v>
      </c>
      <c r="B81" s="19" t="s">
        <v>245</v>
      </c>
      <c r="C81" s="19" t="s">
        <v>246</v>
      </c>
      <c r="D81" s="19" t="s">
        <v>525</v>
      </c>
      <c r="E81" s="19" t="s">
        <v>526</v>
      </c>
      <c r="F81" s="19" t="s">
        <v>109</v>
      </c>
      <c r="G81" s="19" t="s">
        <v>609</v>
      </c>
      <c r="H81" s="19">
        <v>81</v>
      </c>
      <c r="I81" s="21">
        <v>83</v>
      </c>
    </row>
    <row r="82" spans="1:9" ht="15" customHeight="1" x14ac:dyDescent="0.25">
      <c r="A82" s="18" t="s">
        <v>693</v>
      </c>
      <c r="B82" s="18" t="s">
        <v>245</v>
      </c>
      <c r="C82" s="18" t="s">
        <v>246</v>
      </c>
      <c r="D82" s="18" t="s">
        <v>553</v>
      </c>
      <c r="E82" s="18" t="s">
        <v>554</v>
      </c>
      <c r="F82" s="18" t="s">
        <v>109</v>
      </c>
      <c r="G82" s="18" t="s">
        <v>609</v>
      </c>
      <c r="H82" s="18">
        <v>87</v>
      </c>
      <c r="I82" s="20">
        <v>88</v>
      </c>
    </row>
    <row r="83" spans="1:9" x14ac:dyDescent="0.25">
      <c r="A83" t="s">
        <v>694</v>
      </c>
      <c r="B83" t="s">
        <v>251</v>
      </c>
      <c r="C83" t="s">
        <v>252</v>
      </c>
      <c r="D83" t="s">
        <v>585</v>
      </c>
      <c r="E83" t="s">
        <v>586</v>
      </c>
      <c r="F83" s="74">
        <v>45327</v>
      </c>
      <c r="G83" t="s">
        <v>609</v>
      </c>
      <c r="H83">
        <v>81</v>
      </c>
      <c r="I83">
        <v>83</v>
      </c>
    </row>
    <row r="84" spans="1:9" x14ac:dyDescent="0.25">
      <c r="A84" t="s">
        <v>695</v>
      </c>
      <c r="B84" t="s">
        <v>251</v>
      </c>
      <c r="C84" t="s">
        <v>252</v>
      </c>
      <c r="D84" t="s">
        <v>563</v>
      </c>
      <c r="E84" t="s">
        <v>564</v>
      </c>
      <c r="F84" s="74">
        <v>45327</v>
      </c>
      <c r="G84" t="s">
        <v>609</v>
      </c>
      <c r="H84">
        <v>78</v>
      </c>
      <c r="I84">
        <v>80</v>
      </c>
    </row>
    <row r="85" spans="1:9" x14ac:dyDescent="0.25">
      <c r="A85" t="s">
        <v>696</v>
      </c>
      <c r="B85" t="s">
        <v>251</v>
      </c>
      <c r="C85" t="s">
        <v>252</v>
      </c>
      <c r="D85" t="s">
        <v>566</v>
      </c>
      <c r="E85" t="s">
        <v>567</v>
      </c>
      <c r="F85" s="74">
        <v>45327</v>
      </c>
      <c r="G85" t="s">
        <v>609</v>
      </c>
      <c r="H85">
        <v>85</v>
      </c>
      <c r="I85">
        <v>86</v>
      </c>
    </row>
    <row r="86" spans="1:9" x14ac:dyDescent="0.25">
      <c r="A86" t="s">
        <v>697</v>
      </c>
      <c r="B86" t="s">
        <v>268</v>
      </c>
      <c r="C86" t="s">
        <v>269</v>
      </c>
      <c r="D86" t="s">
        <v>574</v>
      </c>
      <c r="E86" t="s">
        <v>575</v>
      </c>
      <c r="F86" s="74">
        <v>45306</v>
      </c>
      <c r="G86" t="s">
        <v>609</v>
      </c>
      <c r="H86">
        <v>74</v>
      </c>
      <c r="I86">
        <v>76</v>
      </c>
    </row>
    <row r="87" spans="1:9" x14ac:dyDescent="0.25">
      <c r="A87" t="s">
        <v>698</v>
      </c>
      <c r="B87" t="s">
        <v>268</v>
      </c>
      <c r="C87" t="s">
        <v>269</v>
      </c>
      <c r="D87" t="s">
        <v>578</v>
      </c>
      <c r="E87" t="s">
        <v>579</v>
      </c>
      <c r="F87" s="74">
        <v>45306</v>
      </c>
      <c r="G87" t="s">
        <v>609</v>
      </c>
      <c r="H87">
        <v>70</v>
      </c>
      <c r="I87">
        <v>72</v>
      </c>
    </row>
    <row r="88" spans="1:9" x14ac:dyDescent="0.25">
      <c r="A88" t="s">
        <v>699</v>
      </c>
      <c r="B88" t="s">
        <v>268</v>
      </c>
      <c r="C88" t="s">
        <v>269</v>
      </c>
      <c r="D88" t="s">
        <v>581</v>
      </c>
      <c r="E88" t="s">
        <v>582</v>
      </c>
      <c r="F88" s="74">
        <v>45306</v>
      </c>
      <c r="G88" t="s">
        <v>609</v>
      </c>
      <c r="H88">
        <v>77</v>
      </c>
      <c r="I88">
        <v>79</v>
      </c>
    </row>
    <row r="89" spans="1:9" x14ac:dyDescent="0.25">
      <c r="A89" t="s">
        <v>700</v>
      </c>
      <c r="B89" t="s">
        <v>268</v>
      </c>
      <c r="C89" t="s">
        <v>269</v>
      </c>
      <c r="D89" t="s">
        <v>566</v>
      </c>
      <c r="E89" t="s">
        <v>567</v>
      </c>
      <c r="F89" s="74">
        <v>45306</v>
      </c>
      <c r="G89" t="s">
        <v>609</v>
      </c>
      <c r="H89">
        <v>72</v>
      </c>
      <c r="I89">
        <v>74</v>
      </c>
    </row>
    <row r="90" spans="1:9" x14ac:dyDescent="0.25">
      <c r="A90" t="s">
        <v>701</v>
      </c>
      <c r="B90" t="s">
        <v>296</v>
      </c>
      <c r="C90" t="s">
        <v>297</v>
      </c>
      <c r="D90" t="s">
        <v>589</v>
      </c>
      <c r="E90" t="s">
        <v>590</v>
      </c>
      <c r="F90" s="74">
        <v>45306</v>
      </c>
      <c r="G90" t="s">
        <v>609</v>
      </c>
      <c r="H90">
        <v>55</v>
      </c>
      <c r="I90">
        <v>58</v>
      </c>
    </row>
    <row r="91" spans="1:9" x14ac:dyDescent="0.25">
      <c r="A91" t="s">
        <v>702</v>
      </c>
      <c r="B91" t="s">
        <v>296</v>
      </c>
      <c r="C91" t="s">
        <v>297</v>
      </c>
      <c r="D91" t="s">
        <v>557</v>
      </c>
      <c r="E91" t="s">
        <v>558</v>
      </c>
      <c r="F91" s="74">
        <v>45306</v>
      </c>
      <c r="G91" t="s">
        <v>609</v>
      </c>
      <c r="H91">
        <v>60</v>
      </c>
      <c r="I91">
        <v>62</v>
      </c>
    </row>
    <row r="92" spans="1:9" x14ac:dyDescent="0.25">
      <c r="A92" t="s">
        <v>703</v>
      </c>
      <c r="B92" t="s">
        <v>306</v>
      </c>
      <c r="C92" t="s">
        <v>307</v>
      </c>
      <c r="D92" t="s">
        <v>563</v>
      </c>
      <c r="E92" t="s">
        <v>564</v>
      </c>
      <c r="F92" s="74">
        <v>45327</v>
      </c>
      <c r="G92" t="s">
        <v>609</v>
      </c>
      <c r="H92">
        <v>80</v>
      </c>
      <c r="I92">
        <v>82</v>
      </c>
    </row>
    <row r="93" spans="1:9" x14ac:dyDescent="0.25">
      <c r="A93" t="s">
        <v>704</v>
      </c>
      <c r="B93" t="s">
        <v>306</v>
      </c>
      <c r="C93" t="s">
        <v>307</v>
      </c>
      <c r="D93" t="s">
        <v>566</v>
      </c>
      <c r="E93" t="s">
        <v>567</v>
      </c>
      <c r="F93" s="74">
        <v>45327</v>
      </c>
      <c r="G93" t="s">
        <v>609</v>
      </c>
      <c r="H93">
        <v>84</v>
      </c>
      <c r="I93">
        <v>85</v>
      </c>
    </row>
    <row r="94" spans="1:9" x14ac:dyDescent="0.25">
      <c r="A94" t="s">
        <v>705</v>
      </c>
      <c r="B94" t="s">
        <v>315</v>
      </c>
      <c r="C94" t="s">
        <v>316</v>
      </c>
      <c r="D94" t="s">
        <v>574</v>
      </c>
      <c r="E94" t="s">
        <v>575</v>
      </c>
      <c r="F94" s="74">
        <v>45306</v>
      </c>
      <c r="G94" t="s">
        <v>609</v>
      </c>
      <c r="H94">
        <v>71</v>
      </c>
      <c r="I94">
        <v>73</v>
      </c>
    </row>
    <row r="95" spans="1:9" x14ac:dyDescent="0.25">
      <c r="A95" t="s">
        <v>706</v>
      </c>
      <c r="B95" t="s">
        <v>315</v>
      </c>
      <c r="C95" t="s">
        <v>316</v>
      </c>
      <c r="D95" t="s">
        <v>578</v>
      </c>
      <c r="E95" t="s">
        <v>579</v>
      </c>
      <c r="F95" s="74">
        <v>45306</v>
      </c>
      <c r="G95" t="s">
        <v>609</v>
      </c>
      <c r="H95">
        <v>68</v>
      </c>
      <c r="I95">
        <v>70</v>
      </c>
    </row>
    <row r="96" spans="1:9" x14ac:dyDescent="0.25">
      <c r="A96" t="s">
        <v>707</v>
      </c>
      <c r="B96" t="s">
        <v>315</v>
      </c>
      <c r="C96" t="s">
        <v>316</v>
      </c>
      <c r="D96" t="s">
        <v>581</v>
      </c>
      <c r="E96" t="s">
        <v>582</v>
      </c>
      <c r="F96" s="74">
        <v>45306</v>
      </c>
      <c r="G96" t="s">
        <v>609</v>
      </c>
      <c r="H96">
        <v>75</v>
      </c>
      <c r="I96">
        <v>77</v>
      </c>
    </row>
    <row r="97" spans="1:9" x14ac:dyDescent="0.25">
      <c r="A97" t="s">
        <v>708</v>
      </c>
      <c r="B97" t="s">
        <v>315</v>
      </c>
      <c r="C97" t="s">
        <v>316</v>
      </c>
      <c r="D97" t="s">
        <v>566</v>
      </c>
      <c r="E97" t="s">
        <v>567</v>
      </c>
      <c r="F97" s="74">
        <v>45306</v>
      </c>
      <c r="G97" t="s">
        <v>609</v>
      </c>
      <c r="H97">
        <v>73</v>
      </c>
      <c r="I97">
        <v>75</v>
      </c>
    </row>
    <row r="98" spans="1:9" x14ac:dyDescent="0.25">
      <c r="A98" t="s">
        <v>709</v>
      </c>
      <c r="B98" t="s">
        <v>324</v>
      </c>
      <c r="C98" t="s">
        <v>325</v>
      </c>
      <c r="D98" t="s">
        <v>563</v>
      </c>
      <c r="E98" t="s">
        <v>564</v>
      </c>
      <c r="F98" s="74">
        <v>45301</v>
      </c>
      <c r="G98" t="s">
        <v>609</v>
      </c>
      <c r="H98">
        <v>88</v>
      </c>
      <c r="I98">
        <v>90</v>
      </c>
    </row>
    <row r="99" spans="1:9" x14ac:dyDescent="0.25">
      <c r="A99" t="s">
        <v>710</v>
      </c>
      <c r="B99" t="s">
        <v>324</v>
      </c>
      <c r="C99" t="s">
        <v>325</v>
      </c>
      <c r="D99" t="s">
        <v>566</v>
      </c>
      <c r="E99" t="s">
        <v>567</v>
      </c>
      <c r="F99" s="74">
        <v>45301</v>
      </c>
      <c r="G99" t="s">
        <v>609</v>
      </c>
      <c r="H99">
        <v>91</v>
      </c>
      <c r="I99">
        <v>92</v>
      </c>
    </row>
    <row r="100" spans="1:9" x14ac:dyDescent="0.25">
      <c r="A100" t="s">
        <v>711</v>
      </c>
      <c r="B100" t="s">
        <v>341</v>
      </c>
      <c r="C100" t="s">
        <v>342</v>
      </c>
      <c r="D100" t="s">
        <v>566</v>
      </c>
      <c r="E100" t="s">
        <v>567</v>
      </c>
      <c r="F100" s="74">
        <v>45301</v>
      </c>
      <c r="G100" t="s">
        <v>609</v>
      </c>
      <c r="H100">
        <v>78</v>
      </c>
      <c r="I100">
        <v>80</v>
      </c>
    </row>
    <row r="101" spans="1:9" x14ac:dyDescent="0.25">
      <c r="A101" t="s">
        <v>712</v>
      </c>
      <c r="B101" t="s">
        <v>357</v>
      </c>
      <c r="C101" t="s">
        <v>358</v>
      </c>
      <c r="D101" t="s">
        <v>563</v>
      </c>
      <c r="E101" t="s">
        <v>564</v>
      </c>
      <c r="F101" s="74">
        <v>45301</v>
      </c>
      <c r="G101" t="s">
        <v>609</v>
      </c>
      <c r="H101">
        <v>82</v>
      </c>
      <c r="I101">
        <v>84</v>
      </c>
    </row>
    <row r="102" spans="1:9" x14ac:dyDescent="0.25">
      <c r="A102" t="s">
        <v>713</v>
      </c>
      <c r="B102" t="s">
        <v>357</v>
      </c>
      <c r="C102" t="s">
        <v>358</v>
      </c>
      <c r="D102" t="s">
        <v>566</v>
      </c>
      <c r="E102" t="s">
        <v>567</v>
      </c>
      <c r="F102" s="74">
        <v>45301</v>
      </c>
      <c r="G102" t="s">
        <v>609</v>
      </c>
      <c r="H102">
        <v>79</v>
      </c>
      <c r="I102">
        <v>81</v>
      </c>
    </row>
    <row r="103" spans="1:9" x14ac:dyDescent="0.25">
      <c r="A103" t="s">
        <v>714</v>
      </c>
      <c r="B103" t="s">
        <v>399</v>
      </c>
      <c r="C103" t="s">
        <v>400</v>
      </c>
      <c r="D103" t="s">
        <v>557</v>
      </c>
      <c r="E103" t="s">
        <v>558</v>
      </c>
      <c r="F103" s="74">
        <v>45306</v>
      </c>
      <c r="G103" t="s">
        <v>609</v>
      </c>
      <c r="H103">
        <v>76</v>
      </c>
      <c r="I103">
        <v>78</v>
      </c>
    </row>
    <row r="104" spans="1:9" x14ac:dyDescent="0.25">
      <c r="A104" t="s">
        <v>715</v>
      </c>
      <c r="B104" t="s">
        <v>399</v>
      </c>
      <c r="C104" t="s">
        <v>400</v>
      </c>
      <c r="D104" t="s">
        <v>566</v>
      </c>
      <c r="E104" t="s">
        <v>567</v>
      </c>
      <c r="F104" s="74">
        <v>45306</v>
      </c>
      <c r="G104" t="s">
        <v>609</v>
      </c>
      <c r="H104">
        <v>72</v>
      </c>
      <c r="I104">
        <v>74</v>
      </c>
    </row>
    <row r="105" spans="1:9" x14ac:dyDescent="0.25">
      <c r="A105" t="s">
        <v>716</v>
      </c>
      <c r="B105" t="s">
        <v>399</v>
      </c>
      <c r="C105" t="s">
        <v>400</v>
      </c>
      <c r="D105" t="s">
        <v>570</v>
      </c>
      <c r="E105" t="s">
        <v>571</v>
      </c>
      <c r="F105" s="74">
        <v>45306</v>
      </c>
      <c r="G105" t="s">
        <v>609</v>
      </c>
      <c r="H105">
        <v>80</v>
      </c>
      <c r="I105">
        <v>82</v>
      </c>
    </row>
    <row r="106" spans="1:9" x14ac:dyDescent="0.25">
      <c r="A106" t="s">
        <v>717</v>
      </c>
      <c r="B106" t="s">
        <v>438</v>
      </c>
      <c r="C106" t="s">
        <v>439</v>
      </c>
      <c r="D106" t="s">
        <v>592</v>
      </c>
      <c r="E106" t="s">
        <v>593</v>
      </c>
      <c r="F106" s="74">
        <v>45306</v>
      </c>
      <c r="G106" t="s">
        <v>609</v>
      </c>
      <c r="H106">
        <v>82</v>
      </c>
      <c r="I106">
        <v>84</v>
      </c>
    </row>
    <row r="107" spans="1:9" x14ac:dyDescent="0.25">
      <c r="A107" t="s">
        <v>718</v>
      </c>
      <c r="B107" t="s">
        <v>438</v>
      </c>
      <c r="C107" t="s">
        <v>439</v>
      </c>
      <c r="D107" t="s">
        <v>595</v>
      </c>
      <c r="E107" t="s">
        <v>596</v>
      </c>
      <c r="F107" s="74">
        <v>45306</v>
      </c>
      <c r="G107" t="s">
        <v>609</v>
      </c>
      <c r="H107">
        <v>88</v>
      </c>
      <c r="I107">
        <v>89</v>
      </c>
    </row>
    <row r="108" spans="1:9" x14ac:dyDescent="0.25">
      <c r="A108" t="s">
        <v>719</v>
      </c>
      <c r="B108" t="s">
        <v>438</v>
      </c>
      <c r="C108" t="s">
        <v>439</v>
      </c>
      <c r="D108" t="s">
        <v>598</v>
      </c>
      <c r="E108" t="s">
        <v>599</v>
      </c>
      <c r="F108" s="74">
        <v>45306</v>
      </c>
      <c r="G108" t="s">
        <v>609</v>
      </c>
      <c r="H108">
        <v>79</v>
      </c>
      <c r="I108">
        <v>81</v>
      </c>
    </row>
    <row r="109" spans="1:9" x14ac:dyDescent="0.25">
      <c r="A109" t="s">
        <v>720</v>
      </c>
      <c r="B109" t="s">
        <v>438</v>
      </c>
      <c r="C109" t="s">
        <v>439</v>
      </c>
      <c r="D109" t="s">
        <v>557</v>
      </c>
      <c r="E109" t="s">
        <v>558</v>
      </c>
      <c r="F109" s="74">
        <v>45306</v>
      </c>
      <c r="G109" t="s">
        <v>609</v>
      </c>
      <c r="H109">
        <v>85</v>
      </c>
      <c r="I109">
        <v>87</v>
      </c>
    </row>
    <row r="110" spans="1:9" x14ac:dyDescent="0.25">
      <c r="A110" t="s">
        <v>721</v>
      </c>
      <c r="B110" t="s">
        <v>451</v>
      </c>
      <c r="C110" t="s">
        <v>452</v>
      </c>
      <c r="D110" t="s">
        <v>595</v>
      </c>
      <c r="E110" t="s">
        <v>596</v>
      </c>
      <c r="F110" s="74">
        <v>45301</v>
      </c>
      <c r="G110" t="s">
        <v>609</v>
      </c>
      <c r="H110">
        <v>76</v>
      </c>
      <c r="I110">
        <v>78</v>
      </c>
    </row>
    <row r="111" spans="1:9" x14ac:dyDescent="0.25">
      <c r="A111" t="s">
        <v>722</v>
      </c>
      <c r="B111" t="s">
        <v>451</v>
      </c>
      <c r="C111" t="s">
        <v>452</v>
      </c>
      <c r="D111" t="s">
        <v>598</v>
      </c>
      <c r="E111" t="s">
        <v>599</v>
      </c>
      <c r="F111" s="74">
        <v>45301</v>
      </c>
      <c r="G111" t="s">
        <v>609</v>
      </c>
      <c r="H111">
        <v>73</v>
      </c>
      <c r="I111">
        <v>75</v>
      </c>
    </row>
    <row r="112" spans="1:9" x14ac:dyDescent="0.25">
      <c r="A112" t="s">
        <v>723</v>
      </c>
      <c r="B112" t="s">
        <v>412</v>
      </c>
      <c r="C112" t="s">
        <v>413</v>
      </c>
      <c r="D112" t="s">
        <v>595</v>
      </c>
      <c r="E112" t="s">
        <v>596</v>
      </c>
      <c r="F112" s="74">
        <v>45301</v>
      </c>
      <c r="G112" t="s">
        <v>609</v>
      </c>
      <c r="H112">
        <v>90</v>
      </c>
      <c r="I112">
        <v>91</v>
      </c>
    </row>
    <row r="113" spans="1:9" x14ac:dyDescent="0.25">
      <c r="A113" t="s">
        <v>724</v>
      </c>
      <c r="B113" t="s">
        <v>412</v>
      </c>
      <c r="C113" t="s">
        <v>413</v>
      </c>
      <c r="D113" t="s">
        <v>563</v>
      </c>
      <c r="E113" t="s">
        <v>564</v>
      </c>
      <c r="F113" s="74">
        <v>45301</v>
      </c>
      <c r="G113" t="s">
        <v>609</v>
      </c>
      <c r="H113">
        <v>86</v>
      </c>
      <c r="I113">
        <v>88</v>
      </c>
    </row>
    <row r="114" spans="1:9" x14ac:dyDescent="0.25">
      <c r="A114" t="s">
        <v>725</v>
      </c>
      <c r="B114" t="s">
        <v>425</v>
      </c>
      <c r="C114" t="s">
        <v>426</v>
      </c>
      <c r="D114" t="s">
        <v>595</v>
      </c>
      <c r="E114" t="s">
        <v>596</v>
      </c>
      <c r="F114" s="74">
        <v>45301</v>
      </c>
      <c r="G114" t="s">
        <v>609</v>
      </c>
      <c r="H114">
        <v>88</v>
      </c>
      <c r="I114">
        <v>89</v>
      </c>
    </row>
    <row r="115" spans="1:9" x14ac:dyDescent="0.25">
      <c r="A115" t="s">
        <v>726</v>
      </c>
      <c r="B115" t="s">
        <v>425</v>
      </c>
      <c r="C115" t="s">
        <v>426</v>
      </c>
      <c r="D115" t="s">
        <v>563</v>
      </c>
      <c r="E115" t="s">
        <v>564</v>
      </c>
      <c r="F115" s="74">
        <v>45301</v>
      </c>
      <c r="G115" t="s">
        <v>609</v>
      </c>
      <c r="H115">
        <v>91</v>
      </c>
      <c r="I115">
        <v>93</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48"/>
  <sheetViews>
    <sheetView showGridLines="0" zoomScaleNormal="100" workbookViewId="0">
      <pane ySplit="1" topLeftCell="A2" activePane="bottomLeft" state="frozen"/>
      <selection pane="bottomLeft"/>
    </sheetView>
  </sheetViews>
  <sheetFormatPr defaultColWidth="8.7109375" defaultRowHeight="15" x14ac:dyDescent="0.25"/>
  <cols>
    <col min="1" max="1" width="12" customWidth="1"/>
    <col min="2" max="2" width="16" customWidth="1"/>
    <col min="3" max="3" width="22" customWidth="1"/>
    <col min="4" max="9" width="10" customWidth="1"/>
    <col min="10" max="10" width="12" customWidth="1"/>
  </cols>
  <sheetData>
    <row r="1" spans="1:10" ht="30" customHeight="1" x14ac:dyDescent="0.25">
      <c r="A1" s="17" t="s">
        <v>727</v>
      </c>
      <c r="B1" s="17" t="s">
        <v>0</v>
      </c>
      <c r="C1" s="17" t="s">
        <v>602</v>
      </c>
      <c r="D1" s="17" t="s">
        <v>463</v>
      </c>
      <c r="E1" s="17" t="s">
        <v>728</v>
      </c>
      <c r="F1" s="17" t="s">
        <v>729</v>
      </c>
      <c r="G1" s="17" t="s">
        <v>730</v>
      </c>
      <c r="H1" s="17" t="s">
        <v>731</v>
      </c>
      <c r="I1" s="17" t="s">
        <v>732</v>
      </c>
      <c r="J1" s="17" t="s">
        <v>733</v>
      </c>
    </row>
    <row r="2" spans="1:10" ht="15" customHeight="1" x14ac:dyDescent="0.25">
      <c r="A2" s="18" t="s">
        <v>734</v>
      </c>
      <c r="B2" s="18" t="s">
        <v>35</v>
      </c>
      <c r="C2" s="18" t="s">
        <v>36</v>
      </c>
      <c r="D2" s="18" t="s">
        <v>471</v>
      </c>
      <c r="E2" s="18">
        <v>85</v>
      </c>
      <c r="F2" s="18">
        <v>88</v>
      </c>
      <c r="G2" s="18">
        <v>82</v>
      </c>
      <c r="H2" s="18"/>
      <c r="I2" s="18"/>
      <c r="J2" s="18" t="s">
        <v>735</v>
      </c>
    </row>
    <row r="3" spans="1:10" ht="15" customHeight="1" x14ac:dyDescent="0.25">
      <c r="A3" s="19" t="s">
        <v>736</v>
      </c>
      <c r="B3" s="19" t="s">
        <v>35</v>
      </c>
      <c r="C3" s="19" t="s">
        <v>36</v>
      </c>
      <c r="D3" s="19" t="s">
        <v>476</v>
      </c>
      <c r="E3" s="19">
        <v>90</v>
      </c>
      <c r="F3" s="19">
        <v>87</v>
      </c>
      <c r="G3" s="19">
        <v>88</v>
      </c>
      <c r="H3" s="19"/>
      <c r="I3" s="19"/>
      <c r="J3" s="19" t="s">
        <v>735</v>
      </c>
    </row>
    <row r="4" spans="1:10" ht="15" customHeight="1" x14ac:dyDescent="0.25">
      <c r="A4" s="18" t="s">
        <v>737</v>
      </c>
      <c r="B4" s="18" t="s">
        <v>35</v>
      </c>
      <c r="C4" s="18" t="s">
        <v>36</v>
      </c>
      <c r="D4" s="18" t="s">
        <v>525</v>
      </c>
      <c r="E4" s="18">
        <v>78</v>
      </c>
      <c r="F4" s="18">
        <v>80</v>
      </c>
      <c r="G4" s="18">
        <v>75</v>
      </c>
      <c r="H4" s="18"/>
      <c r="I4" s="18"/>
      <c r="J4" s="18" t="s">
        <v>735</v>
      </c>
    </row>
    <row r="5" spans="1:10" ht="15" customHeight="1" x14ac:dyDescent="0.25">
      <c r="A5" s="19" t="s">
        <v>738</v>
      </c>
      <c r="B5" s="19" t="s">
        <v>35</v>
      </c>
      <c r="C5" s="19" t="s">
        <v>36</v>
      </c>
      <c r="D5" s="19" t="s">
        <v>553</v>
      </c>
      <c r="E5" s="19">
        <v>92</v>
      </c>
      <c r="F5" s="19">
        <v>91</v>
      </c>
      <c r="G5" s="19">
        <v>90</v>
      </c>
      <c r="H5" s="19"/>
      <c r="I5" s="19"/>
      <c r="J5" s="19" t="s">
        <v>739</v>
      </c>
    </row>
    <row r="6" spans="1:10" ht="15" customHeight="1" x14ac:dyDescent="0.25">
      <c r="A6" s="18" t="s">
        <v>740</v>
      </c>
      <c r="B6" s="18" t="s">
        <v>85</v>
      </c>
      <c r="C6" s="18" t="s">
        <v>86</v>
      </c>
      <c r="D6" s="18" t="s">
        <v>508</v>
      </c>
      <c r="E6" s="18">
        <v>94</v>
      </c>
      <c r="F6" s="18">
        <v>93</v>
      </c>
      <c r="G6" s="18">
        <v>91</v>
      </c>
      <c r="H6" s="18">
        <v>95</v>
      </c>
      <c r="I6" s="18">
        <v>93</v>
      </c>
      <c r="J6" s="18" t="s">
        <v>739</v>
      </c>
    </row>
    <row r="7" spans="1:10" ht="15" customHeight="1" x14ac:dyDescent="0.25">
      <c r="A7" s="19" t="s">
        <v>741</v>
      </c>
      <c r="B7" s="19" t="s">
        <v>85</v>
      </c>
      <c r="C7" s="19" t="s">
        <v>86</v>
      </c>
      <c r="D7" s="19" t="s">
        <v>503</v>
      </c>
      <c r="E7" s="19">
        <v>91</v>
      </c>
      <c r="F7" s="19">
        <v>90</v>
      </c>
      <c r="G7" s="19">
        <v>88</v>
      </c>
      <c r="H7" s="19">
        <v>91</v>
      </c>
      <c r="I7" s="19">
        <v>90</v>
      </c>
      <c r="J7" s="19" t="s">
        <v>739</v>
      </c>
    </row>
    <row r="8" spans="1:10" ht="15" customHeight="1" x14ac:dyDescent="0.25">
      <c r="A8" s="18" t="s">
        <v>742</v>
      </c>
      <c r="B8" s="18" t="s">
        <v>100</v>
      </c>
      <c r="C8" s="18" t="s">
        <v>101</v>
      </c>
      <c r="D8" s="18" t="s">
        <v>525</v>
      </c>
      <c r="E8" s="18">
        <v>52</v>
      </c>
      <c r="F8" s="18">
        <v>55</v>
      </c>
      <c r="G8" s="18">
        <v>48</v>
      </c>
      <c r="H8" s="18"/>
      <c r="I8" s="18"/>
      <c r="J8" s="18" t="s">
        <v>743</v>
      </c>
    </row>
    <row r="9" spans="1:10" ht="15" customHeight="1" x14ac:dyDescent="0.25">
      <c r="A9" s="19" t="s">
        <v>744</v>
      </c>
      <c r="B9" s="19" t="s">
        <v>200</v>
      </c>
      <c r="C9" s="19" t="s">
        <v>201</v>
      </c>
      <c r="D9" s="19" t="s">
        <v>471</v>
      </c>
      <c r="E9" s="19">
        <v>97</v>
      </c>
      <c r="F9" s="19">
        <v>96</v>
      </c>
      <c r="G9" s="19">
        <v>95</v>
      </c>
      <c r="H9" s="19"/>
      <c r="I9" s="19"/>
      <c r="J9" s="19" t="s">
        <v>739</v>
      </c>
    </row>
    <row r="10" spans="1:10" ht="15" customHeight="1" x14ac:dyDescent="0.25">
      <c r="A10" s="18" t="s">
        <v>745</v>
      </c>
      <c r="B10" s="18" t="s">
        <v>177</v>
      </c>
      <c r="C10" s="18" t="s">
        <v>178</v>
      </c>
      <c r="D10" s="18" t="s">
        <v>503</v>
      </c>
      <c r="E10" s="18">
        <v>48</v>
      </c>
      <c r="F10" s="18">
        <v>46</v>
      </c>
      <c r="G10" s="18">
        <v>45</v>
      </c>
      <c r="H10" s="18"/>
      <c r="I10" s="18"/>
      <c r="J10" s="18" t="s">
        <v>746</v>
      </c>
    </row>
    <row r="11" spans="1:10" ht="15" customHeight="1" x14ac:dyDescent="0.25">
      <c r="A11" s="19" t="s">
        <v>747</v>
      </c>
      <c r="B11" s="19" t="s">
        <v>218</v>
      </c>
      <c r="C11" s="19" t="s">
        <v>219</v>
      </c>
      <c r="D11" s="19" t="s">
        <v>498</v>
      </c>
      <c r="E11" s="19">
        <v>86</v>
      </c>
      <c r="F11" s="19">
        <v>85</v>
      </c>
      <c r="G11" s="19">
        <v>84</v>
      </c>
      <c r="H11" s="19"/>
      <c r="I11" s="19"/>
      <c r="J11" s="19" t="s">
        <v>735</v>
      </c>
    </row>
    <row r="12" spans="1:10" ht="15" customHeight="1" x14ac:dyDescent="0.25">
      <c r="A12" s="18" t="s">
        <v>748</v>
      </c>
      <c r="B12" s="18" t="s">
        <v>187</v>
      </c>
      <c r="C12" s="18" t="s">
        <v>188</v>
      </c>
      <c r="D12" s="18" t="s">
        <v>521</v>
      </c>
      <c r="E12" s="18">
        <v>91</v>
      </c>
      <c r="F12" s="18">
        <v>90</v>
      </c>
      <c r="G12" s="18">
        <v>89</v>
      </c>
      <c r="H12" s="18"/>
      <c r="I12" s="18"/>
      <c r="J12" s="18" t="s">
        <v>739</v>
      </c>
    </row>
    <row r="13" spans="1:10" ht="15" customHeight="1" x14ac:dyDescent="0.25">
      <c r="A13" s="19" t="s">
        <v>749</v>
      </c>
      <c r="B13" s="19" t="s">
        <v>229</v>
      </c>
      <c r="C13" s="19" t="s">
        <v>230</v>
      </c>
      <c r="D13" s="19" t="s">
        <v>503</v>
      </c>
      <c r="E13" s="19">
        <v>93</v>
      </c>
      <c r="F13" s="19">
        <v>92</v>
      </c>
      <c r="G13" s="19">
        <v>90</v>
      </c>
      <c r="H13" s="19">
        <v>94</v>
      </c>
      <c r="I13" s="19">
        <v>93</v>
      </c>
      <c r="J13" s="19" t="s">
        <v>739</v>
      </c>
    </row>
    <row r="14" spans="1:10" ht="15" customHeight="1" x14ac:dyDescent="0.25">
      <c r="A14" s="18" t="s">
        <v>750</v>
      </c>
      <c r="B14" s="18" t="s">
        <v>245</v>
      </c>
      <c r="C14" s="18" t="s">
        <v>246</v>
      </c>
      <c r="D14" s="18" t="s">
        <v>550</v>
      </c>
      <c r="E14" s="18">
        <v>88</v>
      </c>
      <c r="F14" s="18">
        <v>85</v>
      </c>
      <c r="G14" s="18">
        <v>84</v>
      </c>
      <c r="H14" s="18"/>
      <c r="I14" s="18"/>
      <c r="J14" s="18" t="s">
        <v>735</v>
      </c>
    </row>
    <row r="15" spans="1:10" ht="15" customHeight="1" x14ac:dyDescent="0.25">
      <c r="A15" s="19" t="s">
        <v>751</v>
      </c>
      <c r="B15" s="19" t="s">
        <v>245</v>
      </c>
      <c r="C15" s="19" t="s">
        <v>246</v>
      </c>
      <c r="D15" s="19" t="s">
        <v>534</v>
      </c>
      <c r="E15" s="19">
        <v>80</v>
      </c>
      <c r="F15" s="19">
        <v>79</v>
      </c>
      <c r="G15" s="19">
        <v>78</v>
      </c>
      <c r="H15" s="19"/>
      <c r="I15" s="19"/>
      <c r="J15" s="19" t="s">
        <v>735</v>
      </c>
    </row>
    <row r="16" spans="1:10" ht="15" customHeight="1" x14ac:dyDescent="0.25">
      <c r="A16" s="18" t="s">
        <v>752</v>
      </c>
      <c r="B16" s="18" t="s">
        <v>245</v>
      </c>
      <c r="C16" s="18" t="s">
        <v>246</v>
      </c>
      <c r="D16" s="18" t="s">
        <v>525</v>
      </c>
      <c r="E16" s="18">
        <v>83</v>
      </c>
      <c r="F16" s="18">
        <v>82</v>
      </c>
      <c r="G16" s="18">
        <v>81</v>
      </c>
      <c r="H16" s="18"/>
      <c r="I16" s="18"/>
      <c r="J16" s="18" t="s">
        <v>735</v>
      </c>
    </row>
    <row r="17" spans="1:10" ht="15" customHeight="1" x14ac:dyDescent="0.25">
      <c r="A17" s="19" t="s">
        <v>753</v>
      </c>
      <c r="B17" s="19" t="s">
        <v>245</v>
      </c>
      <c r="C17" s="19" t="s">
        <v>246</v>
      </c>
      <c r="D17" s="19" t="s">
        <v>553</v>
      </c>
      <c r="E17" s="19">
        <v>89</v>
      </c>
      <c r="F17" s="19">
        <v>88</v>
      </c>
      <c r="G17" s="19">
        <v>87</v>
      </c>
      <c r="H17" s="19"/>
      <c r="I17" s="19"/>
      <c r="J17" s="19" t="s">
        <v>735</v>
      </c>
    </row>
    <row r="18" spans="1:10" x14ac:dyDescent="0.25">
      <c r="A18" t="s">
        <v>754</v>
      </c>
      <c r="B18" t="s">
        <v>251</v>
      </c>
      <c r="C18" t="s">
        <v>252</v>
      </c>
      <c r="D18" t="s">
        <v>585</v>
      </c>
      <c r="E18">
        <v>83</v>
      </c>
      <c r="F18">
        <v>85</v>
      </c>
      <c r="G18">
        <v>81</v>
      </c>
      <c r="J18" t="s">
        <v>735</v>
      </c>
    </row>
    <row r="19" spans="1:10" x14ac:dyDescent="0.25">
      <c r="A19" t="s">
        <v>755</v>
      </c>
      <c r="B19" t="s">
        <v>251</v>
      </c>
      <c r="C19" t="s">
        <v>252</v>
      </c>
      <c r="D19" t="s">
        <v>563</v>
      </c>
      <c r="E19">
        <v>80</v>
      </c>
      <c r="F19">
        <v>82</v>
      </c>
      <c r="G19">
        <v>78</v>
      </c>
      <c r="J19" t="s">
        <v>735</v>
      </c>
    </row>
    <row r="20" spans="1:10" x14ac:dyDescent="0.25">
      <c r="A20" t="s">
        <v>756</v>
      </c>
      <c r="B20" t="s">
        <v>251</v>
      </c>
      <c r="C20" t="s">
        <v>252</v>
      </c>
      <c r="D20" t="s">
        <v>566</v>
      </c>
      <c r="E20">
        <v>88</v>
      </c>
      <c r="F20">
        <v>87</v>
      </c>
      <c r="G20">
        <v>85</v>
      </c>
      <c r="J20" t="s">
        <v>735</v>
      </c>
    </row>
    <row r="21" spans="1:10" x14ac:dyDescent="0.25">
      <c r="A21" t="s">
        <v>757</v>
      </c>
      <c r="B21" t="s">
        <v>268</v>
      </c>
      <c r="C21" t="s">
        <v>269</v>
      </c>
      <c r="D21" t="s">
        <v>574</v>
      </c>
      <c r="E21">
        <v>76</v>
      </c>
      <c r="F21">
        <v>78</v>
      </c>
      <c r="G21">
        <v>74</v>
      </c>
      <c r="J21" t="s">
        <v>735</v>
      </c>
    </row>
    <row r="22" spans="1:10" x14ac:dyDescent="0.25">
      <c r="A22" t="s">
        <v>758</v>
      </c>
      <c r="B22" t="s">
        <v>268</v>
      </c>
      <c r="C22" t="s">
        <v>269</v>
      </c>
      <c r="D22" t="s">
        <v>578</v>
      </c>
      <c r="E22">
        <v>72</v>
      </c>
      <c r="F22">
        <v>75</v>
      </c>
      <c r="G22">
        <v>70</v>
      </c>
      <c r="J22" t="s">
        <v>759</v>
      </c>
    </row>
    <row r="23" spans="1:10" x14ac:dyDescent="0.25">
      <c r="A23" t="s">
        <v>760</v>
      </c>
      <c r="B23" t="s">
        <v>268</v>
      </c>
      <c r="C23" t="s">
        <v>269</v>
      </c>
      <c r="D23" t="s">
        <v>581</v>
      </c>
      <c r="E23">
        <v>79</v>
      </c>
      <c r="F23">
        <v>80</v>
      </c>
      <c r="G23">
        <v>77</v>
      </c>
      <c r="J23" t="s">
        <v>735</v>
      </c>
    </row>
    <row r="24" spans="1:10" x14ac:dyDescent="0.25">
      <c r="A24" t="s">
        <v>761</v>
      </c>
      <c r="B24" t="s">
        <v>296</v>
      </c>
      <c r="C24" t="s">
        <v>297</v>
      </c>
      <c r="D24" t="s">
        <v>589</v>
      </c>
      <c r="E24">
        <v>58</v>
      </c>
      <c r="F24">
        <v>60</v>
      </c>
      <c r="G24">
        <v>55</v>
      </c>
      <c r="J24" t="s">
        <v>743</v>
      </c>
    </row>
    <row r="25" spans="1:10" x14ac:dyDescent="0.25">
      <c r="A25" t="s">
        <v>762</v>
      </c>
      <c r="B25" t="s">
        <v>296</v>
      </c>
      <c r="C25" t="s">
        <v>297</v>
      </c>
      <c r="D25" t="s">
        <v>557</v>
      </c>
      <c r="E25">
        <v>62</v>
      </c>
      <c r="F25">
        <v>63</v>
      </c>
      <c r="G25">
        <v>60</v>
      </c>
      <c r="J25" t="s">
        <v>743</v>
      </c>
    </row>
    <row r="26" spans="1:10" x14ac:dyDescent="0.25">
      <c r="A26" t="s">
        <v>763</v>
      </c>
      <c r="B26" t="s">
        <v>306</v>
      </c>
      <c r="C26" t="s">
        <v>307</v>
      </c>
      <c r="D26" t="s">
        <v>563</v>
      </c>
      <c r="E26">
        <v>82</v>
      </c>
      <c r="F26">
        <v>84</v>
      </c>
      <c r="G26">
        <v>80</v>
      </c>
      <c r="J26" t="s">
        <v>735</v>
      </c>
    </row>
    <row r="27" spans="1:10" x14ac:dyDescent="0.25">
      <c r="A27" t="s">
        <v>764</v>
      </c>
      <c r="B27" t="s">
        <v>306</v>
      </c>
      <c r="C27" t="s">
        <v>307</v>
      </c>
      <c r="D27" t="s">
        <v>566</v>
      </c>
      <c r="E27">
        <v>85</v>
      </c>
      <c r="F27">
        <v>86</v>
      </c>
      <c r="G27">
        <v>84</v>
      </c>
      <c r="J27" t="s">
        <v>735</v>
      </c>
    </row>
    <row r="28" spans="1:10" x14ac:dyDescent="0.25">
      <c r="A28" t="s">
        <v>765</v>
      </c>
      <c r="B28" t="s">
        <v>315</v>
      </c>
      <c r="C28" t="s">
        <v>316</v>
      </c>
      <c r="D28" t="s">
        <v>574</v>
      </c>
      <c r="E28">
        <v>73</v>
      </c>
      <c r="F28">
        <v>75</v>
      </c>
      <c r="G28">
        <v>71</v>
      </c>
      <c r="J28" t="s">
        <v>735</v>
      </c>
    </row>
    <row r="29" spans="1:10" x14ac:dyDescent="0.25">
      <c r="A29" t="s">
        <v>766</v>
      </c>
      <c r="B29" t="s">
        <v>315</v>
      </c>
      <c r="C29" t="s">
        <v>316</v>
      </c>
      <c r="D29" t="s">
        <v>578</v>
      </c>
      <c r="E29">
        <v>70</v>
      </c>
      <c r="F29">
        <v>72</v>
      </c>
      <c r="G29">
        <v>68</v>
      </c>
      <c r="J29" t="s">
        <v>759</v>
      </c>
    </row>
    <row r="30" spans="1:10" x14ac:dyDescent="0.25">
      <c r="A30" t="s">
        <v>767</v>
      </c>
      <c r="B30" t="s">
        <v>315</v>
      </c>
      <c r="C30" t="s">
        <v>316</v>
      </c>
      <c r="D30" t="s">
        <v>581</v>
      </c>
      <c r="E30">
        <v>77</v>
      </c>
      <c r="F30">
        <v>78</v>
      </c>
      <c r="G30">
        <v>75</v>
      </c>
      <c r="J30" t="s">
        <v>735</v>
      </c>
    </row>
    <row r="31" spans="1:10" x14ac:dyDescent="0.25">
      <c r="A31" t="s">
        <v>768</v>
      </c>
      <c r="B31" t="s">
        <v>324</v>
      </c>
      <c r="C31" t="s">
        <v>325</v>
      </c>
      <c r="D31" t="s">
        <v>563</v>
      </c>
      <c r="E31">
        <v>90</v>
      </c>
      <c r="F31">
        <v>92</v>
      </c>
      <c r="G31">
        <v>88</v>
      </c>
      <c r="J31" t="s">
        <v>739</v>
      </c>
    </row>
    <row r="32" spans="1:10" x14ac:dyDescent="0.25">
      <c r="A32" t="s">
        <v>769</v>
      </c>
      <c r="B32" t="s">
        <v>324</v>
      </c>
      <c r="C32" t="s">
        <v>325</v>
      </c>
      <c r="D32" t="s">
        <v>566</v>
      </c>
      <c r="E32">
        <v>92</v>
      </c>
      <c r="F32">
        <v>93</v>
      </c>
      <c r="G32">
        <v>91</v>
      </c>
      <c r="J32" t="s">
        <v>739</v>
      </c>
    </row>
    <row r="33" spans="1:10" x14ac:dyDescent="0.25">
      <c r="A33" t="s">
        <v>770</v>
      </c>
      <c r="B33" t="s">
        <v>341</v>
      </c>
      <c r="C33" t="s">
        <v>342</v>
      </c>
      <c r="D33" t="s">
        <v>566</v>
      </c>
      <c r="E33">
        <v>80</v>
      </c>
      <c r="F33">
        <v>82</v>
      </c>
      <c r="G33">
        <v>78</v>
      </c>
      <c r="J33" t="s">
        <v>735</v>
      </c>
    </row>
    <row r="34" spans="1:10" x14ac:dyDescent="0.25">
      <c r="A34" t="s">
        <v>771</v>
      </c>
      <c r="B34" t="s">
        <v>357</v>
      </c>
      <c r="C34" t="s">
        <v>358</v>
      </c>
      <c r="D34" t="s">
        <v>563</v>
      </c>
      <c r="E34">
        <v>84</v>
      </c>
      <c r="F34">
        <v>86</v>
      </c>
      <c r="G34">
        <v>82</v>
      </c>
      <c r="J34" t="s">
        <v>735</v>
      </c>
    </row>
    <row r="35" spans="1:10" x14ac:dyDescent="0.25">
      <c r="A35" t="s">
        <v>772</v>
      </c>
      <c r="B35" t="s">
        <v>357</v>
      </c>
      <c r="C35" t="s">
        <v>358</v>
      </c>
      <c r="D35" t="s">
        <v>566</v>
      </c>
      <c r="E35">
        <v>81</v>
      </c>
      <c r="F35">
        <v>83</v>
      </c>
      <c r="G35">
        <v>79</v>
      </c>
      <c r="J35" t="s">
        <v>735</v>
      </c>
    </row>
    <row r="36" spans="1:10" x14ac:dyDescent="0.25">
      <c r="A36" t="s">
        <v>773</v>
      </c>
      <c r="B36" t="s">
        <v>399</v>
      </c>
      <c r="C36" t="s">
        <v>400</v>
      </c>
      <c r="D36" t="s">
        <v>557</v>
      </c>
      <c r="E36">
        <v>78</v>
      </c>
      <c r="F36">
        <v>80</v>
      </c>
      <c r="G36">
        <v>76</v>
      </c>
      <c r="J36" t="s">
        <v>735</v>
      </c>
    </row>
    <row r="37" spans="1:10" x14ac:dyDescent="0.25">
      <c r="A37" t="s">
        <v>774</v>
      </c>
      <c r="B37" t="s">
        <v>399</v>
      </c>
      <c r="C37" t="s">
        <v>400</v>
      </c>
      <c r="D37" t="s">
        <v>566</v>
      </c>
      <c r="E37">
        <v>74</v>
      </c>
      <c r="F37">
        <v>76</v>
      </c>
      <c r="G37">
        <v>72</v>
      </c>
      <c r="J37" t="s">
        <v>735</v>
      </c>
    </row>
    <row r="38" spans="1:10" x14ac:dyDescent="0.25">
      <c r="A38" t="s">
        <v>775</v>
      </c>
      <c r="B38" t="s">
        <v>399</v>
      </c>
      <c r="C38" t="s">
        <v>400</v>
      </c>
      <c r="D38" t="s">
        <v>570</v>
      </c>
      <c r="E38">
        <v>82</v>
      </c>
      <c r="F38">
        <v>84</v>
      </c>
      <c r="G38">
        <v>80</v>
      </c>
      <c r="J38" t="s">
        <v>735</v>
      </c>
    </row>
    <row r="39" spans="1:10" x14ac:dyDescent="0.25">
      <c r="A39" t="s">
        <v>776</v>
      </c>
      <c r="B39" t="s">
        <v>438</v>
      </c>
      <c r="C39" t="s">
        <v>439</v>
      </c>
      <c r="D39" t="s">
        <v>592</v>
      </c>
      <c r="E39">
        <v>85</v>
      </c>
      <c r="F39">
        <v>88</v>
      </c>
      <c r="G39">
        <v>82</v>
      </c>
      <c r="J39" t="s">
        <v>739</v>
      </c>
    </row>
    <row r="40" spans="1:10" x14ac:dyDescent="0.25">
      <c r="A40" t="s">
        <v>777</v>
      </c>
      <c r="B40" t="s">
        <v>438</v>
      </c>
      <c r="C40" t="s">
        <v>439</v>
      </c>
      <c r="D40" t="s">
        <v>595</v>
      </c>
      <c r="E40">
        <v>90</v>
      </c>
      <c r="F40">
        <v>91</v>
      </c>
      <c r="G40">
        <v>88</v>
      </c>
      <c r="J40" t="s">
        <v>739</v>
      </c>
    </row>
    <row r="41" spans="1:10" x14ac:dyDescent="0.25">
      <c r="A41" t="s">
        <v>778</v>
      </c>
      <c r="B41" t="s">
        <v>438</v>
      </c>
      <c r="C41" t="s">
        <v>439</v>
      </c>
      <c r="D41" t="s">
        <v>598</v>
      </c>
      <c r="E41">
        <v>80</v>
      </c>
      <c r="F41">
        <v>82</v>
      </c>
      <c r="G41">
        <v>79</v>
      </c>
      <c r="J41" t="s">
        <v>735</v>
      </c>
    </row>
    <row r="42" spans="1:10" x14ac:dyDescent="0.25">
      <c r="A42" t="s">
        <v>779</v>
      </c>
      <c r="B42" t="s">
        <v>438</v>
      </c>
      <c r="C42" t="s">
        <v>439</v>
      </c>
      <c r="D42" t="s">
        <v>557</v>
      </c>
      <c r="E42">
        <v>86</v>
      </c>
      <c r="F42">
        <v>88</v>
      </c>
      <c r="G42">
        <v>85</v>
      </c>
      <c r="J42" t="s">
        <v>735</v>
      </c>
    </row>
    <row r="43" spans="1:10" x14ac:dyDescent="0.25">
      <c r="A43" t="s">
        <v>780</v>
      </c>
      <c r="B43" t="s">
        <v>451</v>
      </c>
      <c r="C43" t="s">
        <v>452</v>
      </c>
      <c r="D43" t="s">
        <v>595</v>
      </c>
      <c r="E43">
        <v>77</v>
      </c>
      <c r="F43">
        <v>79</v>
      </c>
      <c r="G43">
        <v>76</v>
      </c>
      <c r="J43" t="s">
        <v>735</v>
      </c>
    </row>
    <row r="44" spans="1:10" x14ac:dyDescent="0.25">
      <c r="A44" t="s">
        <v>781</v>
      </c>
      <c r="B44" t="s">
        <v>451</v>
      </c>
      <c r="C44" t="s">
        <v>452</v>
      </c>
      <c r="D44" t="s">
        <v>598</v>
      </c>
      <c r="E44">
        <v>74</v>
      </c>
      <c r="F44">
        <v>76</v>
      </c>
      <c r="G44">
        <v>73</v>
      </c>
      <c r="J44" t="s">
        <v>735</v>
      </c>
    </row>
    <row r="45" spans="1:10" x14ac:dyDescent="0.25">
      <c r="A45" t="s">
        <v>782</v>
      </c>
      <c r="B45" t="s">
        <v>412</v>
      </c>
      <c r="C45" t="s">
        <v>413</v>
      </c>
      <c r="D45" t="s">
        <v>595</v>
      </c>
      <c r="E45">
        <v>91</v>
      </c>
      <c r="F45">
        <v>92</v>
      </c>
      <c r="G45">
        <v>90</v>
      </c>
      <c r="J45" t="s">
        <v>739</v>
      </c>
    </row>
    <row r="46" spans="1:10" x14ac:dyDescent="0.25">
      <c r="A46" t="s">
        <v>783</v>
      </c>
      <c r="B46" t="s">
        <v>412</v>
      </c>
      <c r="C46" t="s">
        <v>413</v>
      </c>
      <c r="D46" t="s">
        <v>563</v>
      </c>
      <c r="E46">
        <v>87</v>
      </c>
      <c r="F46">
        <v>89</v>
      </c>
      <c r="G46">
        <v>86</v>
      </c>
      <c r="J46" t="s">
        <v>739</v>
      </c>
    </row>
    <row r="47" spans="1:10" x14ac:dyDescent="0.25">
      <c r="A47" t="s">
        <v>784</v>
      </c>
      <c r="B47" t="s">
        <v>425</v>
      </c>
      <c r="C47" t="s">
        <v>426</v>
      </c>
      <c r="D47" t="s">
        <v>595</v>
      </c>
      <c r="E47">
        <v>89</v>
      </c>
      <c r="F47">
        <v>90</v>
      </c>
      <c r="G47">
        <v>88</v>
      </c>
      <c r="J47" t="s">
        <v>739</v>
      </c>
    </row>
    <row r="48" spans="1:10" x14ac:dyDescent="0.25">
      <c r="A48" t="s">
        <v>785</v>
      </c>
      <c r="B48" t="s">
        <v>425</v>
      </c>
      <c r="C48" t="s">
        <v>426</v>
      </c>
      <c r="D48" t="s">
        <v>563</v>
      </c>
      <c r="E48">
        <v>92</v>
      </c>
      <c r="F48">
        <v>94</v>
      </c>
      <c r="G48">
        <v>91</v>
      </c>
      <c r="J48" t="s">
        <v>739</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48"/>
  <sheetViews>
    <sheetView showGridLines="0" zoomScaleNormal="100" workbookViewId="0">
      <pane ySplit="1" topLeftCell="A2" activePane="bottomLeft" state="frozen"/>
      <selection pane="bottomLeft"/>
    </sheetView>
  </sheetViews>
  <sheetFormatPr defaultColWidth="8.7109375" defaultRowHeight="15" x14ac:dyDescent="0.25"/>
  <cols>
    <col min="1" max="1" width="12" customWidth="1"/>
    <col min="2" max="2" width="16" customWidth="1"/>
    <col min="3" max="3" width="22" customWidth="1"/>
    <col min="4" max="4" width="10" customWidth="1"/>
    <col min="5" max="5" width="28" customWidth="1"/>
    <col min="6" max="8" width="10" customWidth="1"/>
    <col min="9" max="9" width="8" customWidth="1"/>
    <col min="10" max="11" width="10" customWidth="1"/>
  </cols>
  <sheetData>
    <row r="1" spans="1:11" ht="30" customHeight="1" x14ac:dyDescent="0.25">
      <c r="A1" s="17" t="s">
        <v>786</v>
      </c>
      <c r="B1" s="17" t="s">
        <v>0</v>
      </c>
      <c r="C1" s="17" t="s">
        <v>602</v>
      </c>
      <c r="D1" s="17" t="s">
        <v>463</v>
      </c>
      <c r="E1" s="17" t="s">
        <v>603</v>
      </c>
      <c r="F1" s="17" t="s">
        <v>787</v>
      </c>
      <c r="G1" s="17" t="s">
        <v>788</v>
      </c>
      <c r="H1" s="17" t="s">
        <v>789</v>
      </c>
      <c r="I1" s="17" t="s">
        <v>790</v>
      </c>
      <c r="J1" s="17" t="s">
        <v>791</v>
      </c>
      <c r="K1" s="17" t="s">
        <v>792</v>
      </c>
    </row>
    <row r="2" spans="1:11" ht="15" customHeight="1" x14ac:dyDescent="0.25">
      <c r="A2" s="18" t="s">
        <v>793</v>
      </c>
      <c r="B2" s="18" t="s">
        <v>35</v>
      </c>
      <c r="C2" s="18" t="s">
        <v>36</v>
      </c>
      <c r="D2" s="18" t="s">
        <v>471</v>
      </c>
      <c r="E2" s="18" t="s">
        <v>472</v>
      </c>
      <c r="F2" s="18">
        <v>28</v>
      </c>
      <c r="G2" s="18">
        <v>26</v>
      </c>
      <c r="H2" s="18">
        <v>2</v>
      </c>
      <c r="I2" s="18">
        <v>1</v>
      </c>
      <c r="J2" s="20">
        <f t="shared" ref="J2:J17" si="0">ROUND(G2/F2*100,0)</f>
        <v>93</v>
      </c>
      <c r="K2" s="18" t="s">
        <v>794</v>
      </c>
    </row>
    <row r="3" spans="1:11" ht="15" customHeight="1" x14ac:dyDescent="0.25">
      <c r="A3" s="19" t="s">
        <v>795</v>
      </c>
      <c r="B3" s="19" t="s">
        <v>35</v>
      </c>
      <c r="C3" s="19" t="s">
        <v>36</v>
      </c>
      <c r="D3" s="19" t="s">
        <v>476</v>
      </c>
      <c r="E3" s="19" t="s">
        <v>477</v>
      </c>
      <c r="F3" s="19">
        <v>26</v>
      </c>
      <c r="G3" s="19">
        <v>25</v>
      </c>
      <c r="H3" s="19">
        <v>1</v>
      </c>
      <c r="I3" s="19">
        <v>2</v>
      </c>
      <c r="J3" s="21">
        <f t="shared" si="0"/>
        <v>96</v>
      </c>
      <c r="K3" s="19" t="s">
        <v>794</v>
      </c>
    </row>
    <row r="4" spans="1:11" ht="15" customHeight="1" x14ac:dyDescent="0.25">
      <c r="A4" s="18" t="s">
        <v>796</v>
      </c>
      <c r="B4" s="18" t="s">
        <v>100</v>
      </c>
      <c r="C4" s="18" t="s">
        <v>101</v>
      </c>
      <c r="D4" s="18" t="s">
        <v>525</v>
      </c>
      <c r="E4" s="18" t="s">
        <v>526</v>
      </c>
      <c r="F4" s="18">
        <v>30</v>
      </c>
      <c r="G4" s="18">
        <v>17</v>
      </c>
      <c r="H4" s="18">
        <v>13</v>
      </c>
      <c r="I4" s="18">
        <v>3</v>
      </c>
      <c r="J4" s="20">
        <f t="shared" si="0"/>
        <v>57</v>
      </c>
      <c r="K4" s="18" t="s">
        <v>797</v>
      </c>
    </row>
    <row r="5" spans="1:11" ht="15" customHeight="1" x14ac:dyDescent="0.25">
      <c r="A5" s="19" t="s">
        <v>798</v>
      </c>
      <c r="B5" s="19" t="s">
        <v>177</v>
      </c>
      <c r="C5" s="19" t="s">
        <v>178</v>
      </c>
      <c r="D5" s="19" t="s">
        <v>503</v>
      </c>
      <c r="E5" s="19" t="s">
        <v>504</v>
      </c>
      <c r="F5" s="19">
        <v>26</v>
      </c>
      <c r="G5" s="19">
        <v>14</v>
      </c>
      <c r="H5" s="19">
        <v>12</v>
      </c>
      <c r="I5" s="19">
        <v>2</v>
      </c>
      <c r="J5" s="21">
        <f t="shared" si="0"/>
        <v>54</v>
      </c>
      <c r="K5" s="19" t="s">
        <v>797</v>
      </c>
    </row>
    <row r="6" spans="1:11" ht="15" customHeight="1" x14ac:dyDescent="0.25">
      <c r="A6" s="18" t="s">
        <v>799</v>
      </c>
      <c r="B6" s="18" t="s">
        <v>200</v>
      </c>
      <c r="C6" s="18" t="s">
        <v>201</v>
      </c>
      <c r="D6" s="18" t="s">
        <v>471</v>
      </c>
      <c r="E6" s="18" t="s">
        <v>472</v>
      </c>
      <c r="F6" s="18">
        <v>28</v>
      </c>
      <c r="G6" s="18">
        <v>28</v>
      </c>
      <c r="H6" s="18">
        <v>0</v>
      </c>
      <c r="I6" s="18">
        <v>0</v>
      </c>
      <c r="J6" s="20">
        <f t="shared" si="0"/>
        <v>100</v>
      </c>
      <c r="K6" s="18" t="s">
        <v>794</v>
      </c>
    </row>
    <row r="7" spans="1:11" ht="15" customHeight="1" x14ac:dyDescent="0.25">
      <c r="A7" s="19" t="s">
        <v>800</v>
      </c>
      <c r="B7" s="19" t="s">
        <v>57</v>
      </c>
      <c r="C7" s="19" t="s">
        <v>58</v>
      </c>
      <c r="D7" s="19" t="s">
        <v>480</v>
      </c>
      <c r="E7" s="19" t="s">
        <v>481</v>
      </c>
      <c r="F7" s="19">
        <v>26</v>
      </c>
      <c r="G7" s="19">
        <v>21</v>
      </c>
      <c r="H7" s="19">
        <v>5</v>
      </c>
      <c r="I7" s="19">
        <v>2</v>
      </c>
      <c r="J7" s="21">
        <f t="shared" si="0"/>
        <v>81</v>
      </c>
      <c r="K7" s="19" t="s">
        <v>794</v>
      </c>
    </row>
    <row r="8" spans="1:11" ht="15" customHeight="1" x14ac:dyDescent="0.25">
      <c r="A8" s="18" t="s">
        <v>801</v>
      </c>
      <c r="B8" s="18" t="s">
        <v>234</v>
      </c>
      <c r="C8" s="18" t="s">
        <v>235</v>
      </c>
      <c r="D8" s="18" t="s">
        <v>543</v>
      </c>
      <c r="E8" s="18" t="s">
        <v>544</v>
      </c>
      <c r="F8" s="18">
        <v>26</v>
      </c>
      <c r="G8" s="18">
        <v>16</v>
      </c>
      <c r="H8" s="18">
        <v>10</v>
      </c>
      <c r="I8" s="18">
        <v>3</v>
      </c>
      <c r="J8" s="20">
        <f t="shared" si="0"/>
        <v>62</v>
      </c>
      <c r="K8" s="18" t="s">
        <v>802</v>
      </c>
    </row>
    <row r="9" spans="1:11" ht="15" customHeight="1" x14ac:dyDescent="0.25">
      <c r="A9" s="19" t="s">
        <v>803</v>
      </c>
      <c r="B9" s="19" t="s">
        <v>187</v>
      </c>
      <c r="C9" s="19" t="s">
        <v>188</v>
      </c>
      <c r="D9" s="19" t="s">
        <v>521</v>
      </c>
      <c r="E9" s="19" t="s">
        <v>522</v>
      </c>
      <c r="F9" s="19">
        <v>24</v>
      </c>
      <c r="G9" s="19">
        <v>24</v>
      </c>
      <c r="H9" s="19">
        <v>0</v>
      </c>
      <c r="I9" s="19">
        <v>1</v>
      </c>
      <c r="J9" s="21">
        <f t="shared" si="0"/>
        <v>100</v>
      </c>
      <c r="K9" s="19" t="s">
        <v>794</v>
      </c>
    </row>
    <row r="10" spans="1:11" ht="15" customHeight="1" x14ac:dyDescent="0.25">
      <c r="A10" s="18" t="s">
        <v>804</v>
      </c>
      <c r="B10" s="18" t="s">
        <v>131</v>
      </c>
      <c r="C10" s="18" t="s">
        <v>132</v>
      </c>
      <c r="D10" s="18" t="s">
        <v>498</v>
      </c>
      <c r="E10" s="18" t="s">
        <v>499</v>
      </c>
      <c r="F10" s="18">
        <v>26</v>
      </c>
      <c r="G10" s="18">
        <v>22</v>
      </c>
      <c r="H10" s="18">
        <v>4</v>
      </c>
      <c r="I10" s="18">
        <v>1</v>
      </c>
      <c r="J10" s="20">
        <f t="shared" si="0"/>
        <v>85</v>
      </c>
      <c r="K10" s="18" t="s">
        <v>794</v>
      </c>
    </row>
    <row r="11" spans="1:11" ht="15" customHeight="1" x14ac:dyDescent="0.25">
      <c r="A11" s="19" t="s">
        <v>805</v>
      </c>
      <c r="B11" s="19" t="s">
        <v>140</v>
      </c>
      <c r="C11" s="19" t="s">
        <v>141</v>
      </c>
      <c r="D11" s="19" t="s">
        <v>484</v>
      </c>
      <c r="E11" s="19" t="s">
        <v>485</v>
      </c>
      <c r="F11" s="19">
        <v>26</v>
      </c>
      <c r="G11" s="19">
        <v>16</v>
      </c>
      <c r="H11" s="19">
        <v>10</v>
      </c>
      <c r="I11" s="19">
        <v>2</v>
      </c>
      <c r="J11" s="21">
        <f t="shared" si="0"/>
        <v>62</v>
      </c>
      <c r="K11" s="19" t="s">
        <v>802</v>
      </c>
    </row>
    <row r="12" spans="1:11" ht="15" customHeight="1" x14ac:dyDescent="0.25">
      <c r="A12" s="18" t="s">
        <v>806</v>
      </c>
      <c r="B12" s="18" t="s">
        <v>223</v>
      </c>
      <c r="C12" s="18" t="s">
        <v>224</v>
      </c>
      <c r="D12" s="18" t="s">
        <v>516</v>
      </c>
      <c r="E12" s="18" t="s">
        <v>517</v>
      </c>
      <c r="F12" s="18">
        <v>24</v>
      </c>
      <c r="G12" s="18">
        <v>15</v>
      </c>
      <c r="H12" s="18">
        <v>9</v>
      </c>
      <c r="I12" s="18">
        <v>2</v>
      </c>
      <c r="J12" s="20">
        <f t="shared" si="0"/>
        <v>63</v>
      </c>
      <c r="K12" s="18" t="s">
        <v>802</v>
      </c>
    </row>
    <row r="13" spans="1:11" ht="15" customHeight="1" x14ac:dyDescent="0.25">
      <c r="A13" s="19" t="s">
        <v>807</v>
      </c>
      <c r="B13" s="19" t="s">
        <v>240</v>
      </c>
      <c r="C13" s="19" t="s">
        <v>241</v>
      </c>
      <c r="D13" s="19" t="s">
        <v>534</v>
      </c>
      <c r="E13" s="19" t="s">
        <v>535</v>
      </c>
      <c r="F13" s="19">
        <v>24</v>
      </c>
      <c r="G13" s="19">
        <v>22</v>
      </c>
      <c r="H13" s="19">
        <v>2</v>
      </c>
      <c r="I13" s="19">
        <v>1</v>
      </c>
      <c r="J13" s="21">
        <f t="shared" si="0"/>
        <v>92</v>
      </c>
      <c r="K13" s="19" t="s">
        <v>794</v>
      </c>
    </row>
    <row r="14" spans="1:11" ht="15" customHeight="1" x14ac:dyDescent="0.25">
      <c r="A14" s="18" t="s">
        <v>808</v>
      </c>
      <c r="B14" s="18" t="s">
        <v>245</v>
      </c>
      <c r="C14" s="18" t="s">
        <v>246</v>
      </c>
      <c r="D14" s="18" t="s">
        <v>550</v>
      </c>
      <c r="E14" s="18" t="s">
        <v>551</v>
      </c>
      <c r="F14" s="18">
        <v>26</v>
      </c>
      <c r="G14" s="18">
        <v>25</v>
      </c>
      <c r="H14" s="18">
        <v>1</v>
      </c>
      <c r="I14" s="18">
        <v>1</v>
      </c>
      <c r="J14" s="20">
        <f t="shared" si="0"/>
        <v>96</v>
      </c>
      <c r="K14" s="18" t="s">
        <v>794</v>
      </c>
    </row>
    <row r="15" spans="1:11" ht="15" customHeight="1" x14ac:dyDescent="0.25">
      <c r="A15" s="19" t="s">
        <v>809</v>
      </c>
      <c r="B15" s="19" t="s">
        <v>245</v>
      </c>
      <c r="C15" s="19" t="s">
        <v>246</v>
      </c>
      <c r="D15" s="19" t="s">
        <v>534</v>
      </c>
      <c r="E15" s="19" t="s">
        <v>535</v>
      </c>
      <c r="F15" s="19">
        <v>24</v>
      </c>
      <c r="G15" s="19">
        <v>22</v>
      </c>
      <c r="H15" s="19">
        <v>2</v>
      </c>
      <c r="I15" s="19">
        <v>0</v>
      </c>
      <c r="J15" s="21">
        <f t="shared" si="0"/>
        <v>92</v>
      </c>
      <c r="K15" s="19" t="s">
        <v>794</v>
      </c>
    </row>
    <row r="16" spans="1:11" ht="15" customHeight="1" x14ac:dyDescent="0.25">
      <c r="A16" s="18" t="s">
        <v>810</v>
      </c>
      <c r="B16" s="18" t="s">
        <v>245</v>
      </c>
      <c r="C16" s="18" t="s">
        <v>246</v>
      </c>
      <c r="D16" s="18" t="s">
        <v>525</v>
      </c>
      <c r="E16" s="18" t="s">
        <v>526</v>
      </c>
      <c r="F16" s="18">
        <v>30</v>
      </c>
      <c r="G16" s="18">
        <v>28</v>
      </c>
      <c r="H16" s="18">
        <v>2</v>
      </c>
      <c r="I16" s="18">
        <v>1</v>
      </c>
      <c r="J16" s="20">
        <f t="shared" si="0"/>
        <v>93</v>
      </c>
      <c r="K16" s="18" t="s">
        <v>794</v>
      </c>
    </row>
    <row r="17" spans="1:11" ht="15" customHeight="1" x14ac:dyDescent="0.25">
      <c r="A17" s="19" t="s">
        <v>811</v>
      </c>
      <c r="B17" s="19" t="s">
        <v>245</v>
      </c>
      <c r="C17" s="19" t="s">
        <v>246</v>
      </c>
      <c r="D17" s="19" t="s">
        <v>553</v>
      </c>
      <c r="E17" s="19" t="s">
        <v>554</v>
      </c>
      <c r="F17" s="19">
        <v>24</v>
      </c>
      <c r="G17" s="19">
        <v>23</v>
      </c>
      <c r="H17" s="19">
        <v>1</v>
      </c>
      <c r="I17" s="19">
        <v>0</v>
      </c>
      <c r="J17" s="21">
        <f t="shared" si="0"/>
        <v>96</v>
      </c>
      <c r="K17" s="19" t="s">
        <v>794</v>
      </c>
    </row>
    <row r="18" spans="1:11" x14ac:dyDescent="0.25">
      <c r="A18" t="s">
        <v>812</v>
      </c>
      <c r="B18" t="s">
        <v>251</v>
      </c>
      <c r="C18" t="s">
        <v>252</v>
      </c>
      <c r="D18" t="s">
        <v>585</v>
      </c>
      <c r="E18" t="s">
        <v>586</v>
      </c>
      <c r="F18">
        <v>24</v>
      </c>
      <c r="G18">
        <v>22</v>
      </c>
      <c r="H18">
        <v>2</v>
      </c>
      <c r="I18">
        <v>1</v>
      </c>
      <c r="J18">
        <v>92</v>
      </c>
      <c r="K18" t="s">
        <v>794</v>
      </c>
    </row>
    <row r="19" spans="1:11" x14ac:dyDescent="0.25">
      <c r="A19" t="s">
        <v>813</v>
      </c>
      <c r="B19" t="s">
        <v>251</v>
      </c>
      <c r="C19" t="s">
        <v>252</v>
      </c>
      <c r="D19" t="s">
        <v>563</v>
      </c>
      <c r="E19" t="s">
        <v>564</v>
      </c>
      <c r="F19">
        <v>20</v>
      </c>
      <c r="G19">
        <v>19</v>
      </c>
      <c r="H19">
        <v>1</v>
      </c>
      <c r="I19">
        <v>1</v>
      </c>
      <c r="J19">
        <v>95</v>
      </c>
      <c r="K19" t="s">
        <v>794</v>
      </c>
    </row>
    <row r="20" spans="1:11" x14ac:dyDescent="0.25">
      <c r="A20" t="s">
        <v>814</v>
      </c>
      <c r="B20" t="s">
        <v>251</v>
      </c>
      <c r="C20" t="s">
        <v>252</v>
      </c>
      <c r="D20" t="s">
        <v>566</v>
      </c>
      <c r="E20" t="s">
        <v>567</v>
      </c>
      <c r="F20">
        <v>16</v>
      </c>
      <c r="G20">
        <v>15</v>
      </c>
      <c r="H20">
        <v>1</v>
      </c>
      <c r="I20">
        <v>0</v>
      </c>
      <c r="J20">
        <v>94</v>
      </c>
      <c r="K20" t="s">
        <v>794</v>
      </c>
    </row>
    <row r="21" spans="1:11" x14ac:dyDescent="0.25">
      <c r="A21" t="s">
        <v>815</v>
      </c>
      <c r="B21" t="s">
        <v>268</v>
      </c>
      <c r="C21" t="s">
        <v>269</v>
      </c>
      <c r="D21" t="s">
        <v>574</v>
      </c>
      <c r="E21" t="s">
        <v>575</v>
      </c>
      <c r="F21">
        <v>22</v>
      </c>
      <c r="G21">
        <v>19</v>
      </c>
      <c r="H21">
        <v>3</v>
      </c>
      <c r="I21">
        <v>1</v>
      </c>
      <c r="J21">
        <v>86</v>
      </c>
      <c r="K21" t="s">
        <v>794</v>
      </c>
    </row>
    <row r="22" spans="1:11" x14ac:dyDescent="0.25">
      <c r="A22" t="s">
        <v>816</v>
      </c>
      <c r="B22" t="s">
        <v>268</v>
      </c>
      <c r="C22" t="s">
        <v>269</v>
      </c>
      <c r="D22" t="s">
        <v>578</v>
      </c>
      <c r="E22" t="s">
        <v>579</v>
      </c>
      <c r="F22">
        <v>22</v>
      </c>
      <c r="G22">
        <v>18</v>
      </c>
      <c r="H22">
        <v>4</v>
      </c>
      <c r="I22">
        <v>1</v>
      </c>
      <c r="J22">
        <v>82</v>
      </c>
      <c r="K22" t="s">
        <v>794</v>
      </c>
    </row>
    <row r="23" spans="1:11" x14ac:dyDescent="0.25">
      <c r="A23" t="s">
        <v>817</v>
      </c>
      <c r="B23" t="s">
        <v>268</v>
      </c>
      <c r="C23" t="s">
        <v>269</v>
      </c>
      <c r="D23" t="s">
        <v>581</v>
      </c>
      <c r="E23" t="s">
        <v>582</v>
      </c>
      <c r="F23">
        <v>20</v>
      </c>
      <c r="G23">
        <v>18</v>
      </c>
      <c r="H23">
        <v>2</v>
      </c>
      <c r="I23">
        <v>1</v>
      </c>
      <c r="J23">
        <v>90</v>
      </c>
      <c r="K23" t="s">
        <v>794</v>
      </c>
    </row>
    <row r="24" spans="1:11" x14ac:dyDescent="0.25">
      <c r="A24" t="s">
        <v>818</v>
      </c>
      <c r="B24" t="s">
        <v>296</v>
      </c>
      <c r="C24" t="s">
        <v>297</v>
      </c>
      <c r="D24" t="s">
        <v>589</v>
      </c>
      <c r="E24" t="s">
        <v>590</v>
      </c>
      <c r="F24">
        <v>22</v>
      </c>
      <c r="G24">
        <v>13</v>
      </c>
      <c r="H24">
        <v>9</v>
      </c>
      <c r="I24">
        <v>2</v>
      </c>
      <c r="J24">
        <v>59</v>
      </c>
      <c r="K24" t="s">
        <v>797</v>
      </c>
    </row>
    <row r="25" spans="1:11" x14ac:dyDescent="0.25">
      <c r="A25" t="s">
        <v>819</v>
      </c>
      <c r="B25" t="s">
        <v>296</v>
      </c>
      <c r="C25" t="s">
        <v>297</v>
      </c>
      <c r="D25" t="s">
        <v>557</v>
      </c>
      <c r="E25" t="s">
        <v>558</v>
      </c>
      <c r="F25">
        <v>18</v>
      </c>
      <c r="G25">
        <v>11</v>
      </c>
      <c r="H25">
        <v>7</v>
      </c>
      <c r="I25">
        <v>2</v>
      </c>
      <c r="J25">
        <v>61</v>
      </c>
      <c r="K25" t="s">
        <v>802</v>
      </c>
    </row>
    <row r="26" spans="1:11" x14ac:dyDescent="0.25">
      <c r="A26" t="s">
        <v>820</v>
      </c>
      <c r="B26" t="s">
        <v>306</v>
      </c>
      <c r="C26" t="s">
        <v>307</v>
      </c>
      <c r="D26" t="s">
        <v>563</v>
      </c>
      <c r="E26" t="s">
        <v>564</v>
      </c>
      <c r="F26">
        <v>20</v>
      </c>
      <c r="G26">
        <v>19</v>
      </c>
      <c r="H26">
        <v>1</v>
      </c>
      <c r="I26">
        <v>0</v>
      </c>
      <c r="J26">
        <v>95</v>
      </c>
      <c r="K26" t="s">
        <v>794</v>
      </c>
    </row>
    <row r="27" spans="1:11" x14ac:dyDescent="0.25">
      <c r="A27" t="s">
        <v>821</v>
      </c>
      <c r="B27" t="s">
        <v>306</v>
      </c>
      <c r="C27" t="s">
        <v>307</v>
      </c>
      <c r="D27" t="s">
        <v>566</v>
      </c>
      <c r="E27" t="s">
        <v>567</v>
      </c>
      <c r="F27">
        <v>16</v>
      </c>
      <c r="G27">
        <v>15</v>
      </c>
      <c r="H27">
        <v>1</v>
      </c>
      <c r="I27">
        <v>1</v>
      </c>
      <c r="J27">
        <v>94</v>
      </c>
      <c r="K27" t="s">
        <v>794</v>
      </c>
    </row>
    <row r="28" spans="1:11" x14ac:dyDescent="0.25">
      <c r="A28" t="s">
        <v>822</v>
      </c>
      <c r="B28" t="s">
        <v>315</v>
      </c>
      <c r="C28" t="s">
        <v>316</v>
      </c>
      <c r="D28" t="s">
        <v>574</v>
      </c>
      <c r="E28" t="s">
        <v>575</v>
      </c>
      <c r="F28">
        <v>22</v>
      </c>
      <c r="G28">
        <v>20</v>
      </c>
      <c r="H28">
        <v>2</v>
      </c>
      <c r="I28">
        <v>0</v>
      </c>
      <c r="J28">
        <v>91</v>
      </c>
      <c r="K28" t="s">
        <v>794</v>
      </c>
    </row>
    <row r="29" spans="1:11" x14ac:dyDescent="0.25">
      <c r="A29" t="s">
        <v>823</v>
      </c>
      <c r="B29" t="s">
        <v>315</v>
      </c>
      <c r="C29" t="s">
        <v>316</v>
      </c>
      <c r="D29" t="s">
        <v>578</v>
      </c>
      <c r="E29" t="s">
        <v>579</v>
      </c>
      <c r="F29">
        <v>22</v>
      </c>
      <c r="G29">
        <v>19</v>
      </c>
      <c r="H29">
        <v>3</v>
      </c>
      <c r="I29">
        <v>1</v>
      </c>
      <c r="J29">
        <v>86</v>
      </c>
      <c r="K29" t="s">
        <v>794</v>
      </c>
    </row>
    <row r="30" spans="1:11" x14ac:dyDescent="0.25">
      <c r="A30" t="s">
        <v>824</v>
      </c>
      <c r="B30" t="s">
        <v>315</v>
      </c>
      <c r="C30" t="s">
        <v>316</v>
      </c>
      <c r="D30" t="s">
        <v>581</v>
      </c>
      <c r="E30" t="s">
        <v>582</v>
      </c>
      <c r="F30">
        <v>20</v>
      </c>
      <c r="G30">
        <v>18</v>
      </c>
      <c r="H30">
        <v>2</v>
      </c>
      <c r="I30">
        <v>1</v>
      </c>
      <c r="J30">
        <v>90</v>
      </c>
      <c r="K30" t="s">
        <v>794</v>
      </c>
    </row>
    <row r="31" spans="1:11" x14ac:dyDescent="0.25">
      <c r="A31" t="s">
        <v>825</v>
      </c>
      <c r="B31" t="s">
        <v>324</v>
      </c>
      <c r="C31" t="s">
        <v>325</v>
      </c>
      <c r="D31" t="s">
        <v>563</v>
      </c>
      <c r="E31" t="s">
        <v>564</v>
      </c>
      <c r="F31">
        <v>20</v>
      </c>
      <c r="G31">
        <v>20</v>
      </c>
      <c r="H31">
        <v>0</v>
      </c>
      <c r="I31">
        <v>0</v>
      </c>
      <c r="J31">
        <v>100</v>
      </c>
      <c r="K31" t="s">
        <v>794</v>
      </c>
    </row>
    <row r="32" spans="1:11" x14ac:dyDescent="0.25">
      <c r="A32" t="s">
        <v>826</v>
      </c>
      <c r="B32" t="s">
        <v>324</v>
      </c>
      <c r="C32" t="s">
        <v>325</v>
      </c>
      <c r="D32" t="s">
        <v>566</v>
      </c>
      <c r="E32" t="s">
        <v>567</v>
      </c>
      <c r="F32">
        <v>16</v>
      </c>
      <c r="G32">
        <v>15</v>
      </c>
      <c r="H32">
        <v>1</v>
      </c>
      <c r="I32">
        <v>0</v>
      </c>
      <c r="J32">
        <v>94</v>
      </c>
      <c r="K32" t="s">
        <v>794</v>
      </c>
    </row>
    <row r="33" spans="1:11" x14ac:dyDescent="0.25">
      <c r="A33" t="s">
        <v>827</v>
      </c>
      <c r="B33" t="s">
        <v>341</v>
      </c>
      <c r="C33" t="s">
        <v>342</v>
      </c>
      <c r="D33" t="s">
        <v>566</v>
      </c>
      <c r="E33" t="s">
        <v>567</v>
      </c>
      <c r="F33">
        <v>16</v>
      </c>
      <c r="G33">
        <v>14</v>
      </c>
      <c r="H33">
        <v>2</v>
      </c>
      <c r="I33">
        <v>0</v>
      </c>
      <c r="J33">
        <v>88</v>
      </c>
      <c r="K33" t="s">
        <v>794</v>
      </c>
    </row>
    <row r="34" spans="1:11" x14ac:dyDescent="0.25">
      <c r="A34" t="s">
        <v>828</v>
      </c>
      <c r="B34" t="s">
        <v>357</v>
      </c>
      <c r="C34" t="s">
        <v>358</v>
      </c>
      <c r="D34" t="s">
        <v>563</v>
      </c>
      <c r="E34" t="s">
        <v>564</v>
      </c>
      <c r="F34">
        <v>20</v>
      </c>
      <c r="G34">
        <v>19</v>
      </c>
      <c r="H34">
        <v>1</v>
      </c>
      <c r="I34">
        <v>0</v>
      </c>
      <c r="J34">
        <v>95</v>
      </c>
      <c r="K34" t="s">
        <v>794</v>
      </c>
    </row>
    <row r="35" spans="1:11" x14ac:dyDescent="0.25">
      <c r="A35" t="s">
        <v>829</v>
      </c>
      <c r="B35" t="s">
        <v>357</v>
      </c>
      <c r="C35" t="s">
        <v>358</v>
      </c>
      <c r="D35" t="s">
        <v>566</v>
      </c>
      <c r="E35" t="s">
        <v>567</v>
      </c>
      <c r="F35">
        <v>16</v>
      </c>
      <c r="G35">
        <v>15</v>
      </c>
      <c r="H35">
        <v>1</v>
      </c>
      <c r="I35">
        <v>1</v>
      </c>
      <c r="J35">
        <v>94</v>
      </c>
      <c r="K35" t="s">
        <v>794</v>
      </c>
    </row>
    <row r="36" spans="1:11" x14ac:dyDescent="0.25">
      <c r="A36" t="s">
        <v>830</v>
      </c>
      <c r="B36" t="s">
        <v>399</v>
      </c>
      <c r="C36" t="s">
        <v>400</v>
      </c>
      <c r="D36" t="s">
        <v>557</v>
      </c>
      <c r="E36" t="s">
        <v>558</v>
      </c>
      <c r="F36">
        <v>18</v>
      </c>
      <c r="G36">
        <v>17</v>
      </c>
      <c r="H36">
        <v>1</v>
      </c>
      <c r="I36">
        <v>0</v>
      </c>
      <c r="J36">
        <v>94</v>
      </c>
      <c r="K36" t="s">
        <v>794</v>
      </c>
    </row>
    <row r="37" spans="1:11" x14ac:dyDescent="0.25">
      <c r="A37" t="s">
        <v>831</v>
      </c>
      <c r="B37" t="s">
        <v>399</v>
      </c>
      <c r="C37" t="s">
        <v>400</v>
      </c>
      <c r="D37" t="s">
        <v>566</v>
      </c>
      <c r="E37" t="s">
        <v>567</v>
      </c>
      <c r="F37">
        <v>16</v>
      </c>
      <c r="G37">
        <v>15</v>
      </c>
      <c r="H37">
        <v>1</v>
      </c>
      <c r="I37">
        <v>0</v>
      </c>
      <c r="J37">
        <v>94</v>
      </c>
      <c r="K37" t="s">
        <v>794</v>
      </c>
    </row>
    <row r="38" spans="1:11" x14ac:dyDescent="0.25">
      <c r="A38" t="s">
        <v>832</v>
      </c>
      <c r="B38" t="s">
        <v>399</v>
      </c>
      <c r="C38" t="s">
        <v>400</v>
      </c>
      <c r="D38" t="s">
        <v>570</v>
      </c>
      <c r="E38" t="s">
        <v>571</v>
      </c>
      <c r="F38">
        <v>14</v>
      </c>
      <c r="G38">
        <v>13</v>
      </c>
      <c r="H38">
        <v>1</v>
      </c>
      <c r="I38">
        <v>0</v>
      </c>
      <c r="J38">
        <v>93</v>
      </c>
      <c r="K38" t="s">
        <v>794</v>
      </c>
    </row>
    <row r="39" spans="1:11" x14ac:dyDescent="0.25">
      <c r="A39" t="s">
        <v>833</v>
      </c>
      <c r="B39" t="s">
        <v>438</v>
      </c>
      <c r="C39" t="s">
        <v>439</v>
      </c>
      <c r="D39" t="s">
        <v>592</v>
      </c>
      <c r="E39" t="s">
        <v>593</v>
      </c>
      <c r="F39">
        <v>22</v>
      </c>
      <c r="G39">
        <v>21</v>
      </c>
      <c r="H39">
        <v>1</v>
      </c>
      <c r="I39">
        <v>0</v>
      </c>
      <c r="J39">
        <v>95</v>
      </c>
      <c r="K39" t="s">
        <v>794</v>
      </c>
    </row>
    <row r="40" spans="1:11" x14ac:dyDescent="0.25">
      <c r="A40" t="s">
        <v>834</v>
      </c>
      <c r="B40" t="s">
        <v>438</v>
      </c>
      <c r="C40" t="s">
        <v>439</v>
      </c>
      <c r="D40" t="s">
        <v>595</v>
      </c>
      <c r="E40" t="s">
        <v>596</v>
      </c>
      <c r="F40">
        <v>14</v>
      </c>
      <c r="G40">
        <v>14</v>
      </c>
      <c r="H40">
        <v>0</v>
      </c>
      <c r="I40">
        <v>0</v>
      </c>
      <c r="J40">
        <v>100</v>
      </c>
      <c r="K40" t="s">
        <v>794</v>
      </c>
    </row>
    <row r="41" spans="1:11" x14ac:dyDescent="0.25">
      <c r="A41" t="s">
        <v>835</v>
      </c>
      <c r="B41" t="s">
        <v>438</v>
      </c>
      <c r="C41" t="s">
        <v>439</v>
      </c>
      <c r="D41" t="s">
        <v>598</v>
      </c>
      <c r="E41" t="s">
        <v>599</v>
      </c>
      <c r="F41">
        <v>18</v>
      </c>
      <c r="G41">
        <v>17</v>
      </c>
      <c r="H41">
        <v>1</v>
      </c>
      <c r="I41">
        <v>0</v>
      </c>
      <c r="J41">
        <v>94</v>
      </c>
      <c r="K41" t="s">
        <v>794</v>
      </c>
    </row>
    <row r="42" spans="1:11" x14ac:dyDescent="0.25">
      <c r="A42" t="s">
        <v>836</v>
      </c>
      <c r="B42" t="s">
        <v>438</v>
      </c>
      <c r="C42" t="s">
        <v>439</v>
      </c>
      <c r="D42" t="s">
        <v>557</v>
      </c>
      <c r="E42" t="s">
        <v>558</v>
      </c>
      <c r="F42">
        <v>18</v>
      </c>
      <c r="G42">
        <v>17</v>
      </c>
      <c r="H42">
        <v>1</v>
      </c>
      <c r="I42">
        <v>0</v>
      </c>
      <c r="J42">
        <v>94</v>
      </c>
      <c r="K42" t="s">
        <v>794</v>
      </c>
    </row>
    <row r="43" spans="1:11" x14ac:dyDescent="0.25">
      <c r="A43" t="s">
        <v>837</v>
      </c>
      <c r="B43" t="s">
        <v>451</v>
      </c>
      <c r="C43" t="s">
        <v>452</v>
      </c>
      <c r="D43" t="s">
        <v>595</v>
      </c>
      <c r="E43" t="s">
        <v>596</v>
      </c>
      <c r="F43">
        <v>14</v>
      </c>
      <c r="G43">
        <v>13</v>
      </c>
      <c r="H43">
        <v>1</v>
      </c>
      <c r="I43">
        <v>0</v>
      </c>
      <c r="J43">
        <v>93</v>
      </c>
      <c r="K43" t="s">
        <v>794</v>
      </c>
    </row>
    <row r="44" spans="1:11" x14ac:dyDescent="0.25">
      <c r="A44" t="s">
        <v>838</v>
      </c>
      <c r="B44" t="s">
        <v>451</v>
      </c>
      <c r="C44" t="s">
        <v>452</v>
      </c>
      <c r="D44" t="s">
        <v>598</v>
      </c>
      <c r="E44" t="s">
        <v>599</v>
      </c>
      <c r="F44">
        <v>18</v>
      </c>
      <c r="G44">
        <v>16</v>
      </c>
      <c r="H44">
        <v>2</v>
      </c>
      <c r="I44">
        <v>0</v>
      </c>
      <c r="J44">
        <v>89</v>
      </c>
      <c r="K44" t="s">
        <v>794</v>
      </c>
    </row>
    <row r="45" spans="1:11" x14ac:dyDescent="0.25">
      <c r="A45" t="s">
        <v>839</v>
      </c>
      <c r="B45" t="s">
        <v>412</v>
      </c>
      <c r="C45" t="s">
        <v>413</v>
      </c>
      <c r="D45" t="s">
        <v>595</v>
      </c>
      <c r="E45" t="s">
        <v>596</v>
      </c>
      <c r="F45">
        <v>14</v>
      </c>
      <c r="G45">
        <v>14</v>
      </c>
      <c r="H45">
        <v>0</v>
      </c>
      <c r="I45">
        <v>0</v>
      </c>
      <c r="J45">
        <v>100</v>
      </c>
      <c r="K45" t="s">
        <v>794</v>
      </c>
    </row>
    <row r="46" spans="1:11" x14ac:dyDescent="0.25">
      <c r="A46" t="s">
        <v>840</v>
      </c>
      <c r="B46" t="s">
        <v>412</v>
      </c>
      <c r="C46" t="s">
        <v>413</v>
      </c>
      <c r="D46" t="s">
        <v>563</v>
      </c>
      <c r="E46" t="s">
        <v>564</v>
      </c>
      <c r="F46">
        <v>20</v>
      </c>
      <c r="G46">
        <v>19</v>
      </c>
      <c r="H46">
        <v>1</v>
      </c>
      <c r="I46">
        <v>0</v>
      </c>
      <c r="J46">
        <v>95</v>
      </c>
      <c r="K46" t="s">
        <v>794</v>
      </c>
    </row>
    <row r="47" spans="1:11" x14ac:dyDescent="0.25">
      <c r="A47" t="s">
        <v>841</v>
      </c>
      <c r="B47" t="s">
        <v>425</v>
      </c>
      <c r="C47" t="s">
        <v>426</v>
      </c>
      <c r="D47" t="s">
        <v>595</v>
      </c>
      <c r="E47" t="s">
        <v>596</v>
      </c>
      <c r="F47">
        <v>14</v>
      </c>
      <c r="G47">
        <v>13</v>
      </c>
      <c r="H47">
        <v>1</v>
      </c>
      <c r="I47">
        <v>1</v>
      </c>
      <c r="J47">
        <v>93</v>
      </c>
      <c r="K47" t="s">
        <v>794</v>
      </c>
    </row>
    <row r="48" spans="1:11" x14ac:dyDescent="0.25">
      <c r="A48" t="s">
        <v>842</v>
      </c>
      <c r="B48" t="s">
        <v>425</v>
      </c>
      <c r="C48" t="s">
        <v>426</v>
      </c>
      <c r="D48" t="s">
        <v>563</v>
      </c>
      <c r="E48" t="s">
        <v>564</v>
      </c>
      <c r="F48">
        <v>20</v>
      </c>
      <c r="G48">
        <v>20</v>
      </c>
      <c r="H48">
        <v>0</v>
      </c>
      <c r="I48">
        <v>0</v>
      </c>
      <c r="J48">
        <v>100</v>
      </c>
      <c r="K48" t="s">
        <v>794</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showGridLines="0" zoomScaleNormal="100" workbookViewId="0">
      <pane ySplit="4" topLeftCell="A5" activePane="bottomLeft" state="frozen"/>
      <selection pane="bottomLeft"/>
    </sheetView>
  </sheetViews>
  <sheetFormatPr defaultColWidth="8.7109375" defaultRowHeight="15" x14ac:dyDescent="0.25"/>
  <cols>
    <col min="1" max="1" width="16" customWidth="1"/>
    <col min="2" max="2" width="18" customWidth="1"/>
    <col min="3" max="3" width="24" customWidth="1"/>
    <col min="4" max="4" width="20" customWidth="1"/>
    <col min="5" max="5" width="28" customWidth="1"/>
    <col min="6" max="6" width="14" customWidth="1"/>
    <col min="7" max="8" width="16" customWidth="1"/>
    <col min="9" max="9" width="14" customWidth="1"/>
    <col min="10" max="11" width="18" customWidth="1"/>
    <col min="12" max="13" width="14" customWidth="1"/>
  </cols>
  <sheetData>
    <row r="1" spans="1:13" ht="25.5" customHeight="1" x14ac:dyDescent="0.25">
      <c r="A1" s="161" t="s">
        <v>843</v>
      </c>
      <c r="B1" s="160"/>
      <c r="C1" s="160"/>
      <c r="D1" s="160"/>
      <c r="E1" s="160"/>
      <c r="F1" s="160"/>
      <c r="G1" s="160"/>
      <c r="H1" s="160"/>
      <c r="I1" s="160"/>
      <c r="J1" s="160"/>
      <c r="K1" s="160"/>
      <c r="L1" s="160"/>
    </row>
    <row r="2" spans="1:13" ht="15.75" customHeight="1" x14ac:dyDescent="0.25">
      <c r="A2" s="159" t="s">
        <v>844</v>
      </c>
      <c r="B2" s="160"/>
      <c r="C2" s="160"/>
      <c r="D2" s="160"/>
      <c r="E2" s="160"/>
      <c r="F2" s="160"/>
      <c r="G2" s="160"/>
      <c r="H2" s="160"/>
      <c r="I2" s="160"/>
      <c r="J2" s="160"/>
      <c r="K2" s="160"/>
      <c r="L2" s="160"/>
    </row>
    <row r="4" spans="1:13" ht="18" customHeight="1" x14ac:dyDescent="0.25">
      <c r="A4" s="22" t="s">
        <v>845</v>
      </c>
      <c r="B4" s="22" t="s">
        <v>846</v>
      </c>
      <c r="C4" s="22" t="s">
        <v>847</v>
      </c>
      <c r="D4" s="22" t="s">
        <v>848</v>
      </c>
      <c r="E4" s="22" t="s">
        <v>849</v>
      </c>
      <c r="F4" s="22" t="s">
        <v>16</v>
      </c>
      <c r="G4" s="22" t="s">
        <v>19</v>
      </c>
      <c r="H4" s="22" t="s">
        <v>850</v>
      </c>
      <c r="I4" s="22" t="s">
        <v>851</v>
      </c>
      <c r="J4" s="22" t="s">
        <v>852</v>
      </c>
      <c r="K4" s="22" t="s">
        <v>853</v>
      </c>
      <c r="L4" s="22" t="s">
        <v>854</v>
      </c>
      <c r="M4" s="22" t="s">
        <v>855</v>
      </c>
    </row>
    <row r="5" spans="1:13" ht="15.75" customHeight="1" x14ac:dyDescent="0.25">
      <c r="A5" s="23" t="s">
        <v>856</v>
      </c>
      <c r="B5" s="23" t="s">
        <v>35</v>
      </c>
      <c r="C5" s="24" t="s">
        <v>36</v>
      </c>
      <c r="D5" s="23" t="s">
        <v>41</v>
      </c>
      <c r="E5" s="24" t="s">
        <v>43</v>
      </c>
      <c r="F5" s="23" t="s">
        <v>49</v>
      </c>
      <c r="G5" s="23" t="s">
        <v>51</v>
      </c>
      <c r="H5" s="25">
        <v>75000</v>
      </c>
      <c r="I5" s="25">
        <v>5000</v>
      </c>
      <c r="J5" s="23">
        <f t="shared" ref="J5:J41" si="0">H5+I5</f>
        <v>80000</v>
      </c>
      <c r="K5" s="25">
        <v>80000</v>
      </c>
      <c r="L5" s="23">
        <f t="shared" ref="L5:L41" si="1">J5-K5</f>
        <v>0</v>
      </c>
      <c r="M5" s="26" t="s">
        <v>52</v>
      </c>
    </row>
    <row r="6" spans="1:13" ht="15.75" customHeight="1" x14ac:dyDescent="0.25">
      <c r="A6" s="27" t="s">
        <v>857</v>
      </c>
      <c r="B6" s="27" t="s">
        <v>57</v>
      </c>
      <c r="C6" s="28" t="s">
        <v>58</v>
      </c>
      <c r="D6" s="27" t="s">
        <v>63</v>
      </c>
      <c r="E6" s="28" t="s">
        <v>65</v>
      </c>
      <c r="F6" s="27" t="s">
        <v>49</v>
      </c>
      <c r="G6" s="27" t="s">
        <v>70</v>
      </c>
      <c r="H6" s="29">
        <v>65000</v>
      </c>
      <c r="I6" s="29">
        <v>5000</v>
      </c>
      <c r="J6" s="27">
        <f t="shared" si="0"/>
        <v>70000</v>
      </c>
      <c r="K6" s="29">
        <v>70000</v>
      </c>
      <c r="L6" s="27">
        <f t="shared" si="1"/>
        <v>0</v>
      </c>
      <c r="M6" s="26" t="s">
        <v>52</v>
      </c>
    </row>
    <row r="7" spans="1:13" ht="15.75" customHeight="1" x14ac:dyDescent="0.25">
      <c r="A7" s="23" t="s">
        <v>858</v>
      </c>
      <c r="B7" s="23" t="s">
        <v>71</v>
      </c>
      <c r="C7" s="24" t="s">
        <v>72</v>
      </c>
      <c r="D7" s="23" t="s">
        <v>41</v>
      </c>
      <c r="E7" s="24" t="s">
        <v>77</v>
      </c>
      <c r="F7" s="23" t="s">
        <v>49</v>
      </c>
      <c r="G7" s="23" t="s">
        <v>83</v>
      </c>
      <c r="H7" s="25">
        <v>75000</v>
      </c>
      <c r="I7" s="25">
        <v>5000</v>
      </c>
      <c r="J7" s="23">
        <f t="shared" si="0"/>
        <v>80000</v>
      </c>
      <c r="K7" s="25">
        <v>80000</v>
      </c>
      <c r="L7" s="23">
        <f t="shared" si="1"/>
        <v>0</v>
      </c>
      <c r="M7" s="26" t="s">
        <v>52</v>
      </c>
    </row>
    <row r="8" spans="1:13" ht="15.75" customHeight="1" x14ac:dyDescent="0.25">
      <c r="A8" s="27" t="s">
        <v>859</v>
      </c>
      <c r="B8" s="27" t="s">
        <v>85</v>
      </c>
      <c r="C8" s="28" t="s">
        <v>86</v>
      </c>
      <c r="D8" s="27" t="s">
        <v>41</v>
      </c>
      <c r="E8" s="28" t="s">
        <v>91</v>
      </c>
      <c r="F8" s="27" t="s">
        <v>49</v>
      </c>
      <c r="G8" s="27" t="s">
        <v>96</v>
      </c>
      <c r="H8" s="29">
        <v>75000</v>
      </c>
      <c r="I8" s="29">
        <v>5000</v>
      </c>
      <c r="J8" s="27">
        <f t="shared" si="0"/>
        <v>80000</v>
      </c>
      <c r="K8" s="29">
        <v>80000</v>
      </c>
      <c r="L8" s="27">
        <f t="shared" si="1"/>
        <v>0</v>
      </c>
      <c r="M8" s="26" t="s">
        <v>52</v>
      </c>
    </row>
    <row r="9" spans="1:13" ht="15.75" customHeight="1" x14ac:dyDescent="0.25">
      <c r="A9" s="23" t="s">
        <v>860</v>
      </c>
      <c r="B9" s="23" t="s">
        <v>100</v>
      </c>
      <c r="C9" s="24" t="s">
        <v>101</v>
      </c>
      <c r="D9" s="23" t="s">
        <v>41</v>
      </c>
      <c r="E9" s="24" t="s">
        <v>106</v>
      </c>
      <c r="F9" s="23" t="s">
        <v>49</v>
      </c>
      <c r="G9" s="23" t="s">
        <v>112</v>
      </c>
      <c r="H9" s="25">
        <v>75000</v>
      </c>
      <c r="I9" s="25">
        <v>5000</v>
      </c>
      <c r="J9" s="23">
        <f t="shared" si="0"/>
        <v>80000</v>
      </c>
      <c r="K9" s="25">
        <v>45000</v>
      </c>
      <c r="L9" s="23">
        <f t="shared" si="1"/>
        <v>35000</v>
      </c>
      <c r="M9" s="30" t="s">
        <v>113</v>
      </c>
    </row>
    <row r="10" spans="1:13" ht="15.75" customHeight="1" x14ac:dyDescent="0.25">
      <c r="A10" s="27" t="s">
        <v>861</v>
      </c>
      <c r="B10" s="27" t="s">
        <v>116</v>
      </c>
      <c r="C10" s="28" t="s">
        <v>117</v>
      </c>
      <c r="D10" s="27" t="s">
        <v>121</v>
      </c>
      <c r="E10" s="28" t="s">
        <v>123</v>
      </c>
      <c r="F10" s="27" t="s">
        <v>49</v>
      </c>
      <c r="G10" s="27" t="s">
        <v>51</v>
      </c>
      <c r="H10" s="29">
        <v>60000</v>
      </c>
      <c r="I10" s="29">
        <v>5000</v>
      </c>
      <c r="J10" s="27">
        <f t="shared" si="0"/>
        <v>65000</v>
      </c>
      <c r="K10" s="29">
        <v>65000</v>
      </c>
      <c r="L10" s="27">
        <f t="shared" si="1"/>
        <v>0</v>
      </c>
      <c r="M10" s="26" t="s">
        <v>52</v>
      </c>
    </row>
    <row r="11" spans="1:13" ht="15.75" customHeight="1" x14ac:dyDescent="0.25">
      <c r="A11" s="23" t="s">
        <v>862</v>
      </c>
      <c r="B11" s="23" t="s">
        <v>124</v>
      </c>
      <c r="C11" s="24" t="s">
        <v>125</v>
      </c>
      <c r="D11" s="23" t="s">
        <v>41</v>
      </c>
      <c r="E11" s="24" t="s">
        <v>106</v>
      </c>
      <c r="F11" s="23" t="s">
        <v>49</v>
      </c>
      <c r="G11" s="23" t="s">
        <v>70</v>
      </c>
      <c r="H11" s="25">
        <v>75000</v>
      </c>
      <c r="I11" s="25">
        <v>5000</v>
      </c>
      <c r="J11" s="23">
        <f t="shared" si="0"/>
        <v>80000</v>
      </c>
      <c r="K11" s="25">
        <v>80000</v>
      </c>
      <c r="L11" s="23">
        <f t="shared" si="1"/>
        <v>0</v>
      </c>
      <c r="M11" s="26" t="s">
        <v>52</v>
      </c>
    </row>
    <row r="12" spans="1:13" ht="15.75" customHeight="1" x14ac:dyDescent="0.25">
      <c r="A12" s="27" t="s">
        <v>863</v>
      </c>
      <c r="B12" s="27" t="s">
        <v>131</v>
      </c>
      <c r="C12" s="28" t="s">
        <v>132</v>
      </c>
      <c r="D12" s="27" t="s">
        <v>136</v>
      </c>
      <c r="E12" s="28" t="s">
        <v>138</v>
      </c>
      <c r="F12" s="27" t="s">
        <v>49</v>
      </c>
      <c r="G12" s="27" t="s">
        <v>83</v>
      </c>
      <c r="H12" s="29">
        <v>70000</v>
      </c>
      <c r="I12" s="29">
        <v>5000</v>
      </c>
      <c r="J12" s="27">
        <f t="shared" si="0"/>
        <v>75000</v>
      </c>
      <c r="K12" s="29">
        <v>75000</v>
      </c>
      <c r="L12" s="27">
        <f t="shared" si="1"/>
        <v>0</v>
      </c>
      <c r="M12" s="26" t="s">
        <v>52</v>
      </c>
    </row>
    <row r="13" spans="1:13" ht="15.75" customHeight="1" x14ac:dyDescent="0.25">
      <c r="A13" s="23" t="s">
        <v>864</v>
      </c>
      <c r="B13" s="23" t="s">
        <v>140</v>
      </c>
      <c r="C13" s="24" t="s">
        <v>141</v>
      </c>
      <c r="D13" s="23" t="s">
        <v>145</v>
      </c>
      <c r="E13" s="24" t="s">
        <v>65</v>
      </c>
      <c r="F13" s="23" t="s">
        <v>49</v>
      </c>
      <c r="G13" s="23" t="s">
        <v>51</v>
      </c>
      <c r="H13" s="25">
        <v>65000</v>
      </c>
      <c r="I13" s="25">
        <v>5000</v>
      </c>
      <c r="J13" s="23">
        <f t="shared" si="0"/>
        <v>70000</v>
      </c>
      <c r="K13" s="25">
        <v>0</v>
      </c>
      <c r="L13" s="23">
        <f t="shared" si="1"/>
        <v>70000</v>
      </c>
      <c r="M13" s="31" t="s">
        <v>149</v>
      </c>
    </row>
    <row r="14" spans="1:13" ht="15.75" customHeight="1" x14ac:dyDescent="0.25">
      <c r="A14" s="27" t="s">
        <v>865</v>
      </c>
      <c r="B14" s="27" t="s">
        <v>150</v>
      </c>
      <c r="C14" s="28" t="s">
        <v>151</v>
      </c>
      <c r="D14" s="27" t="s">
        <v>41</v>
      </c>
      <c r="E14" s="28" t="s">
        <v>43</v>
      </c>
      <c r="F14" s="27" t="s">
        <v>49</v>
      </c>
      <c r="G14" s="27" t="s">
        <v>112</v>
      </c>
      <c r="H14" s="29">
        <v>75000</v>
      </c>
      <c r="I14" s="29">
        <v>5000</v>
      </c>
      <c r="J14" s="27">
        <f t="shared" si="0"/>
        <v>80000</v>
      </c>
      <c r="K14" s="29">
        <v>80000</v>
      </c>
      <c r="L14" s="27">
        <f t="shared" si="1"/>
        <v>0</v>
      </c>
      <c r="M14" s="26" t="s">
        <v>52</v>
      </c>
    </row>
    <row r="15" spans="1:13" ht="15.75" customHeight="1" x14ac:dyDescent="0.25">
      <c r="A15" s="23" t="s">
        <v>866</v>
      </c>
      <c r="B15" s="23" t="s">
        <v>157</v>
      </c>
      <c r="C15" s="24" t="s">
        <v>158</v>
      </c>
      <c r="D15" s="23" t="s">
        <v>41</v>
      </c>
      <c r="E15" s="24" t="s">
        <v>106</v>
      </c>
      <c r="F15" s="23" t="s">
        <v>49</v>
      </c>
      <c r="G15" s="23" t="s">
        <v>70</v>
      </c>
      <c r="H15" s="25">
        <v>75000</v>
      </c>
      <c r="I15" s="25">
        <v>5000</v>
      </c>
      <c r="J15" s="23">
        <f t="shared" si="0"/>
        <v>80000</v>
      </c>
      <c r="K15" s="25">
        <v>80000</v>
      </c>
      <c r="L15" s="23">
        <f t="shared" si="1"/>
        <v>0</v>
      </c>
      <c r="M15" s="26" t="s">
        <v>52</v>
      </c>
    </row>
    <row r="16" spans="1:13" ht="15.75" customHeight="1" x14ac:dyDescent="0.25">
      <c r="A16" s="27" t="s">
        <v>867</v>
      </c>
      <c r="B16" s="27" t="s">
        <v>163</v>
      </c>
      <c r="C16" s="28" t="s">
        <v>164</v>
      </c>
      <c r="D16" s="27" t="s">
        <v>41</v>
      </c>
      <c r="E16" s="28" t="s">
        <v>77</v>
      </c>
      <c r="F16" s="27" t="s">
        <v>49</v>
      </c>
      <c r="G16" s="27" t="s">
        <v>96</v>
      </c>
      <c r="H16" s="29">
        <v>75000</v>
      </c>
      <c r="I16" s="29">
        <v>5000</v>
      </c>
      <c r="J16" s="27">
        <f t="shared" si="0"/>
        <v>80000</v>
      </c>
      <c r="K16" s="29">
        <v>80000</v>
      </c>
      <c r="L16" s="27">
        <f t="shared" si="1"/>
        <v>0</v>
      </c>
      <c r="M16" s="26" t="s">
        <v>52</v>
      </c>
    </row>
    <row r="17" spans="1:13" ht="15.75" customHeight="1" x14ac:dyDescent="0.25">
      <c r="A17" s="23" t="s">
        <v>868</v>
      </c>
      <c r="B17" s="23" t="s">
        <v>170</v>
      </c>
      <c r="C17" s="24" t="s">
        <v>171</v>
      </c>
      <c r="D17" s="23" t="s">
        <v>63</v>
      </c>
      <c r="E17" s="24" t="s">
        <v>176</v>
      </c>
      <c r="F17" s="23" t="s">
        <v>49</v>
      </c>
      <c r="G17" s="23" t="s">
        <v>51</v>
      </c>
      <c r="H17" s="25">
        <v>65000</v>
      </c>
      <c r="I17" s="25">
        <v>5000</v>
      </c>
      <c r="J17" s="23">
        <f t="shared" si="0"/>
        <v>70000</v>
      </c>
      <c r="K17" s="25">
        <v>70000</v>
      </c>
      <c r="L17" s="23">
        <f t="shared" si="1"/>
        <v>0</v>
      </c>
      <c r="M17" s="26" t="s">
        <v>52</v>
      </c>
    </row>
    <row r="18" spans="1:13" ht="15.75" customHeight="1" x14ac:dyDescent="0.25">
      <c r="A18" s="27" t="s">
        <v>869</v>
      </c>
      <c r="B18" s="27" t="s">
        <v>177</v>
      </c>
      <c r="C18" s="28" t="s">
        <v>178</v>
      </c>
      <c r="D18" s="27" t="s">
        <v>182</v>
      </c>
      <c r="E18" s="28" t="s">
        <v>91</v>
      </c>
      <c r="F18" s="27" t="s">
        <v>49</v>
      </c>
      <c r="G18" s="27" t="s">
        <v>83</v>
      </c>
      <c r="H18" s="29">
        <v>80000</v>
      </c>
      <c r="I18" s="29">
        <v>5000</v>
      </c>
      <c r="J18" s="27">
        <f t="shared" si="0"/>
        <v>85000</v>
      </c>
      <c r="K18" s="29">
        <v>10000</v>
      </c>
      <c r="L18" s="27">
        <f t="shared" si="1"/>
        <v>75000</v>
      </c>
      <c r="M18" s="32" t="s">
        <v>186</v>
      </c>
    </row>
    <row r="19" spans="1:13" ht="15.75" customHeight="1" x14ac:dyDescent="0.25">
      <c r="A19" s="23" t="s">
        <v>870</v>
      </c>
      <c r="B19" s="23" t="s">
        <v>187</v>
      </c>
      <c r="C19" s="24" t="s">
        <v>188</v>
      </c>
      <c r="D19" s="23" t="s">
        <v>63</v>
      </c>
      <c r="E19" s="24" t="s">
        <v>193</v>
      </c>
      <c r="F19" s="23" t="s">
        <v>49</v>
      </c>
      <c r="G19" s="23" t="s">
        <v>112</v>
      </c>
      <c r="H19" s="25">
        <v>65000</v>
      </c>
      <c r="I19" s="25">
        <v>5000</v>
      </c>
      <c r="J19" s="23">
        <f t="shared" si="0"/>
        <v>70000</v>
      </c>
      <c r="K19" s="25">
        <v>70000</v>
      </c>
      <c r="L19" s="23">
        <f t="shared" si="1"/>
        <v>0</v>
      </c>
      <c r="M19" s="26" t="s">
        <v>52</v>
      </c>
    </row>
    <row r="20" spans="1:13" ht="15.75" customHeight="1" x14ac:dyDescent="0.25">
      <c r="A20" s="27" t="s">
        <v>871</v>
      </c>
      <c r="B20" s="27" t="s">
        <v>194</v>
      </c>
      <c r="C20" s="28" t="s">
        <v>195</v>
      </c>
      <c r="D20" s="27" t="s">
        <v>41</v>
      </c>
      <c r="E20" s="28" t="s">
        <v>106</v>
      </c>
      <c r="F20" s="27" t="s">
        <v>49</v>
      </c>
      <c r="G20" s="27" t="s">
        <v>70</v>
      </c>
      <c r="H20" s="29">
        <v>75000</v>
      </c>
      <c r="I20" s="29">
        <v>5000</v>
      </c>
      <c r="J20" s="27">
        <f t="shared" si="0"/>
        <v>80000</v>
      </c>
      <c r="K20" s="29">
        <v>80000</v>
      </c>
      <c r="L20" s="27">
        <f t="shared" si="1"/>
        <v>0</v>
      </c>
      <c r="M20" s="26" t="s">
        <v>52</v>
      </c>
    </row>
    <row r="21" spans="1:13" ht="15.75" customHeight="1" x14ac:dyDescent="0.25">
      <c r="A21" s="23" t="s">
        <v>872</v>
      </c>
      <c r="B21" s="23" t="s">
        <v>200</v>
      </c>
      <c r="C21" s="24" t="s">
        <v>201</v>
      </c>
      <c r="D21" s="23" t="s">
        <v>41</v>
      </c>
      <c r="E21" s="24" t="s">
        <v>43</v>
      </c>
      <c r="F21" s="23" t="s">
        <v>49</v>
      </c>
      <c r="G21" s="23" t="s">
        <v>51</v>
      </c>
      <c r="H21" s="25">
        <v>75000</v>
      </c>
      <c r="I21" s="25">
        <v>5000</v>
      </c>
      <c r="J21" s="23">
        <f t="shared" si="0"/>
        <v>80000</v>
      </c>
      <c r="K21" s="25">
        <v>80000</v>
      </c>
      <c r="L21" s="23">
        <f t="shared" si="1"/>
        <v>0</v>
      </c>
      <c r="M21" s="26" t="s">
        <v>52</v>
      </c>
    </row>
    <row r="22" spans="1:13" ht="15.75" customHeight="1" x14ac:dyDescent="0.25">
      <c r="A22" s="27" t="s">
        <v>873</v>
      </c>
      <c r="B22" s="27" t="s">
        <v>205</v>
      </c>
      <c r="C22" s="28" t="s">
        <v>206</v>
      </c>
      <c r="D22" s="27" t="s">
        <v>121</v>
      </c>
      <c r="E22" s="28" t="s">
        <v>123</v>
      </c>
      <c r="F22" s="27" t="s">
        <v>49</v>
      </c>
      <c r="G22" s="27" t="s">
        <v>83</v>
      </c>
      <c r="H22" s="29">
        <v>60000</v>
      </c>
      <c r="I22" s="29">
        <v>5000</v>
      </c>
      <c r="J22" s="27">
        <f t="shared" si="0"/>
        <v>65000</v>
      </c>
      <c r="K22" s="29">
        <v>65000</v>
      </c>
      <c r="L22" s="27">
        <f t="shared" si="1"/>
        <v>0</v>
      </c>
      <c r="M22" s="26" t="s">
        <v>52</v>
      </c>
    </row>
    <row r="23" spans="1:13" ht="15.75" customHeight="1" x14ac:dyDescent="0.25">
      <c r="A23" s="23" t="s">
        <v>874</v>
      </c>
      <c r="B23" s="23" t="s">
        <v>212</v>
      </c>
      <c r="C23" s="24" t="s">
        <v>213</v>
      </c>
      <c r="D23" s="23" t="s">
        <v>41</v>
      </c>
      <c r="E23" s="24" t="s">
        <v>91</v>
      </c>
      <c r="F23" s="23" t="s">
        <v>49</v>
      </c>
      <c r="G23" s="23" t="s">
        <v>112</v>
      </c>
      <c r="H23" s="25">
        <v>75000</v>
      </c>
      <c r="I23" s="25">
        <v>5000</v>
      </c>
      <c r="J23" s="23">
        <f t="shared" si="0"/>
        <v>80000</v>
      </c>
      <c r="K23" s="25">
        <v>80000</v>
      </c>
      <c r="L23" s="23">
        <f t="shared" si="1"/>
        <v>0</v>
      </c>
      <c r="M23" s="26" t="s">
        <v>52</v>
      </c>
    </row>
    <row r="24" spans="1:13" ht="15.75" customHeight="1" x14ac:dyDescent="0.25">
      <c r="A24" s="27" t="s">
        <v>875</v>
      </c>
      <c r="B24" s="27" t="s">
        <v>218</v>
      </c>
      <c r="C24" s="28" t="s">
        <v>219</v>
      </c>
      <c r="D24" s="27" t="s">
        <v>136</v>
      </c>
      <c r="E24" s="28" t="s">
        <v>138</v>
      </c>
      <c r="F24" s="27" t="s">
        <v>49</v>
      </c>
      <c r="G24" s="27" t="s">
        <v>70</v>
      </c>
      <c r="H24" s="29">
        <v>70000</v>
      </c>
      <c r="I24" s="29">
        <v>5000</v>
      </c>
      <c r="J24" s="27">
        <f t="shared" si="0"/>
        <v>75000</v>
      </c>
      <c r="K24" s="29">
        <v>75000</v>
      </c>
      <c r="L24" s="27">
        <f t="shared" si="1"/>
        <v>0</v>
      </c>
      <c r="M24" s="26" t="s">
        <v>52</v>
      </c>
    </row>
    <row r="25" spans="1:13" ht="15.75" customHeight="1" x14ac:dyDescent="0.25">
      <c r="A25" s="23" t="s">
        <v>876</v>
      </c>
      <c r="B25" s="23" t="s">
        <v>223</v>
      </c>
      <c r="C25" s="24" t="s">
        <v>224</v>
      </c>
      <c r="D25" s="23" t="s">
        <v>63</v>
      </c>
      <c r="E25" s="24" t="s">
        <v>176</v>
      </c>
      <c r="F25" s="23" t="s">
        <v>49</v>
      </c>
      <c r="G25" s="23" t="s">
        <v>51</v>
      </c>
      <c r="H25" s="25">
        <v>65000</v>
      </c>
      <c r="I25" s="25">
        <v>5000</v>
      </c>
      <c r="J25" s="23">
        <f t="shared" si="0"/>
        <v>70000</v>
      </c>
      <c r="K25" s="25">
        <v>0</v>
      </c>
      <c r="L25" s="23">
        <f t="shared" si="1"/>
        <v>70000</v>
      </c>
      <c r="M25" s="31" t="s">
        <v>149</v>
      </c>
    </row>
    <row r="26" spans="1:13" ht="15.75" customHeight="1" x14ac:dyDescent="0.25">
      <c r="A26" s="27" t="s">
        <v>877</v>
      </c>
      <c r="B26" s="27" t="s">
        <v>229</v>
      </c>
      <c r="C26" s="28" t="s">
        <v>230</v>
      </c>
      <c r="D26" s="27" t="s">
        <v>41</v>
      </c>
      <c r="E26" s="28" t="s">
        <v>106</v>
      </c>
      <c r="F26" s="27" t="s">
        <v>49</v>
      </c>
      <c r="G26" s="27" t="s">
        <v>96</v>
      </c>
      <c r="H26" s="29">
        <v>75000</v>
      </c>
      <c r="I26" s="29">
        <v>5000</v>
      </c>
      <c r="J26" s="27">
        <f t="shared" si="0"/>
        <v>80000</v>
      </c>
      <c r="K26" s="29">
        <v>80000</v>
      </c>
      <c r="L26" s="27">
        <f t="shared" si="1"/>
        <v>0</v>
      </c>
      <c r="M26" s="26" t="s">
        <v>52</v>
      </c>
    </row>
    <row r="27" spans="1:13" ht="15.75" customHeight="1" x14ac:dyDescent="0.25">
      <c r="A27" s="23" t="s">
        <v>878</v>
      </c>
      <c r="B27" s="23" t="s">
        <v>234</v>
      </c>
      <c r="C27" s="24" t="s">
        <v>235</v>
      </c>
      <c r="D27" s="23" t="s">
        <v>145</v>
      </c>
      <c r="E27" s="24" t="s">
        <v>65</v>
      </c>
      <c r="F27" s="23" t="s">
        <v>49</v>
      </c>
      <c r="G27" s="23" t="s">
        <v>112</v>
      </c>
      <c r="H27" s="25">
        <v>65000</v>
      </c>
      <c r="I27" s="25">
        <v>5000</v>
      </c>
      <c r="J27" s="23">
        <f t="shared" si="0"/>
        <v>70000</v>
      </c>
      <c r="K27" s="25">
        <v>35000</v>
      </c>
      <c r="L27" s="23">
        <f t="shared" si="1"/>
        <v>35000</v>
      </c>
      <c r="M27" s="30" t="s">
        <v>113</v>
      </c>
    </row>
    <row r="28" spans="1:13" ht="15.75" customHeight="1" x14ac:dyDescent="0.25">
      <c r="A28" s="27" t="s">
        <v>879</v>
      </c>
      <c r="B28" s="27" t="s">
        <v>240</v>
      </c>
      <c r="C28" s="28" t="s">
        <v>241</v>
      </c>
      <c r="D28" s="27" t="s">
        <v>41</v>
      </c>
      <c r="E28" s="28" t="s">
        <v>43</v>
      </c>
      <c r="F28" s="27" t="s">
        <v>49</v>
      </c>
      <c r="G28" s="27" t="s">
        <v>70</v>
      </c>
      <c r="H28" s="29">
        <v>75000</v>
      </c>
      <c r="I28" s="29">
        <v>5000</v>
      </c>
      <c r="J28" s="27">
        <f t="shared" si="0"/>
        <v>80000</v>
      </c>
      <c r="K28" s="29">
        <v>80000</v>
      </c>
      <c r="L28" s="27">
        <f t="shared" si="1"/>
        <v>0</v>
      </c>
      <c r="M28" s="26" t="s">
        <v>52</v>
      </c>
    </row>
    <row r="29" spans="1:13" ht="15.75" customHeight="1" x14ac:dyDescent="0.25">
      <c r="A29" s="23" t="s">
        <v>880</v>
      </c>
      <c r="B29" s="23" t="s">
        <v>245</v>
      </c>
      <c r="C29" s="24" t="s">
        <v>246</v>
      </c>
      <c r="D29" s="23" t="s">
        <v>41</v>
      </c>
      <c r="E29" s="24" t="s">
        <v>43</v>
      </c>
      <c r="F29" s="23" t="s">
        <v>49</v>
      </c>
      <c r="G29" s="23" t="s">
        <v>112</v>
      </c>
      <c r="H29" s="25">
        <v>75000</v>
      </c>
      <c r="I29" s="25">
        <v>5000</v>
      </c>
      <c r="J29" s="23">
        <f t="shared" si="0"/>
        <v>80000</v>
      </c>
      <c r="K29" s="154">
        <v>5000</v>
      </c>
      <c r="L29" s="155">
        <f t="shared" si="1"/>
        <v>75000</v>
      </c>
      <c r="M29" s="155" t="s">
        <v>881</v>
      </c>
    </row>
    <row r="30" spans="1:13" ht="15.75" customHeight="1" x14ac:dyDescent="0.25">
      <c r="A30" s="27" t="s">
        <v>882</v>
      </c>
      <c r="B30" s="27" t="s">
        <v>251</v>
      </c>
      <c r="C30" s="28" t="s">
        <v>252</v>
      </c>
      <c r="D30" s="27" t="s">
        <v>260</v>
      </c>
      <c r="E30" s="28" t="s">
        <v>43</v>
      </c>
      <c r="F30" s="27" t="s">
        <v>259</v>
      </c>
      <c r="G30" s="27" t="s">
        <v>70</v>
      </c>
      <c r="H30" s="29">
        <v>90000</v>
      </c>
      <c r="I30" s="29">
        <v>5000</v>
      </c>
      <c r="J30" s="27">
        <f t="shared" si="0"/>
        <v>95000</v>
      </c>
      <c r="K30" s="29">
        <v>95000</v>
      </c>
      <c r="L30" s="27">
        <f t="shared" si="1"/>
        <v>0</v>
      </c>
      <c r="M30" s="26" t="s">
        <v>52</v>
      </c>
    </row>
    <row r="31" spans="1:13" ht="15.75" customHeight="1" x14ac:dyDescent="0.25">
      <c r="A31" s="23" t="s">
        <v>883</v>
      </c>
      <c r="B31" s="23" t="s">
        <v>268</v>
      </c>
      <c r="C31" s="24" t="s">
        <v>269</v>
      </c>
      <c r="D31" s="23" t="s">
        <v>276</v>
      </c>
      <c r="E31" s="24" t="s">
        <v>65</v>
      </c>
      <c r="F31" s="23" t="s">
        <v>259</v>
      </c>
      <c r="G31" s="23" t="s">
        <v>112</v>
      </c>
      <c r="H31" s="25">
        <v>110000</v>
      </c>
      <c r="I31" s="25">
        <v>5000</v>
      </c>
      <c r="J31" s="23">
        <f t="shared" si="0"/>
        <v>115000</v>
      </c>
      <c r="K31" s="25">
        <v>115000</v>
      </c>
      <c r="L31" s="23">
        <f t="shared" si="1"/>
        <v>0</v>
      </c>
      <c r="M31" s="26" t="s">
        <v>52</v>
      </c>
    </row>
    <row r="32" spans="1:13" ht="15.75" customHeight="1" x14ac:dyDescent="0.25">
      <c r="A32" s="27" t="s">
        <v>884</v>
      </c>
      <c r="B32" s="27" t="s">
        <v>283</v>
      </c>
      <c r="C32" s="28" t="s">
        <v>284</v>
      </c>
      <c r="D32" s="27" t="s">
        <v>289</v>
      </c>
      <c r="E32" s="28" t="s">
        <v>65</v>
      </c>
      <c r="F32" s="27" t="s">
        <v>259</v>
      </c>
      <c r="G32" s="27" t="s">
        <v>96</v>
      </c>
      <c r="H32" s="29">
        <v>85000</v>
      </c>
      <c r="I32" s="29">
        <v>5000</v>
      </c>
      <c r="J32" s="27">
        <f t="shared" si="0"/>
        <v>90000</v>
      </c>
      <c r="K32" s="29">
        <v>90000</v>
      </c>
      <c r="L32" s="27">
        <f t="shared" si="1"/>
        <v>0</v>
      </c>
      <c r="M32" s="26" t="s">
        <v>52</v>
      </c>
    </row>
    <row r="33" spans="1:13" ht="15.75" customHeight="1" x14ac:dyDescent="0.25">
      <c r="A33" s="23" t="s">
        <v>885</v>
      </c>
      <c r="B33" s="23" t="s">
        <v>296</v>
      </c>
      <c r="C33" s="24" t="s">
        <v>297</v>
      </c>
      <c r="D33" s="23" t="s">
        <v>260</v>
      </c>
      <c r="E33" s="24" t="s">
        <v>106</v>
      </c>
      <c r="F33" s="23" t="s">
        <v>259</v>
      </c>
      <c r="G33" s="23" t="s">
        <v>112</v>
      </c>
      <c r="H33" s="25">
        <v>90000</v>
      </c>
      <c r="I33" s="25">
        <v>5000</v>
      </c>
      <c r="J33" s="23">
        <f t="shared" si="0"/>
        <v>95000</v>
      </c>
      <c r="K33" s="25">
        <v>60000</v>
      </c>
      <c r="L33" s="23">
        <f t="shared" si="1"/>
        <v>35000</v>
      </c>
      <c r="M33" s="30" t="s">
        <v>113</v>
      </c>
    </row>
    <row r="34" spans="1:13" ht="15.75" customHeight="1" x14ac:dyDescent="0.25">
      <c r="A34" s="27" t="s">
        <v>886</v>
      </c>
      <c r="B34" s="27" t="s">
        <v>306</v>
      </c>
      <c r="C34" s="28" t="s">
        <v>307</v>
      </c>
      <c r="D34" s="27" t="s">
        <v>289</v>
      </c>
      <c r="E34" s="28" t="s">
        <v>193</v>
      </c>
      <c r="F34" s="27" t="s">
        <v>259</v>
      </c>
      <c r="G34" s="27" t="s">
        <v>70</v>
      </c>
      <c r="H34" s="29">
        <v>85000</v>
      </c>
      <c r="I34" s="29">
        <v>5000</v>
      </c>
      <c r="J34" s="27">
        <f t="shared" si="0"/>
        <v>90000</v>
      </c>
      <c r="K34" s="29">
        <v>90000</v>
      </c>
      <c r="L34" s="27">
        <f t="shared" si="1"/>
        <v>0</v>
      </c>
      <c r="M34" s="26" t="s">
        <v>52</v>
      </c>
    </row>
    <row r="35" spans="1:13" ht="15.75" customHeight="1" x14ac:dyDescent="0.25">
      <c r="A35" s="23" t="s">
        <v>887</v>
      </c>
      <c r="B35" s="23" t="s">
        <v>315</v>
      </c>
      <c r="C35" s="24" t="s">
        <v>316</v>
      </c>
      <c r="D35" s="23" t="s">
        <v>276</v>
      </c>
      <c r="E35" s="24" t="s">
        <v>65</v>
      </c>
      <c r="F35" s="23" t="s">
        <v>259</v>
      </c>
      <c r="G35" s="23" t="s">
        <v>112</v>
      </c>
      <c r="H35" s="25">
        <v>110000</v>
      </c>
      <c r="I35" s="25">
        <v>5000</v>
      </c>
      <c r="J35" s="23">
        <f t="shared" si="0"/>
        <v>115000</v>
      </c>
      <c r="K35" s="25">
        <v>115000</v>
      </c>
      <c r="L35" s="23">
        <f t="shared" si="1"/>
        <v>0</v>
      </c>
      <c r="M35" s="26" t="s">
        <v>52</v>
      </c>
    </row>
    <row r="36" spans="1:13" ht="15.75" customHeight="1" x14ac:dyDescent="0.25">
      <c r="A36" s="27" t="s">
        <v>888</v>
      </c>
      <c r="B36" s="27" t="s">
        <v>324</v>
      </c>
      <c r="C36" s="28" t="s">
        <v>325</v>
      </c>
      <c r="D36" s="27" t="s">
        <v>329</v>
      </c>
      <c r="E36" s="28" t="s">
        <v>106</v>
      </c>
      <c r="F36" s="27" t="s">
        <v>259</v>
      </c>
      <c r="G36" s="27" t="s">
        <v>332</v>
      </c>
      <c r="H36" s="29">
        <v>80000</v>
      </c>
      <c r="I36" s="29">
        <v>5000</v>
      </c>
      <c r="J36" s="27">
        <f t="shared" si="0"/>
        <v>85000</v>
      </c>
      <c r="K36" s="29">
        <v>85000</v>
      </c>
      <c r="L36" s="27">
        <f t="shared" si="1"/>
        <v>0</v>
      </c>
      <c r="M36" s="26" t="s">
        <v>52</v>
      </c>
    </row>
    <row r="37" spans="1:13" ht="15.75" customHeight="1" x14ac:dyDescent="0.25">
      <c r="A37" s="23" t="s">
        <v>889</v>
      </c>
      <c r="B37" s="23" t="s">
        <v>341</v>
      </c>
      <c r="C37" s="24" t="s">
        <v>342</v>
      </c>
      <c r="D37" s="23" t="s">
        <v>329</v>
      </c>
      <c r="E37" s="24" t="s">
        <v>43</v>
      </c>
      <c r="F37" s="23" t="s">
        <v>259</v>
      </c>
      <c r="G37" s="23" t="s">
        <v>348</v>
      </c>
      <c r="H37" s="25">
        <v>80000</v>
      </c>
      <c r="I37" s="25">
        <v>5000</v>
      </c>
      <c r="J37" s="23">
        <f t="shared" si="0"/>
        <v>85000</v>
      </c>
      <c r="K37" s="25">
        <v>85000</v>
      </c>
      <c r="L37" s="23">
        <f t="shared" si="1"/>
        <v>0</v>
      </c>
      <c r="M37" s="26" t="s">
        <v>52</v>
      </c>
    </row>
    <row r="38" spans="1:13" ht="15.75" customHeight="1" x14ac:dyDescent="0.25">
      <c r="A38" s="27" t="s">
        <v>890</v>
      </c>
      <c r="B38" s="27" t="s">
        <v>357</v>
      </c>
      <c r="C38" s="28" t="s">
        <v>358</v>
      </c>
      <c r="D38" s="27" t="s">
        <v>362</v>
      </c>
      <c r="E38" s="28" t="s">
        <v>123</v>
      </c>
      <c r="F38" s="27" t="s">
        <v>259</v>
      </c>
      <c r="G38" s="27" t="s">
        <v>332</v>
      </c>
      <c r="H38" s="29">
        <v>75000</v>
      </c>
      <c r="I38" s="29">
        <v>5000</v>
      </c>
      <c r="J38" s="27">
        <f t="shared" si="0"/>
        <v>80000</v>
      </c>
      <c r="K38" s="29">
        <v>80000</v>
      </c>
      <c r="L38" s="27">
        <f t="shared" si="1"/>
        <v>0</v>
      </c>
      <c r="M38" s="26" t="s">
        <v>52</v>
      </c>
    </row>
    <row r="39" spans="1:13" ht="15.75" customHeight="1" x14ac:dyDescent="0.25">
      <c r="A39" s="23" t="s">
        <v>891</v>
      </c>
      <c r="B39" s="23" t="s">
        <v>370</v>
      </c>
      <c r="C39" s="24" t="s">
        <v>371</v>
      </c>
      <c r="D39" s="23" t="s">
        <v>329</v>
      </c>
      <c r="E39" s="24" t="s">
        <v>77</v>
      </c>
      <c r="F39" s="23" t="s">
        <v>259</v>
      </c>
      <c r="G39" s="23" t="s">
        <v>348</v>
      </c>
      <c r="H39" s="25">
        <v>80000</v>
      </c>
      <c r="I39" s="25">
        <v>5000</v>
      </c>
      <c r="J39" s="23">
        <f t="shared" si="0"/>
        <v>85000</v>
      </c>
      <c r="K39" s="25">
        <v>0</v>
      </c>
      <c r="L39" s="23">
        <f t="shared" si="1"/>
        <v>85000</v>
      </c>
      <c r="M39" s="31" t="s">
        <v>149</v>
      </c>
    </row>
    <row r="40" spans="1:13" ht="15.75" customHeight="1" x14ac:dyDescent="0.25">
      <c r="A40" s="27" t="s">
        <v>892</v>
      </c>
      <c r="B40" s="27" t="s">
        <v>385</v>
      </c>
      <c r="C40" s="28" t="s">
        <v>386</v>
      </c>
      <c r="D40" s="27" t="s">
        <v>329</v>
      </c>
      <c r="E40" s="28" t="s">
        <v>91</v>
      </c>
      <c r="F40" s="27" t="s">
        <v>259</v>
      </c>
      <c r="G40" s="27" t="s">
        <v>96</v>
      </c>
      <c r="H40" s="29">
        <v>80000</v>
      </c>
      <c r="I40" s="29">
        <v>5000</v>
      </c>
      <c r="J40" s="27">
        <f t="shared" si="0"/>
        <v>85000</v>
      </c>
      <c r="K40" s="29">
        <v>85000</v>
      </c>
      <c r="L40" s="27">
        <f t="shared" si="1"/>
        <v>0</v>
      </c>
      <c r="M40" s="26" t="s">
        <v>52</v>
      </c>
    </row>
    <row r="41" spans="1:13" ht="15.75" customHeight="1" x14ac:dyDescent="0.25">
      <c r="A41" s="23" t="s">
        <v>893</v>
      </c>
      <c r="B41" s="23" t="s">
        <v>399</v>
      </c>
      <c r="C41" s="24" t="s">
        <v>400</v>
      </c>
      <c r="D41" s="23" t="s">
        <v>329</v>
      </c>
      <c r="E41" s="24" t="s">
        <v>43</v>
      </c>
      <c r="F41" s="23" t="s">
        <v>259</v>
      </c>
      <c r="G41" s="23" t="s">
        <v>405</v>
      </c>
      <c r="H41" s="25">
        <v>80000</v>
      </c>
      <c r="I41" s="25">
        <v>5000</v>
      </c>
      <c r="J41" s="23">
        <f t="shared" si="0"/>
        <v>85000</v>
      </c>
      <c r="K41" s="25">
        <v>85000</v>
      </c>
      <c r="L41" s="23">
        <f t="shared" si="1"/>
        <v>0</v>
      </c>
      <c r="M41" s="26" t="s">
        <v>52</v>
      </c>
    </row>
    <row r="42" spans="1:13" ht="18" customHeight="1" x14ac:dyDescent="0.25">
      <c r="A42" t="s">
        <v>894</v>
      </c>
      <c r="B42" t="s">
        <v>412</v>
      </c>
      <c r="C42" t="s">
        <v>413</v>
      </c>
      <c r="D42" t="s">
        <v>895</v>
      </c>
      <c r="E42" t="s">
        <v>43</v>
      </c>
      <c r="F42" t="s">
        <v>259</v>
      </c>
      <c r="G42" t="s">
        <v>332</v>
      </c>
      <c r="H42">
        <v>180000</v>
      </c>
      <c r="I42">
        <v>5000</v>
      </c>
      <c r="J42">
        <v>185000</v>
      </c>
      <c r="K42">
        <v>185000</v>
      </c>
      <c r="L42">
        <v>0</v>
      </c>
      <c r="M42" t="s">
        <v>52</v>
      </c>
    </row>
    <row r="43" spans="1:13" x14ac:dyDescent="0.25">
      <c r="A43" t="s">
        <v>896</v>
      </c>
      <c r="B43" t="s">
        <v>425</v>
      </c>
      <c r="C43" t="s">
        <v>426</v>
      </c>
      <c r="D43" t="s">
        <v>895</v>
      </c>
      <c r="E43" t="s">
        <v>91</v>
      </c>
      <c r="F43" t="s">
        <v>259</v>
      </c>
      <c r="G43" t="s">
        <v>430</v>
      </c>
      <c r="H43">
        <v>180000</v>
      </c>
      <c r="I43">
        <v>5000</v>
      </c>
      <c r="J43">
        <v>185000</v>
      </c>
      <c r="K43">
        <v>185000</v>
      </c>
      <c r="L43">
        <v>0</v>
      </c>
      <c r="M43" t="s">
        <v>52</v>
      </c>
    </row>
    <row r="44" spans="1:13" x14ac:dyDescent="0.25">
      <c r="A44" t="s">
        <v>897</v>
      </c>
      <c r="B44" t="s">
        <v>438</v>
      </c>
      <c r="C44" t="s">
        <v>439</v>
      </c>
      <c r="D44" t="s">
        <v>895</v>
      </c>
      <c r="E44" t="s">
        <v>65</v>
      </c>
      <c r="F44" t="s">
        <v>259</v>
      </c>
      <c r="G44" t="s">
        <v>405</v>
      </c>
      <c r="H44">
        <v>180000</v>
      </c>
      <c r="I44">
        <v>5000</v>
      </c>
      <c r="J44">
        <v>185000</v>
      </c>
      <c r="K44">
        <v>185000</v>
      </c>
      <c r="L44">
        <v>0</v>
      </c>
      <c r="M44" t="s">
        <v>52</v>
      </c>
    </row>
    <row r="45" spans="1:13" x14ac:dyDescent="0.25">
      <c r="A45" t="s">
        <v>898</v>
      </c>
      <c r="B45" t="s">
        <v>451</v>
      </c>
      <c r="C45" t="s">
        <v>452</v>
      </c>
      <c r="D45" t="s">
        <v>895</v>
      </c>
      <c r="E45" t="s">
        <v>106</v>
      </c>
      <c r="F45" t="s">
        <v>259</v>
      </c>
      <c r="G45" t="s">
        <v>348</v>
      </c>
      <c r="H45">
        <v>180000</v>
      </c>
      <c r="I45">
        <v>5000</v>
      </c>
      <c r="J45">
        <v>185000</v>
      </c>
      <c r="K45">
        <v>185000</v>
      </c>
      <c r="L45">
        <v>0</v>
      </c>
      <c r="M45" t="s">
        <v>52</v>
      </c>
    </row>
    <row r="46" spans="1:13" x14ac:dyDescent="0.25">
      <c r="A46" s="33" t="s">
        <v>899</v>
      </c>
      <c r="B46" s="34"/>
      <c r="C46" s="34"/>
      <c r="D46" s="34"/>
      <c r="E46" s="34"/>
      <c r="F46" s="34"/>
      <c r="G46" s="34"/>
      <c r="H46" s="35">
        <v>3545000</v>
      </c>
      <c r="I46" s="35">
        <v>205000</v>
      </c>
      <c r="J46" s="35">
        <v>3750000</v>
      </c>
      <c r="K46" s="35">
        <v>3270000</v>
      </c>
      <c r="L46" s="35">
        <f>SUM(L5:L45)</f>
        <v>480000</v>
      </c>
      <c r="M46" s="34"/>
    </row>
  </sheetData>
  <mergeCells count="2">
    <mergeCell ref="A2:L2"/>
    <mergeCell ref="A1:L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46"/>
  <sheetViews>
    <sheetView showGridLines="0" zoomScaleNormal="100" workbookViewId="0">
      <pane ySplit="4" topLeftCell="A5" activePane="bottomLeft" state="frozen"/>
      <selection pane="bottomLeft"/>
    </sheetView>
  </sheetViews>
  <sheetFormatPr defaultColWidth="8.7109375" defaultRowHeight="15" x14ac:dyDescent="0.25"/>
  <cols>
    <col min="1" max="1" width="14" customWidth="1"/>
    <col min="2" max="2" width="16" customWidth="1"/>
    <col min="3" max="3" width="18" customWidth="1"/>
    <col min="4" max="4" width="24" customWidth="1"/>
    <col min="5" max="5" width="14" customWidth="1"/>
    <col min="6" max="7" width="18" customWidth="1"/>
    <col min="8" max="8" width="16" customWidth="1"/>
    <col min="9" max="9" width="18" customWidth="1"/>
    <col min="10" max="10" width="20" customWidth="1"/>
    <col min="11" max="11" width="14" customWidth="1"/>
    <col min="12" max="12" width="12" customWidth="1"/>
  </cols>
  <sheetData>
    <row r="1" spans="1:12" ht="25.5" customHeight="1" x14ac:dyDescent="0.25">
      <c r="A1" s="161" t="s">
        <v>900</v>
      </c>
      <c r="B1" s="160"/>
      <c r="C1" s="160"/>
      <c r="D1" s="160"/>
      <c r="E1" s="160"/>
      <c r="F1" s="160"/>
      <c r="G1" s="160"/>
      <c r="H1" s="160"/>
      <c r="I1" s="160"/>
      <c r="J1" s="160"/>
      <c r="K1" s="160"/>
    </row>
    <row r="2" spans="1:12" ht="15.75" customHeight="1" x14ac:dyDescent="0.25">
      <c r="A2" s="159" t="s">
        <v>844</v>
      </c>
      <c r="B2" s="160"/>
      <c r="C2" s="160"/>
      <c r="D2" s="160"/>
      <c r="E2" s="160"/>
      <c r="F2" s="160"/>
      <c r="G2" s="160"/>
      <c r="H2" s="160"/>
      <c r="I2" s="160"/>
      <c r="J2" s="160"/>
      <c r="K2" s="160"/>
    </row>
    <row r="4" spans="1:12" ht="18" customHeight="1" x14ac:dyDescent="0.25">
      <c r="A4" s="22" t="s">
        <v>901</v>
      </c>
      <c r="B4" s="22" t="s">
        <v>845</v>
      </c>
      <c r="C4" s="22" t="s">
        <v>846</v>
      </c>
      <c r="D4" s="22" t="s">
        <v>847</v>
      </c>
      <c r="E4" s="22" t="s">
        <v>902</v>
      </c>
      <c r="F4" s="22" t="s">
        <v>903</v>
      </c>
      <c r="G4" s="22" t="s">
        <v>904</v>
      </c>
      <c r="H4" s="22" t="s">
        <v>905</v>
      </c>
      <c r="I4" s="22" t="s">
        <v>906</v>
      </c>
      <c r="J4" s="22" t="s">
        <v>907</v>
      </c>
      <c r="K4" s="22" t="s">
        <v>908</v>
      </c>
      <c r="L4" s="22" t="s">
        <v>909</v>
      </c>
    </row>
    <row r="5" spans="1:12" ht="15.75" customHeight="1" x14ac:dyDescent="0.25">
      <c r="A5" s="23" t="s">
        <v>910</v>
      </c>
      <c r="B5" s="23" t="s">
        <v>856</v>
      </c>
      <c r="C5" s="23" t="s">
        <v>35</v>
      </c>
      <c r="D5" s="24" t="s">
        <v>36</v>
      </c>
      <c r="E5" s="23" t="s">
        <v>911</v>
      </c>
      <c r="F5" s="23" t="s">
        <v>912</v>
      </c>
      <c r="G5" s="23" t="s">
        <v>913</v>
      </c>
      <c r="H5" s="25">
        <v>80000</v>
      </c>
      <c r="I5" s="23" t="s">
        <v>914</v>
      </c>
      <c r="J5" s="23" t="s">
        <v>915</v>
      </c>
      <c r="K5" s="23" t="s">
        <v>916</v>
      </c>
      <c r="L5" s="26" t="s">
        <v>917</v>
      </c>
    </row>
    <row r="6" spans="1:12" ht="15.75" customHeight="1" x14ac:dyDescent="0.25">
      <c r="A6" s="27" t="s">
        <v>918</v>
      </c>
      <c r="B6" s="27" t="s">
        <v>857</v>
      </c>
      <c r="C6" s="27" t="s">
        <v>57</v>
      </c>
      <c r="D6" s="28" t="s">
        <v>58</v>
      </c>
      <c r="E6" s="27" t="s">
        <v>919</v>
      </c>
      <c r="F6" s="27" t="s">
        <v>912</v>
      </c>
      <c r="G6" s="27" t="s">
        <v>920</v>
      </c>
      <c r="H6" s="29">
        <v>70000</v>
      </c>
      <c r="I6" s="27" t="s">
        <v>914</v>
      </c>
      <c r="J6" s="27" t="s">
        <v>921</v>
      </c>
      <c r="K6" s="27" t="s">
        <v>922</v>
      </c>
      <c r="L6" s="26" t="s">
        <v>917</v>
      </c>
    </row>
    <row r="7" spans="1:12" ht="15.75" customHeight="1" x14ac:dyDescent="0.25">
      <c r="A7" s="23" t="s">
        <v>923</v>
      </c>
      <c r="B7" s="23" t="s">
        <v>858</v>
      </c>
      <c r="C7" s="23" t="s">
        <v>71</v>
      </c>
      <c r="D7" s="24" t="s">
        <v>72</v>
      </c>
      <c r="E7" s="23" t="s">
        <v>109</v>
      </c>
      <c r="F7" s="23" t="s">
        <v>924</v>
      </c>
      <c r="G7" s="23" t="s">
        <v>925</v>
      </c>
      <c r="H7" s="25">
        <v>80000</v>
      </c>
      <c r="I7" s="23" t="s">
        <v>914</v>
      </c>
      <c r="J7" s="23" t="s">
        <v>915</v>
      </c>
      <c r="K7" s="23" t="s">
        <v>926</v>
      </c>
      <c r="L7" s="26" t="s">
        <v>917</v>
      </c>
    </row>
    <row r="8" spans="1:12" ht="15.75" customHeight="1" x14ac:dyDescent="0.25">
      <c r="A8" s="27" t="s">
        <v>927</v>
      </c>
      <c r="B8" s="27" t="s">
        <v>859</v>
      </c>
      <c r="C8" s="27" t="s">
        <v>85</v>
      </c>
      <c r="D8" s="28" t="s">
        <v>86</v>
      </c>
      <c r="E8" s="27" t="s">
        <v>928</v>
      </c>
      <c r="F8" s="27" t="s">
        <v>924</v>
      </c>
      <c r="G8" s="27" t="s">
        <v>929</v>
      </c>
      <c r="H8" s="29">
        <v>80000</v>
      </c>
      <c r="I8" s="27" t="s">
        <v>914</v>
      </c>
      <c r="J8" s="27" t="s">
        <v>921</v>
      </c>
      <c r="K8" s="27" t="s">
        <v>930</v>
      </c>
      <c r="L8" s="26" t="s">
        <v>917</v>
      </c>
    </row>
    <row r="9" spans="1:12" ht="15.75" customHeight="1" x14ac:dyDescent="0.25">
      <c r="A9" s="23" t="s">
        <v>931</v>
      </c>
      <c r="B9" s="23" t="s">
        <v>860</v>
      </c>
      <c r="C9" s="23" t="s">
        <v>100</v>
      </c>
      <c r="D9" s="24" t="s">
        <v>101</v>
      </c>
      <c r="E9" s="23" t="s">
        <v>623</v>
      </c>
      <c r="F9" s="23" t="s">
        <v>912</v>
      </c>
      <c r="G9" s="23" t="s">
        <v>932</v>
      </c>
      <c r="H9" s="25">
        <v>45000</v>
      </c>
      <c r="I9" s="23" t="s">
        <v>933</v>
      </c>
      <c r="J9" s="23" t="s">
        <v>921</v>
      </c>
      <c r="K9" s="23" t="s">
        <v>934</v>
      </c>
      <c r="L9" s="26" t="s">
        <v>917</v>
      </c>
    </row>
    <row r="10" spans="1:12" ht="15.75" customHeight="1" x14ac:dyDescent="0.25">
      <c r="A10" s="27" t="s">
        <v>935</v>
      </c>
      <c r="B10" s="27" t="s">
        <v>861</v>
      </c>
      <c r="C10" s="27" t="s">
        <v>116</v>
      </c>
      <c r="D10" s="28" t="s">
        <v>117</v>
      </c>
      <c r="E10" s="27" t="s">
        <v>618</v>
      </c>
      <c r="F10" s="27" t="s">
        <v>924</v>
      </c>
      <c r="G10" s="27" t="s">
        <v>936</v>
      </c>
      <c r="H10" s="29">
        <v>65000</v>
      </c>
      <c r="I10" s="27" t="s">
        <v>914</v>
      </c>
      <c r="J10" s="27" t="s">
        <v>915</v>
      </c>
      <c r="K10" s="27" t="s">
        <v>937</v>
      </c>
      <c r="L10" s="26" t="s">
        <v>917</v>
      </c>
    </row>
    <row r="11" spans="1:12" ht="15.75" customHeight="1" x14ac:dyDescent="0.25">
      <c r="A11" s="23" t="s">
        <v>938</v>
      </c>
      <c r="B11" s="23" t="s">
        <v>862</v>
      </c>
      <c r="C11" s="23" t="s">
        <v>124</v>
      </c>
      <c r="D11" s="24" t="s">
        <v>125</v>
      </c>
      <c r="E11" s="23" t="s">
        <v>623</v>
      </c>
      <c r="F11" s="23" t="s">
        <v>924</v>
      </c>
      <c r="G11" s="23" t="s">
        <v>939</v>
      </c>
      <c r="H11" s="25">
        <v>80000</v>
      </c>
      <c r="I11" s="23" t="s">
        <v>914</v>
      </c>
      <c r="J11" s="23" t="s">
        <v>915</v>
      </c>
      <c r="K11" s="23" t="s">
        <v>940</v>
      </c>
      <c r="L11" s="26" t="s">
        <v>917</v>
      </c>
    </row>
    <row r="12" spans="1:12" ht="15.75" customHeight="1" x14ac:dyDescent="0.25">
      <c r="A12" s="27" t="s">
        <v>941</v>
      </c>
      <c r="B12" s="27" t="s">
        <v>863</v>
      </c>
      <c r="C12" s="27" t="s">
        <v>131</v>
      </c>
      <c r="D12" s="28" t="s">
        <v>132</v>
      </c>
      <c r="E12" s="27" t="s">
        <v>942</v>
      </c>
      <c r="F12" s="27" t="s">
        <v>912</v>
      </c>
      <c r="G12" s="27" t="s">
        <v>943</v>
      </c>
      <c r="H12" s="29">
        <v>75000</v>
      </c>
      <c r="I12" s="27" t="s">
        <v>914</v>
      </c>
      <c r="J12" s="27" t="s">
        <v>921</v>
      </c>
      <c r="K12" s="27" t="s">
        <v>944</v>
      </c>
      <c r="L12" s="26" t="s">
        <v>917</v>
      </c>
    </row>
    <row r="13" spans="1:12" ht="15.75" customHeight="1" x14ac:dyDescent="0.25">
      <c r="A13" s="23" t="s">
        <v>945</v>
      </c>
      <c r="B13" s="23" t="s">
        <v>864</v>
      </c>
      <c r="C13" s="23" t="s">
        <v>140</v>
      </c>
      <c r="D13" s="24" t="s">
        <v>141</v>
      </c>
      <c r="E13" s="23" t="s">
        <v>623</v>
      </c>
      <c r="F13" s="23" t="s">
        <v>946</v>
      </c>
      <c r="G13" s="23" t="s">
        <v>946</v>
      </c>
      <c r="H13" s="25">
        <v>0</v>
      </c>
      <c r="I13" s="23" t="s">
        <v>947</v>
      </c>
      <c r="J13" s="23" t="s">
        <v>948</v>
      </c>
      <c r="K13" s="23" t="s">
        <v>949</v>
      </c>
      <c r="L13" s="31" t="s">
        <v>149</v>
      </c>
    </row>
    <row r="14" spans="1:12" ht="15.75" customHeight="1" x14ac:dyDescent="0.25">
      <c r="A14" s="27" t="s">
        <v>950</v>
      </c>
      <c r="B14" s="27" t="s">
        <v>865</v>
      </c>
      <c r="C14" s="27" t="s">
        <v>150</v>
      </c>
      <c r="D14" s="28" t="s">
        <v>151</v>
      </c>
      <c r="E14" s="27" t="s">
        <v>109</v>
      </c>
      <c r="F14" s="27" t="s">
        <v>924</v>
      </c>
      <c r="G14" s="27" t="s">
        <v>951</v>
      </c>
      <c r="H14" s="29">
        <v>80000</v>
      </c>
      <c r="I14" s="27" t="s">
        <v>914</v>
      </c>
      <c r="J14" s="27" t="s">
        <v>915</v>
      </c>
      <c r="K14" s="27" t="s">
        <v>952</v>
      </c>
      <c r="L14" s="26" t="s">
        <v>917</v>
      </c>
    </row>
    <row r="15" spans="1:12" ht="15.75" customHeight="1" x14ac:dyDescent="0.25">
      <c r="A15" s="23" t="s">
        <v>953</v>
      </c>
      <c r="B15" s="23" t="s">
        <v>866</v>
      </c>
      <c r="C15" s="23" t="s">
        <v>157</v>
      </c>
      <c r="D15" s="24" t="s">
        <v>158</v>
      </c>
      <c r="E15" s="23" t="s">
        <v>954</v>
      </c>
      <c r="F15" s="23" t="s">
        <v>924</v>
      </c>
      <c r="G15" s="23" t="s">
        <v>955</v>
      </c>
      <c r="H15" s="25">
        <v>80000</v>
      </c>
      <c r="I15" s="23" t="s">
        <v>914</v>
      </c>
      <c r="J15" s="23" t="s">
        <v>915</v>
      </c>
      <c r="K15" s="23" t="s">
        <v>956</v>
      </c>
      <c r="L15" s="26" t="s">
        <v>917</v>
      </c>
    </row>
    <row r="16" spans="1:12" ht="15.75" customHeight="1" x14ac:dyDescent="0.25">
      <c r="A16" s="27" t="s">
        <v>957</v>
      </c>
      <c r="B16" s="27" t="s">
        <v>867</v>
      </c>
      <c r="C16" s="27" t="s">
        <v>163</v>
      </c>
      <c r="D16" s="28" t="s">
        <v>164</v>
      </c>
      <c r="E16" s="27" t="s">
        <v>919</v>
      </c>
      <c r="F16" s="27" t="s">
        <v>924</v>
      </c>
      <c r="G16" s="27" t="s">
        <v>958</v>
      </c>
      <c r="H16" s="29">
        <v>80000</v>
      </c>
      <c r="I16" s="27" t="s">
        <v>914</v>
      </c>
      <c r="J16" s="27" t="s">
        <v>915</v>
      </c>
      <c r="K16" s="27" t="s">
        <v>959</v>
      </c>
      <c r="L16" s="26" t="s">
        <v>917</v>
      </c>
    </row>
    <row r="17" spans="1:12" ht="15.75" customHeight="1" x14ac:dyDescent="0.25">
      <c r="A17" s="23" t="s">
        <v>960</v>
      </c>
      <c r="B17" s="23" t="s">
        <v>868</v>
      </c>
      <c r="C17" s="23" t="s">
        <v>170</v>
      </c>
      <c r="D17" s="24" t="s">
        <v>171</v>
      </c>
      <c r="E17" s="23" t="s">
        <v>954</v>
      </c>
      <c r="F17" s="23" t="s">
        <v>924</v>
      </c>
      <c r="G17" s="23" t="s">
        <v>961</v>
      </c>
      <c r="H17" s="25">
        <v>70000</v>
      </c>
      <c r="I17" s="23" t="s">
        <v>914</v>
      </c>
      <c r="J17" s="23" t="s">
        <v>915</v>
      </c>
      <c r="K17" s="23" t="s">
        <v>962</v>
      </c>
      <c r="L17" s="26" t="s">
        <v>917</v>
      </c>
    </row>
    <row r="18" spans="1:12" ht="15.75" customHeight="1" x14ac:dyDescent="0.25">
      <c r="A18" s="27" t="s">
        <v>963</v>
      </c>
      <c r="B18" s="27" t="s">
        <v>869</v>
      </c>
      <c r="C18" s="27" t="s">
        <v>177</v>
      </c>
      <c r="D18" s="28" t="s">
        <v>178</v>
      </c>
      <c r="E18" s="27" t="s">
        <v>964</v>
      </c>
      <c r="F18" s="27" t="s">
        <v>912</v>
      </c>
      <c r="G18" s="27" t="s">
        <v>965</v>
      </c>
      <c r="H18" s="29">
        <v>10000</v>
      </c>
      <c r="I18" s="27" t="s">
        <v>933</v>
      </c>
      <c r="J18" s="27" t="s">
        <v>921</v>
      </c>
      <c r="K18" s="27" t="s">
        <v>966</v>
      </c>
      <c r="L18" s="26" t="s">
        <v>917</v>
      </c>
    </row>
    <row r="19" spans="1:12" ht="15.75" customHeight="1" x14ac:dyDescent="0.25">
      <c r="A19" s="23" t="s">
        <v>967</v>
      </c>
      <c r="B19" s="23" t="s">
        <v>870</v>
      </c>
      <c r="C19" s="23" t="s">
        <v>187</v>
      </c>
      <c r="D19" s="24" t="s">
        <v>188</v>
      </c>
      <c r="E19" s="23" t="s">
        <v>911</v>
      </c>
      <c r="F19" s="23" t="s">
        <v>924</v>
      </c>
      <c r="G19" s="23" t="s">
        <v>968</v>
      </c>
      <c r="H19" s="25">
        <v>70000</v>
      </c>
      <c r="I19" s="23" t="s">
        <v>914</v>
      </c>
      <c r="J19" s="23" t="s">
        <v>921</v>
      </c>
      <c r="K19" s="23" t="s">
        <v>969</v>
      </c>
      <c r="L19" s="26" t="s">
        <v>917</v>
      </c>
    </row>
    <row r="20" spans="1:12" ht="15.75" customHeight="1" x14ac:dyDescent="0.25">
      <c r="A20" s="27" t="s">
        <v>970</v>
      </c>
      <c r="B20" s="27" t="s">
        <v>871</v>
      </c>
      <c r="C20" s="27" t="s">
        <v>194</v>
      </c>
      <c r="D20" s="28" t="s">
        <v>195</v>
      </c>
      <c r="E20" s="27" t="s">
        <v>971</v>
      </c>
      <c r="F20" s="27" t="s">
        <v>912</v>
      </c>
      <c r="G20" s="27" t="s">
        <v>972</v>
      </c>
      <c r="H20" s="29">
        <v>80000</v>
      </c>
      <c r="I20" s="27" t="s">
        <v>914</v>
      </c>
      <c r="J20" s="27" t="s">
        <v>915</v>
      </c>
      <c r="K20" s="27" t="s">
        <v>973</v>
      </c>
      <c r="L20" s="26" t="s">
        <v>917</v>
      </c>
    </row>
    <row r="21" spans="1:12" ht="15.75" customHeight="1" x14ac:dyDescent="0.25">
      <c r="A21" s="23" t="s">
        <v>974</v>
      </c>
      <c r="B21" s="23" t="s">
        <v>872</v>
      </c>
      <c r="C21" s="23" t="s">
        <v>200</v>
      </c>
      <c r="D21" s="24" t="s">
        <v>201</v>
      </c>
      <c r="E21" s="23" t="s">
        <v>975</v>
      </c>
      <c r="F21" s="23" t="s">
        <v>924</v>
      </c>
      <c r="G21" s="23" t="s">
        <v>976</v>
      </c>
      <c r="H21" s="25">
        <v>80000</v>
      </c>
      <c r="I21" s="23" t="s">
        <v>914</v>
      </c>
      <c r="J21" s="23" t="s">
        <v>921</v>
      </c>
      <c r="K21" s="23" t="s">
        <v>977</v>
      </c>
      <c r="L21" s="26" t="s">
        <v>917</v>
      </c>
    </row>
    <row r="22" spans="1:12" ht="15.75" customHeight="1" x14ac:dyDescent="0.25">
      <c r="A22" s="27" t="s">
        <v>978</v>
      </c>
      <c r="B22" s="27" t="s">
        <v>873</v>
      </c>
      <c r="C22" s="27" t="s">
        <v>205</v>
      </c>
      <c r="D22" s="28" t="s">
        <v>206</v>
      </c>
      <c r="E22" s="27" t="s">
        <v>919</v>
      </c>
      <c r="F22" s="27" t="s">
        <v>924</v>
      </c>
      <c r="G22" s="27" t="s">
        <v>979</v>
      </c>
      <c r="H22" s="29">
        <v>65000</v>
      </c>
      <c r="I22" s="27" t="s">
        <v>914</v>
      </c>
      <c r="J22" s="27" t="s">
        <v>921</v>
      </c>
      <c r="K22" s="27" t="s">
        <v>980</v>
      </c>
      <c r="L22" s="26" t="s">
        <v>917</v>
      </c>
    </row>
    <row r="23" spans="1:12" ht="15.75" customHeight="1" x14ac:dyDescent="0.25">
      <c r="A23" s="23" t="s">
        <v>981</v>
      </c>
      <c r="B23" s="23" t="s">
        <v>874</v>
      </c>
      <c r="C23" s="23" t="s">
        <v>212</v>
      </c>
      <c r="D23" s="24" t="s">
        <v>213</v>
      </c>
      <c r="E23" s="23" t="s">
        <v>954</v>
      </c>
      <c r="F23" s="23" t="s">
        <v>912</v>
      </c>
      <c r="G23" s="23" t="s">
        <v>982</v>
      </c>
      <c r="H23" s="25">
        <v>80000</v>
      </c>
      <c r="I23" s="23" t="s">
        <v>914</v>
      </c>
      <c r="J23" s="23" t="s">
        <v>915</v>
      </c>
      <c r="K23" s="23" t="s">
        <v>983</v>
      </c>
      <c r="L23" s="26" t="s">
        <v>917</v>
      </c>
    </row>
    <row r="24" spans="1:12" ht="15.75" customHeight="1" x14ac:dyDescent="0.25">
      <c r="A24" s="27" t="s">
        <v>984</v>
      </c>
      <c r="B24" s="27" t="s">
        <v>875</v>
      </c>
      <c r="C24" s="27" t="s">
        <v>218</v>
      </c>
      <c r="D24" s="28" t="s">
        <v>219</v>
      </c>
      <c r="E24" s="27" t="s">
        <v>633</v>
      </c>
      <c r="F24" s="27" t="s">
        <v>924</v>
      </c>
      <c r="G24" s="27" t="s">
        <v>985</v>
      </c>
      <c r="H24" s="29">
        <v>75000</v>
      </c>
      <c r="I24" s="27" t="s">
        <v>914</v>
      </c>
      <c r="J24" s="27" t="s">
        <v>921</v>
      </c>
      <c r="K24" s="27" t="s">
        <v>986</v>
      </c>
      <c r="L24" s="26" t="s">
        <v>917</v>
      </c>
    </row>
    <row r="25" spans="1:12" ht="15.75" customHeight="1" x14ac:dyDescent="0.25">
      <c r="A25" s="23" t="s">
        <v>987</v>
      </c>
      <c r="B25" s="23" t="s">
        <v>876</v>
      </c>
      <c r="C25" s="23" t="s">
        <v>223</v>
      </c>
      <c r="D25" s="24" t="s">
        <v>224</v>
      </c>
      <c r="E25" s="23" t="s">
        <v>988</v>
      </c>
      <c r="F25" s="23" t="s">
        <v>946</v>
      </c>
      <c r="G25" s="23" t="s">
        <v>946</v>
      </c>
      <c r="H25" s="25">
        <v>0</v>
      </c>
      <c r="I25" s="23" t="s">
        <v>947</v>
      </c>
      <c r="J25" s="23" t="s">
        <v>948</v>
      </c>
      <c r="K25" s="23" t="s">
        <v>989</v>
      </c>
      <c r="L25" s="31" t="s">
        <v>149</v>
      </c>
    </row>
    <row r="26" spans="1:12" ht="15.75" customHeight="1" x14ac:dyDescent="0.25">
      <c r="A26" s="27" t="s">
        <v>990</v>
      </c>
      <c r="B26" s="27" t="s">
        <v>877</v>
      </c>
      <c r="C26" s="27" t="s">
        <v>229</v>
      </c>
      <c r="D26" s="28" t="s">
        <v>230</v>
      </c>
      <c r="E26" s="27" t="s">
        <v>942</v>
      </c>
      <c r="F26" s="27" t="s">
        <v>924</v>
      </c>
      <c r="G26" s="27" t="s">
        <v>991</v>
      </c>
      <c r="H26" s="29">
        <v>80000</v>
      </c>
      <c r="I26" s="27" t="s">
        <v>914</v>
      </c>
      <c r="J26" s="27" t="s">
        <v>915</v>
      </c>
      <c r="K26" s="27" t="s">
        <v>992</v>
      </c>
      <c r="L26" s="26" t="s">
        <v>917</v>
      </c>
    </row>
    <row r="27" spans="1:12" ht="15.75" customHeight="1" x14ac:dyDescent="0.25">
      <c r="A27" s="23" t="s">
        <v>993</v>
      </c>
      <c r="B27" s="23" t="s">
        <v>878</v>
      </c>
      <c r="C27" s="23" t="s">
        <v>234</v>
      </c>
      <c r="D27" s="24" t="s">
        <v>235</v>
      </c>
      <c r="E27" s="23" t="s">
        <v>988</v>
      </c>
      <c r="F27" s="23" t="s">
        <v>912</v>
      </c>
      <c r="G27" s="23" t="s">
        <v>994</v>
      </c>
      <c r="H27" s="25">
        <v>35000</v>
      </c>
      <c r="I27" s="23" t="s">
        <v>933</v>
      </c>
      <c r="J27" s="23" t="s">
        <v>921</v>
      </c>
      <c r="K27" s="23" t="s">
        <v>995</v>
      </c>
      <c r="L27" s="26" t="s">
        <v>917</v>
      </c>
    </row>
    <row r="28" spans="1:12" ht="15.75" customHeight="1" x14ac:dyDescent="0.25">
      <c r="A28" s="27" t="s">
        <v>996</v>
      </c>
      <c r="B28" s="27" t="s">
        <v>879</v>
      </c>
      <c r="C28" s="27" t="s">
        <v>240</v>
      </c>
      <c r="D28" s="28" t="s">
        <v>241</v>
      </c>
      <c r="E28" s="27" t="s">
        <v>618</v>
      </c>
      <c r="F28" s="27" t="s">
        <v>924</v>
      </c>
      <c r="G28" s="27" t="s">
        <v>997</v>
      </c>
      <c r="H28" s="29">
        <v>80000</v>
      </c>
      <c r="I28" s="27" t="s">
        <v>914</v>
      </c>
      <c r="J28" s="27" t="s">
        <v>921</v>
      </c>
      <c r="K28" s="27" t="s">
        <v>998</v>
      </c>
      <c r="L28" s="26" t="s">
        <v>917</v>
      </c>
    </row>
    <row r="29" spans="1:12" ht="15.75" customHeight="1" x14ac:dyDescent="0.25">
      <c r="A29" s="23" t="s">
        <v>999</v>
      </c>
      <c r="B29" s="23" t="s">
        <v>880</v>
      </c>
      <c r="C29" s="23" t="s">
        <v>245</v>
      </c>
      <c r="D29" s="24" t="s">
        <v>246</v>
      </c>
      <c r="E29" s="23" t="s">
        <v>633</v>
      </c>
      <c r="F29" s="23" t="s">
        <v>924</v>
      </c>
      <c r="G29" s="23" t="s">
        <v>1000</v>
      </c>
      <c r="H29" s="154">
        <v>5000</v>
      </c>
      <c r="I29" s="23" t="s">
        <v>1001</v>
      </c>
      <c r="J29" s="23" t="s">
        <v>921</v>
      </c>
      <c r="K29" s="23" t="s">
        <v>1002</v>
      </c>
      <c r="L29" s="155" t="s">
        <v>1003</v>
      </c>
    </row>
    <row r="30" spans="1:12" ht="15.75" customHeight="1" x14ac:dyDescent="0.25">
      <c r="A30" s="27" t="s">
        <v>1004</v>
      </c>
      <c r="B30" s="27" t="s">
        <v>882</v>
      </c>
      <c r="C30" s="27" t="s">
        <v>251</v>
      </c>
      <c r="D30" s="28" t="s">
        <v>252</v>
      </c>
      <c r="E30" s="27" t="s">
        <v>608</v>
      </c>
      <c r="F30" s="27" t="s">
        <v>924</v>
      </c>
      <c r="G30" s="27" t="s">
        <v>1005</v>
      </c>
      <c r="H30" s="29">
        <v>95000</v>
      </c>
      <c r="I30" s="27" t="s">
        <v>914</v>
      </c>
      <c r="J30" s="27" t="s">
        <v>921</v>
      </c>
      <c r="K30" s="27" t="s">
        <v>1006</v>
      </c>
      <c r="L30" s="26" t="s">
        <v>917</v>
      </c>
    </row>
    <row r="31" spans="1:12" ht="15.75" customHeight="1" x14ac:dyDescent="0.25">
      <c r="A31" s="23" t="s">
        <v>1007</v>
      </c>
      <c r="B31" s="23" t="s">
        <v>883</v>
      </c>
      <c r="C31" s="23" t="s">
        <v>268</v>
      </c>
      <c r="D31" s="24" t="s">
        <v>269</v>
      </c>
      <c r="E31" s="23" t="s">
        <v>1008</v>
      </c>
      <c r="F31" s="23" t="s">
        <v>924</v>
      </c>
      <c r="G31" s="23" t="s">
        <v>1009</v>
      </c>
      <c r="H31" s="25">
        <v>115000</v>
      </c>
      <c r="I31" s="23" t="s">
        <v>914</v>
      </c>
      <c r="J31" s="23" t="s">
        <v>915</v>
      </c>
      <c r="K31" s="23" t="s">
        <v>1010</v>
      </c>
      <c r="L31" s="26" t="s">
        <v>917</v>
      </c>
    </row>
    <row r="32" spans="1:12" ht="15.75" customHeight="1" x14ac:dyDescent="0.25">
      <c r="A32" s="27" t="s">
        <v>1011</v>
      </c>
      <c r="B32" s="27" t="s">
        <v>884</v>
      </c>
      <c r="C32" s="27" t="s">
        <v>283</v>
      </c>
      <c r="D32" s="28" t="s">
        <v>284</v>
      </c>
      <c r="E32" s="27" t="s">
        <v>608</v>
      </c>
      <c r="F32" s="27" t="s">
        <v>924</v>
      </c>
      <c r="G32" s="27" t="s">
        <v>1012</v>
      </c>
      <c r="H32" s="29">
        <v>90000</v>
      </c>
      <c r="I32" s="27" t="s">
        <v>914</v>
      </c>
      <c r="J32" s="27" t="s">
        <v>915</v>
      </c>
      <c r="K32" s="27" t="s">
        <v>1013</v>
      </c>
      <c r="L32" s="26" t="s">
        <v>917</v>
      </c>
    </row>
    <row r="33" spans="1:12" ht="15.75" customHeight="1" x14ac:dyDescent="0.25">
      <c r="A33" s="23" t="s">
        <v>1014</v>
      </c>
      <c r="B33" s="23" t="s">
        <v>885</v>
      </c>
      <c r="C33" s="23" t="s">
        <v>296</v>
      </c>
      <c r="D33" s="24" t="s">
        <v>297</v>
      </c>
      <c r="E33" s="23" t="s">
        <v>623</v>
      </c>
      <c r="F33" s="23" t="s">
        <v>912</v>
      </c>
      <c r="G33" s="23" t="s">
        <v>1015</v>
      </c>
      <c r="H33" s="25">
        <v>60000</v>
      </c>
      <c r="I33" s="23" t="s">
        <v>933</v>
      </c>
      <c r="J33" s="23" t="s">
        <v>921</v>
      </c>
      <c r="K33" s="23" t="s">
        <v>1016</v>
      </c>
      <c r="L33" s="26" t="s">
        <v>917</v>
      </c>
    </row>
    <row r="34" spans="1:12" ht="15.75" customHeight="1" x14ac:dyDescent="0.25">
      <c r="A34" s="27" t="s">
        <v>1017</v>
      </c>
      <c r="B34" s="27" t="s">
        <v>886</v>
      </c>
      <c r="C34" s="27" t="s">
        <v>306</v>
      </c>
      <c r="D34" s="28" t="s">
        <v>307</v>
      </c>
      <c r="E34" s="27" t="s">
        <v>608</v>
      </c>
      <c r="F34" s="27" t="s">
        <v>924</v>
      </c>
      <c r="G34" s="27" t="s">
        <v>1018</v>
      </c>
      <c r="H34" s="29">
        <v>90000</v>
      </c>
      <c r="I34" s="27" t="s">
        <v>914</v>
      </c>
      <c r="J34" s="27" t="s">
        <v>921</v>
      </c>
      <c r="K34" s="27" t="s">
        <v>1019</v>
      </c>
      <c r="L34" s="26" t="s">
        <v>917</v>
      </c>
    </row>
    <row r="35" spans="1:12" ht="15.75" customHeight="1" x14ac:dyDescent="0.25">
      <c r="A35" s="23" t="s">
        <v>1020</v>
      </c>
      <c r="B35" s="23" t="s">
        <v>887</v>
      </c>
      <c r="C35" s="23" t="s">
        <v>315</v>
      </c>
      <c r="D35" s="24" t="s">
        <v>316</v>
      </c>
      <c r="E35" s="23" t="s">
        <v>633</v>
      </c>
      <c r="F35" s="23" t="s">
        <v>912</v>
      </c>
      <c r="G35" s="23" t="s">
        <v>1021</v>
      </c>
      <c r="H35" s="25">
        <v>115000</v>
      </c>
      <c r="I35" s="23" t="s">
        <v>914</v>
      </c>
      <c r="J35" s="23" t="s">
        <v>915</v>
      </c>
      <c r="K35" s="23" t="s">
        <v>1022</v>
      </c>
      <c r="L35" s="26" t="s">
        <v>917</v>
      </c>
    </row>
    <row r="36" spans="1:12" ht="15.75" customHeight="1" x14ac:dyDescent="0.25">
      <c r="A36" s="27" t="s">
        <v>1023</v>
      </c>
      <c r="B36" s="27" t="s">
        <v>888</v>
      </c>
      <c r="C36" s="27" t="s">
        <v>324</v>
      </c>
      <c r="D36" s="28" t="s">
        <v>325</v>
      </c>
      <c r="E36" s="27" t="s">
        <v>919</v>
      </c>
      <c r="F36" s="27" t="s">
        <v>912</v>
      </c>
      <c r="G36" s="27" t="s">
        <v>1024</v>
      </c>
      <c r="H36" s="29">
        <v>85000</v>
      </c>
      <c r="I36" s="27" t="s">
        <v>914</v>
      </c>
      <c r="J36" s="27" t="s">
        <v>921</v>
      </c>
      <c r="K36" s="27" t="s">
        <v>1025</v>
      </c>
      <c r="L36" s="26" t="s">
        <v>917</v>
      </c>
    </row>
    <row r="37" spans="1:12" ht="15.75" customHeight="1" x14ac:dyDescent="0.25">
      <c r="A37" s="23" t="s">
        <v>1026</v>
      </c>
      <c r="B37" s="23" t="s">
        <v>889</v>
      </c>
      <c r="C37" s="23" t="s">
        <v>341</v>
      </c>
      <c r="D37" s="24" t="s">
        <v>342</v>
      </c>
      <c r="E37" s="23" t="s">
        <v>928</v>
      </c>
      <c r="F37" s="23" t="s">
        <v>912</v>
      </c>
      <c r="G37" s="23" t="s">
        <v>1027</v>
      </c>
      <c r="H37" s="25">
        <v>85000</v>
      </c>
      <c r="I37" s="23" t="s">
        <v>914</v>
      </c>
      <c r="J37" s="23" t="s">
        <v>921</v>
      </c>
      <c r="K37" s="23" t="s">
        <v>1028</v>
      </c>
      <c r="L37" s="26" t="s">
        <v>917</v>
      </c>
    </row>
    <row r="38" spans="1:12" ht="15.75" customHeight="1" x14ac:dyDescent="0.25">
      <c r="A38" s="27" t="s">
        <v>1029</v>
      </c>
      <c r="B38" s="27" t="s">
        <v>890</v>
      </c>
      <c r="C38" s="27" t="s">
        <v>357</v>
      </c>
      <c r="D38" s="28" t="s">
        <v>358</v>
      </c>
      <c r="E38" s="27" t="s">
        <v>919</v>
      </c>
      <c r="F38" s="27" t="s">
        <v>924</v>
      </c>
      <c r="G38" s="27" t="s">
        <v>1030</v>
      </c>
      <c r="H38" s="29">
        <v>80000</v>
      </c>
      <c r="I38" s="27" t="s">
        <v>914</v>
      </c>
      <c r="J38" s="27" t="s">
        <v>921</v>
      </c>
      <c r="K38" s="27" t="s">
        <v>1031</v>
      </c>
      <c r="L38" s="26" t="s">
        <v>917</v>
      </c>
    </row>
    <row r="39" spans="1:12" ht="15.75" customHeight="1" x14ac:dyDescent="0.25">
      <c r="A39" s="23" t="s">
        <v>1032</v>
      </c>
      <c r="B39" s="23" t="s">
        <v>891</v>
      </c>
      <c r="C39" s="23" t="s">
        <v>370</v>
      </c>
      <c r="D39" s="24" t="s">
        <v>371</v>
      </c>
      <c r="E39" s="23" t="s">
        <v>623</v>
      </c>
      <c r="F39" s="23" t="s">
        <v>946</v>
      </c>
      <c r="G39" s="23" t="s">
        <v>946</v>
      </c>
      <c r="H39" s="25">
        <v>0</v>
      </c>
      <c r="I39" s="23" t="s">
        <v>947</v>
      </c>
      <c r="J39" s="23" t="s">
        <v>948</v>
      </c>
      <c r="K39" s="23" t="s">
        <v>1033</v>
      </c>
      <c r="L39" s="31" t="s">
        <v>149</v>
      </c>
    </row>
    <row r="40" spans="1:12" ht="15.75" customHeight="1" x14ac:dyDescent="0.25">
      <c r="A40" s="27" t="s">
        <v>1034</v>
      </c>
      <c r="B40" s="27" t="s">
        <v>892</v>
      </c>
      <c r="C40" s="27" t="s">
        <v>385</v>
      </c>
      <c r="D40" s="28" t="s">
        <v>386</v>
      </c>
      <c r="E40" s="27" t="s">
        <v>109</v>
      </c>
      <c r="F40" s="27" t="s">
        <v>912</v>
      </c>
      <c r="G40" s="27" t="s">
        <v>1035</v>
      </c>
      <c r="H40" s="29">
        <v>85000</v>
      </c>
      <c r="I40" s="27" t="s">
        <v>914</v>
      </c>
      <c r="J40" s="27" t="s">
        <v>915</v>
      </c>
      <c r="K40" s="27" t="s">
        <v>1036</v>
      </c>
      <c r="L40" s="26" t="s">
        <v>917</v>
      </c>
    </row>
    <row r="41" spans="1:12" ht="15.75" customHeight="1" x14ac:dyDescent="0.25">
      <c r="A41" s="23" t="s">
        <v>1037</v>
      </c>
      <c r="B41" s="23" t="s">
        <v>893</v>
      </c>
      <c r="C41" s="23" t="s">
        <v>399</v>
      </c>
      <c r="D41" s="24" t="s">
        <v>400</v>
      </c>
      <c r="E41" s="23" t="s">
        <v>623</v>
      </c>
      <c r="F41" s="23" t="s">
        <v>924</v>
      </c>
      <c r="G41" s="23" t="s">
        <v>1038</v>
      </c>
      <c r="H41" s="25">
        <v>85000</v>
      </c>
      <c r="I41" s="23" t="s">
        <v>914</v>
      </c>
      <c r="J41" s="23" t="s">
        <v>921</v>
      </c>
      <c r="K41" s="23" t="s">
        <v>1039</v>
      </c>
      <c r="L41" s="26" t="s">
        <v>917</v>
      </c>
    </row>
    <row r="42" spans="1:12" ht="18" customHeight="1" x14ac:dyDescent="0.25">
      <c r="A42" t="s">
        <v>1040</v>
      </c>
      <c r="B42" t="s">
        <v>894</v>
      </c>
      <c r="C42" t="s">
        <v>412</v>
      </c>
      <c r="D42" t="s">
        <v>413</v>
      </c>
      <c r="E42" s="74">
        <v>45177</v>
      </c>
      <c r="F42" t="s">
        <v>924</v>
      </c>
      <c r="G42" t="s">
        <v>1041</v>
      </c>
      <c r="H42">
        <v>185000</v>
      </c>
      <c r="I42" t="s">
        <v>914</v>
      </c>
      <c r="J42" t="s">
        <v>921</v>
      </c>
      <c r="K42" t="s">
        <v>1042</v>
      </c>
      <c r="L42" t="s">
        <v>917</v>
      </c>
    </row>
    <row r="43" spans="1:12" x14ac:dyDescent="0.25">
      <c r="A43" t="s">
        <v>1043</v>
      </c>
      <c r="B43" t="s">
        <v>896</v>
      </c>
      <c r="C43" t="s">
        <v>425</v>
      </c>
      <c r="D43" t="s">
        <v>426</v>
      </c>
      <c r="E43" s="74">
        <v>45179</v>
      </c>
      <c r="F43" t="s">
        <v>912</v>
      </c>
      <c r="G43" t="s">
        <v>1044</v>
      </c>
      <c r="H43">
        <v>185000</v>
      </c>
      <c r="I43" t="s">
        <v>914</v>
      </c>
      <c r="J43" t="s">
        <v>915</v>
      </c>
      <c r="K43" t="s">
        <v>1045</v>
      </c>
      <c r="L43" t="s">
        <v>917</v>
      </c>
    </row>
    <row r="44" spans="1:12" x14ac:dyDescent="0.25">
      <c r="A44" t="s">
        <v>1046</v>
      </c>
      <c r="B44" t="s">
        <v>897</v>
      </c>
      <c r="C44" t="s">
        <v>438</v>
      </c>
      <c r="D44" t="s">
        <v>439</v>
      </c>
      <c r="E44" s="74">
        <v>45175</v>
      </c>
      <c r="F44" t="s">
        <v>924</v>
      </c>
      <c r="G44" t="s">
        <v>1047</v>
      </c>
      <c r="H44">
        <v>185000</v>
      </c>
      <c r="I44" t="s">
        <v>914</v>
      </c>
      <c r="J44" t="s">
        <v>921</v>
      </c>
      <c r="K44" t="s">
        <v>1048</v>
      </c>
      <c r="L44" t="s">
        <v>917</v>
      </c>
    </row>
    <row r="45" spans="1:12" x14ac:dyDescent="0.25">
      <c r="A45" t="s">
        <v>1049</v>
      </c>
      <c r="B45" t="s">
        <v>898</v>
      </c>
      <c r="C45" t="s">
        <v>451</v>
      </c>
      <c r="D45" t="s">
        <v>452</v>
      </c>
      <c r="E45" s="74">
        <v>45542</v>
      </c>
      <c r="F45" t="s">
        <v>924</v>
      </c>
      <c r="G45" t="s">
        <v>1050</v>
      </c>
      <c r="H45">
        <v>185000</v>
      </c>
      <c r="I45" t="s">
        <v>914</v>
      </c>
      <c r="J45" t="s">
        <v>921</v>
      </c>
      <c r="K45" t="s">
        <v>1051</v>
      </c>
      <c r="L45" t="s">
        <v>917</v>
      </c>
    </row>
    <row r="46" spans="1:12" x14ac:dyDescent="0.25">
      <c r="A46" s="33" t="s">
        <v>1052</v>
      </c>
      <c r="B46" s="34"/>
      <c r="C46" s="34"/>
      <c r="D46" s="34"/>
      <c r="E46" s="34"/>
      <c r="F46" s="34"/>
      <c r="G46" s="34"/>
      <c r="H46" s="35">
        <v>3270000</v>
      </c>
      <c r="I46" s="34"/>
      <c r="J46" s="34"/>
      <c r="K46" s="34"/>
      <c r="L46" s="34"/>
    </row>
  </sheetData>
  <mergeCells count="2">
    <mergeCell ref="A2:K2"/>
    <mergeCell ref="A1:K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5"/>
  <sheetViews>
    <sheetView showGridLines="0" zoomScaleNormal="100" workbookViewId="0">
      <pane ySplit="4" topLeftCell="A5" activePane="bottomLeft" state="frozen"/>
      <selection pane="bottomLeft"/>
    </sheetView>
  </sheetViews>
  <sheetFormatPr defaultColWidth="8.7109375" defaultRowHeight="15" x14ac:dyDescent="0.25"/>
  <cols>
    <col min="1" max="1" width="16" customWidth="1"/>
    <col min="2" max="2" width="36" customWidth="1"/>
    <col min="3" max="3" width="18" customWidth="1"/>
    <col min="4" max="4" width="40" customWidth="1"/>
    <col min="5" max="5" width="16" customWidth="1"/>
    <col min="6" max="6" width="22" customWidth="1"/>
    <col min="7" max="7" width="16" customWidth="1"/>
    <col min="8" max="8" width="14" customWidth="1"/>
    <col min="9" max="9" width="12" customWidth="1"/>
  </cols>
  <sheetData>
    <row r="1" spans="1:9" ht="25.5" customHeight="1" x14ac:dyDescent="0.25">
      <c r="A1" s="161" t="s">
        <v>1053</v>
      </c>
      <c r="B1" s="160"/>
      <c r="C1" s="160"/>
      <c r="D1" s="160"/>
      <c r="E1" s="160"/>
      <c r="F1" s="160"/>
      <c r="G1" s="160"/>
      <c r="H1" s="160"/>
      <c r="I1" s="160"/>
    </row>
    <row r="2" spans="1:9" ht="15.75" customHeight="1" x14ac:dyDescent="0.25">
      <c r="A2" s="159" t="s">
        <v>1054</v>
      </c>
      <c r="B2" s="160"/>
      <c r="C2" s="160"/>
      <c r="D2" s="160"/>
      <c r="E2" s="160"/>
      <c r="F2" s="160"/>
      <c r="G2" s="160"/>
      <c r="H2" s="160"/>
      <c r="I2" s="160"/>
    </row>
    <row r="4" spans="1:9" ht="18" customHeight="1" x14ac:dyDescent="0.25">
      <c r="A4" s="22" t="s">
        <v>1055</v>
      </c>
      <c r="B4" s="22" t="s">
        <v>1056</v>
      </c>
      <c r="C4" s="22" t="s">
        <v>1057</v>
      </c>
      <c r="D4" s="22" t="s">
        <v>1058</v>
      </c>
      <c r="E4" s="22" t="s">
        <v>1059</v>
      </c>
      <c r="F4" s="22" t="s">
        <v>1060</v>
      </c>
      <c r="G4" s="22" t="s">
        <v>1061</v>
      </c>
      <c r="H4" s="22" t="s">
        <v>1062</v>
      </c>
      <c r="I4" s="22" t="s">
        <v>909</v>
      </c>
    </row>
    <row r="5" spans="1:9" ht="24" customHeight="1" x14ac:dyDescent="0.25">
      <c r="A5" s="23" t="s">
        <v>1063</v>
      </c>
      <c r="B5" s="24" t="s">
        <v>1064</v>
      </c>
      <c r="C5" s="23" t="s">
        <v>1065</v>
      </c>
      <c r="D5" s="36" t="s">
        <v>1066</v>
      </c>
      <c r="E5" s="25">
        <v>100000</v>
      </c>
      <c r="F5" s="23" t="s">
        <v>1067</v>
      </c>
      <c r="G5" s="23">
        <v>5</v>
      </c>
      <c r="H5" s="23">
        <v>2</v>
      </c>
      <c r="I5" s="26" t="s">
        <v>45</v>
      </c>
    </row>
    <row r="6" spans="1:9" ht="24" customHeight="1" x14ac:dyDescent="0.25">
      <c r="A6" s="27" t="s">
        <v>1068</v>
      </c>
      <c r="B6" s="28" t="s">
        <v>1069</v>
      </c>
      <c r="C6" s="27" t="s">
        <v>1065</v>
      </c>
      <c r="D6" s="37" t="s">
        <v>1070</v>
      </c>
      <c r="E6" s="29">
        <v>50000</v>
      </c>
      <c r="F6" s="27" t="s">
        <v>1071</v>
      </c>
      <c r="G6" s="27">
        <v>10</v>
      </c>
      <c r="H6" s="27">
        <v>4</v>
      </c>
      <c r="I6" s="26" t="s">
        <v>45</v>
      </c>
    </row>
    <row r="7" spans="1:9" ht="24" customHeight="1" x14ac:dyDescent="0.25">
      <c r="A7" s="23" t="s">
        <v>1072</v>
      </c>
      <c r="B7" s="24" t="s">
        <v>1073</v>
      </c>
      <c r="C7" s="23" t="s">
        <v>1074</v>
      </c>
      <c r="D7" s="36" t="s">
        <v>1075</v>
      </c>
      <c r="E7" s="25">
        <v>40000</v>
      </c>
      <c r="F7" s="23" t="s">
        <v>1076</v>
      </c>
      <c r="G7" s="23">
        <v>8</v>
      </c>
      <c r="H7" s="23">
        <v>3</v>
      </c>
      <c r="I7" s="26" t="s">
        <v>45</v>
      </c>
    </row>
    <row r="8" spans="1:9" ht="24" customHeight="1" x14ac:dyDescent="0.25">
      <c r="A8" s="27" t="s">
        <v>1077</v>
      </c>
      <c r="B8" s="28" t="s">
        <v>1078</v>
      </c>
      <c r="C8" s="27" t="s">
        <v>1079</v>
      </c>
      <c r="D8" s="37" t="s">
        <v>1080</v>
      </c>
      <c r="E8" s="29">
        <v>30000</v>
      </c>
      <c r="F8" s="27" t="s">
        <v>933</v>
      </c>
      <c r="G8" s="27">
        <v>15</v>
      </c>
      <c r="H8" s="27">
        <v>7</v>
      </c>
      <c r="I8" s="26" t="s">
        <v>45</v>
      </c>
    </row>
    <row r="9" spans="1:9" ht="24" customHeight="1" x14ac:dyDescent="0.25">
      <c r="A9" s="23" t="s">
        <v>1081</v>
      </c>
      <c r="B9" s="24" t="s">
        <v>1082</v>
      </c>
      <c r="C9" s="23" t="s">
        <v>1083</v>
      </c>
      <c r="D9" s="36" t="s">
        <v>1084</v>
      </c>
      <c r="E9" s="25">
        <v>35000</v>
      </c>
      <c r="F9" s="23" t="s">
        <v>933</v>
      </c>
      <c r="G9" s="23">
        <v>6</v>
      </c>
      <c r="H9" s="23">
        <v>2</v>
      </c>
      <c r="I9" s="26" t="s">
        <v>45</v>
      </c>
    </row>
    <row r="10" spans="1:9" ht="24" customHeight="1" x14ac:dyDescent="0.25">
      <c r="A10" s="27" t="s">
        <v>1085</v>
      </c>
      <c r="B10" s="28" t="s">
        <v>1086</v>
      </c>
      <c r="C10" s="27" t="s">
        <v>1087</v>
      </c>
      <c r="D10" s="37" t="s">
        <v>1088</v>
      </c>
      <c r="E10" s="29">
        <v>25000</v>
      </c>
      <c r="F10" s="27" t="s">
        <v>933</v>
      </c>
      <c r="G10" s="27">
        <v>10</v>
      </c>
      <c r="H10" s="27">
        <v>3</v>
      </c>
      <c r="I10" s="26" t="s">
        <v>45</v>
      </c>
    </row>
    <row r="11" spans="1:9" ht="24" customHeight="1" x14ac:dyDescent="0.25">
      <c r="A11" s="23" t="s">
        <v>1089</v>
      </c>
      <c r="B11" s="24" t="s">
        <v>1090</v>
      </c>
      <c r="C11" s="23" t="s">
        <v>1091</v>
      </c>
      <c r="D11" s="36" t="s">
        <v>1092</v>
      </c>
      <c r="E11" s="25">
        <v>60000</v>
      </c>
      <c r="F11" s="23" t="s">
        <v>1093</v>
      </c>
      <c r="G11" s="23">
        <v>4</v>
      </c>
      <c r="H11" s="23">
        <v>2</v>
      </c>
      <c r="I11" s="26" t="s">
        <v>45</v>
      </c>
    </row>
    <row r="12" spans="1:9" ht="24" customHeight="1" x14ac:dyDescent="0.25">
      <c r="A12" s="27" t="s">
        <v>1094</v>
      </c>
      <c r="B12" s="28" t="s">
        <v>1095</v>
      </c>
      <c r="C12" s="27" t="s">
        <v>1096</v>
      </c>
      <c r="D12" s="37" t="s">
        <v>1097</v>
      </c>
      <c r="E12" s="29">
        <v>20000</v>
      </c>
      <c r="F12" s="27" t="s">
        <v>1098</v>
      </c>
      <c r="G12" s="27">
        <v>5</v>
      </c>
      <c r="H12" s="27">
        <v>1</v>
      </c>
      <c r="I12" s="26" t="s">
        <v>45</v>
      </c>
    </row>
    <row r="13" spans="1:9" ht="24" customHeight="1" x14ac:dyDescent="0.25">
      <c r="A13" s="23" t="s">
        <v>1099</v>
      </c>
      <c r="B13" s="24" t="s">
        <v>1100</v>
      </c>
      <c r="C13" s="23" t="s">
        <v>1101</v>
      </c>
      <c r="D13" s="36" t="s">
        <v>1102</v>
      </c>
      <c r="E13" s="25">
        <v>45000</v>
      </c>
      <c r="F13" s="23" t="s">
        <v>1071</v>
      </c>
      <c r="G13" s="23">
        <v>4</v>
      </c>
      <c r="H13" s="23">
        <v>2</v>
      </c>
      <c r="I13" s="26" t="s">
        <v>45</v>
      </c>
    </row>
    <row r="14" spans="1:9" ht="24" customHeight="1" x14ac:dyDescent="0.25">
      <c r="A14" s="27" t="s">
        <v>1103</v>
      </c>
      <c r="B14" s="28" t="s">
        <v>1104</v>
      </c>
      <c r="C14" s="27" t="s">
        <v>1101</v>
      </c>
      <c r="D14" s="37" t="s">
        <v>1105</v>
      </c>
      <c r="E14" s="29">
        <v>30000</v>
      </c>
      <c r="F14" s="27" t="s">
        <v>1076</v>
      </c>
      <c r="G14" s="27">
        <v>4</v>
      </c>
      <c r="H14" s="27">
        <v>1</v>
      </c>
      <c r="I14" s="26" t="s">
        <v>45</v>
      </c>
    </row>
    <row r="15" spans="1:9" ht="27.95" customHeight="1" x14ac:dyDescent="0.25">
      <c r="A15" s="128" t="s">
        <v>1106</v>
      </c>
      <c r="B15" s="126" t="s">
        <v>1107</v>
      </c>
      <c r="C15" s="156" t="s">
        <v>1087</v>
      </c>
      <c r="D15" s="126" t="s">
        <v>1108</v>
      </c>
      <c r="E15" s="126">
        <v>75000</v>
      </c>
      <c r="F15" s="126" t="s">
        <v>1109</v>
      </c>
      <c r="G15" s="126">
        <v>5</v>
      </c>
      <c r="H15" s="126">
        <v>0</v>
      </c>
      <c r="I15" s="126" t="s">
        <v>45</v>
      </c>
    </row>
  </sheetData>
  <mergeCells count="2">
    <mergeCell ref="A1:I1"/>
    <mergeCell ref="A2:I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19"/>
  <sheetViews>
    <sheetView showGridLines="0" tabSelected="1" zoomScaleNormal="100" workbookViewId="0">
      <selection sqref="A1:D1"/>
    </sheetView>
  </sheetViews>
  <sheetFormatPr defaultColWidth="8.7109375" defaultRowHeight="15" x14ac:dyDescent="0.25"/>
  <cols>
    <col min="1" max="1" width="28" customWidth="1"/>
    <col min="2" max="2" width="18" customWidth="1"/>
    <col min="3" max="3" width="28" customWidth="1"/>
    <col min="4" max="4" width="18" customWidth="1"/>
  </cols>
  <sheetData>
    <row r="1" spans="1:4" ht="36" customHeight="1" x14ac:dyDescent="0.25">
      <c r="A1" s="163" t="s">
        <v>1111</v>
      </c>
      <c r="B1" s="160"/>
      <c r="C1" s="160"/>
      <c r="D1" s="160"/>
    </row>
    <row r="2" spans="1:4" ht="18" customHeight="1" x14ac:dyDescent="0.25">
      <c r="A2" s="165" t="s">
        <v>1112</v>
      </c>
      <c r="B2" s="160"/>
      <c r="C2" s="160"/>
      <c r="D2" s="160"/>
    </row>
    <row r="4" spans="1:4" ht="19.5" customHeight="1" x14ac:dyDescent="0.25">
      <c r="A4" s="162" t="s">
        <v>1113</v>
      </c>
      <c r="B4" s="160"/>
      <c r="C4" s="162" t="s">
        <v>1114</v>
      </c>
      <c r="D4" s="160"/>
    </row>
    <row r="5" spans="1:4" ht="21.75" customHeight="1" x14ac:dyDescent="0.25">
      <c r="A5" s="38" t="s">
        <v>1115</v>
      </c>
      <c r="B5" s="39">
        <v>41</v>
      </c>
      <c r="C5" s="38" t="s">
        <v>1116</v>
      </c>
      <c r="D5" s="39">
        <v>32</v>
      </c>
    </row>
    <row r="6" spans="1:4" ht="21.75" customHeight="1" x14ac:dyDescent="0.25">
      <c r="A6" s="38" t="s">
        <v>45</v>
      </c>
      <c r="B6" s="39">
        <v>29</v>
      </c>
      <c r="C6" s="38" t="s">
        <v>1117</v>
      </c>
      <c r="D6" s="39">
        <v>31</v>
      </c>
    </row>
    <row r="7" spans="1:4" ht="21.75" customHeight="1" x14ac:dyDescent="0.25">
      <c r="A7" s="38" t="s">
        <v>1118</v>
      </c>
      <c r="B7" s="39">
        <v>3</v>
      </c>
      <c r="C7" s="38" t="s">
        <v>1119</v>
      </c>
      <c r="D7" s="39">
        <v>124</v>
      </c>
    </row>
    <row r="8" spans="1:4" ht="21.75" customHeight="1" x14ac:dyDescent="0.25">
      <c r="A8" s="38" t="s">
        <v>92</v>
      </c>
      <c r="B8" s="39">
        <v>5</v>
      </c>
      <c r="C8" s="38" t="s">
        <v>1120</v>
      </c>
      <c r="D8" s="39">
        <v>114</v>
      </c>
    </row>
    <row r="9" spans="1:4" ht="21.75" customHeight="1" x14ac:dyDescent="0.25">
      <c r="A9" s="38" t="s">
        <v>184</v>
      </c>
      <c r="B9" s="39">
        <v>1</v>
      </c>
      <c r="C9" s="38" t="s">
        <v>96</v>
      </c>
      <c r="D9" s="39">
        <f>COUNTIF(Enrolments!G2:G1000,"Completed")</f>
        <v>9</v>
      </c>
    </row>
    <row r="10" spans="1:4" ht="21.75" customHeight="1" x14ac:dyDescent="0.25">
      <c r="A10" s="38" t="s">
        <v>147</v>
      </c>
      <c r="B10" s="39">
        <v>3</v>
      </c>
      <c r="C10" s="38" t="s">
        <v>656</v>
      </c>
      <c r="D10" s="39">
        <f>COUNTIF(Enrolments!G2:G1000,"Dropped")</f>
        <v>1</v>
      </c>
    </row>
    <row r="11" spans="1:4" ht="21.75" customHeight="1" x14ac:dyDescent="0.25">
      <c r="A11" s="38" t="s">
        <v>1121</v>
      </c>
      <c r="B11" s="39">
        <v>3.35</v>
      </c>
      <c r="C11" s="38" t="s">
        <v>1122</v>
      </c>
      <c r="D11" s="39" t="str">
        <f>ROUND(AVERAGE(Enrolments!I2:I1000),1)&amp;"%"</f>
        <v>78.4%</v>
      </c>
    </row>
    <row r="12" spans="1:4" ht="21.75" customHeight="1" x14ac:dyDescent="0.25">
      <c r="A12" s="38" t="s">
        <v>1123</v>
      </c>
      <c r="B12" s="39">
        <v>2502</v>
      </c>
      <c r="C12" s="38" t="s">
        <v>1124</v>
      </c>
      <c r="D12" s="39">
        <f>COUNTIF(Grades!J2:J1000,"A")</f>
        <v>14</v>
      </c>
    </row>
    <row r="14" spans="1:4" ht="19.5" customHeight="1" x14ac:dyDescent="0.25">
      <c r="A14" s="164" t="s">
        <v>1125</v>
      </c>
      <c r="B14" s="160"/>
      <c r="C14" s="162" t="s">
        <v>1126</v>
      </c>
      <c r="D14" s="160"/>
    </row>
    <row r="15" spans="1:4" ht="21.75" customHeight="1" x14ac:dyDescent="0.25">
      <c r="A15" s="40" t="s">
        <v>1127</v>
      </c>
      <c r="B15" s="41">
        <v>16</v>
      </c>
      <c r="C15" s="42" t="s">
        <v>1128</v>
      </c>
      <c r="D15" s="43" t="s">
        <v>245</v>
      </c>
    </row>
    <row r="16" spans="1:4" ht="21.75" customHeight="1" x14ac:dyDescent="0.25">
      <c r="A16" s="40" t="s">
        <v>1129</v>
      </c>
      <c r="B16" s="41">
        <v>6</v>
      </c>
      <c r="C16" s="38" t="s">
        <v>1130</v>
      </c>
      <c r="D16" s="39" t="str">
        <f>IFERROR(VLOOKUP(D15,Students!A:B,2,0),"-")</f>
        <v>Stephen Gaita Gaikia</v>
      </c>
    </row>
    <row r="17" spans="1:4" ht="21.75" customHeight="1" x14ac:dyDescent="0.25">
      <c r="A17" s="40" t="s">
        <v>329</v>
      </c>
      <c r="B17" s="41">
        <v>6</v>
      </c>
      <c r="C17" s="38" t="s">
        <v>1131</v>
      </c>
      <c r="D17" s="39" t="str">
        <f>IFERROR(VLOOKUP(D15,Students!A:H,8,0),"-")</f>
        <v>Computer Science</v>
      </c>
    </row>
    <row r="18" spans="1:4" ht="21.75" customHeight="1" x14ac:dyDescent="0.25">
      <c r="A18" s="38" t="s">
        <v>417</v>
      </c>
      <c r="B18" s="39">
        <v>4</v>
      </c>
      <c r="C18" s="38" t="s">
        <v>1110</v>
      </c>
      <c r="D18" s="39">
        <f>IFERROR(VLOOKUP(D15,Students!A:K,11,0),"-")</f>
        <v>3.65</v>
      </c>
    </row>
    <row r="19" spans="1:4" ht="21.75" customHeight="1" x14ac:dyDescent="0.25">
      <c r="A19" s="38" t="s">
        <v>1132</v>
      </c>
      <c r="B19" s="39" t="str">
        <f>ROUND(AVERAGE(Attendance!J2:J1000),0)&amp;"%"</f>
        <v>88%</v>
      </c>
      <c r="C19" s="38" t="s">
        <v>909</v>
      </c>
      <c r="D19" s="39" t="str">
        <f>IFERROR(VLOOKUP(D15,Students!A:M,13,0),"-")</f>
        <v>Active</v>
      </c>
    </row>
  </sheetData>
  <mergeCells count="6">
    <mergeCell ref="A4:B4"/>
    <mergeCell ref="A1:D1"/>
    <mergeCell ref="C14:D14"/>
    <mergeCell ref="A14:B14"/>
    <mergeCell ref="A2:D2"/>
    <mergeCell ref="C4:D4"/>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Y43"/>
  <sheetViews>
    <sheetView zoomScaleNormal="100" workbookViewId="0">
      <pane xSplit="2" ySplit="2" topLeftCell="C3" activePane="bottomRight" state="frozen"/>
      <selection pane="topRight" activeCell="C1" sqref="C1"/>
      <selection pane="bottomLeft" activeCell="A3" sqref="A3"/>
      <selection pane="bottomRight"/>
    </sheetView>
  </sheetViews>
  <sheetFormatPr defaultColWidth="8.7109375" defaultRowHeight="15" x14ac:dyDescent="0.25"/>
  <cols>
    <col min="1" max="1" width="16" customWidth="1"/>
    <col min="2" max="2" width="22" customWidth="1"/>
    <col min="3" max="3" width="14" customWidth="1"/>
    <col min="4" max="4" width="20" customWidth="1"/>
    <col min="5" max="5" width="22" customWidth="1"/>
    <col min="6" max="7" width="14" customWidth="1"/>
    <col min="8" max="9" width="12" customWidth="1"/>
    <col min="10" max="11" width="14" customWidth="1"/>
    <col min="12" max="12" width="7" customWidth="1"/>
    <col min="13" max="13" width="16" customWidth="1"/>
    <col min="14" max="14" width="14" customWidth="1"/>
    <col min="15" max="16" width="12" customWidth="1"/>
    <col min="17" max="17" width="14" customWidth="1"/>
    <col min="18" max="18" width="18" customWidth="1"/>
    <col min="19" max="19" width="24" customWidth="1"/>
    <col min="20" max="20" width="16" customWidth="1"/>
    <col min="21" max="21" width="14" customWidth="1"/>
    <col min="22" max="22" width="18" customWidth="1"/>
    <col min="23" max="24" width="14" customWidth="1"/>
    <col min="25" max="25" width="32" customWidth="1"/>
  </cols>
  <sheetData>
    <row r="1" spans="1:25" ht="21.75" customHeight="1" x14ac:dyDescent="0.25">
      <c r="A1" s="171" t="s">
        <v>1133</v>
      </c>
      <c r="B1" s="167"/>
      <c r="C1" s="167"/>
      <c r="D1" s="167"/>
      <c r="E1" s="167"/>
      <c r="F1" s="168"/>
      <c r="G1" s="172" t="s">
        <v>1134</v>
      </c>
      <c r="H1" s="167"/>
      <c r="I1" s="167"/>
      <c r="J1" s="167"/>
      <c r="K1" s="168"/>
      <c r="L1" s="166" t="s">
        <v>1135</v>
      </c>
      <c r="M1" s="167"/>
      <c r="N1" s="168"/>
      <c r="O1" s="169" t="s">
        <v>1136</v>
      </c>
      <c r="P1" s="167"/>
      <c r="Q1" s="168"/>
      <c r="R1" s="170" t="s">
        <v>1137</v>
      </c>
      <c r="S1" s="167"/>
      <c r="T1" s="167"/>
      <c r="U1" s="168"/>
      <c r="V1" s="173" t="s">
        <v>1138</v>
      </c>
      <c r="W1" s="167"/>
      <c r="X1" s="167"/>
      <c r="Y1" s="168"/>
    </row>
    <row r="2" spans="1:25" ht="30" customHeight="1" x14ac:dyDescent="0.25">
      <c r="A2" s="44" t="s">
        <v>846</v>
      </c>
      <c r="B2" s="44" t="s">
        <v>1139</v>
      </c>
      <c r="C2" s="44" t="s">
        <v>16</v>
      </c>
      <c r="D2" s="44" t="s">
        <v>17</v>
      </c>
      <c r="E2" s="44" t="s">
        <v>849</v>
      </c>
      <c r="F2" s="44" t="s">
        <v>1140</v>
      </c>
      <c r="G2" s="45" t="s">
        <v>1141</v>
      </c>
      <c r="H2" s="45" t="s">
        <v>1142</v>
      </c>
      <c r="I2" s="45" t="s">
        <v>1143</v>
      </c>
      <c r="J2" s="45" t="s">
        <v>1144</v>
      </c>
      <c r="K2" s="45" t="s">
        <v>1145</v>
      </c>
      <c r="L2" s="45" t="s">
        <v>1110</v>
      </c>
      <c r="M2" s="45" t="s">
        <v>22</v>
      </c>
      <c r="N2" s="45" t="s">
        <v>1146</v>
      </c>
      <c r="O2" s="45" t="s">
        <v>1147</v>
      </c>
      <c r="P2" s="45" t="s">
        <v>1148</v>
      </c>
      <c r="Q2" s="45" t="s">
        <v>21</v>
      </c>
      <c r="R2" s="45" t="s">
        <v>1149</v>
      </c>
      <c r="S2" s="45" t="s">
        <v>1150</v>
      </c>
      <c r="T2" s="45" t="s">
        <v>1151</v>
      </c>
      <c r="U2" s="45" t="s">
        <v>1152</v>
      </c>
      <c r="V2" s="45" t="s">
        <v>26</v>
      </c>
      <c r="W2" s="45" t="s">
        <v>1153</v>
      </c>
      <c r="X2" s="45" t="s">
        <v>1154</v>
      </c>
      <c r="Y2" s="45" t="s">
        <v>18</v>
      </c>
    </row>
    <row r="3" spans="1:25" ht="15" customHeight="1" x14ac:dyDescent="0.25">
      <c r="A3" s="3" t="s">
        <v>35</v>
      </c>
      <c r="B3" s="4" t="s">
        <v>36</v>
      </c>
      <c r="C3" s="3" t="s">
        <v>49</v>
      </c>
      <c r="D3" s="4" t="s">
        <v>41</v>
      </c>
      <c r="E3" s="4" t="s">
        <v>43</v>
      </c>
      <c r="F3" s="3" t="s">
        <v>47</v>
      </c>
      <c r="G3" s="3" t="s">
        <v>51</v>
      </c>
      <c r="H3" s="5" t="s">
        <v>1155</v>
      </c>
      <c r="I3" s="5" t="s">
        <v>1155</v>
      </c>
      <c r="J3" s="5" t="s">
        <v>1155</v>
      </c>
      <c r="K3" s="46" t="s">
        <v>84</v>
      </c>
      <c r="L3" s="46">
        <v>3.78</v>
      </c>
      <c r="M3" s="5" t="s">
        <v>53</v>
      </c>
      <c r="N3" s="46" t="s">
        <v>54</v>
      </c>
      <c r="O3" s="5" t="s">
        <v>52</v>
      </c>
      <c r="P3" s="5" t="s">
        <v>52</v>
      </c>
      <c r="Q3" s="46">
        <v>0</v>
      </c>
      <c r="R3" s="47" t="s">
        <v>55</v>
      </c>
      <c r="S3" s="46" t="s">
        <v>1156</v>
      </c>
      <c r="T3" s="47" t="s">
        <v>55</v>
      </c>
      <c r="U3" s="48" t="s">
        <v>55</v>
      </c>
      <c r="V3" s="3" t="s">
        <v>56</v>
      </c>
      <c r="W3" s="3"/>
      <c r="X3" s="4"/>
      <c r="Y3" s="3" t="s">
        <v>50</v>
      </c>
    </row>
    <row r="4" spans="1:25" ht="15" customHeight="1" x14ac:dyDescent="0.25">
      <c r="A4" s="3" t="s">
        <v>57</v>
      </c>
      <c r="B4" s="4" t="s">
        <v>58</v>
      </c>
      <c r="C4" s="3" t="s">
        <v>49</v>
      </c>
      <c r="D4" s="4" t="s">
        <v>63</v>
      </c>
      <c r="E4" s="4" t="s">
        <v>65</v>
      </c>
      <c r="F4" s="3" t="s">
        <v>67</v>
      </c>
      <c r="G4" s="3" t="s">
        <v>70</v>
      </c>
      <c r="H4" s="5" t="s">
        <v>1155</v>
      </c>
      <c r="I4" s="5" t="s">
        <v>1155</v>
      </c>
      <c r="J4" s="46" t="s">
        <v>84</v>
      </c>
      <c r="K4" s="46" t="s">
        <v>432</v>
      </c>
      <c r="L4" s="46">
        <v>3.12</v>
      </c>
      <c r="M4" s="5" t="s">
        <v>53</v>
      </c>
      <c r="N4" s="46" t="s">
        <v>54</v>
      </c>
      <c r="O4" s="5" t="s">
        <v>52</v>
      </c>
      <c r="P4" s="5" t="s">
        <v>52</v>
      </c>
      <c r="Q4" s="46">
        <v>0</v>
      </c>
      <c r="R4" s="47" t="s">
        <v>55</v>
      </c>
      <c r="S4" s="46" t="s">
        <v>1157</v>
      </c>
      <c r="T4" s="47" t="s">
        <v>55</v>
      </c>
      <c r="U4" s="48" t="s">
        <v>55</v>
      </c>
      <c r="V4" s="3" t="s">
        <v>56</v>
      </c>
      <c r="W4" s="3"/>
      <c r="X4" s="4"/>
      <c r="Y4" s="3" t="s">
        <v>69</v>
      </c>
    </row>
    <row r="5" spans="1:25" ht="15" customHeight="1" x14ac:dyDescent="0.25">
      <c r="A5" s="3" t="s">
        <v>71</v>
      </c>
      <c r="B5" s="4" t="s">
        <v>72</v>
      </c>
      <c r="C5" s="3" t="s">
        <v>49</v>
      </c>
      <c r="D5" s="4" t="s">
        <v>41</v>
      </c>
      <c r="E5" s="4" t="s">
        <v>77</v>
      </c>
      <c r="F5" s="3" t="s">
        <v>80</v>
      </c>
      <c r="G5" s="3" t="s">
        <v>83</v>
      </c>
      <c r="H5" s="5" t="s">
        <v>1155</v>
      </c>
      <c r="I5" s="5" t="s">
        <v>1155</v>
      </c>
      <c r="J5" s="5" t="s">
        <v>1155</v>
      </c>
      <c r="K5" s="5" t="s">
        <v>1155</v>
      </c>
      <c r="L5" s="46">
        <v>3.55</v>
      </c>
      <c r="M5" s="5" t="s">
        <v>53</v>
      </c>
      <c r="N5" s="46" t="s">
        <v>54</v>
      </c>
      <c r="O5" s="5" t="s">
        <v>52</v>
      </c>
      <c r="P5" s="5" t="s">
        <v>52</v>
      </c>
      <c r="Q5" s="46">
        <v>0</v>
      </c>
      <c r="R5" s="47" t="s">
        <v>55</v>
      </c>
      <c r="S5" s="46" t="s">
        <v>1158</v>
      </c>
      <c r="T5" s="47" t="s">
        <v>55</v>
      </c>
      <c r="U5" s="48" t="s">
        <v>55</v>
      </c>
      <c r="V5" s="3" t="s">
        <v>84</v>
      </c>
      <c r="W5" s="3"/>
      <c r="X5" s="4"/>
      <c r="Y5" s="3" t="s">
        <v>82</v>
      </c>
    </row>
    <row r="6" spans="1:25" ht="15" customHeight="1" x14ac:dyDescent="0.25">
      <c r="A6" s="5" t="s">
        <v>85</v>
      </c>
      <c r="B6" s="6" t="s">
        <v>86</v>
      </c>
      <c r="C6" s="5" t="s">
        <v>49</v>
      </c>
      <c r="D6" s="6" t="s">
        <v>41</v>
      </c>
      <c r="E6" s="6" t="s">
        <v>91</v>
      </c>
      <c r="F6" s="5" t="s">
        <v>94</v>
      </c>
      <c r="G6" s="5" t="s">
        <v>96</v>
      </c>
      <c r="H6" s="5" t="s">
        <v>1155</v>
      </c>
      <c r="I6" s="5" t="s">
        <v>1155</v>
      </c>
      <c r="J6" s="5" t="s">
        <v>1155</v>
      </c>
      <c r="K6" s="5" t="s">
        <v>1155</v>
      </c>
      <c r="L6" s="46">
        <v>3.9</v>
      </c>
      <c r="M6" s="5" t="s">
        <v>97</v>
      </c>
      <c r="N6" s="46" t="s">
        <v>54</v>
      </c>
      <c r="O6" s="5" t="s">
        <v>52</v>
      </c>
      <c r="P6" s="5" t="s">
        <v>97</v>
      </c>
      <c r="Q6" s="46">
        <v>0</v>
      </c>
      <c r="R6" s="47" t="s">
        <v>55</v>
      </c>
      <c r="S6" s="46" t="s">
        <v>1158</v>
      </c>
      <c r="T6" s="47" t="s">
        <v>55</v>
      </c>
      <c r="U6" s="48" t="s">
        <v>55</v>
      </c>
      <c r="V6" s="5" t="s">
        <v>98</v>
      </c>
      <c r="W6" s="5" t="s">
        <v>54</v>
      </c>
      <c r="X6" s="6" t="s">
        <v>99</v>
      </c>
      <c r="Y6" s="5" t="s">
        <v>95</v>
      </c>
    </row>
    <row r="7" spans="1:25" ht="15" customHeight="1" x14ac:dyDescent="0.25">
      <c r="A7" s="7" t="s">
        <v>100</v>
      </c>
      <c r="B7" s="8" t="s">
        <v>101</v>
      </c>
      <c r="C7" s="7" t="s">
        <v>49</v>
      </c>
      <c r="D7" s="8" t="s">
        <v>41</v>
      </c>
      <c r="E7" s="8" t="s">
        <v>106</v>
      </c>
      <c r="F7" s="7" t="s">
        <v>109</v>
      </c>
      <c r="G7" s="7" t="s">
        <v>112</v>
      </c>
      <c r="H7" s="46" t="s">
        <v>84</v>
      </c>
      <c r="I7" s="46" t="s">
        <v>84</v>
      </c>
      <c r="J7" s="46" t="s">
        <v>432</v>
      </c>
      <c r="K7" s="46" t="s">
        <v>432</v>
      </c>
      <c r="L7" s="46">
        <v>2.4500000000000002</v>
      </c>
      <c r="M7" s="11" t="s">
        <v>108</v>
      </c>
      <c r="N7" s="46" t="s">
        <v>114</v>
      </c>
      <c r="O7" s="46" t="s">
        <v>113</v>
      </c>
      <c r="P7" s="46" t="s">
        <v>113</v>
      </c>
      <c r="Q7" s="46">
        <v>35000</v>
      </c>
      <c r="R7" s="47" t="s">
        <v>55</v>
      </c>
      <c r="S7" s="46" t="s">
        <v>1159</v>
      </c>
      <c r="T7" s="47" t="s">
        <v>55</v>
      </c>
      <c r="U7" s="48" t="s">
        <v>55</v>
      </c>
      <c r="V7" s="7" t="s">
        <v>115</v>
      </c>
      <c r="W7" s="7"/>
      <c r="X7" s="8"/>
      <c r="Y7" s="7" t="s">
        <v>111</v>
      </c>
    </row>
    <row r="8" spans="1:25" ht="15" customHeight="1" x14ac:dyDescent="0.25">
      <c r="A8" s="3" t="s">
        <v>116</v>
      </c>
      <c r="B8" s="4" t="s">
        <v>117</v>
      </c>
      <c r="C8" s="3" t="s">
        <v>49</v>
      </c>
      <c r="D8" s="4" t="s">
        <v>121</v>
      </c>
      <c r="E8" s="4" t="s">
        <v>123</v>
      </c>
      <c r="F8" s="3" t="s">
        <v>47</v>
      </c>
      <c r="G8" s="3" t="s">
        <v>51</v>
      </c>
      <c r="H8" s="5" t="s">
        <v>1155</v>
      </c>
      <c r="I8" s="5" t="s">
        <v>1155</v>
      </c>
      <c r="J8" s="5" t="s">
        <v>1155</v>
      </c>
      <c r="K8" s="46" t="s">
        <v>84</v>
      </c>
      <c r="L8" s="46">
        <v>3.22</v>
      </c>
      <c r="M8" s="5" t="s">
        <v>53</v>
      </c>
      <c r="N8" s="46" t="s">
        <v>54</v>
      </c>
      <c r="O8" s="5" t="s">
        <v>52</v>
      </c>
      <c r="P8" s="5" t="s">
        <v>52</v>
      </c>
      <c r="Q8" s="46">
        <v>0</v>
      </c>
      <c r="R8" s="47" t="s">
        <v>55</v>
      </c>
      <c r="S8" s="46" t="s">
        <v>1156</v>
      </c>
      <c r="T8" s="47" t="s">
        <v>55</v>
      </c>
      <c r="U8" s="48" t="s">
        <v>55</v>
      </c>
      <c r="V8" s="3" t="s">
        <v>56</v>
      </c>
      <c r="W8" s="3"/>
      <c r="X8" s="4"/>
      <c r="Y8" s="3" t="s">
        <v>50</v>
      </c>
    </row>
    <row r="9" spans="1:25" ht="15" customHeight="1" x14ac:dyDescent="0.25">
      <c r="A9" s="3" t="s">
        <v>124</v>
      </c>
      <c r="B9" s="4" t="s">
        <v>125</v>
      </c>
      <c r="C9" s="3" t="s">
        <v>49</v>
      </c>
      <c r="D9" s="4" t="s">
        <v>41</v>
      </c>
      <c r="E9" s="4" t="s">
        <v>106</v>
      </c>
      <c r="F9" s="3" t="s">
        <v>130</v>
      </c>
      <c r="G9" s="3" t="s">
        <v>70</v>
      </c>
      <c r="H9" s="5" t="s">
        <v>1155</v>
      </c>
      <c r="I9" s="5" t="s">
        <v>1155</v>
      </c>
      <c r="J9" s="46" t="s">
        <v>84</v>
      </c>
      <c r="K9" s="46" t="s">
        <v>432</v>
      </c>
      <c r="L9" s="46">
        <v>3.68</v>
      </c>
      <c r="M9" s="5" t="s">
        <v>53</v>
      </c>
      <c r="N9" s="46" t="s">
        <v>54</v>
      </c>
      <c r="O9" s="5" t="s">
        <v>52</v>
      </c>
      <c r="P9" s="5" t="s">
        <v>52</v>
      </c>
      <c r="Q9" s="46">
        <v>0</v>
      </c>
      <c r="R9" s="47" t="s">
        <v>55</v>
      </c>
      <c r="S9" s="46" t="s">
        <v>1157</v>
      </c>
      <c r="T9" s="47" t="s">
        <v>55</v>
      </c>
      <c r="U9" s="48" t="s">
        <v>55</v>
      </c>
      <c r="V9" s="3" t="s">
        <v>56</v>
      </c>
      <c r="W9" s="3"/>
      <c r="X9" s="4"/>
      <c r="Y9" s="3" t="s">
        <v>69</v>
      </c>
    </row>
    <row r="10" spans="1:25" ht="15" customHeight="1" x14ac:dyDescent="0.25">
      <c r="A10" s="3" t="s">
        <v>131</v>
      </c>
      <c r="B10" s="4" t="s">
        <v>132</v>
      </c>
      <c r="C10" s="3" t="s">
        <v>49</v>
      </c>
      <c r="D10" s="4" t="s">
        <v>136</v>
      </c>
      <c r="E10" s="4" t="s">
        <v>138</v>
      </c>
      <c r="F10" s="3" t="s">
        <v>80</v>
      </c>
      <c r="G10" s="3" t="s">
        <v>83</v>
      </c>
      <c r="H10" s="5" t="s">
        <v>1155</v>
      </c>
      <c r="I10" s="5" t="s">
        <v>1155</v>
      </c>
      <c r="J10" s="5" t="s">
        <v>1155</v>
      </c>
      <c r="K10" s="5" t="s">
        <v>1155</v>
      </c>
      <c r="L10" s="46">
        <v>3.1</v>
      </c>
      <c r="M10" s="5" t="s">
        <v>53</v>
      </c>
      <c r="N10" s="46" t="s">
        <v>54</v>
      </c>
      <c r="O10" s="5" t="s">
        <v>52</v>
      </c>
      <c r="P10" s="5" t="s">
        <v>52</v>
      </c>
      <c r="Q10" s="46">
        <v>0</v>
      </c>
      <c r="R10" s="47" t="s">
        <v>55</v>
      </c>
      <c r="S10" s="46" t="s">
        <v>1158</v>
      </c>
      <c r="T10" s="47" t="s">
        <v>55</v>
      </c>
      <c r="U10" s="48" t="s">
        <v>55</v>
      </c>
      <c r="V10" s="3" t="s">
        <v>84</v>
      </c>
      <c r="W10" s="3"/>
      <c r="X10" s="4"/>
      <c r="Y10" s="3" t="s">
        <v>82</v>
      </c>
    </row>
    <row r="11" spans="1:25" ht="15" customHeight="1" x14ac:dyDescent="0.25">
      <c r="A11" s="9" t="s">
        <v>140</v>
      </c>
      <c r="B11" s="10" t="s">
        <v>141</v>
      </c>
      <c r="C11" s="9" t="s">
        <v>49</v>
      </c>
      <c r="D11" s="10" t="s">
        <v>145</v>
      </c>
      <c r="E11" s="10" t="s">
        <v>65</v>
      </c>
      <c r="F11" s="9" t="s">
        <v>47</v>
      </c>
      <c r="G11" s="9" t="s">
        <v>51</v>
      </c>
      <c r="H11" s="5" t="s">
        <v>1155</v>
      </c>
      <c r="I11" s="5" t="s">
        <v>1155</v>
      </c>
      <c r="J11" s="5" t="s">
        <v>1155</v>
      </c>
      <c r="K11" s="46" t="s">
        <v>84</v>
      </c>
      <c r="L11" s="46">
        <v>2.8</v>
      </c>
      <c r="M11" s="5" t="s">
        <v>53</v>
      </c>
      <c r="N11" s="46" t="s">
        <v>54</v>
      </c>
      <c r="O11" s="47" t="s">
        <v>149</v>
      </c>
      <c r="P11" s="47" t="s">
        <v>149</v>
      </c>
      <c r="Q11" s="46">
        <v>0</v>
      </c>
      <c r="R11" s="47" t="s">
        <v>55</v>
      </c>
      <c r="S11" s="46" t="s">
        <v>1156</v>
      </c>
      <c r="T11" s="47" t="s">
        <v>55</v>
      </c>
      <c r="U11" s="48" t="s">
        <v>55</v>
      </c>
      <c r="V11" s="9" t="s">
        <v>56</v>
      </c>
      <c r="W11" s="9"/>
      <c r="X11" s="10"/>
      <c r="Y11" s="9" t="s">
        <v>148</v>
      </c>
    </row>
    <row r="12" spans="1:25" ht="15" customHeight="1" x14ac:dyDescent="0.25">
      <c r="A12" s="3" t="s">
        <v>150</v>
      </c>
      <c r="B12" s="4" t="s">
        <v>151</v>
      </c>
      <c r="C12" s="3" t="s">
        <v>49</v>
      </c>
      <c r="D12" s="4" t="s">
        <v>41</v>
      </c>
      <c r="E12" s="4" t="s">
        <v>43</v>
      </c>
      <c r="F12" s="3" t="s">
        <v>109</v>
      </c>
      <c r="G12" s="3" t="s">
        <v>112</v>
      </c>
      <c r="H12" s="46" t="s">
        <v>84</v>
      </c>
      <c r="I12" s="46" t="s">
        <v>84</v>
      </c>
      <c r="J12" s="46" t="s">
        <v>432</v>
      </c>
      <c r="K12" s="46" t="s">
        <v>432</v>
      </c>
      <c r="L12" s="46">
        <v>3.4</v>
      </c>
      <c r="M12" s="5" t="s">
        <v>53</v>
      </c>
      <c r="N12" s="46" t="s">
        <v>54</v>
      </c>
      <c r="O12" s="5" t="s">
        <v>52</v>
      </c>
      <c r="P12" s="5" t="s">
        <v>52</v>
      </c>
      <c r="Q12" s="46">
        <v>0</v>
      </c>
      <c r="R12" s="47" t="s">
        <v>55</v>
      </c>
      <c r="S12" s="46" t="s">
        <v>1159</v>
      </c>
      <c r="T12" s="47" t="s">
        <v>55</v>
      </c>
      <c r="U12" s="48" t="s">
        <v>55</v>
      </c>
      <c r="V12" s="3" t="s">
        <v>56</v>
      </c>
      <c r="W12" s="3"/>
      <c r="X12" s="4"/>
      <c r="Y12" s="3" t="s">
        <v>156</v>
      </c>
    </row>
    <row r="13" spans="1:25" ht="15" customHeight="1" x14ac:dyDescent="0.25">
      <c r="A13" s="3" t="s">
        <v>157</v>
      </c>
      <c r="B13" s="4" t="s">
        <v>158</v>
      </c>
      <c r="C13" s="3" t="s">
        <v>49</v>
      </c>
      <c r="D13" s="4" t="s">
        <v>41</v>
      </c>
      <c r="E13" s="4" t="s">
        <v>106</v>
      </c>
      <c r="F13" s="3" t="s">
        <v>130</v>
      </c>
      <c r="G13" s="3" t="s">
        <v>70</v>
      </c>
      <c r="H13" s="5" t="s">
        <v>1155</v>
      </c>
      <c r="I13" s="5" t="s">
        <v>1155</v>
      </c>
      <c r="J13" s="46" t="s">
        <v>84</v>
      </c>
      <c r="K13" s="46" t="s">
        <v>432</v>
      </c>
      <c r="L13" s="46">
        <v>3.05</v>
      </c>
      <c r="M13" s="5" t="s">
        <v>53</v>
      </c>
      <c r="N13" s="46" t="s">
        <v>54</v>
      </c>
      <c r="O13" s="5" t="s">
        <v>52</v>
      </c>
      <c r="P13" s="5" t="s">
        <v>52</v>
      </c>
      <c r="Q13" s="46">
        <v>0</v>
      </c>
      <c r="R13" s="47" t="s">
        <v>55</v>
      </c>
      <c r="S13" s="46" t="s">
        <v>1157</v>
      </c>
      <c r="T13" s="47" t="s">
        <v>55</v>
      </c>
      <c r="U13" s="48" t="s">
        <v>55</v>
      </c>
      <c r="V13" s="3" t="s">
        <v>56</v>
      </c>
      <c r="W13" s="3"/>
      <c r="X13" s="4"/>
      <c r="Y13" s="3" t="s">
        <v>69</v>
      </c>
    </row>
    <row r="14" spans="1:25" ht="15" customHeight="1" x14ac:dyDescent="0.25">
      <c r="A14" s="5" t="s">
        <v>163</v>
      </c>
      <c r="B14" s="6" t="s">
        <v>164</v>
      </c>
      <c r="C14" s="5" t="s">
        <v>49</v>
      </c>
      <c r="D14" s="6" t="s">
        <v>41</v>
      </c>
      <c r="E14" s="6" t="s">
        <v>77</v>
      </c>
      <c r="F14" s="5" t="s">
        <v>94</v>
      </c>
      <c r="G14" s="5" t="s">
        <v>96</v>
      </c>
      <c r="H14" s="5" t="s">
        <v>1155</v>
      </c>
      <c r="I14" s="5" t="s">
        <v>1155</v>
      </c>
      <c r="J14" s="5" t="s">
        <v>1155</v>
      </c>
      <c r="K14" s="5" t="s">
        <v>1155</v>
      </c>
      <c r="L14" s="46">
        <v>2.6</v>
      </c>
      <c r="M14" s="5" t="s">
        <v>97</v>
      </c>
      <c r="N14" s="46" t="s">
        <v>54</v>
      </c>
      <c r="O14" s="5" t="s">
        <v>52</v>
      </c>
      <c r="P14" s="5" t="s">
        <v>97</v>
      </c>
      <c r="Q14" s="46">
        <v>0</v>
      </c>
      <c r="R14" s="47" t="s">
        <v>55</v>
      </c>
      <c r="S14" s="46" t="s">
        <v>1158</v>
      </c>
      <c r="T14" s="47" t="s">
        <v>55</v>
      </c>
      <c r="U14" s="48" t="s">
        <v>55</v>
      </c>
      <c r="V14" s="5" t="s">
        <v>98</v>
      </c>
      <c r="W14" s="5" t="s">
        <v>54</v>
      </c>
      <c r="X14" s="6" t="s">
        <v>99</v>
      </c>
      <c r="Y14" s="5" t="s">
        <v>95</v>
      </c>
    </row>
    <row r="15" spans="1:25" ht="15" customHeight="1" x14ac:dyDescent="0.25">
      <c r="A15" s="3" t="s">
        <v>170</v>
      </c>
      <c r="B15" s="4" t="s">
        <v>171</v>
      </c>
      <c r="C15" s="3" t="s">
        <v>49</v>
      </c>
      <c r="D15" s="4" t="s">
        <v>63</v>
      </c>
      <c r="E15" s="4" t="s">
        <v>176</v>
      </c>
      <c r="F15" s="3" t="s">
        <v>47</v>
      </c>
      <c r="G15" s="3" t="s">
        <v>51</v>
      </c>
      <c r="H15" s="5" t="s">
        <v>1155</v>
      </c>
      <c r="I15" s="5" t="s">
        <v>1155</v>
      </c>
      <c r="J15" s="5" t="s">
        <v>1155</v>
      </c>
      <c r="K15" s="46" t="s">
        <v>84</v>
      </c>
      <c r="L15" s="46">
        <v>3.5</v>
      </c>
      <c r="M15" s="5" t="s">
        <v>53</v>
      </c>
      <c r="N15" s="46" t="s">
        <v>54</v>
      </c>
      <c r="O15" s="5" t="s">
        <v>52</v>
      </c>
      <c r="P15" s="5" t="s">
        <v>52</v>
      </c>
      <c r="Q15" s="46">
        <v>0</v>
      </c>
      <c r="R15" s="47" t="s">
        <v>55</v>
      </c>
      <c r="S15" s="46" t="s">
        <v>1156</v>
      </c>
      <c r="T15" s="47" t="s">
        <v>55</v>
      </c>
      <c r="U15" s="48" t="s">
        <v>55</v>
      </c>
      <c r="V15" s="3" t="s">
        <v>56</v>
      </c>
      <c r="W15" s="3"/>
      <c r="X15" s="4"/>
      <c r="Y15" s="3" t="s">
        <v>50</v>
      </c>
    </row>
    <row r="16" spans="1:25" ht="15" customHeight="1" x14ac:dyDescent="0.25">
      <c r="A16" s="11" t="s">
        <v>177</v>
      </c>
      <c r="B16" s="12" t="s">
        <v>178</v>
      </c>
      <c r="C16" s="11" t="s">
        <v>49</v>
      </c>
      <c r="D16" s="12" t="s">
        <v>182</v>
      </c>
      <c r="E16" s="12" t="s">
        <v>91</v>
      </c>
      <c r="F16" s="11" t="s">
        <v>80</v>
      </c>
      <c r="G16" s="11" t="s">
        <v>83</v>
      </c>
      <c r="H16" s="5" t="s">
        <v>1155</v>
      </c>
      <c r="I16" s="5" t="s">
        <v>1155</v>
      </c>
      <c r="J16" s="5" t="s">
        <v>1155</v>
      </c>
      <c r="K16" s="5" t="s">
        <v>1155</v>
      </c>
      <c r="L16" s="46">
        <v>1.9</v>
      </c>
      <c r="M16" s="11" t="s">
        <v>184</v>
      </c>
      <c r="N16" s="46" t="s">
        <v>114</v>
      </c>
      <c r="O16" s="11" t="s">
        <v>186</v>
      </c>
      <c r="P16" s="11" t="s">
        <v>186</v>
      </c>
      <c r="Q16" s="46">
        <v>75000</v>
      </c>
      <c r="R16" s="47" t="s">
        <v>55</v>
      </c>
      <c r="S16" s="46" t="s">
        <v>1158</v>
      </c>
      <c r="T16" s="47" t="s">
        <v>55</v>
      </c>
      <c r="U16" s="48" t="s">
        <v>55</v>
      </c>
      <c r="V16" s="11" t="s">
        <v>115</v>
      </c>
      <c r="W16" s="11"/>
      <c r="X16" s="12"/>
      <c r="Y16" s="11" t="s">
        <v>185</v>
      </c>
    </row>
    <row r="17" spans="1:25" ht="15" customHeight="1" x14ac:dyDescent="0.25">
      <c r="A17" s="3" t="s">
        <v>187</v>
      </c>
      <c r="B17" s="4" t="s">
        <v>188</v>
      </c>
      <c r="C17" s="3" t="s">
        <v>49</v>
      </c>
      <c r="D17" s="4" t="s">
        <v>63</v>
      </c>
      <c r="E17" s="4" t="s">
        <v>193</v>
      </c>
      <c r="F17" s="3" t="s">
        <v>109</v>
      </c>
      <c r="G17" s="3" t="s">
        <v>112</v>
      </c>
      <c r="H17" s="46" t="s">
        <v>84</v>
      </c>
      <c r="I17" s="46" t="s">
        <v>84</v>
      </c>
      <c r="J17" s="46" t="s">
        <v>432</v>
      </c>
      <c r="K17" s="46" t="s">
        <v>432</v>
      </c>
      <c r="L17" s="46">
        <v>3.82</v>
      </c>
      <c r="M17" s="5" t="s">
        <v>53</v>
      </c>
      <c r="N17" s="46" t="s">
        <v>54</v>
      </c>
      <c r="O17" s="5" t="s">
        <v>52</v>
      </c>
      <c r="P17" s="5" t="s">
        <v>52</v>
      </c>
      <c r="Q17" s="46">
        <v>0</v>
      </c>
      <c r="R17" s="47" t="s">
        <v>55</v>
      </c>
      <c r="S17" s="46" t="s">
        <v>1159</v>
      </c>
      <c r="T17" s="47" t="s">
        <v>55</v>
      </c>
      <c r="U17" s="48" t="s">
        <v>55</v>
      </c>
      <c r="V17" s="3" t="s">
        <v>56</v>
      </c>
      <c r="W17" s="3"/>
      <c r="X17" s="4"/>
      <c r="Y17" s="3" t="s">
        <v>156</v>
      </c>
    </row>
    <row r="18" spans="1:25" ht="15" customHeight="1" x14ac:dyDescent="0.25">
      <c r="A18" s="3" t="s">
        <v>194</v>
      </c>
      <c r="B18" s="4" t="s">
        <v>195</v>
      </c>
      <c r="C18" s="3" t="s">
        <v>49</v>
      </c>
      <c r="D18" s="4" t="s">
        <v>41</v>
      </c>
      <c r="E18" s="4" t="s">
        <v>106</v>
      </c>
      <c r="F18" s="3" t="s">
        <v>130</v>
      </c>
      <c r="G18" s="3" t="s">
        <v>70</v>
      </c>
      <c r="H18" s="5" t="s">
        <v>1155</v>
      </c>
      <c r="I18" s="5" t="s">
        <v>1155</v>
      </c>
      <c r="J18" s="46" t="s">
        <v>84</v>
      </c>
      <c r="K18" s="46" t="s">
        <v>432</v>
      </c>
      <c r="L18" s="46">
        <v>2.95</v>
      </c>
      <c r="M18" s="5" t="s">
        <v>53</v>
      </c>
      <c r="N18" s="46" t="s">
        <v>54</v>
      </c>
      <c r="O18" s="5" t="s">
        <v>52</v>
      </c>
      <c r="P18" s="5" t="s">
        <v>52</v>
      </c>
      <c r="Q18" s="46">
        <v>0</v>
      </c>
      <c r="R18" s="47" t="s">
        <v>55</v>
      </c>
      <c r="S18" s="46" t="s">
        <v>1157</v>
      </c>
      <c r="T18" s="47" t="s">
        <v>55</v>
      </c>
      <c r="U18" s="48" t="s">
        <v>55</v>
      </c>
      <c r="V18" s="3" t="s">
        <v>56</v>
      </c>
      <c r="W18" s="3"/>
      <c r="X18" s="4"/>
      <c r="Y18" s="3" t="s">
        <v>69</v>
      </c>
    </row>
    <row r="19" spans="1:25" ht="15" customHeight="1" x14ac:dyDescent="0.25">
      <c r="A19" s="3" t="s">
        <v>200</v>
      </c>
      <c r="B19" s="4" t="s">
        <v>201</v>
      </c>
      <c r="C19" s="3" t="s">
        <v>49</v>
      </c>
      <c r="D19" s="4" t="s">
        <v>41</v>
      </c>
      <c r="E19" s="4" t="s">
        <v>43</v>
      </c>
      <c r="F19" s="3" t="s">
        <v>47</v>
      </c>
      <c r="G19" s="3" t="s">
        <v>51</v>
      </c>
      <c r="H19" s="5" t="s">
        <v>1155</v>
      </c>
      <c r="I19" s="5" t="s">
        <v>1155</v>
      </c>
      <c r="J19" s="5" t="s">
        <v>1155</v>
      </c>
      <c r="K19" s="46" t="s">
        <v>84</v>
      </c>
      <c r="L19" s="46">
        <v>3.95</v>
      </c>
      <c r="M19" s="5" t="s">
        <v>53</v>
      </c>
      <c r="N19" s="46" t="s">
        <v>54</v>
      </c>
      <c r="O19" s="5" t="s">
        <v>52</v>
      </c>
      <c r="P19" s="5" t="s">
        <v>52</v>
      </c>
      <c r="Q19" s="46">
        <v>0</v>
      </c>
      <c r="R19" s="47" t="s">
        <v>55</v>
      </c>
      <c r="S19" s="46" t="s">
        <v>1156</v>
      </c>
      <c r="T19" s="47" t="s">
        <v>55</v>
      </c>
      <c r="U19" s="48" t="s">
        <v>55</v>
      </c>
      <c r="V19" s="3" t="s">
        <v>56</v>
      </c>
      <c r="W19" s="3"/>
      <c r="X19" s="4"/>
      <c r="Y19" s="3" t="s">
        <v>50</v>
      </c>
    </row>
    <row r="20" spans="1:25" ht="15" customHeight="1" x14ac:dyDescent="0.25">
      <c r="A20" s="3" t="s">
        <v>205</v>
      </c>
      <c r="B20" s="4" t="s">
        <v>206</v>
      </c>
      <c r="C20" s="3" t="s">
        <v>49</v>
      </c>
      <c r="D20" s="4" t="s">
        <v>121</v>
      </c>
      <c r="E20" s="4" t="s">
        <v>123</v>
      </c>
      <c r="F20" s="3" t="s">
        <v>80</v>
      </c>
      <c r="G20" s="3" t="s">
        <v>83</v>
      </c>
      <c r="H20" s="5" t="s">
        <v>1155</v>
      </c>
      <c r="I20" s="5" t="s">
        <v>1155</v>
      </c>
      <c r="J20" s="5" t="s">
        <v>1155</v>
      </c>
      <c r="K20" s="5" t="s">
        <v>1155</v>
      </c>
      <c r="L20" s="46">
        <v>3.3</v>
      </c>
      <c r="M20" s="5" t="s">
        <v>53</v>
      </c>
      <c r="N20" s="46" t="s">
        <v>54</v>
      </c>
      <c r="O20" s="5" t="s">
        <v>52</v>
      </c>
      <c r="P20" s="5" t="s">
        <v>52</v>
      </c>
      <c r="Q20" s="46">
        <v>0</v>
      </c>
      <c r="R20" s="47" t="s">
        <v>55</v>
      </c>
      <c r="S20" s="46" t="s">
        <v>1158</v>
      </c>
      <c r="T20" s="47" t="s">
        <v>55</v>
      </c>
      <c r="U20" s="48" t="s">
        <v>55</v>
      </c>
      <c r="V20" s="3" t="s">
        <v>84</v>
      </c>
      <c r="W20" s="3"/>
      <c r="X20" s="4"/>
      <c r="Y20" s="3" t="s">
        <v>82</v>
      </c>
    </row>
    <row r="21" spans="1:25" ht="15" customHeight="1" x14ac:dyDescent="0.25">
      <c r="A21" s="3" t="s">
        <v>212</v>
      </c>
      <c r="B21" s="4" t="s">
        <v>213</v>
      </c>
      <c r="C21" s="3" t="s">
        <v>49</v>
      </c>
      <c r="D21" s="4" t="s">
        <v>41</v>
      </c>
      <c r="E21" s="4" t="s">
        <v>91</v>
      </c>
      <c r="F21" s="3" t="s">
        <v>109</v>
      </c>
      <c r="G21" s="3" t="s">
        <v>112</v>
      </c>
      <c r="H21" s="46" t="s">
        <v>84</v>
      </c>
      <c r="I21" s="46" t="s">
        <v>84</v>
      </c>
      <c r="J21" s="46" t="s">
        <v>432</v>
      </c>
      <c r="K21" s="46" t="s">
        <v>432</v>
      </c>
      <c r="L21" s="46">
        <v>3.15</v>
      </c>
      <c r="M21" s="5" t="s">
        <v>53</v>
      </c>
      <c r="N21" s="46" t="s">
        <v>54</v>
      </c>
      <c r="O21" s="5" t="s">
        <v>52</v>
      </c>
      <c r="P21" s="5" t="s">
        <v>52</v>
      </c>
      <c r="Q21" s="46">
        <v>0</v>
      </c>
      <c r="R21" s="47" t="s">
        <v>55</v>
      </c>
      <c r="S21" s="46" t="s">
        <v>1159</v>
      </c>
      <c r="T21" s="47" t="s">
        <v>55</v>
      </c>
      <c r="U21" s="48" t="s">
        <v>55</v>
      </c>
      <c r="V21" s="3" t="s">
        <v>56</v>
      </c>
      <c r="W21" s="3"/>
      <c r="X21" s="4"/>
      <c r="Y21" s="3" t="s">
        <v>156</v>
      </c>
    </row>
    <row r="22" spans="1:25" ht="15" customHeight="1" x14ac:dyDescent="0.25">
      <c r="A22" s="3" t="s">
        <v>218</v>
      </c>
      <c r="B22" s="4" t="s">
        <v>219</v>
      </c>
      <c r="C22" s="3" t="s">
        <v>49</v>
      </c>
      <c r="D22" s="4" t="s">
        <v>136</v>
      </c>
      <c r="E22" s="4" t="s">
        <v>138</v>
      </c>
      <c r="F22" s="3" t="s">
        <v>130</v>
      </c>
      <c r="G22" s="3" t="s">
        <v>70</v>
      </c>
      <c r="H22" s="5" t="s">
        <v>1155</v>
      </c>
      <c r="I22" s="5" t="s">
        <v>1155</v>
      </c>
      <c r="J22" s="46" t="s">
        <v>84</v>
      </c>
      <c r="K22" s="46" t="s">
        <v>432</v>
      </c>
      <c r="L22" s="46">
        <v>3.6</v>
      </c>
      <c r="M22" s="5" t="s">
        <v>53</v>
      </c>
      <c r="N22" s="46" t="s">
        <v>54</v>
      </c>
      <c r="O22" s="5" t="s">
        <v>52</v>
      </c>
      <c r="P22" s="5" t="s">
        <v>52</v>
      </c>
      <c r="Q22" s="46">
        <v>0</v>
      </c>
      <c r="R22" s="47" t="s">
        <v>55</v>
      </c>
      <c r="S22" s="46" t="s">
        <v>1157</v>
      </c>
      <c r="T22" s="47" t="s">
        <v>55</v>
      </c>
      <c r="U22" s="48" t="s">
        <v>55</v>
      </c>
      <c r="V22" s="3" t="s">
        <v>56</v>
      </c>
      <c r="W22" s="3"/>
      <c r="X22" s="4"/>
      <c r="Y22" s="3" t="s">
        <v>69</v>
      </c>
    </row>
    <row r="23" spans="1:25" ht="15" customHeight="1" x14ac:dyDescent="0.25">
      <c r="A23" s="9" t="s">
        <v>223</v>
      </c>
      <c r="B23" s="10" t="s">
        <v>224</v>
      </c>
      <c r="C23" s="9" t="s">
        <v>49</v>
      </c>
      <c r="D23" s="10" t="s">
        <v>63</v>
      </c>
      <c r="E23" s="10" t="s">
        <v>176</v>
      </c>
      <c r="F23" s="9" t="s">
        <v>47</v>
      </c>
      <c r="G23" s="9" t="s">
        <v>51</v>
      </c>
      <c r="H23" s="5" t="s">
        <v>1155</v>
      </c>
      <c r="I23" s="5" t="s">
        <v>1155</v>
      </c>
      <c r="J23" s="5" t="s">
        <v>1155</v>
      </c>
      <c r="K23" s="46" t="s">
        <v>84</v>
      </c>
      <c r="L23" s="46">
        <v>2.75</v>
      </c>
      <c r="M23" s="5" t="s">
        <v>53</v>
      </c>
      <c r="N23" s="46" t="s">
        <v>54</v>
      </c>
      <c r="O23" s="47" t="s">
        <v>149</v>
      </c>
      <c r="P23" s="47" t="s">
        <v>149</v>
      </c>
      <c r="Q23" s="46">
        <v>0</v>
      </c>
      <c r="R23" s="47" t="s">
        <v>55</v>
      </c>
      <c r="S23" s="46" t="s">
        <v>1156</v>
      </c>
      <c r="T23" s="47" t="s">
        <v>55</v>
      </c>
      <c r="U23" s="48" t="s">
        <v>55</v>
      </c>
      <c r="V23" s="9" t="s">
        <v>56</v>
      </c>
      <c r="W23" s="9"/>
      <c r="X23" s="10"/>
      <c r="Y23" s="9" t="s">
        <v>148</v>
      </c>
    </row>
    <row r="24" spans="1:25" ht="15" customHeight="1" x14ac:dyDescent="0.25">
      <c r="A24" s="5" t="s">
        <v>229</v>
      </c>
      <c r="B24" s="6" t="s">
        <v>230</v>
      </c>
      <c r="C24" s="5" t="s">
        <v>49</v>
      </c>
      <c r="D24" s="6" t="s">
        <v>41</v>
      </c>
      <c r="E24" s="6" t="s">
        <v>106</v>
      </c>
      <c r="F24" s="5" t="s">
        <v>94</v>
      </c>
      <c r="G24" s="5" t="s">
        <v>96</v>
      </c>
      <c r="H24" s="5" t="s">
        <v>1155</v>
      </c>
      <c r="I24" s="5" t="s">
        <v>1155</v>
      </c>
      <c r="J24" s="5" t="s">
        <v>1155</v>
      </c>
      <c r="K24" s="5" t="s">
        <v>1155</v>
      </c>
      <c r="L24" s="46">
        <v>3.88</v>
      </c>
      <c r="M24" s="5" t="s">
        <v>97</v>
      </c>
      <c r="N24" s="46" t="s">
        <v>54</v>
      </c>
      <c r="O24" s="5" t="s">
        <v>52</v>
      </c>
      <c r="P24" s="5" t="s">
        <v>97</v>
      </c>
      <c r="Q24" s="46">
        <v>0</v>
      </c>
      <c r="R24" s="47" t="s">
        <v>55</v>
      </c>
      <c r="S24" s="46" t="s">
        <v>1158</v>
      </c>
      <c r="T24" s="47" t="s">
        <v>55</v>
      </c>
      <c r="U24" s="48" t="s">
        <v>55</v>
      </c>
      <c r="V24" s="5" t="s">
        <v>98</v>
      </c>
      <c r="W24" s="5" t="s">
        <v>54</v>
      </c>
      <c r="X24" s="6" t="s">
        <v>99</v>
      </c>
      <c r="Y24" s="5" t="s">
        <v>95</v>
      </c>
    </row>
    <row r="25" spans="1:25" ht="15" customHeight="1" x14ac:dyDescent="0.25">
      <c r="A25" s="7" t="s">
        <v>234</v>
      </c>
      <c r="B25" s="8" t="s">
        <v>235</v>
      </c>
      <c r="C25" s="7" t="s">
        <v>49</v>
      </c>
      <c r="D25" s="8" t="s">
        <v>145</v>
      </c>
      <c r="E25" s="8" t="s">
        <v>65</v>
      </c>
      <c r="F25" s="7" t="s">
        <v>109</v>
      </c>
      <c r="G25" s="7" t="s">
        <v>112</v>
      </c>
      <c r="H25" s="46" t="s">
        <v>84</v>
      </c>
      <c r="I25" s="46" t="s">
        <v>84</v>
      </c>
      <c r="J25" s="46" t="s">
        <v>432</v>
      </c>
      <c r="K25" s="46" t="s">
        <v>432</v>
      </c>
      <c r="L25" s="46">
        <v>2.2000000000000002</v>
      </c>
      <c r="M25" s="11" t="s">
        <v>108</v>
      </c>
      <c r="N25" s="46" t="s">
        <v>114</v>
      </c>
      <c r="O25" s="46" t="s">
        <v>113</v>
      </c>
      <c r="P25" s="46" t="s">
        <v>113</v>
      </c>
      <c r="Q25" s="46">
        <v>35000</v>
      </c>
      <c r="R25" s="47" t="s">
        <v>55</v>
      </c>
      <c r="S25" s="46" t="s">
        <v>1159</v>
      </c>
      <c r="T25" s="47" t="s">
        <v>55</v>
      </c>
      <c r="U25" s="48" t="s">
        <v>55</v>
      </c>
      <c r="V25" s="7" t="s">
        <v>115</v>
      </c>
      <c r="W25" s="7"/>
      <c r="X25" s="8"/>
      <c r="Y25" s="7" t="s">
        <v>111</v>
      </c>
    </row>
    <row r="26" spans="1:25" ht="15" customHeight="1" x14ac:dyDescent="0.25">
      <c r="A26" s="3" t="s">
        <v>240</v>
      </c>
      <c r="B26" s="4" t="s">
        <v>241</v>
      </c>
      <c r="C26" s="3" t="s">
        <v>49</v>
      </c>
      <c r="D26" s="4" t="s">
        <v>41</v>
      </c>
      <c r="E26" s="4" t="s">
        <v>43</v>
      </c>
      <c r="F26" s="3" t="s">
        <v>130</v>
      </c>
      <c r="G26" s="3" t="s">
        <v>70</v>
      </c>
      <c r="H26" s="5" t="s">
        <v>1155</v>
      </c>
      <c r="I26" s="5" t="s">
        <v>1155</v>
      </c>
      <c r="J26" s="46" t="s">
        <v>84</v>
      </c>
      <c r="K26" s="46" t="s">
        <v>432</v>
      </c>
      <c r="L26" s="46">
        <v>3.42</v>
      </c>
      <c r="M26" s="5" t="s">
        <v>53</v>
      </c>
      <c r="N26" s="46" t="s">
        <v>54</v>
      </c>
      <c r="O26" s="5" t="s">
        <v>52</v>
      </c>
      <c r="P26" s="5" t="s">
        <v>52</v>
      </c>
      <c r="Q26" s="46">
        <v>0</v>
      </c>
      <c r="R26" s="47" t="s">
        <v>55</v>
      </c>
      <c r="S26" s="46" t="s">
        <v>1157</v>
      </c>
      <c r="T26" s="47" t="s">
        <v>55</v>
      </c>
      <c r="U26" s="48" t="s">
        <v>55</v>
      </c>
      <c r="V26" s="3" t="s">
        <v>56</v>
      </c>
      <c r="W26" s="3"/>
      <c r="X26" s="4"/>
      <c r="Y26" s="3" t="s">
        <v>69</v>
      </c>
    </row>
    <row r="27" spans="1:25" ht="15" customHeight="1" x14ac:dyDescent="0.25">
      <c r="A27" s="3" t="s">
        <v>245</v>
      </c>
      <c r="B27" s="4" t="s">
        <v>246</v>
      </c>
      <c r="C27" s="3" t="s">
        <v>49</v>
      </c>
      <c r="D27" s="4" t="s">
        <v>41</v>
      </c>
      <c r="E27" s="4" t="s">
        <v>43</v>
      </c>
      <c r="F27" s="3" t="s">
        <v>109</v>
      </c>
      <c r="G27" s="3" t="s">
        <v>112</v>
      </c>
      <c r="H27" s="46" t="s">
        <v>84</v>
      </c>
      <c r="I27" s="46" t="s">
        <v>84</v>
      </c>
      <c r="J27" s="46" t="s">
        <v>432</v>
      </c>
      <c r="K27" s="46" t="s">
        <v>432</v>
      </c>
      <c r="L27" s="46">
        <v>3.65</v>
      </c>
      <c r="M27" s="5" t="s">
        <v>53</v>
      </c>
      <c r="N27" s="46" t="s">
        <v>54</v>
      </c>
      <c r="O27" s="157" t="s">
        <v>1160</v>
      </c>
      <c r="P27" s="158" t="s">
        <v>1161</v>
      </c>
      <c r="Q27" s="158">
        <v>75000</v>
      </c>
      <c r="R27" s="47" t="s">
        <v>55</v>
      </c>
      <c r="S27" s="46" t="s">
        <v>1159</v>
      </c>
      <c r="T27" s="47" t="s">
        <v>55</v>
      </c>
      <c r="U27" s="48" t="s">
        <v>55</v>
      </c>
      <c r="V27" s="3" t="s">
        <v>56</v>
      </c>
      <c r="W27" s="3"/>
      <c r="X27" s="4"/>
      <c r="Y27" s="3" t="s">
        <v>156</v>
      </c>
    </row>
    <row r="28" spans="1:25" ht="15" customHeight="1" x14ac:dyDescent="0.25">
      <c r="A28" s="13" t="s">
        <v>251</v>
      </c>
      <c r="B28" s="14" t="s">
        <v>252</v>
      </c>
      <c r="C28" s="13" t="s">
        <v>259</v>
      </c>
      <c r="D28" s="14" t="s">
        <v>260</v>
      </c>
      <c r="E28" s="14" t="s">
        <v>43</v>
      </c>
      <c r="F28" s="13" t="s">
        <v>67</v>
      </c>
      <c r="G28" s="13" t="s">
        <v>70</v>
      </c>
      <c r="H28" s="5" t="s">
        <v>1155</v>
      </c>
      <c r="I28" s="5" t="s">
        <v>1155</v>
      </c>
      <c r="J28" s="46" t="s">
        <v>84</v>
      </c>
      <c r="K28" s="46" t="s">
        <v>432</v>
      </c>
      <c r="L28" s="46">
        <v>3.72</v>
      </c>
      <c r="M28" s="5" t="s">
        <v>53</v>
      </c>
      <c r="N28" s="46" t="s">
        <v>54</v>
      </c>
      <c r="O28" s="5" t="s">
        <v>52</v>
      </c>
      <c r="P28" s="5" t="s">
        <v>52</v>
      </c>
      <c r="Q28" s="46">
        <v>0</v>
      </c>
      <c r="R28" s="47" t="s">
        <v>55</v>
      </c>
      <c r="S28" s="46" t="s">
        <v>70</v>
      </c>
      <c r="T28" s="47" t="s">
        <v>55</v>
      </c>
      <c r="U28" s="48" t="s">
        <v>55</v>
      </c>
      <c r="V28" s="13" t="s">
        <v>84</v>
      </c>
      <c r="W28" s="13"/>
      <c r="X28" s="14"/>
      <c r="Y28" s="13" t="s">
        <v>261</v>
      </c>
    </row>
    <row r="29" spans="1:25" ht="15" customHeight="1" x14ac:dyDescent="0.25">
      <c r="A29" s="13" t="s">
        <v>268</v>
      </c>
      <c r="B29" s="14" t="s">
        <v>269</v>
      </c>
      <c r="C29" s="13" t="s">
        <v>259</v>
      </c>
      <c r="D29" s="14" t="s">
        <v>276</v>
      </c>
      <c r="E29" s="14" t="s">
        <v>65</v>
      </c>
      <c r="F29" s="13" t="s">
        <v>109</v>
      </c>
      <c r="G29" s="13" t="s">
        <v>112</v>
      </c>
      <c r="H29" s="46" t="s">
        <v>84</v>
      </c>
      <c r="I29" s="46" t="s">
        <v>84</v>
      </c>
      <c r="J29" s="46" t="s">
        <v>432</v>
      </c>
      <c r="K29" s="46" t="s">
        <v>432</v>
      </c>
      <c r="L29" s="46">
        <v>3.41</v>
      </c>
      <c r="M29" s="5" t="s">
        <v>53</v>
      </c>
      <c r="N29" s="46" t="s">
        <v>54</v>
      </c>
      <c r="O29" s="5" t="s">
        <v>52</v>
      </c>
      <c r="P29" s="5" t="s">
        <v>52</v>
      </c>
      <c r="Q29" s="46">
        <v>0</v>
      </c>
      <c r="R29" s="47" t="s">
        <v>55</v>
      </c>
      <c r="S29" s="46" t="s">
        <v>112</v>
      </c>
      <c r="T29" s="47" t="s">
        <v>55</v>
      </c>
      <c r="U29" s="48" t="s">
        <v>55</v>
      </c>
      <c r="V29" s="13" t="s">
        <v>56</v>
      </c>
      <c r="W29" s="13"/>
      <c r="X29" s="14"/>
      <c r="Y29" s="13" t="s">
        <v>277</v>
      </c>
    </row>
    <row r="30" spans="1:25" ht="15" customHeight="1" x14ac:dyDescent="0.25">
      <c r="A30" s="5" t="s">
        <v>283</v>
      </c>
      <c r="B30" s="6" t="s">
        <v>284</v>
      </c>
      <c r="C30" s="5" t="s">
        <v>259</v>
      </c>
      <c r="D30" s="6" t="s">
        <v>289</v>
      </c>
      <c r="E30" s="6" t="s">
        <v>65</v>
      </c>
      <c r="F30" s="5" t="s">
        <v>67</v>
      </c>
      <c r="G30" s="5" t="s">
        <v>96</v>
      </c>
      <c r="H30" s="5" t="s">
        <v>1155</v>
      </c>
      <c r="I30" s="5" t="s">
        <v>1155</v>
      </c>
      <c r="J30" s="5" t="s">
        <v>1155</v>
      </c>
      <c r="K30" s="5" t="s">
        <v>1155</v>
      </c>
      <c r="L30" s="46">
        <v>3.55</v>
      </c>
      <c r="M30" s="5" t="s">
        <v>97</v>
      </c>
      <c r="N30" s="46" t="s">
        <v>291</v>
      </c>
      <c r="O30" s="5" t="s">
        <v>52</v>
      </c>
      <c r="P30" s="5" t="s">
        <v>97</v>
      </c>
      <c r="Q30" s="46">
        <v>0</v>
      </c>
      <c r="R30" s="47" t="s">
        <v>55</v>
      </c>
      <c r="S30" s="5" t="s">
        <v>96</v>
      </c>
      <c r="T30" s="47" t="s">
        <v>55</v>
      </c>
      <c r="U30" s="48" t="s">
        <v>55</v>
      </c>
      <c r="V30" s="5" t="s">
        <v>98</v>
      </c>
      <c r="W30" s="5" t="s">
        <v>291</v>
      </c>
      <c r="X30" s="6" t="s">
        <v>99</v>
      </c>
      <c r="Y30" s="5" t="s">
        <v>290</v>
      </c>
    </row>
    <row r="31" spans="1:25" ht="15" customHeight="1" x14ac:dyDescent="0.25">
      <c r="A31" s="7" t="s">
        <v>296</v>
      </c>
      <c r="B31" s="8" t="s">
        <v>297</v>
      </c>
      <c r="C31" s="7" t="s">
        <v>259</v>
      </c>
      <c r="D31" s="8" t="s">
        <v>260</v>
      </c>
      <c r="E31" s="8" t="s">
        <v>106</v>
      </c>
      <c r="F31" s="7" t="s">
        <v>109</v>
      </c>
      <c r="G31" s="7" t="s">
        <v>112</v>
      </c>
      <c r="H31" s="46" t="s">
        <v>84</v>
      </c>
      <c r="I31" s="46" t="s">
        <v>84</v>
      </c>
      <c r="J31" s="46" t="s">
        <v>432</v>
      </c>
      <c r="K31" s="46" t="s">
        <v>432</v>
      </c>
      <c r="L31" s="46">
        <v>2.81</v>
      </c>
      <c r="M31" s="11" t="s">
        <v>108</v>
      </c>
      <c r="N31" s="46" t="s">
        <v>114</v>
      </c>
      <c r="O31" s="46" t="s">
        <v>113</v>
      </c>
      <c r="P31" s="46" t="s">
        <v>113</v>
      </c>
      <c r="Q31" s="46">
        <v>35000</v>
      </c>
      <c r="R31" s="47" t="s">
        <v>55</v>
      </c>
      <c r="S31" s="46" t="s">
        <v>112</v>
      </c>
      <c r="T31" s="47" t="s">
        <v>55</v>
      </c>
      <c r="U31" s="48" t="s">
        <v>55</v>
      </c>
      <c r="V31" s="7" t="s">
        <v>115</v>
      </c>
      <c r="W31" s="7"/>
      <c r="X31" s="8"/>
      <c r="Y31" s="7" t="s">
        <v>111</v>
      </c>
    </row>
    <row r="32" spans="1:25" ht="15" customHeight="1" x14ac:dyDescent="0.25">
      <c r="A32" s="13" t="s">
        <v>306</v>
      </c>
      <c r="B32" s="14" t="s">
        <v>307</v>
      </c>
      <c r="C32" s="13" t="s">
        <v>259</v>
      </c>
      <c r="D32" s="14" t="s">
        <v>289</v>
      </c>
      <c r="E32" s="14" t="s">
        <v>193</v>
      </c>
      <c r="F32" s="13" t="s">
        <v>67</v>
      </c>
      <c r="G32" s="13" t="s">
        <v>70</v>
      </c>
      <c r="H32" s="5" t="s">
        <v>1155</v>
      </c>
      <c r="I32" s="5" t="s">
        <v>1155</v>
      </c>
      <c r="J32" s="46" t="s">
        <v>84</v>
      </c>
      <c r="K32" s="46" t="s">
        <v>432</v>
      </c>
      <c r="L32" s="46">
        <v>3.65</v>
      </c>
      <c r="M32" s="5" t="s">
        <v>53</v>
      </c>
      <c r="N32" s="46" t="s">
        <v>54</v>
      </c>
      <c r="O32" s="5" t="s">
        <v>52</v>
      </c>
      <c r="P32" s="5" t="s">
        <v>52</v>
      </c>
      <c r="Q32" s="46">
        <v>0</v>
      </c>
      <c r="R32" s="47" t="s">
        <v>55</v>
      </c>
      <c r="S32" s="46" t="s">
        <v>70</v>
      </c>
      <c r="T32" s="47" t="s">
        <v>55</v>
      </c>
      <c r="U32" s="48" t="s">
        <v>55</v>
      </c>
      <c r="V32" s="13" t="s">
        <v>84</v>
      </c>
      <c r="W32" s="13"/>
      <c r="X32" s="14"/>
      <c r="Y32" s="13" t="s">
        <v>261</v>
      </c>
    </row>
    <row r="33" spans="1:25" ht="15" customHeight="1" x14ac:dyDescent="0.25">
      <c r="A33" s="13" t="s">
        <v>315</v>
      </c>
      <c r="B33" s="14" t="s">
        <v>316</v>
      </c>
      <c r="C33" s="13" t="s">
        <v>259</v>
      </c>
      <c r="D33" s="14" t="s">
        <v>276</v>
      </c>
      <c r="E33" s="14" t="s">
        <v>65</v>
      </c>
      <c r="F33" s="13" t="s">
        <v>109</v>
      </c>
      <c r="G33" s="13" t="s">
        <v>112</v>
      </c>
      <c r="H33" s="46" t="s">
        <v>84</v>
      </c>
      <c r="I33" s="46" t="s">
        <v>84</v>
      </c>
      <c r="J33" s="46" t="s">
        <v>432</v>
      </c>
      <c r="K33" s="46" t="s">
        <v>432</v>
      </c>
      <c r="L33" s="46">
        <v>3.22</v>
      </c>
      <c r="M33" s="5" t="s">
        <v>53</v>
      </c>
      <c r="N33" s="46" t="s">
        <v>54</v>
      </c>
      <c r="O33" s="5" t="s">
        <v>52</v>
      </c>
      <c r="P33" s="5" t="s">
        <v>52</v>
      </c>
      <c r="Q33" s="46">
        <v>0</v>
      </c>
      <c r="R33" s="47" t="s">
        <v>55</v>
      </c>
      <c r="S33" s="46" t="s">
        <v>112</v>
      </c>
      <c r="T33" s="47" t="s">
        <v>55</v>
      </c>
      <c r="U33" s="48" t="s">
        <v>55</v>
      </c>
      <c r="V33" s="13" t="s">
        <v>56</v>
      </c>
      <c r="W33" s="13"/>
      <c r="X33" s="14"/>
      <c r="Y33" s="13" t="s">
        <v>277</v>
      </c>
    </row>
    <row r="34" spans="1:25" ht="15" customHeight="1" x14ac:dyDescent="0.25">
      <c r="A34" s="15" t="s">
        <v>324</v>
      </c>
      <c r="B34" s="16" t="s">
        <v>325</v>
      </c>
      <c r="C34" s="15" t="s">
        <v>259</v>
      </c>
      <c r="D34" s="16" t="s">
        <v>329</v>
      </c>
      <c r="E34" s="16" t="s">
        <v>106</v>
      </c>
      <c r="F34" s="15" t="s">
        <v>330</v>
      </c>
      <c r="G34" s="15" t="s">
        <v>332</v>
      </c>
      <c r="H34" s="5" t="s">
        <v>1155</v>
      </c>
      <c r="I34" s="5" t="s">
        <v>1155</v>
      </c>
      <c r="J34" s="5" t="s">
        <v>1155</v>
      </c>
      <c r="K34" s="5" t="s">
        <v>1155</v>
      </c>
      <c r="L34" s="46">
        <v>3.82</v>
      </c>
      <c r="M34" s="5" t="s">
        <v>53</v>
      </c>
      <c r="N34" s="46" t="s">
        <v>54</v>
      </c>
      <c r="O34" s="5" t="s">
        <v>52</v>
      </c>
      <c r="P34" s="5" t="s">
        <v>52</v>
      </c>
      <c r="Q34" s="46">
        <v>0</v>
      </c>
      <c r="R34" s="46" t="s">
        <v>334</v>
      </c>
      <c r="S34" s="46" t="s">
        <v>334</v>
      </c>
      <c r="T34" s="46" t="s">
        <v>84</v>
      </c>
      <c r="U34" s="49" t="s">
        <v>56</v>
      </c>
      <c r="V34" s="15" t="s">
        <v>56</v>
      </c>
      <c r="W34" s="15"/>
      <c r="X34" s="16"/>
      <c r="Y34" s="15" t="s">
        <v>331</v>
      </c>
    </row>
    <row r="35" spans="1:25" ht="15" customHeight="1" x14ac:dyDescent="0.25">
      <c r="A35" s="15" t="s">
        <v>341</v>
      </c>
      <c r="B35" s="16" t="s">
        <v>342</v>
      </c>
      <c r="C35" s="15" t="s">
        <v>259</v>
      </c>
      <c r="D35" s="16" t="s">
        <v>329</v>
      </c>
      <c r="E35" s="16" t="s">
        <v>43</v>
      </c>
      <c r="F35" s="15" t="s">
        <v>67</v>
      </c>
      <c r="G35" s="15" t="s">
        <v>348</v>
      </c>
      <c r="H35" s="5" t="s">
        <v>1155</v>
      </c>
      <c r="I35" s="5" t="s">
        <v>1155</v>
      </c>
      <c r="J35" s="5" t="s">
        <v>1155</v>
      </c>
      <c r="K35" s="46" t="s">
        <v>84</v>
      </c>
      <c r="L35" s="46">
        <v>3.61</v>
      </c>
      <c r="M35" s="5" t="s">
        <v>53</v>
      </c>
      <c r="N35" s="46" t="s">
        <v>54</v>
      </c>
      <c r="O35" s="5" t="s">
        <v>52</v>
      </c>
      <c r="P35" s="5" t="s">
        <v>52</v>
      </c>
      <c r="Q35" s="46">
        <v>0</v>
      </c>
      <c r="R35" s="46" t="s">
        <v>350</v>
      </c>
      <c r="S35" s="46" t="s">
        <v>350</v>
      </c>
      <c r="T35" s="46" t="s">
        <v>56</v>
      </c>
      <c r="U35" s="49" t="s">
        <v>56</v>
      </c>
      <c r="V35" s="15" t="s">
        <v>56</v>
      </c>
      <c r="W35" s="15"/>
      <c r="X35" s="16"/>
      <c r="Y35" s="15" t="s">
        <v>347</v>
      </c>
    </row>
    <row r="36" spans="1:25" ht="15" customHeight="1" x14ac:dyDescent="0.25">
      <c r="A36" s="15" t="s">
        <v>357</v>
      </c>
      <c r="B36" s="16" t="s">
        <v>358</v>
      </c>
      <c r="C36" s="15" t="s">
        <v>259</v>
      </c>
      <c r="D36" s="16" t="s">
        <v>362</v>
      </c>
      <c r="E36" s="16" t="s">
        <v>123</v>
      </c>
      <c r="F36" s="15" t="s">
        <v>330</v>
      </c>
      <c r="G36" s="15" t="s">
        <v>332</v>
      </c>
      <c r="H36" s="5" t="s">
        <v>1155</v>
      </c>
      <c r="I36" s="5" t="s">
        <v>1155</v>
      </c>
      <c r="J36" s="5" t="s">
        <v>1155</v>
      </c>
      <c r="K36" s="5" t="s">
        <v>1155</v>
      </c>
      <c r="L36" s="46">
        <v>3.48</v>
      </c>
      <c r="M36" s="5" t="s">
        <v>53</v>
      </c>
      <c r="N36" s="46" t="s">
        <v>54</v>
      </c>
      <c r="O36" s="5" t="s">
        <v>52</v>
      </c>
      <c r="P36" s="5" t="s">
        <v>52</v>
      </c>
      <c r="Q36" s="46">
        <v>0</v>
      </c>
      <c r="R36" s="46" t="s">
        <v>334</v>
      </c>
      <c r="S36" s="46" t="s">
        <v>334</v>
      </c>
      <c r="T36" s="46" t="s">
        <v>84</v>
      </c>
      <c r="U36" s="49" t="s">
        <v>56</v>
      </c>
      <c r="V36" s="15" t="s">
        <v>56</v>
      </c>
      <c r="W36" s="15"/>
      <c r="X36" s="16"/>
      <c r="Y36" s="15" t="s">
        <v>331</v>
      </c>
    </row>
    <row r="37" spans="1:25" ht="15" customHeight="1" x14ac:dyDescent="0.25">
      <c r="A37" s="9" t="s">
        <v>370</v>
      </c>
      <c r="B37" s="10" t="s">
        <v>371</v>
      </c>
      <c r="C37" s="9" t="s">
        <v>259</v>
      </c>
      <c r="D37" s="10" t="s">
        <v>329</v>
      </c>
      <c r="E37" s="10" t="s">
        <v>77</v>
      </c>
      <c r="F37" s="9" t="s">
        <v>67</v>
      </c>
      <c r="G37" s="9" t="s">
        <v>348</v>
      </c>
      <c r="H37" s="5" t="s">
        <v>1155</v>
      </c>
      <c r="I37" s="5" t="s">
        <v>1155</v>
      </c>
      <c r="J37" s="5" t="s">
        <v>1155</v>
      </c>
      <c r="K37" s="46" t="s">
        <v>84</v>
      </c>
      <c r="L37" s="46">
        <v>3.31</v>
      </c>
      <c r="M37" s="5" t="s">
        <v>53</v>
      </c>
      <c r="N37" s="46" t="s">
        <v>54</v>
      </c>
      <c r="O37" s="47" t="s">
        <v>149</v>
      </c>
      <c r="P37" s="47" t="s">
        <v>149</v>
      </c>
      <c r="Q37" s="46">
        <v>0</v>
      </c>
      <c r="R37" s="5" t="s">
        <v>378</v>
      </c>
      <c r="S37" s="5" t="s">
        <v>378</v>
      </c>
      <c r="T37" s="46" t="s">
        <v>56</v>
      </c>
      <c r="U37" s="49" t="s">
        <v>56</v>
      </c>
      <c r="V37" s="9" t="s">
        <v>56</v>
      </c>
      <c r="W37" s="9"/>
      <c r="X37" s="10"/>
      <c r="Y37" s="9" t="s">
        <v>376</v>
      </c>
    </row>
    <row r="38" spans="1:25" ht="15" customHeight="1" x14ac:dyDescent="0.25">
      <c r="A38" s="5" t="s">
        <v>385</v>
      </c>
      <c r="B38" s="6" t="s">
        <v>386</v>
      </c>
      <c r="C38" s="5" t="s">
        <v>259</v>
      </c>
      <c r="D38" s="6" t="s">
        <v>329</v>
      </c>
      <c r="E38" s="6" t="s">
        <v>91</v>
      </c>
      <c r="F38" s="5" t="s">
        <v>80</v>
      </c>
      <c r="G38" s="5" t="s">
        <v>96</v>
      </c>
      <c r="H38" s="5" t="s">
        <v>1155</v>
      </c>
      <c r="I38" s="5" t="s">
        <v>1155</v>
      </c>
      <c r="J38" s="5" t="s">
        <v>1155</v>
      </c>
      <c r="K38" s="5" t="s">
        <v>1155</v>
      </c>
      <c r="L38" s="46">
        <v>3.91</v>
      </c>
      <c r="M38" s="5" t="s">
        <v>97</v>
      </c>
      <c r="N38" s="46" t="s">
        <v>291</v>
      </c>
      <c r="O38" s="5" t="s">
        <v>52</v>
      </c>
      <c r="P38" s="5" t="s">
        <v>97</v>
      </c>
      <c r="Q38" s="46">
        <v>0</v>
      </c>
      <c r="R38" s="5" t="s">
        <v>393</v>
      </c>
      <c r="S38" s="5" t="s">
        <v>393</v>
      </c>
      <c r="T38" s="46" t="s">
        <v>1162</v>
      </c>
      <c r="U38" s="6" t="s">
        <v>1163</v>
      </c>
      <c r="V38" s="5" t="s">
        <v>98</v>
      </c>
      <c r="W38" s="5" t="s">
        <v>291</v>
      </c>
      <c r="X38" s="6" t="s">
        <v>99</v>
      </c>
      <c r="Y38" s="5" t="s">
        <v>391</v>
      </c>
    </row>
    <row r="39" spans="1:25" ht="15" customHeight="1" x14ac:dyDescent="0.25">
      <c r="A39" s="15" t="s">
        <v>399</v>
      </c>
      <c r="B39" s="16" t="s">
        <v>400</v>
      </c>
      <c r="C39" s="15" t="s">
        <v>259</v>
      </c>
      <c r="D39" s="16" t="s">
        <v>329</v>
      </c>
      <c r="E39" s="16" t="s">
        <v>43</v>
      </c>
      <c r="F39" s="15" t="s">
        <v>109</v>
      </c>
      <c r="G39" s="15" t="s">
        <v>405</v>
      </c>
      <c r="H39" s="5" t="s">
        <v>1155</v>
      </c>
      <c r="I39" s="46" t="s">
        <v>84</v>
      </c>
      <c r="J39" s="46" t="s">
        <v>432</v>
      </c>
      <c r="K39" s="46" t="s">
        <v>432</v>
      </c>
      <c r="L39" s="46">
        <v>3.52</v>
      </c>
      <c r="M39" s="5" t="s">
        <v>53</v>
      </c>
      <c r="N39" s="46" t="s">
        <v>54</v>
      </c>
      <c r="O39" s="5" t="s">
        <v>52</v>
      </c>
      <c r="P39" s="5" t="s">
        <v>52</v>
      </c>
      <c r="Q39" s="46">
        <v>0</v>
      </c>
      <c r="R39" s="46" t="s">
        <v>407</v>
      </c>
      <c r="S39" s="46" t="s">
        <v>407</v>
      </c>
      <c r="T39" s="46" t="s">
        <v>1162</v>
      </c>
      <c r="U39" s="49" t="s">
        <v>56</v>
      </c>
      <c r="V39" s="15" t="s">
        <v>56</v>
      </c>
      <c r="W39" s="15"/>
      <c r="X39" s="16"/>
      <c r="Y39" s="15" t="s">
        <v>404</v>
      </c>
    </row>
    <row r="40" spans="1:25" x14ac:dyDescent="0.25">
      <c r="A40" t="s">
        <v>412</v>
      </c>
      <c r="B40" t="s">
        <v>413</v>
      </c>
      <c r="C40" t="s">
        <v>259</v>
      </c>
      <c r="D40" t="s">
        <v>417</v>
      </c>
      <c r="E40" t="s">
        <v>43</v>
      </c>
      <c r="F40" s="74">
        <v>45175</v>
      </c>
      <c r="G40" t="s">
        <v>332</v>
      </c>
      <c r="H40" t="s">
        <v>1164</v>
      </c>
      <c r="I40" t="s">
        <v>1164</v>
      </c>
      <c r="J40" t="s">
        <v>1164</v>
      </c>
      <c r="K40" t="s">
        <v>84</v>
      </c>
      <c r="L40">
        <v>3.88</v>
      </c>
      <c r="M40" t="s">
        <v>53</v>
      </c>
      <c r="N40" s="74">
        <v>45306</v>
      </c>
      <c r="O40" t="s">
        <v>52</v>
      </c>
      <c r="P40" t="s">
        <v>52</v>
      </c>
      <c r="Q40">
        <v>0</v>
      </c>
      <c r="R40" t="s">
        <v>1165</v>
      </c>
      <c r="S40" t="s">
        <v>1166</v>
      </c>
      <c r="T40" t="s">
        <v>56</v>
      </c>
      <c r="U40" t="s">
        <v>56</v>
      </c>
      <c r="V40" t="s">
        <v>56</v>
      </c>
      <c r="Y40" t="s">
        <v>418</v>
      </c>
    </row>
    <row r="41" spans="1:25" x14ac:dyDescent="0.25">
      <c r="A41" t="s">
        <v>425</v>
      </c>
      <c r="B41" t="s">
        <v>426</v>
      </c>
      <c r="C41" t="s">
        <v>259</v>
      </c>
      <c r="D41" t="s">
        <v>417</v>
      </c>
      <c r="E41" t="s">
        <v>91</v>
      </c>
      <c r="F41" s="74">
        <v>45176</v>
      </c>
      <c r="G41" t="s">
        <v>430</v>
      </c>
      <c r="H41" t="s">
        <v>1164</v>
      </c>
      <c r="I41" t="s">
        <v>1164</v>
      </c>
      <c r="J41" t="s">
        <v>1164</v>
      </c>
      <c r="K41" t="s">
        <v>1164</v>
      </c>
      <c r="L41">
        <v>3.71</v>
      </c>
      <c r="M41" t="s">
        <v>53</v>
      </c>
      <c r="N41" s="74">
        <v>45306</v>
      </c>
      <c r="O41" t="s">
        <v>52</v>
      </c>
      <c r="P41" t="s">
        <v>52</v>
      </c>
      <c r="Q41">
        <v>0</v>
      </c>
      <c r="R41" t="s">
        <v>1165</v>
      </c>
      <c r="S41" t="s">
        <v>1167</v>
      </c>
      <c r="T41" t="s">
        <v>1168</v>
      </c>
      <c r="U41" t="s">
        <v>56</v>
      </c>
      <c r="V41" t="s">
        <v>56</v>
      </c>
      <c r="Y41" t="s">
        <v>429</v>
      </c>
    </row>
    <row r="42" spans="1:25" x14ac:dyDescent="0.25">
      <c r="A42" t="s">
        <v>438</v>
      </c>
      <c r="B42" t="s">
        <v>439</v>
      </c>
      <c r="C42" t="s">
        <v>259</v>
      </c>
      <c r="D42" t="s">
        <v>417</v>
      </c>
      <c r="E42" t="s">
        <v>65</v>
      </c>
      <c r="F42" s="74">
        <v>45173</v>
      </c>
      <c r="G42" t="s">
        <v>405</v>
      </c>
      <c r="H42" t="s">
        <v>1164</v>
      </c>
      <c r="I42" t="s">
        <v>84</v>
      </c>
      <c r="J42" t="s">
        <v>432</v>
      </c>
      <c r="K42" t="s">
        <v>432</v>
      </c>
      <c r="L42">
        <v>3.65</v>
      </c>
      <c r="M42" t="s">
        <v>53</v>
      </c>
      <c r="N42" s="74">
        <v>45306</v>
      </c>
      <c r="O42" t="s">
        <v>52</v>
      </c>
      <c r="P42" t="s">
        <v>52</v>
      </c>
      <c r="Q42">
        <v>0</v>
      </c>
      <c r="R42" t="s">
        <v>1169</v>
      </c>
      <c r="S42" t="s">
        <v>1170</v>
      </c>
      <c r="T42" t="s">
        <v>56</v>
      </c>
      <c r="U42" t="s">
        <v>56</v>
      </c>
      <c r="V42" t="s">
        <v>56</v>
      </c>
      <c r="Y42" t="s">
        <v>443</v>
      </c>
    </row>
    <row r="43" spans="1:25" x14ac:dyDescent="0.25">
      <c r="A43" t="s">
        <v>451</v>
      </c>
      <c r="B43" t="s">
        <v>452</v>
      </c>
      <c r="C43" t="s">
        <v>259</v>
      </c>
      <c r="D43" t="s">
        <v>417</v>
      </c>
      <c r="E43" t="s">
        <v>106</v>
      </c>
      <c r="F43" s="74">
        <v>45540</v>
      </c>
      <c r="G43" t="s">
        <v>348</v>
      </c>
      <c r="H43" t="s">
        <v>1164</v>
      </c>
      <c r="I43" t="s">
        <v>1164</v>
      </c>
      <c r="J43" t="s">
        <v>84</v>
      </c>
      <c r="K43" t="s">
        <v>432</v>
      </c>
      <c r="L43">
        <v>3.42</v>
      </c>
      <c r="M43" t="s">
        <v>53</v>
      </c>
      <c r="N43" s="74">
        <v>45306</v>
      </c>
      <c r="O43" t="s">
        <v>52</v>
      </c>
      <c r="P43" t="s">
        <v>52</v>
      </c>
      <c r="Q43">
        <v>0</v>
      </c>
      <c r="R43" t="s">
        <v>1171</v>
      </c>
      <c r="S43" t="s">
        <v>1172</v>
      </c>
      <c r="T43" t="s">
        <v>56</v>
      </c>
      <c r="U43" t="s">
        <v>56</v>
      </c>
      <c r="V43" t="s">
        <v>56</v>
      </c>
      <c r="Y43" t="s">
        <v>455</v>
      </c>
    </row>
  </sheetData>
  <mergeCells count="6">
    <mergeCell ref="V1:Y1"/>
    <mergeCell ref="L1:N1"/>
    <mergeCell ref="O1:Q1"/>
    <mergeCell ref="R1:U1"/>
    <mergeCell ref="A1:F1"/>
    <mergeCell ref="G1:K1"/>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77"/>
  <sheetViews>
    <sheetView showGridLines="0" zoomScaleNormal="100" workbookViewId="0"/>
  </sheetViews>
  <sheetFormatPr defaultColWidth="8.7109375" defaultRowHeight="15" x14ac:dyDescent="0.25"/>
  <cols>
    <col min="1" max="1" width="32" customWidth="1"/>
    <col min="2" max="2" width="12" customWidth="1"/>
    <col min="3" max="3" width="14" customWidth="1"/>
    <col min="4" max="4" width="60" customWidth="1"/>
    <col min="5" max="5" width="8" customWidth="1"/>
    <col min="8" max="8" width="5" customWidth="1"/>
  </cols>
  <sheetData>
    <row r="1" spans="1:8" ht="27.75" customHeight="1" x14ac:dyDescent="0.25">
      <c r="A1" s="187" t="s">
        <v>1173</v>
      </c>
      <c r="B1" s="160"/>
      <c r="C1" s="160"/>
      <c r="D1" s="160"/>
      <c r="E1" s="160"/>
      <c r="F1" s="160"/>
      <c r="G1" s="160"/>
      <c r="H1" s="160"/>
    </row>
    <row r="2" spans="1:8" ht="15.75" customHeight="1" x14ac:dyDescent="0.25">
      <c r="A2" s="180" t="s">
        <v>1174</v>
      </c>
      <c r="B2" s="160"/>
      <c r="C2" s="160"/>
      <c r="D2" s="160"/>
      <c r="E2" s="160"/>
      <c r="F2" s="160"/>
      <c r="G2" s="160"/>
      <c r="H2" s="160"/>
    </row>
    <row r="4" spans="1:8" ht="19.5" customHeight="1" x14ac:dyDescent="0.25">
      <c r="A4" s="175" t="s">
        <v>1175</v>
      </c>
      <c r="B4" s="160"/>
      <c r="C4" s="160"/>
      <c r="D4" s="160"/>
      <c r="E4" s="160"/>
      <c r="F4" s="160"/>
      <c r="G4" s="160"/>
      <c r="H4" s="160"/>
    </row>
    <row r="5" spans="1:8" ht="19.5" customHeight="1" x14ac:dyDescent="0.25">
      <c r="A5" s="50" t="s">
        <v>1115</v>
      </c>
      <c r="B5" s="51" t="s">
        <v>1176</v>
      </c>
      <c r="C5" s="50" t="s">
        <v>1177</v>
      </c>
      <c r="D5" s="51" t="s">
        <v>1178</v>
      </c>
      <c r="E5" s="50" t="s">
        <v>1179</v>
      </c>
      <c r="F5" s="51" t="s">
        <v>1180</v>
      </c>
      <c r="G5" s="50" t="s">
        <v>1181</v>
      </c>
      <c r="H5" s="51" t="s">
        <v>1182</v>
      </c>
    </row>
    <row r="6" spans="1:8" ht="19.5" customHeight="1" x14ac:dyDescent="0.25">
      <c r="A6" s="50" t="s">
        <v>1183</v>
      </c>
      <c r="B6" s="51" t="s">
        <v>1184</v>
      </c>
      <c r="C6" s="50" t="s">
        <v>1185</v>
      </c>
      <c r="D6" s="51" t="s">
        <v>1184</v>
      </c>
      <c r="E6" s="50" t="s">
        <v>1186</v>
      </c>
      <c r="F6" s="51" t="s">
        <v>1187</v>
      </c>
      <c r="G6" s="50" t="s">
        <v>1188</v>
      </c>
      <c r="H6" s="51" t="s">
        <v>1189</v>
      </c>
    </row>
    <row r="7" spans="1:8" ht="19.5" customHeight="1" x14ac:dyDescent="0.25">
      <c r="A7" s="50" t="s">
        <v>1127</v>
      </c>
      <c r="B7" s="51" t="s">
        <v>1190</v>
      </c>
      <c r="C7" s="50" t="s">
        <v>1191</v>
      </c>
      <c r="D7" s="51" t="s">
        <v>1192</v>
      </c>
      <c r="E7" s="50" t="s">
        <v>1193</v>
      </c>
      <c r="F7" s="51" t="s">
        <v>1194</v>
      </c>
      <c r="G7" s="50" t="s">
        <v>1195</v>
      </c>
      <c r="H7" s="51" t="s">
        <v>1196</v>
      </c>
    </row>
    <row r="8" spans="1:8" ht="19.5" customHeight="1" x14ac:dyDescent="0.25">
      <c r="A8" s="50" t="s">
        <v>1197</v>
      </c>
      <c r="B8" s="51" t="s">
        <v>1198</v>
      </c>
      <c r="C8" s="50" t="s">
        <v>1117</v>
      </c>
      <c r="D8" s="51" t="s">
        <v>1199</v>
      </c>
      <c r="E8" s="50" t="s">
        <v>1200</v>
      </c>
      <c r="F8" s="51" t="s">
        <v>1201</v>
      </c>
      <c r="G8" s="50" t="s">
        <v>1202</v>
      </c>
      <c r="H8" s="51" t="s">
        <v>1203</v>
      </c>
    </row>
    <row r="10" spans="1:8" ht="21.75" customHeight="1" x14ac:dyDescent="0.25">
      <c r="A10" s="183" t="s">
        <v>1204</v>
      </c>
      <c r="B10" s="160"/>
      <c r="C10" s="160"/>
      <c r="D10" s="160"/>
      <c r="E10" s="160"/>
      <c r="F10" s="160"/>
      <c r="G10" s="160"/>
      <c r="H10" s="160"/>
    </row>
    <row r="11" spans="1:8" ht="15.75" customHeight="1" x14ac:dyDescent="0.25">
      <c r="A11" s="186" t="s">
        <v>1205</v>
      </c>
      <c r="B11" s="160"/>
      <c r="C11" s="160"/>
      <c r="D11" s="160"/>
      <c r="E11" s="160"/>
      <c r="F11" s="160"/>
      <c r="G11" s="160"/>
      <c r="H11" s="160"/>
    </row>
    <row r="12" spans="1:8" ht="15.75" customHeight="1" x14ac:dyDescent="0.25">
      <c r="A12" s="52" t="s">
        <v>1206</v>
      </c>
      <c r="B12" s="52" t="s">
        <v>1207</v>
      </c>
      <c r="C12" s="52" t="s">
        <v>1208</v>
      </c>
      <c r="D12" s="52" t="s">
        <v>1209</v>
      </c>
      <c r="E12" s="52" t="s">
        <v>909</v>
      </c>
    </row>
    <row r="13" spans="1:8" ht="30" customHeight="1" x14ac:dyDescent="0.25">
      <c r="A13" s="53" t="s">
        <v>1210</v>
      </c>
      <c r="B13" s="54" t="s">
        <v>1211</v>
      </c>
      <c r="C13" s="54" t="s">
        <v>1212</v>
      </c>
      <c r="D13" s="53" t="s">
        <v>1213</v>
      </c>
      <c r="E13" s="55" t="s">
        <v>1214</v>
      </c>
    </row>
    <row r="14" spans="1:8" ht="30" customHeight="1" x14ac:dyDescent="0.25">
      <c r="A14" s="53" t="s">
        <v>1215</v>
      </c>
      <c r="B14" s="54" t="s">
        <v>1216</v>
      </c>
      <c r="C14" s="54" t="s">
        <v>1217</v>
      </c>
      <c r="D14" s="53" t="s">
        <v>1218</v>
      </c>
      <c r="E14" s="55" t="s">
        <v>1214</v>
      </c>
    </row>
    <row r="15" spans="1:8" ht="30" customHeight="1" x14ac:dyDescent="0.25">
      <c r="A15" s="53" t="s">
        <v>1219</v>
      </c>
      <c r="B15" s="54" t="s">
        <v>1216</v>
      </c>
      <c r="C15" s="54" t="s">
        <v>1220</v>
      </c>
      <c r="D15" s="53" t="s">
        <v>1221</v>
      </c>
      <c r="E15" s="56" t="s">
        <v>1222</v>
      </c>
    </row>
    <row r="16" spans="1:8" ht="30" customHeight="1" x14ac:dyDescent="0.25">
      <c r="A16" s="53" t="s">
        <v>1223</v>
      </c>
      <c r="B16" s="54" t="s">
        <v>1224</v>
      </c>
      <c r="C16" s="54" t="s">
        <v>1225</v>
      </c>
      <c r="D16" s="53" t="s">
        <v>1226</v>
      </c>
      <c r="E16" s="55" t="s">
        <v>1214</v>
      </c>
    </row>
    <row r="17" spans="1:8" ht="18" customHeight="1" x14ac:dyDescent="0.25">
      <c r="A17" s="57" t="s">
        <v>1227</v>
      </c>
      <c r="B17" s="58" t="s">
        <v>946</v>
      </c>
      <c r="C17" s="59" t="s">
        <v>1228</v>
      </c>
      <c r="D17" s="60" t="s">
        <v>1229</v>
      </c>
      <c r="E17" s="61"/>
    </row>
    <row r="19" spans="1:8" ht="21.75" customHeight="1" x14ac:dyDescent="0.25">
      <c r="A19" s="185" t="s">
        <v>1230</v>
      </c>
      <c r="B19" s="160"/>
      <c r="C19" s="160"/>
      <c r="D19" s="160"/>
      <c r="E19" s="160"/>
      <c r="F19" s="160"/>
      <c r="G19" s="160"/>
      <c r="H19" s="160"/>
    </row>
    <row r="20" spans="1:8" ht="15.75" customHeight="1" x14ac:dyDescent="0.25">
      <c r="A20" s="179" t="s">
        <v>1231</v>
      </c>
      <c r="B20" s="160"/>
      <c r="C20" s="160"/>
      <c r="D20" s="160"/>
      <c r="E20" s="160"/>
      <c r="F20" s="160"/>
      <c r="G20" s="160"/>
      <c r="H20" s="160"/>
    </row>
    <row r="21" spans="1:8" ht="15.75" customHeight="1" x14ac:dyDescent="0.25">
      <c r="A21" s="52" t="s">
        <v>1206</v>
      </c>
      <c r="B21" s="52" t="s">
        <v>1207</v>
      </c>
      <c r="C21" s="52" t="s">
        <v>1208</v>
      </c>
      <c r="D21" s="52" t="s">
        <v>1209</v>
      </c>
      <c r="E21" s="52" t="s">
        <v>909</v>
      </c>
    </row>
    <row r="22" spans="1:8" ht="30" customHeight="1" x14ac:dyDescent="0.25">
      <c r="A22" s="53" t="s">
        <v>1232</v>
      </c>
      <c r="B22" s="54" t="s">
        <v>1233</v>
      </c>
      <c r="C22" s="54" t="s">
        <v>1234</v>
      </c>
      <c r="D22" s="53" t="s">
        <v>1235</v>
      </c>
      <c r="E22" s="62" t="s">
        <v>1236</v>
      </c>
    </row>
    <row r="23" spans="1:8" ht="30" customHeight="1" x14ac:dyDescent="0.25">
      <c r="A23" s="53" t="s">
        <v>1237</v>
      </c>
      <c r="B23" s="54" t="s">
        <v>1238</v>
      </c>
      <c r="C23" s="54" t="s">
        <v>1239</v>
      </c>
      <c r="D23" s="53" t="s">
        <v>1240</v>
      </c>
      <c r="E23" s="56" t="s">
        <v>1222</v>
      </c>
    </row>
    <row r="24" spans="1:8" ht="30" customHeight="1" x14ac:dyDescent="0.25">
      <c r="A24" s="53" t="s">
        <v>1241</v>
      </c>
      <c r="B24" s="54" t="s">
        <v>1242</v>
      </c>
      <c r="C24" s="54" t="s">
        <v>1243</v>
      </c>
      <c r="D24" s="53" t="s">
        <v>1244</v>
      </c>
      <c r="E24" s="56" t="s">
        <v>1222</v>
      </c>
    </row>
    <row r="25" spans="1:8" ht="30" customHeight="1" x14ac:dyDescent="0.25">
      <c r="A25" s="53" t="s">
        <v>1245</v>
      </c>
      <c r="B25" s="54" t="s">
        <v>1246</v>
      </c>
      <c r="C25" s="54" t="s">
        <v>1247</v>
      </c>
      <c r="D25" s="53" t="s">
        <v>1248</v>
      </c>
      <c r="E25" s="62" t="s">
        <v>1236</v>
      </c>
    </row>
    <row r="26" spans="1:8" ht="30" customHeight="1" x14ac:dyDescent="0.25">
      <c r="A26" s="53" t="s">
        <v>1249</v>
      </c>
      <c r="B26" s="54" t="s">
        <v>1250</v>
      </c>
      <c r="C26" s="54" t="s">
        <v>1243</v>
      </c>
      <c r="D26" s="53" t="s">
        <v>1251</v>
      </c>
      <c r="E26" s="56" t="s">
        <v>1222</v>
      </c>
    </row>
    <row r="27" spans="1:8" ht="18" customHeight="1" x14ac:dyDescent="0.25">
      <c r="A27" s="63" t="s">
        <v>1227</v>
      </c>
      <c r="B27" s="58" t="s">
        <v>946</v>
      </c>
      <c r="C27" s="64" t="s">
        <v>1252</v>
      </c>
      <c r="D27" s="60" t="s">
        <v>1229</v>
      </c>
      <c r="E27" s="61"/>
    </row>
    <row r="29" spans="1:8" ht="21.75" customHeight="1" x14ac:dyDescent="0.25">
      <c r="A29" s="178" t="s">
        <v>1253</v>
      </c>
      <c r="B29" s="160"/>
      <c r="C29" s="160"/>
      <c r="D29" s="160"/>
      <c r="E29" s="160"/>
      <c r="F29" s="160"/>
      <c r="G29" s="160"/>
      <c r="H29" s="160"/>
    </row>
    <row r="30" spans="1:8" ht="15.75" customHeight="1" x14ac:dyDescent="0.25">
      <c r="A30" s="176" t="s">
        <v>1254</v>
      </c>
      <c r="B30" s="160"/>
      <c r="C30" s="160"/>
      <c r="D30" s="160"/>
      <c r="E30" s="160"/>
      <c r="F30" s="160"/>
      <c r="G30" s="160"/>
      <c r="H30" s="160"/>
    </row>
    <row r="31" spans="1:8" ht="15.75" customHeight="1" x14ac:dyDescent="0.25">
      <c r="A31" s="52" t="s">
        <v>1206</v>
      </c>
      <c r="B31" s="52" t="s">
        <v>1207</v>
      </c>
      <c r="C31" s="52" t="s">
        <v>1208</v>
      </c>
      <c r="D31" s="52" t="s">
        <v>1209</v>
      </c>
      <c r="E31" s="52" t="s">
        <v>909</v>
      </c>
    </row>
    <row r="32" spans="1:8" ht="30" customHeight="1" x14ac:dyDescent="0.25">
      <c r="A32" s="53" t="s">
        <v>1255</v>
      </c>
      <c r="B32" s="54" t="s">
        <v>1256</v>
      </c>
      <c r="C32" s="54" t="s">
        <v>1257</v>
      </c>
      <c r="D32" s="53" t="s">
        <v>1258</v>
      </c>
      <c r="E32" s="62" t="s">
        <v>1236</v>
      </c>
    </row>
    <row r="33" spans="1:8" ht="30" customHeight="1" x14ac:dyDescent="0.25">
      <c r="A33" s="53" t="s">
        <v>1091</v>
      </c>
      <c r="B33" s="54" t="s">
        <v>1242</v>
      </c>
      <c r="C33" s="54" t="s">
        <v>1259</v>
      </c>
      <c r="D33" s="53" t="s">
        <v>1260</v>
      </c>
      <c r="E33" s="55" t="s">
        <v>1214</v>
      </c>
    </row>
    <row r="34" spans="1:8" ht="30" customHeight="1" x14ac:dyDescent="0.25">
      <c r="A34" s="53" t="s">
        <v>1261</v>
      </c>
      <c r="B34" s="54" t="s">
        <v>1262</v>
      </c>
      <c r="C34" s="54" t="s">
        <v>1263</v>
      </c>
      <c r="D34" s="53" t="s">
        <v>1264</v>
      </c>
      <c r="E34" s="55" t="s">
        <v>1214</v>
      </c>
    </row>
    <row r="35" spans="1:8" ht="30" customHeight="1" x14ac:dyDescent="0.25">
      <c r="A35" s="53" t="s">
        <v>1245</v>
      </c>
      <c r="B35" s="54" t="s">
        <v>1265</v>
      </c>
      <c r="C35" s="54" t="s">
        <v>1266</v>
      </c>
      <c r="D35" s="53" t="s">
        <v>1267</v>
      </c>
      <c r="E35" s="62" t="s">
        <v>1236</v>
      </c>
    </row>
    <row r="36" spans="1:8" ht="30" customHeight="1" x14ac:dyDescent="0.25">
      <c r="A36" s="53" t="s">
        <v>1268</v>
      </c>
      <c r="B36" s="54" t="s">
        <v>1216</v>
      </c>
      <c r="C36" s="54" t="s">
        <v>1269</v>
      </c>
      <c r="D36" s="53" t="s">
        <v>1270</v>
      </c>
      <c r="E36" s="62" t="s">
        <v>1236</v>
      </c>
    </row>
    <row r="37" spans="1:8" ht="18" customHeight="1" x14ac:dyDescent="0.25">
      <c r="A37" s="65" t="s">
        <v>1227</v>
      </c>
      <c r="B37" s="58" t="s">
        <v>946</v>
      </c>
      <c r="C37" s="66" t="s">
        <v>1271</v>
      </c>
      <c r="D37" s="60" t="s">
        <v>1229</v>
      </c>
      <c r="E37" s="61"/>
    </row>
    <row r="39" spans="1:8" ht="21.75" customHeight="1" x14ac:dyDescent="0.25">
      <c r="A39" s="177" t="s">
        <v>1272</v>
      </c>
      <c r="B39" s="160"/>
      <c r="C39" s="160"/>
      <c r="D39" s="160"/>
      <c r="E39" s="160"/>
      <c r="F39" s="160"/>
      <c r="G39" s="160"/>
      <c r="H39" s="160"/>
    </row>
    <row r="40" spans="1:8" ht="15.75" customHeight="1" x14ac:dyDescent="0.25">
      <c r="A40" s="189" t="s">
        <v>1273</v>
      </c>
      <c r="B40" s="160"/>
      <c r="C40" s="160"/>
      <c r="D40" s="160"/>
      <c r="E40" s="160"/>
      <c r="F40" s="160"/>
      <c r="G40" s="160"/>
      <c r="H40" s="160"/>
    </row>
    <row r="41" spans="1:8" ht="15.75" customHeight="1" x14ac:dyDescent="0.25">
      <c r="A41" s="52" t="s">
        <v>1206</v>
      </c>
      <c r="B41" s="52" t="s">
        <v>1207</v>
      </c>
      <c r="C41" s="52" t="s">
        <v>1208</v>
      </c>
      <c r="D41" s="52" t="s">
        <v>1209</v>
      </c>
      <c r="E41" s="52" t="s">
        <v>909</v>
      </c>
    </row>
    <row r="42" spans="1:8" ht="30" customHeight="1" x14ac:dyDescent="0.25">
      <c r="A42" s="53" t="s">
        <v>1274</v>
      </c>
      <c r="B42" s="54" t="s">
        <v>1216</v>
      </c>
      <c r="C42" s="54" t="s">
        <v>1275</v>
      </c>
      <c r="D42" s="53" t="s">
        <v>1276</v>
      </c>
      <c r="E42" s="56" t="s">
        <v>1222</v>
      </c>
    </row>
    <row r="43" spans="1:8" ht="30" customHeight="1" x14ac:dyDescent="0.25">
      <c r="A43" s="53" t="s">
        <v>1277</v>
      </c>
      <c r="B43" s="54" t="s">
        <v>1262</v>
      </c>
      <c r="C43" s="54" t="s">
        <v>1275</v>
      </c>
      <c r="D43" s="53" t="s">
        <v>1278</v>
      </c>
      <c r="E43" s="56" t="s">
        <v>1222</v>
      </c>
    </row>
    <row r="44" spans="1:8" ht="30" customHeight="1" x14ac:dyDescent="0.25">
      <c r="A44" s="53" t="s">
        <v>1279</v>
      </c>
      <c r="B44" s="54" t="s">
        <v>1262</v>
      </c>
      <c r="C44" s="54" t="s">
        <v>1275</v>
      </c>
      <c r="D44" s="53" t="s">
        <v>1280</v>
      </c>
      <c r="E44" s="56" t="s">
        <v>1222</v>
      </c>
    </row>
    <row r="45" spans="1:8" ht="30" customHeight="1" x14ac:dyDescent="0.25">
      <c r="A45" s="53" t="s">
        <v>1281</v>
      </c>
      <c r="B45" s="54" t="s">
        <v>1262</v>
      </c>
      <c r="C45" s="54" t="s">
        <v>1275</v>
      </c>
      <c r="D45" s="53" t="s">
        <v>1282</v>
      </c>
      <c r="E45" s="56" t="s">
        <v>1222</v>
      </c>
    </row>
    <row r="46" spans="1:8" ht="30" customHeight="1" x14ac:dyDescent="0.25">
      <c r="A46" s="53" t="s">
        <v>1283</v>
      </c>
      <c r="B46" s="54" t="s">
        <v>1262</v>
      </c>
      <c r="C46" s="54" t="s">
        <v>1243</v>
      </c>
      <c r="D46" s="53" t="s">
        <v>1284</v>
      </c>
      <c r="E46" s="55" t="s">
        <v>1214</v>
      </c>
    </row>
    <row r="47" spans="1:8" ht="30" customHeight="1" x14ac:dyDescent="0.25">
      <c r="A47" s="53" t="s">
        <v>1285</v>
      </c>
      <c r="B47" s="54" t="s">
        <v>1216</v>
      </c>
      <c r="C47" s="54" t="s">
        <v>1286</v>
      </c>
      <c r="D47" s="53" t="s">
        <v>1287</v>
      </c>
      <c r="E47" s="55" t="s">
        <v>1214</v>
      </c>
    </row>
    <row r="48" spans="1:8" ht="18" customHeight="1" x14ac:dyDescent="0.25">
      <c r="A48" s="67" t="s">
        <v>1227</v>
      </c>
      <c r="B48" s="58" t="s">
        <v>946</v>
      </c>
      <c r="C48" s="68" t="s">
        <v>1243</v>
      </c>
      <c r="D48" s="60" t="s">
        <v>1229</v>
      </c>
      <c r="E48" s="61"/>
    </row>
    <row r="50" spans="1:8" ht="21.75" customHeight="1" x14ac:dyDescent="0.25">
      <c r="A50" s="174" t="s">
        <v>1288</v>
      </c>
      <c r="B50" s="160"/>
      <c r="C50" s="160"/>
      <c r="D50" s="160"/>
      <c r="E50" s="160"/>
      <c r="F50" s="160"/>
      <c r="G50" s="160"/>
      <c r="H50" s="160"/>
    </row>
    <row r="51" spans="1:8" ht="15.75" customHeight="1" x14ac:dyDescent="0.25">
      <c r="A51" s="181" t="s">
        <v>1289</v>
      </c>
      <c r="B51" s="160"/>
      <c r="C51" s="160"/>
      <c r="D51" s="160"/>
      <c r="E51" s="160"/>
      <c r="F51" s="160"/>
      <c r="G51" s="160"/>
      <c r="H51" s="160"/>
    </row>
    <row r="52" spans="1:8" ht="15.75" customHeight="1" x14ac:dyDescent="0.25">
      <c r="A52" s="52" t="s">
        <v>1206</v>
      </c>
      <c r="B52" s="52" t="s">
        <v>1207</v>
      </c>
      <c r="C52" s="52" t="s">
        <v>1208</v>
      </c>
      <c r="D52" s="52" t="s">
        <v>1209</v>
      </c>
      <c r="E52" s="52" t="s">
        <v>909</v>
      </c>
    </row>
    <row r="53" spans="1:8" ht="30" customHeight="1" x14ac:dyDescent="0.25">
      <c r="A53" s="53" t="s">
        <v>1290</v>
      </c>
      <c r="B53" s="54" t="s">
        <v>1242</v>
      </c>
      <c r="C53" s="54" t="s">
        <v>1291</v>
      </c>
      <c r="D53" s="53" t="s">
        <v>1292</v>
      </c>
      <c r="E53" s="56" t="s">
        <v>1222</v>
      </c>
    </row>
    <row r="54" spans="1:8" ht="30" customHeight="1" x14ac:dyDescent="0.25">
      <c r="A54" s="53" t="s">
        <v>1293</v>
      </c>
      <c r="B54" s="54" t="s">
        <v>1265</v>
      </c>
      <c r="C54" s="54" t="s">
        <v>1291</v>
      </c>
      <c r="D54" s="53" t="s">
        <v>1294</v>
      </c>
      <c r="E54" s="56" t="s">
        <v>1222</v>
      </c>
    </row>
    <row r="55" spans="1:8" ht="30" customHeight="1" x14ac:dyDescent="0.25">
      <c r="A55" s="53" t="s">
        <v>1295</v>
      </c>
      <c r="B55" s="54" t="s">
        <v>1216</v>
      </c>
      <c r="C55" s="54" t="s">
        <v>1296</v>
      </c>
      <c r="D55" s="53" t="s">
        <v>1297</v>
      </c>
      <c r="E55" s="62" t="s">
        <v>1236</v>
      </c>
    </row>
    <row r="56" spans="1:8" ht="30" customHeight="1" x14ac:dyDescent="0.25">
      <c r="A56" s="53" t="s">
        <v>1298</v>
      </c>
      <c r="B56" s="54" t="s">
        <v>1262</v>
      </c>
      <c r="C56" s="54" t="s">
        <v>1243</v>
      </c>
      <c r="D56" s="53" t="s">
        <v>1299</v>
      </c>
      <c r="E56" s="56" t="s">
        <v>1222</v>
      </c>
    </row>
    <row r="57" spans="1:8" ht="30" customHeight="1" x14ac:dyDescent="0.25">
      <c r="A57" s="53" t="s">
        <v>1300</v>
      </c>
      <c r="B57" s="54" t="s">
        <v>1224</v>
      </c>
      <c r="C57" s="54" t="s">
        <v>1217</v>
      </c>
      <c r="D57" s="53" t="s">
        <v>1301</v>
      </c>
      <c r="E57" s="55" t="s">
        <v>1214</v>
      </c>
    </row>
    <row r="58" spans="1:8" ht="30" customHeight="1" x14ac:dyDescent="0.25">
      <c r="A58" s="53" t="s">
        <v>1302</v>
      </c>
      <c r="B58" s="54" t="s">
        <v>1224</v>
      </c>
      <c r="C58" s="54" t="s">
        <v>1303</v>
      </c>
      <c r="D58" s="53" t="s">
        <v>1304</v>
      </c>
      <c r="E58" s="62" t="s">
        <v>1236</v>
      </c>
    </row>
    <row r="59" spans="1:8" ht="30" customHeight="1" x14ac:dyDescent="0.25">
      <c r="A59" s="53" t="s">
        <v>1305</v>
      </c>
      <c r="B59" s="54" t="s">
        <v>1224</v>
      </c>
      <c r="C59" s="54" t="s">
        <v>1212</v>
      </c>
      <c r="D59" s="53" t="s">
        <v>1306</v>
      </c>
      <c r="E59" s="55" t="s">
        <v>1214</v>
      </c>
    </row>
    <row r="60" spans="1:8" ht="30" customHeight="1" x14ac:dyDescent="0.25">
      <c r="A60" s="53" t="s">
        <v>1307</v>
      </c>
      <c r="B60" s="54" t="s">
        <v>1216</v>
      </c>
      <c r="C60" s="54" t="s">
        <v>1212</v>
      </c>
      <c r="D60" s="53" t="s">
        <v>1308</v>
      </c>
      <c r="E60" s="55" t="s">
        <v>1214</v>
      </c>
    </row>
    <row r="61" spans="1:8" ht="18" customHeight="1" x14ac:dyDescent="0.25">
      <c r="A61" s="69" t="s">
        <v>1227</v>
      </c>
      <c r="B61" s="58" t="s">
        <v>946</v>
      </c>
      <c r="C61" s="70" t="s">
        <v>1309</v>
      </c>
      <c r="D61" s="60" t="s">
        <v>1229</v>
      </c>
      <c r="E61" s="61"/>
    </row>
    <row r="63" spans="1:8" ht="21.75" customHeight="1" x14ac:dyDescent="0.25">
      <c r="A63" s="182" t="s">
        <v>1310</v>
      </c>
      <c r="B63" s="160"/>
      <c r="C63" s="160"/>
      <c r="D63" s="160"/>
      <c r="E63" s="160"/>
      <c r="F63" s="160"/>
      <c r="G63" s="160"/>
      <c r="H63" s="160"/>
    </row>
    <row r="64" spans="1:8" ht="15.75" customHeight="1" x14ac:dyDescent="0.25">
      <c r="A64" s="184" t="s">
        <v>1311</v>
      </c>
      <c r="B64" s="160"/>
      <c r="C64" s="160"/>
      <c r="D64" s="160"/>
      <c r="E64" s="160"/>
      <c r="F64" s="160"/>
      <c r="G64" s="160"/>
      <c r="H64" s="160"/>
    </row>
    <row r="65" spans="1:8" ht="15.75" customHeight="1" x14ac:dyDescent="0.25">
      <c r="A65" s="52" t="s">
        <v>1206</v>
      </c>
      <c r="B65" s="52" t="s">
        <v>1207</v>
      </c>
      <c r="C65" s="52" t="s">
        <v>1208</v>
      </c>
      <c r="D65" s="52" t="s">
        <v>1209</v>
      </c>
      <c r="E65" s="52" t="s">
        <v>909</v>
      </c>
    </row>
    <row r="66" spans="1:8" ht="30" customHeight="1" x14ac:dyDescent="0.25">
      <c r="A66" s="53" t="s">
        <v>1312</v>
      </c>
      <c r="B66" s="54" t="s">
        <v>473</v>
      </c>
      <c r="C66" s="54" t="s">
        <v>1286</v>
      </c>
      <c r="D66" s="53" t="s">
        <v>1313</v>
      </c>
      <c r="E66" s="55" t="s">
        <v>1214</v>
      </c>
    </row>
    <row r="67" spans="1:8" ht="30" customHeight="1" x14ac:dyDescent="0.25">
      <c r="A67" s="53" t="s">
        <v>1314</v>
      </c>
      <c r="B67" s="54" t="s">
        <v>473</v>
      </c>
      <c r="C67" s="54" t="s">
        <v>1315</v>
      </c>
      <c r="D67" s="53" t="s">
        <v>1316</v>
      </c>
      <c r="E67" s="56" t="s">
        <v>1222</v>
      </c>
    </row>
    <row r="68" spans="1:8" ht="30" customHeight="1" x14ac:dyDescent="0.25">
      <c r="A68" s="53" t="s">
        <v>1317</v>
      </c>
      <c r="B68" s="54" t="s">
        <v>473</v>
      </c>
      <c r="C68" s="54" t="s">
        <v>1315</v>
      </c>
      <c r="D68" s="53" t="s">
        <v>1318</v>
      </c>
      <c r="E68" s="56" t="s">
        <v>1222</v>
      </c>
    </row>
    <row r="69" spans="1:8" ht="30" customHeight="1" x14ac:dyDescent="0.25">
      <c r="A69" s="53" t="s">
        <v>1319</v>
      </c>
      <c r="B69" s="54" t="s">
        <v>473</v>
      </c>
      <c r="C69" s="54" t="s">
        <v>1291</v>
      </c>
      <c r="D69" s="53" t="s">
        <v>1320</v>
      </c>
      <c r="E69" s="55" t="s">
        <v>1214</v>
      </c>
    </row>
    <row r="70" spans="1:8" ht="30" customHeight="1" x14ac:dyDescent="0.25">
      <c r="A70" s="53" t="s">
        <v>1321</v>
      </c>
      <c r="B70" s="54" t="s">
        <v>1322</v>
      </c>
      <c r="C70" s="54" t="s">
        <v>1323</v>
      </c>
      <c r="D70" s="53" t="s">
        <v>1324</v>
      </c>
      <c r="E70" s="55" t="s">
        <v>1214</v>
      </c>
    </row>
    <row r="71" spans="1:8" ht="30" customHeight="1" x14ac:dyDescent="0.25">
      <c r="A71" s="53" t="s">
        <v>1325</v>
      </c>
      <c r="B71" s="54" t="s">
        <v>1322</v>
      </c>
      <c r="C71" s="54" t="s">
        <v>1291</v>
      </c>
      <c r="D71" s="53" t="s">
        <v>1326</v>
      </c>
      <c r="E71" s="56" t="s">
        <v>1222</v>
      </c>
    </row>
    <row r="72" spans="1:8" ht="18" customHeight="1" x14ac:dyDescent="0.25">
      <c r="A72" s="71" t="s">
        <v>1227</v>
      </c>
      <c r="B72" s="58" t="s">
        <v>946</v>
      </c>
      <c r="C72" s="72" t="s">
        <v>1286</v>
      </c>
      <c r="D72" s="60" t="s">
        <v>1229</v>
      </c>
      <c r="E72" s="61"/>
    </row>
    <row r="74" spans="1:8" ht="18" customHeight="1" x14ac:dyDescent="0.25">
      <c r="A74" s="175" t="s">
        <v>1327</v>
      </c>
      <c r="B74" s="160"/>
      <c r="C74" s="160"/>
      <c r="D74" s="160"/>
      <c r="E74" s="160"/>
      <c r="F74" s="160"/>
      <c r="G74" s="160"/>
      <c r="H74" s="160"/>
    </row>
    <row r="75" spans="1:8" ht="19.5" customHeight="1" x14ac:dyDescent="0.25">
      <c r="A75" s="188" t="s">
        <v>1328</v>
      </c>
      <c r="B75" s="160"/>
      <c r="C75" s="160"/>
      <c r="D75" s="160"/>
      <c r="E75" s="160"/>
      <c r="F75" s="160"/>
      <c r="G75" s="160"/>
      <c r="H75" s="160"/>
    </row>
    <row r="76" spans="1:8" ht="19.5" customHeight="1" x14ac:dyDescent="0.25">
      <c r="A76" s="160"/>
      <c r="B76" s="160"/>
      <c r="C76" s="160"/>
      <c r="D76" s="160"/>
      <c r="E76" s="160"/>
      <c r="F76" s="160"/>
      <c r="G76" s="160"/>
      <c r="H76" s="160"/>
    </row>
    <row r="77" spans="1:8" ht="19.5" customHeight="1" x14ac:dyDescent="0.25">
      <c r="A77" s="160"/>
      <c r="B77" s="160"/>
      <c r="C77" s="160"/>
      <c r="D77" s="160"/>
      <c r="E77" s="160"/>
      <c r="F77" s="160"/>
      <c r="G77" s="160"/>
      <c r="H77" s="160"/>
    </row>
  </sheetData>
  <mergeCells count="17">
    <mergeCell ref="A1:H1"/>
    <mergeCell ref="A75:H77"/>
    <mergeCell ref="A74:H74"/>
    <mergeCell ref="A40:H40"/>
    <mergeCell ref="A2:H2"/>
    <mergeCell ref="A51:H51"/>
    <mergeCell ref="A63:H63"/>
    <mergeCell ref="A10:H10"/>
    <mergeCell ref="A64:H64"/>
    <mergeCell ref="A19:H19"/>
    <mergeCell ref="A11:H11"/>
    <mergeCell ref="A50:H50"/>
    <mergeCell ref="A4:H4"/>
    <mergeCell ref="A30:H30"/>
    <mergeCell ref="A39:H39"/>
    <mergeCell ref="A29:H29"/>
    <mergeCell ref="A20:H20"/>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W20"/>
  <sheetViews>
    <sheetView workbookViewId="0">
      <pane xSplit="2" ySplit="4" topLeftCell="C5" activePane="bottomRight" state="frozen"/>
      <selection pane="topRight"/>
      <selection pane="bottomLeft"/>
      <selection pane="bottomRight"/>
    </sheetView>
  </sheetViews>
  <sheetFormatPr defaultRowHeight="15" x14ac:dyDescent="0.25"/>
  <cols>
    <col min="1" max="1" width="18" customWidth="1"/>
    <col min="2" max="2" width="20" customWidth="1"/>
    <col min="3" max="3" width="18" customWidth="1"/>
    <col min="4" max="4" width="22" customWidth="1"/>
    <col min="5" max="6" width="28" customWidth="1"/>
    <col min="7" max="7" width="50" customWidth="1"/>
    <col min="8" max="8" width="40" customWidth="1"/>
    <col min="9" max="9" width="14" customWidth="1"/>
    <col min="10" max="10" width="35" customWidth="1"/>
    <col min="11" max="11" width="32" customWidth="1"/>
    <col min="12" max="12" width="20" customWidth="1"/>
    <col min="13" max="15" width="22" customWidth="1"/>
    <col min="16" max="17" width="20" customWidth="1"/>
    <col min="18" max="18" width="22" customWidth="1"/>
    <col min="19" max="19" width="16" customWidth="1"/>
    <col min="20" max="20" width="18" customWidth="1"/>
    <col min="21" max="21" width="42" customWidth="1"/>
    <col min="22" max="22" width="16" customWidth="1"/>
    <col min="23" max="23" width="52" customWidth="1"/>
  </cols>
  <sheetData>
    <row r="1" spans="1:23" ht="26.1" customHeight="1" x14ac:dyDescent="0.25">
      <c r="A1" s="191" t="s">
        <v>1329</v>
      </c>
      <c r="B1" s="160"/>
      <c r="C1" s="160"/>
      <c r="D1" s="160"/>
      <c r="E1" s="160"/>
      <c r="F1" s="160"/>
      <c r="G1" s="160"/>
      <c r="H1" s="160"/>
      <c r="I1" s="160"/>
      <c r="J1" s="160"/>
      <c r="K1" s="160"/>
      <c r="L1" s="160"/>
      <c r="M1" s="160"/>
      <c r="N1" s="160"/>
      <c r="O1" s="160"/>
      <c r="P1" s="160"/>
      <c r="Q1" s="160"/>
      <c r="R1" s="160"/>
      <c r="S1" s="160"/>
      <c r="T1" s="160"/>
      <c r="U1" s="160"/>
      <c r="V1" s="160"/>
      <c r="W1" s="160"/>
    </row>
    <row r="2" spans="1:23" ht="18" customHeight="1" x14ac:dyDescent="0.25">
      <c r="A2" s="190" t="s">
        <v>1330</v>
      </c>
      <c r="B2" s="160"/>
      <c r="C2" s="160"/>
      <c r="D2" s="160"/>
      <c r="E2" s="160"/>
      <c r="F2" s="160"/>
      <c r="G2" s="160"/>
      <c r="H2" s="160"/>
      <c r="I2" s="160"/>
      <c r="J2" s="160"/>
      <c r="K2" s="160"/>
      <c r="L2" s="160"/>
      <c r="M2" s="160"/>
      <c r="N2" s="160"/>
      <c r="O2" s="160"/>
      <c r="P2" s="160"/>
      <c r="Q2" s="160"/>
      <c r="R2" s="160"/>
      <c r="S2" s="160"/>
      <c r="T2" s="160"/>
      <c r="U2" s="160"/>
      <c r="V2" s="160"/>
      <c r="W2" s="160"/>
    </row>
    <row r="3" spans="1:23" ht="6" customHeight="1" x14ac:dyDescent="0.25"/>
    <row r="4" spans="1:23" ht="36" customHeight="1" x14ac:dyDescent="0.25">
      <c r="A4" s="75" t="s">
        <v>846</v>
      </c>
      <c r="B4" s="75" t="s">
        <v>847</v>
      </c>
      <c r="C4" s="75" t="s">
        <v>17</v>
      </c>
      <c r="D4" s="75" t="s">
        <v>849</v>
      </c>
      <c r="E4" s="75" t="s">
        <v>1331</v>
      </c>
      <c r="F4" s="75" t="s">
        <v>29</v>
      </c>
      <c r="G4" s="75" t="s">
        <v>1332</v>
      </c>
      <c r="H4" s="75" t="s">
        <v>1333</v>
      </c>
      <c r="I4" s="75" t="s">
        <v>1334</v>
      </c>
      <c r="J4" s="75" t="s">
        <v>1335</v>
      </c>
      <c r="K4" s="75" t="s">
        <v>1336</v>
      </c>
      <c r="L4" s="75" t="s">
        <v>1337</v>
      </c>
      <c r="M4" s="75" t="s">
        <v>1338</v>
      </c>
      <c r="N4" s="75" t="s">
        <v>1339</v>
      </c>
      <c r="O4" s="75" t="s">
        <v>1340</v>
      </c>
      <c r="P4" s="75" t="s">
        <v>1341</v>
      </c>
      <c r="Q4" s="75" t="s">
        <v>1342</v>
      </c>
      <c r="R4" s="75" t="s">
        <v>1343</v>
      </c>
      <c r="S4" s="75" t="s">
        <v>1344</v>
      </c>
      <c r="T4" s="75" t="s">
        <v>1345</v>
      </c>
      <c r="U4" s="75" t="s">
        <v>34</v>
      </c>
      <c r="V4" s="75" t="s">
        <v>1346</v>
      </c>
      <c r="W4" s="75" t="s">
        <v>1347</v>
      </c>
    </row>
    <row r="5" spans="1:23" ht="42" customHeight="1" x14ac:dyDescent="0.25">
      <c r="A5" s="76" t="s">
        <v>251</v>
      </c>
      <c r="B5" s="77" t="s">
        <v>252</v>
      </c>
      <c r="C5" s="77" t="s">
        <v>260</v>
      </c>
      <c r="D5" s="77" t="s">
        <v>43</v>
      </c>
      <c r="E5" s="77" t="s">
        <v>262</v>
      </c>
      <c r="F5" s="77" t="s">
        <v>263</v>
      </c>
      <c r="G5" s="77" t="s">
        <v>1348</v>
      </c>
      <c r="H5" s="77" t="s">
        <v>264</v>
      </c>
      <c r="I5" s="76" t="s">
        <v>45</v>
      </c>
      <c r="J5" s="76" t="s">
        <v>1349</v>
      </c>
      <c r="K5" s="76" t="s">
        <v>261</v>
      </c>
      <c r="L5" s="77" t="s">
        <v>1164</v>
      </c>
      <c r="M5" s="77" t="s">
        <v>1164</v>
      </c>
      <c r="N5" s="77" t="s">
        <v>1164</v>
      </c>
      <c r="O5" s="77" t="s">
        <v>1164</v>
      </c>
      <c r="P5" s="77" t="s">
        <v>84</v>
      </c>
      <c r="Q5" s="77" t="s">
        <v>432</v>
      </c>
      <c r="R5" s="77" t="s">
        <v>1350</v>
      </c>
      <c r="S5" s="76">
        <v>80</v>
      </c>
      <c r="T5" s="78">
        <v>45473</v>
      </c>
      <c r="U5" s="77" t="s">
        <v>267</v>
      </c>
      <c r="V5" s="78">
        <v>45366</v>
      </c>
      <c r="W5" s="77" t="s">
        <v>1351</v>
      </c>
    </row>
    <row r="6" spans="1:23" ht="42" customHeight="1" x14ac:dyDescent="0.25">
      <c r="A6" s="79" t="s">
        <v>268</v>
      </c>
      <c r="B6" s="80" t="s">
        <v>269</v>
      </c>
      <c r="C6" s="80" t="s">
        <v>276</v>
      </c>
      <c r="D6" s="80" t="s">
        <v>65</v>
      </c>
      <c r="E6" s="80" t="s">
        <v>278</v>
      </c>
      <c r="F6" s="80" t="s">
        <v>55</v>
      </c>
      <c r="G6" s="80" t="s">
        <v>1352</v>
      </c>
      <c r="H6" s="80" t="s">
        <v>1353</v>
      </c>
      <c r="I6" s="79" t="s">
        <v>45</v>
      </c>
      <c r="J6" s="79" t="s">
        <v>1354</v>
      </c>
      <c r="K6" s="79" t="s">
        <v>277</v>
      </c>
      <c r="L6" s="80" t="s">
        <v>1164</v>
      </c>
      <c r="M6" s="80" t="s">
        <v>84</v>
      </c>
      <c r="N6" s="80" t="s">
        <v>432</v>
      </c>
      <c r="O6" s="80" t="s">
        <v>432</v>
      </c>
      <c r="P6" s="80" t="s">
        <v>432</v>
      </c>
      <c r="Q6" s="80" t="s">
        <v>432</v>
      </c>
      <c r="R6" s="80" t="s">
        <v>1350</v>
      </c>
      <c r="S6" s="79">
        <v>30</v>
      </c>
      <c r="T6" s="81">
        <v>45838</v>
      </c>
      <c r="U6" s="80" t="s">
        <v>282</v>
      </c>
      <c r="V6" s="81">
        <v>45473</v>
      </c>
      <c r="W6" s="80" t="s">
        <v>1355</v>
      </c>
    </row>
    <row r="7" spans="1:23" ht="42" customHeight="1" x14ac:dyDescent="0.25">
      <c r="A7" s="76" t="s">
        <v>283</v>
      </c>
      <c r="B7" s="77" t="s">
        <v>284</v>
      </c>
      <c r="C7" s="77" t="s">
        <v>289</v>
      </c>
      <c r="D7" s="77" t="s">
        <v>65</v>
      </c>
      <c r="E7" s="77" t="s">
        <v>278</v>
      </c>
      <c r="F7" s="77" t="s">
        <v>55</v>
      </c>
      <c r="G7" s="77" t="s">
        <v>1356</v>
      </c>
      <c r="H7" s="77" t="s">
        <v>1357</v>
      </c>
      <c r="I7" s="76" t="s">
        <v>92</v>
      </c>
      <c r="J7" s="76" t="s">
        <v>1358</v>
      </c>
      <c r="K7" s="76" t="s">
        <v>290</v>
      </c>
      <c r="L7" s="77" t="s">
        <v>1164</v>
      </c>
      <c r="M7" s="77" t="s">
        <v>1164</v>
      </c>
      <c r="N7" s="77" t="s">
        <v>1164</v>
      </c>
      <c r="O7" s="77" t="s">
        <v>1164</v>
      </c>
      <c r="P7" s="77" t="s">
        <v>1164</v>
      </c>
      <c r="Q7" s="77" t="s">
        <v>1164</v>
      </c>
      <c r="R7" s="77" t="s">
        <v>1164</v>
      </c>
      <c r="S7" s="76">
        <v>100</v>
      </c>
      <c r="T7" s="78">
        <v>45971</v>
      </c>
      <c r="U7" s="77" t="s">
        <v>295</v>
      </c>
      <c r="V7" s="77"/>
      <c r="W7" s="77" t="s">
        <v>1359</v>
      </c>
    </row>
    <row r="8" spans="1:23" ht="42" customHeight="1" x14ac:dyDescent="0.25">
      <c r="A8" s="79" t="s">
        <v>296</v>
      </c>
      <c r="B8" s="80" t="s">
        <v>297</v>
      </c>
      <c r="C8" s="80" t="s">
        <v>260</v>
      </c>
      <c r="D8" s="80" t="s">
        <v>106</v>
      </c>
      <c r="E8" s="80" t="s">
        <v>301</v>
      </c>
      <c r="F8" s="80" t="s">
        <v>55</v>
      </c>
      <c r="G8" s="80" t="s">
        <v>1360</v>
      </c>
      <c r="H8" s="80" t="s">
        <v>1361</v>
      </c>
      <c r="I8" s="79" t="s">
        <v>108</v>
      </c>
      <c r="J8" s="79" t="s">
        <v>1362</v>
      </c>
      <c r="K8" s="79" t="s">
        <v>111</v>
      </c>
      <c r="L8" s="80" t="s">
        <v>1164</v>
      </c>
      <c r="M8" s="80" t="s">
        <v>1363</v>
      </c>
      <c r="N8" s="80" t="s">
        <v>432</v>
      </c>
      <c r="O8" s="80" t="s">
        <v>432</v>
      </c>
      <c r="P8" s="80" t="s">
        <v>432</v>
      </c>
      <c r="Q8" s="80" t="s">
        <v>432</v>
      </c>
      <c r="R8" s="80" t="s">
        <v>1350</v>
      </c>
      <c r="S8" s="79">
        <v>15</v>
      </c>
      <c r="T8" s="81">
        <v>46022</v>
      </c>
      <c r="U8" s="80" t="s">
        <v>1364</v>
      </c>
      <c r="V8" s="81">
        <v>45473</v>
      </c>
      <c r="W8" s="80" t="s">
        <v>1365</v>
      </c>
    </row>
    <row r="9" spans="1:23" ht="42" customHeight="1" x14ac:dyDescent="0.25">
      <c r="A9" s="76" t="s">
        <v>306</v>
      </c>
      <c r="B9" s="77" t="s">
        <v>307</v>
      </c>
      <c r="C9" s="77" t="s">
        <v>289</v>
      </c>
      <c r="D9" s="77" t="s">
        <v>193</v>
      </c>
      <c r="E9" s="77" t="s">
        <v>311</v>
      </c>
      <c r="F9" s="77" t="s">
        <v>312</v>
      </c>
      <c r="G9" s="77" t="s">
        <v>1366</v>
      </c>
      <c r="H9" s="77" t="s">
        <v>1367</v>
      </c>
      <c r="I9" s="76" t="s">
        <v>45</v>
      </c>
      <c r="J9" s="76" t="s">
        <v>1349</v>
      </c>
      <c r="K9" s="76" t="s">
        <v>261</v>
      </c>
      <c r="L9" s="77" t="s">
        <v>1164</v>
      </c>
      <c r="M9" s="77" t="s">
        <v>1164</v>
      </c>
      <c r="N9" s="77" t="s">
        <v>1164</v>
      </c>
      <c r="O9" s="77" t="s">
        <v>1164</v>
      </c>
      <c r="P9" s="77" t="s">
        <v>84</v>
      </c>
      <c r="Q9" s="77" t="s">
        <v>432</v>
      </c>
      <c r="R9" s="77" t="s">
        <v>1350</v>
      </c>
      <c r="S9" s="76">
        <v>78</v>
      </c>
      <c r="T9" s="78">
        <v>45473</v>
      </c>
      <c r="U9" s="77" t="s">
        <v>267</v>
      </c>
      <c r="V9" s="78">
        <v>45371</v>
      </c>
      <c r="W9" s="77" t="s">
        <v>1368</v>
      </c>
    </row>
    <row r="10" spans="1:23" ht="42" customHeight="1" x14ac:dyDescent="0.25">
      <c r="A10" s="79" t="s">
        <v>315</v>
      </c>
      <c r="B10" s="80" t="s">
        <v>316</v>
      </c>
      <c r="C10" s="80" t="s">
        <v>276</v>
      </c>
      <c r="D10" s="80" t="s">
        <v>65</v>
      </c>
      <c r="E10" s="80" t="s">
        <v>278</v>
      </c>
      <c r="F10" s="80" t="s">
        <v>55</v>
      </c>
      <c r="G10" s="80" t="s">
        <v>1352</v>
      </c>
      <c r="H10" s="80" t="s">
        <v>1369</v>
      </c>
      <c r="I10" s="79" t="s">
        <v>45</v>
      </c>
      <c r="J10" s="79" t="s">
        <v>1354</v>
      </c>
      <c r="K10" s="79" t="s">
        <v>277</v>
      </c>
      <c r="L10" s="80" t="s">
        <v>1164</v>
      </c>
      <c r="M10" s="80" t="s">
        <v>84</v>
      </c>
      <c r="N10" s="80" t="s">
        <v>432</v>
      </c>
      <c r="O10" s="80" t="s">
        <v>432</v>
      </c>
      <c r="P10" s="80" t="s">
        <v>432</v>
      </c>
      <c r="Q10" s="80" t="s">
        <v>432</v>
      </c>
      <c r="R10" s="80" t="s">
        <v>1350</v>
      </c>
      <c r="S10" s="79">
        <v>28</v>
      </c>
      <c r="T10" s="81">
        <v>45838</v>
      </c>
      <c r="U10" s="80" t="s">
        <v>282</v>
      </c>
      <c r="V10" s="81">
        <v>45473</v>
      </c>
      <c r="W10" s="80" t="s">
        <v>1370</v>
      </c>
    </row>
    <row r="11" spans="1:23" ht="42" customHeight="1" x14ac:dyDescent="0.25">
      <c r="A11" s="76" t="s">
        <v>324</v>
      </c>
      <c r="B11" s="77" t="s">
        <v>325</v>
      </c>
      <c r="C11" s="77" t="s">
        <v>329</v>
      </c>
      <c r="D11" s="77" t="s">
        <v>106</v>
      </c>
      <c r="E11" s="77" t="s">
        <v>335</v>
      </c>
      <c r="F11" s="77" t="s">
        <v>336</v>
      </c>
      <c r="G11" s="77" t="s">
        <v>333</v>
      </c>
      <c r="H11" s="77" t="s">
        <v>1371</v>
      </c>
      <c r="I11" s="76" t="s">
        <v>45</v>
      </c>
      <c r="J11" s="76" t="s">
        <v>1372</v>
      </c>
      <c r="K11" s="76" t="s">
        <v>331</v>
      </c>
      <c r="L11" s="77" t="s">
        <v>1164</v>
      </c>
      <c r="M11" s="77" t="s">
        <v>1164</v>
      </c>
      <c r="N11" s="77" t="s">
        <v>1164</v>
      </c>
      <c r="O11" s="77" t="s">
        <v>1164</v>
      </c>
      <c r="P11" s="77" t="s">
        <v>1373</v>
      </c>
      <c r="Q11" s="77" t="s">
        <v>432</v>
      </c>
      <c r="R11" s="77" t="s">
        <v>432</v>
      </c>
      <c r="S11" s="76">
        <v>62</v>
      </c>
      <c r="T11" s="78">
        <v>45580</v>
      </c>
      <c r="U11" s="77" t="s">
        <v>1374</v>
      </c>
      <c r="V11" s="78">
        <v>45350</v>
      </c>
      <c r="W11" s="77" t="s">
        <v>1375</v>
      </c>
    </row>
    <row r="12" spans="1:23" ht="42" customHeight="1" x14ac:dyDescent="0.25">
      <c r="A12" s="79" t="s">
        <v>341</v>
      </c>
      <c r="B12" s="80" t="s">
        <v>342</v>
      </c>
      <c r="C12" s="80" t="s">
        <v>329</v>
      </c>
      <c r="D12" s="80" t="s">
        <v>43</v>
      </c>
      <c r="E12" s="80" t="s">
        <v>351</v>
      </c>
      <c r="F12" s="80" t="s">
        <v>352</v>
      </c>
      <c r="G12" s="80" t="s">
        <v>349</v>
      </c>
      <c r="H12" s="80" t="s">
        <v>1376</v>
      </c>
      <c r="I12" s="79" t="s">
        <v>45</v>
      </c>
      <c r="J12" s="79" t="s">
        <v>1377</v>
      </c>
      <c r="K12" s="79" t="s">
        <v>347</v>
      </c>
      <c r="L12" s="80" t="s">
        <v>1164</v>
      </c>
      <c r="M12" s="80" t="s">
        <v>1164</v>
      </c>
      <c r="N12" s="80" t="s">
        <v>1164</v>
      </c>
      <c r="O12" s="80" t="s">
        <v>1378</v>
      </c>
      <c r="P12" s="80" t="s">
        <v>56</v>
      </c>
      <c r="Q12" s="80" t="s">
        <v>56</v>
      </c>
      <c r="R12" s="80" t="s">
        <v>56</v>
      </c>
      <c r="S12" s="79">
        <v>38</v>
      </c>
      <c r="T12" s="81">
        <v>45991</v>
      </c>
      <c r="U12" s="80" t="s">
        <v>1379</v>
      </c>
      <c r="V12" s="81">
        <v>45422</v>
      </c>
      <c r="W12" s="80" t="s">
        <v>1380</v>
      </c>
    </row>
    <row r="13" spans="1:23" ht="42" customHeight="1" x14ac:dyDescent="0.25">
      <c r="A13" s="76" t="s">
        <v>357</v>
      </c>
      <c r="B13" s="77" t="s">
        <v>358</v>
      </c>
      <c r="C13" s="77" t="s">
        <v>362</v>
      </c>
      <c r="D13" s="77" t="s">
        <v>123</v>
      </c>
      <c r="E13" s="77" t="s">
        <v>364</v>
      </c>
      <c r="F13" s="77" t="s">
        <v>365</v>
      </c>
      <c r="G13" s="77" t="s">
        <v>363</v>
      </c>
      <c r="H13" s="77" t="s">
        <v>1381</v>
      </c>
      <c r="I13" s="76" t="s">
        <v>45</v>
      </c>
      <c r="J13" s="76" t="s">
        <v>1382</v>
      </c>
      <c r="K13" s="76" t="s">
        <v>331</v>
      </c>
      <c r="L13" s="77" t="s">
        <v>1164</v>
      </c>
      <c r="M13" s="77" t="s">
        <v>1164</v>
      </c>
      <c r="N13" s="77" t="s">
        <v>1164</v>
      </c>
      <c r="O13" s="77" t="s">
        <v>1164</v>
      </c>
      <c r="P13" s="77" t="s">
        <v>84</v>
      </c>
      <c r="Q13" s="77" t="s">
        <v>432</v>
      </c>
      <c r="R13" s="77" t="s">
        <v>432</v>
      </c>
      <c r="S13" s="76">
        <v>80</v>
      </c>
      <c r="T13" s="78">
        <v>45534</v>
      </c>
      <c r="U13" s="77" t="s">
        <v>369</v>
      </c>
      <c r="V13" s="78">
        <v>45356</v>
      </c>
      <c r="W13" s="77" t="s">
        <v>1383</v>
      </c>
    </row>
    <row r="14" spans="1:23" ht="42" customHeight="1" x14ac:dyDescent="0.25">
      <c r="A14" s="79" t="s">
        <v>370</v>
      </c>
      <c r="B14" s="80" t="s">
        <v>371</v>
      </c>
      <c r="C14" s="80" t="s">
        <v>329</v>
      </c>
      <c r="D14" s="80" t="s">
        <v>77</v>
      </c>
      <c r="E14" s="80" t="s">
        <v>379</v>
      </c>
      <c r="F14" s="80" t="s">
        <v>380</v>
      </c>
      <c r="G14" s="80" t="s">
        <v>377</v>
      </c>
      <c r="H14" s="80" t="s">
        <v>1384</v>
      </c>
      <c r="I14" s="79" t="s">
        <v>147</v>
      </c>
      <c r="J14" s="79" t="s">
        <v>1385</v>
      </c>
      <c r="K14" s="79" t="s">
        <v>376</v>
      </c>
      <c r="L14" s="80" t="s">
        <v>1164</v>
      </c>
      <c r="M14" s="80" t="s">
        <v>1164</v>
      </c>
      <c r="N14" s="80" t="s">
        <v>1164</v>
      </c>
      <c r="O14" s="80" t="s">
        <v>1386</v>
      </c>
      <c r="P14" s="80" t="s">
        <v>56</v>
      </c>
      <c r="Q14" s="80" t="s">
        <v>56</v>
      </c>
      <c r="R14" s="80" t="s">
        <v>56</v>
      </c>
      <c r="S14" s="79">
        <v>35</v>
      </c>
      <c r="T14" s="81">
        <v>46203</v>
      </c>
      <c r="U14" s="80" t="s">
        <v>384</v>
      </c>
      <c r="V14" s="81">
        <v>45536</v>
      </c>
      <c r="W14" s="80" t="s">
        <v>1387</v>
      </c>
    </row>
    <row r="15" spans="1:23" ht="42" customHeight="1" x14ac:dyDescent="0.25">
      <c r="A15" s="76" t="s">
        <v>385</v>
      </c>
      <c r="B15" s="77" t="s">
        <v>386</v>
      </c>
      <c r="C15" s="77" t="s">
        <v>329</v>
      </c>
      <c r="D15" s="77" t="s">
        <v>91</v>
      </c>
      <c r="E15" s="77" t="s">
        <v>394</v>
      </c>
      <c r="F15" s="77" t="s">
        <v>395</v>
      </c>
      <c r="G15" s="77" t="s">
        <v>392</v>
      </c>
      <c r="H15" s="77" t="s">
        <v>1388</v>
      </c>
      <c r="I15" s="76" t="s">
        <v>92</v>
      </c>
      <c r="J15" s="76" t="s">
        <v>1389</v>
      </c>
      <c r="K15" s="76" t="s">
        <v>391</v>
      </c>
      <c r="L15" s="77" t="s">
        <v>1164</v>
      </c>
      <c r="M15" s="77" t="s">
        <v>1164</v>
      </c>
      <c r="N15" s="77" t="s">
        <v>1164</v>
      </c>
      <c r="O15" s="77" t="s">
        <v>1164</v>
      </c>
      <c r="P15" s="77" t="s">
        <v>1164</v>
      </c>
      <c r="Q15" s="77" t="s">
        <v>1164</v>
      </c>
      <c r="R15" s="77" t="s">
        <v>1164</v>
      </c>
      <c r="S15" s="76">
        <v>100</v>
      </c>
      <c r="T15" s="78">
        <v>45915</v>
      </c>
      <c r="U15" s="77" t="s">
        <v>398</v>
      </c>
      <c r="V15" s="77"/>
      <c r="W15" s="77" t="s">
        <v>1390</v>
      </c>
    </row>
    <row r="16" spans="1:23" ht="42" customHeight="1" x14ac:dyDescent="0.25">
      <c r="A16" s="79" t="s">
        <v>399</v>
      </c>
      <c r="B16" s="80" t="s">
        <v>400</v>
      </c>
      <c r="C16" s="80" t="s">
        <v>329</v>
      </c>
      <c r="D16" s="80" t="s">
        <v>43</v>
      </c>
      <c r="E16" s="80" t="s">
        <v>351</v>
      </c>
      <c r="F16" s="80" t="s">
        <v>262</v>
      </c>
      <c r="G16" s="80" t="s">
        <v>406</v>
      </c>
      <c r="H16" s="80" t="s">
        <v>1391</v>
      </c>
      <c r="I16" s="79" t="s">
        <v>45</v>
      </c>
      <c r="J16" s="79" t="s">
        <v>1392</v>
      </c>
      <c r="K16" s="79" t="s">
        <v>404</v>
      </c>
      <c r="L16" s="80" t="s">
        <v>1164</v>
      </c>
      <c r="M16" s="80" t="s">
        <v>84</v>
      </c>
      <c r="N16" s="80" t="s">
        <v>432</v>
      </c>
      <c r="O16" s="80" t="s">
        <v>56</v>
      </c>
      <c r="P16" s="80" t="s">
        <v>56</v>
      </c>
      <c r="Q16" s="80" t="s">
        <v>56</v>
      </c>
      <c r="R16" s="80" t="s">
        <v>56</v>
      </c>
      <c r="S16" s="79">
        <v>20</v>
      </c>
      <c r="T16" s="81">
        <v>46203</v>
      </c>
      <c r="U16" s="80" t="s">
        <v>411</v>
      </c>
      <c r="V16" s="81">
        <v>45397</v>
      </c>
      <c r="W16" s="80" t="s">
        <v>1393</v>
      </c>
    </row>
    <row r="17" spans="1:23" ht="42" customHeight="1" x14ac:dyDescent="0.25">
      <c r="A17" s="76" t="s">
        <v>412</v>
      </c>
      <c r="B17" s="77" t="s">
        <v>413</v>
      </c>
      <c r="C17" s="77" t="s">
        <v>417</v>
      </c>
      <c r="D17" s="77" t="s">
        <v>43</v>
      </c>
      <c r="E17" s="77" t="s">
        <v>351</v>
      </c>
      <c r="F17" s="77" t="s">
        <v>420</v>
      </c>
      <c r="G17" s="77" t="s">
        <v>419</v>
      </c>
      <c r="H17" s="77" t="s">
        <v>1394</v>
      </c>
      <c r="I17" s="76" t="s">
        <v>45</v>
      </c>
      <c r="J17" s="76" t="s">
        <v>1395</v>
      </c>
      <c r="K17" s="76" t="s">
        <v>1396</v>
      </c>
      <c r="L17" s="77" t="s">
        <v>1164</v>
      </c>
      <c r="M17" s="77" t="s">
        <v>1164</v>
      </c>
      <c r="N17" s="77" t="s">
        <v>1164</v>
      </c>
      <c r="O17" s="77" t="s">
        <v>84</v>
      </c>
      <c r="P17" s="77" t="s">
        <v>56</v>
      </c>
      <c r="Q17" s="77" t="s">
        <v>56</v>
      </c>
      <c r="R17" s="77" t="s">
        <v>56</v>
      </c>
      <c r="S17" s="76">
        <v>55</v>
      </c>
      <c r="T17" s="78">
        <v>46142</v>
      </c>
      <c r="U17" s="77" t="s">
        <v>424</v>
      </c>
      <c r="V17" s="78">
        <v>45458</v>
      </c>
      <c r="W17" s="77" t="s">
        <v>1397</v>
      </c>
    </row>
    <row r="18" spans="1:23" ht="42" customHeight="1" x14ac:dyDescent="0.25">
      <c r="A18" s="82" t="s">
        <v>425</v>
      </c>
      <c r="B18" s="83" t="s">
        <v>426</v>
      </c>
      <c r="C18" s="83" t="s">
        <v>417</v>
      </c>
      <c r="D18" s="83" t="s">
        <v>91</v>
      </c>
      <c r="E18" s="83" t="s">
        <v>394</v>
      </c>
      <c r="F18" s="83" t="s">
        <v>433</v>
      </c>
      <c r="G18" s="83" t="s">
        <v>431</v>
      </c>
      <c r="H18" s="83" t="s">
        <v>1398</v>
      </c>
      <c r="I18" s="82" t="s">
        <v>45</v>
      </c>
      <c r="J18" s="82" t="s">
        <v>1399</v>
      </c>
      <c r="K18" s="82" t="s">
        <v>429</v>
      </c>
      <c r="L18" s="83" t="s">
        <v>1164</v>
      </c>
      <c r="M18" s="83" t="s">
        <v>1164</v>
      </c>
      <c r="N18" s="83" t="s">
        <v>1164</v>
      </c>
      <c r="O18" s="83" t="s">
        <v>1164</v>
      </c>
      <c r="P18" s="83" t="s">
        <v>84</v>
      </c>
      <c r="Q18" s="83" t="s">
        <v>432</v>
      </c>
      <c r="R18" s="83" t="s">
        <v>56</v>
      </c>
      <c r="S18" s="82">
        <v>78</v>
      </c>
      <c r="T18" s="84">
        <v>45930</v>
      </c>
      <c r="U18" s="83" t="s">
        <v>437</v>
      </c>
      <c r="V18" s="84">
        <v>45371</v>
      </c>
      <c r="W18" s="83" t="s">
        <v>1400</v>
      </c>
    </row>
    <row r="19" spans="1:23" ht="42" customHeight="1" x14ac:dyDescent="0.25">
      <c r="A19" s="76" t="s">
        <v>438</v>
      </c>
      <c r="B19" s="77" t="s">
        <v>439</v>
      </c>
      <c r="C19" s="77" t="s">
        <v>417</v>
      </c>
      <c r="D19" s="77" t="s">
        <v>65</v>
      </c>
      <c r="E19" s="77" t="s">
        <v>278</v>
      </c>
      <c r="F19" s="77" t="s">
        <v>446</v>
      </c>
      <c r="G19" s="77" t="s">
        <v>444</v>
      </c>
      <c r="H19" s="77" t="s">
        <v>447</v>
      </c>
      <c r="I19" s="76" t="s">
        <v>45</v>
      </c>
      <c r="J19" s="76" t="s">
        <v>1401</v>
      </c>
      <c r="K19" s="76" t="s">
        <v>443</v>
      </c>
      <c r="L19" s="77" t="s">
        <v>1164</v>
      </c>
      <c r="M19" s="77" t="s">
        <v>84</v>
      </c>
      <c r="N19" s="77" t="s">
        <v>432</v>
      </c>
      <c r="O19" s="77" t="s">
        <v>56</v>
      </c>
      <c r="P19" s="77" t="s">
        <v>56</v>
      </c>
      <c r="Q19" s="77" t="s">
        <v>56</v>
      </c>
      <c r="R19" s="77" t="s">
        <v>56</v>
      </c>
      <c r="S19" s="76">
        <v>20</v>
      </c>
      <c r="T19" s="78">
        <v>46203</v>
      </c>
      <c r="U19" s="77" t="s">
        <v>1402</v>
      </c>
      <c r="V19" s="78">
        <v>45412</v>
      </c>
      <c r="W19" s="77" t="s">
        <v>1403</v>
      </c>
    </row>
    <row r="20" spans="1:23" ht="42" customHeight="1" x14ac:dyDescent="0.25">
      <c r="A20" s="82" t="s">
        <v>451</v>
      </c>
      <c r="B20" s="83" t="s">
        <v>452</v>
      </c>
      <c r="C20" s="83" t="s">
        <v>417</v>
      </c>
      <c r="D20" s="83" t="s">
        <v>106</v>
      </c>
      <c r="E20" s="83" t="s">
        <v>301</v>
      </c>
      <c r="F20" s="83" t="s">
        <v>458</v>
      </c>
      <c r="G20" s="83" t="s">
        <v>456</v>
      </c>
      <c r="H20" s="83" t="s">
        <v>1404</v>
      </c>
      <c r="I20" s="82" t="s">
        <v>45</v>
      </c>
      <c r="J20" s="82" t="s">
        <v>1405</v>
      </c>
      <c r="K20" s="82" t="s">
        <v>1406</v>
      </c>
      <c r="L20" s="83" t="s">
        <v>1164</v>
      </c>
      <c r="M20" s="83" t="s">
        <v>1164</v>
      </c>
      <c r="N20" s="83" t="s">
        <v>84</v>
      </c>
      <c r="O20" s="83" t="s">
        <v>56</v>
      </c>
      <c r="P20" s="83" t="s">
        <v>56</v>
      </c>
      <c r="Q20" s="83" t="s">
        <v>56</v>
      </c>
      <c r="R20" s="83" t="s">
        <v>56</v>
      </c>
      <c r="S20" s="82">
        <v>38</v>
      </c>
      <c r="T20" s="84">
        <v>46387</v>
      </c>
      <c r="U20" s="83" t="s">
        <v>1407</v>
      </c>
      <c r="V20" s="84">
        <v>45361</v>
      </c>
      <c r="W20" s="83" t="s">
        <v>1408</v>
      </c>
    </row>
  </sheetData>
  <mergeCells count="2">
    <mergeCell ref="A2:W2"/>
    <mergeCell ref="A1:W1"/>
  </mergeCell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X10"/>
  <sheetViews>
    <sheetView workbookViewId="0">
      <pane xSplit="2" ySplit="4" topLeftCell="C5" activePane="bottomRight" state="frozen"/>
      <selection pane="topRight"/>
      <selection pane="bottomLeft"/>
      <selection pane="bottomRight"/>
    </sheetView>
  </sheetViews>
  <sheetFormatPr defaultRowHeight="15" x14ac:dyDescent="0.25"/>
  <cols>
    <col min="1" max="1" width="14" customWidth="1"/>
    <col min="2" max="2" width="18" customWidth="1"/>
    <col min="3" max="3" width="20" customWidth="1"/>
    <col min="4" max="4" width="18" customWidth="1"/>
    <col min="5" max="5" width="22" customWidth="1"/>
    <col min="6" max="6" width="7" customWidth="1"/>
    <col min="7" max="7" width="24" customWidth="1"/>
    <col min="8" max="8" width="20" customWidth="1"/>
    <col min="9" max="9" width="26" customWidth="1"/>
    <col min="10" max="10" width="38" customWidth="1"/>
    <col min="11" max="11" width="70" customWidth="1"/>
    <col min="12" max="12" width="14" customWidth="1"/>
    <col min="13" max="13" width="11" customWidth="1"/>
    <col min="14" max="16" width="16" customWidth="1"/>
    <col min="17" max="19" width="52" customWidth="1"/>
    <col min="20" max="20" width="50" customWidth="1"/>
    <col min="21" max="21" width="24" customWidth="1"/>
    <col min="22" max="22" width="14" customWidth="1"/>
    <col min="23" max="23" width="13" customWidth="1"/>
    <col min="24" max="24" width="50" customWidth="1"/>
  </cols>
  <sheetData>
    <row r="1" spans="1:24" ht="26.1" customHeight="1" x14ac:dyDescent="0.25">
      <c r="A1" s="191" t="s">
        <v>1409</v>
      </c>
      <c r="B1" s="160"/>
      <c r="C1" s="160"/>
      <c r="D1" s="160"/>
      <c r="E1" s="160"/>
      <c r="F1" s="160"/>
      <c r="G1" s="160"/>
      <c r="H1" s="160"/>
      <c r="I1" s="160"/>
      <c r="J1" s="160"/>
      <c r="K1" s="160"/>
      <c r="L1" s="160"/>
      <c r="M1" s="160"/>
      <c r="N1" s="160"/>
      <c r="O1" s="160"/>
      <c r="P1" s="160"/>
      <c r="Q1" s="160"/>
      <c r="R1" s="160"/>
      <c r="S1" s="160"/>
      <c r="T1" s="160"/>
      <c r="U1" s="160"/>
      <c r="V1" s="160"/>
      <c r="W1" s="160"/>
    </row>
    <row r="2" spans="1:24" ht="18" customHeight="1" x14ac:dyDescent="0.25">
      <c r="A2" s="192" t="s">
        <v>1410</v>
      </c>
      <c r="B2" s="160"/>
      <c r="C2" s="160"/>
      <c r="D2" s="160"/>
      <c r="E2" s="160"/>
      <c r="F2" s="160"/>
      <c r="G2" s="160"/>
      <c r="H2" s="160"/>
      <c r="I2" s="160"/>
      <c r="J2" s="160"/>
      <c r="K2" s="160"/>
      <c r="L2" s="160"/>
      <c r="M2" s="160"/>
      <c r="N2" s="160"/>
      <c r="O2" s="160"/>
      <c r="P2" s="160"/>
      <c r="Q2" s="160"/>
      <c r="R2" s="160"/>
      <c r="S2" s="160"/>
      <c r="T2" s="160"/>
      <c r="U2" s="160"/>
      <c r="V2" s="160"/>
      <c r="W2" s="160"/>
    </row>
    <row r="3" spans="1:24" ht="6" customHeight="1" x14ac:dyDescent="0.25"/>
    <row r="4" spans="1:24" ht="36" customHeight="1" x14ac:dyDescent="0.25">
      <c r="A4" s="75" t="s">
        <v>1411</v>
      </c>
      <c r="B4" s="75" t="s">
        <v>846</v>
      </c>
      <c r="C4" s="75" t="s">
        <v>847</v>
      </c>
      <c r="D4" s="75" t="s">
        <v>848</v>
      </c>
      <c r="E4" s="75" t="s">
        <v>849</v>
      </c>
      <c r="F4" s="75" t="s">
        <v>1412</v>
      </c>
      <c r="G4" s="75" t="s">
        <v>1331</v>
      </c>
      <c r="H4" s="75" t="s">
        <v>1413</v>
      </c>
      <c r="I4" s="75" t="s">
        <v>1414</v>
      </c>
      <c r="J4" s="75" t="s">
        <v>1415</v>
      </c>
      <c r="K4" s="75" t="s">
        <v>1416</v>
      </c>
      <c r="L4" s="75" t="s">
        <v>1417</v>
      </c>
      <c r="M4" s="75" t="s">
        <v>1418</v>
      </c>
      <c r="N4" s="75" t="s">
        <v>1419</v>
      </c>
      <c r="O4" s="75" t="s">
        <v>1420</v>
      </c>
      <c r="P4" s="75" t="s">
        <v>1421</v>
      </c>
      <c r="Q4" s="75" t="s">
        <v>1422</v>
      </c>
      <c r="R4" s="75" t="s">
        <v>1423</v>
      </c>
      <c r="S4" s="75" t="s">
        <v>1424</v>
      </c>
      <c r="T4" s="75" t="s">
        <v>1425</v>
      </c>
      <c r="U4" s="75" t="s">
        <v>1426</v>
      </c>
      <c r="V4" s="75" t="s">
        <v>1427</v>
      </c>
      <c r="W4" s="75" t="s">
        <v>909</v>
      </c>
      <c r="X4" s="75" t="s">
        <v>1428</v>
      </c>
    </row>
    <row r="5" spans="1:24" ht="60" customHeight="1" x14ac:dyDescent="0.25">
      <c r="A5" s="85" t="s">
        <v>1429</v>
      </c>
      <c r="B5" s="85" t="s">
        <v>324</v>
      </c>
      <c r="C5" s="86" t="s">
        <v>325</v>
      </c>
      <c r="D5" s="86" t="s">
        <v>329</v>
      </c>
      <c r="E5" s="86" t="s">
        <v>106</v>
      </c>
      <c r="F5" s="86" t="s">
        <v>44</v>
      </c>
      <c r="G5" s="86" t="s">
        <v>335</v>
      </c>
      <c r="H5" s="86" t="s">
        <v>1430</v>
      </c>
      <c r="I5" s="86" t="s">
        <v>1431</v>
      </c>
      <c r="J5" s="86" t="s">
        <v>1432</v>
      </c>
      <c r="K5" s="86" t="s">
        <v>1433</v>
      </c>
      <c r="L5" s="87">
        <v>45299</v>
      </c>
      <c r="M5" s="88" t="s">
        <v>1434</v>
      </c>
      <c r="N5" s="85" t="s">
        <v>1435</v>
      </c>
      <c r="O5" s="87">
        <v>45463</v>
      </c>
      <c r="P5" s="87">
        <v>45580</v>
      </c>
      <c r="Q5" s="86" t="s">
        <v>1436</v>
      </c>
      <c r="R5" s="86" t="s">
        <v>1437</v>
      </c>
      <c r="S5" s="86" t="s">
        <v>1438</v>
      </c>
      <c r="T5" s="86" t="s">
        <v>1439</v>
      </c>
      <c r="U5" s="85" t="s">
        <v>1440</v>
      </c>
      <c r="V5" s="87">
        <v>45337</v>
      </c>
      <c r="W5" s="85" t="s">
        <v>1441</v>
      </c>
      <c r="X5" s="86" t="s">
        <v>1442</v>
      </c>
    </row>
    <row r="6" spans="1:24" ht="60" customHeight="1" x14ac:dyDescent="0.25">
      <c r="A6" s="85" t="s">
        <v>1443</v>
      </c>
      <c r="B6" s="85" t="s">
        <v>324</v>
      </c>
      <c r="C6" s="86" t="s">
        <v>325</v>
      </c>
      <c r="D6" s="86" t="s">
        <v>329</v>
      </c>
      <c r="E6" s="86" t="s">
        <v>106</v>
      </c>
      <c r="F6" s="86" t="s">
        <v>44</v>
      </c>
      <c r="G6" s="86" t="s">
        <v>335</v>
      </c>
      <c r="H6" s="86" t="s">
        <v>1444</v>
      </c>
      <c r="I6" s="86" t="s">
        <v>1445</v>
      </c>
      <c r="J6" s="86" t="s">
        <v>1446</v>
      </c>
      <c r="K6" s="86" t="s">
        <v>1447</v>
      </c>
      <c r="L6" s="87">
        <v>45275</v>
      </c>
      <c r="M6" s="89" t="s">
        <v>1448</v>
      </c>
      <c r="N6" s="85" t="s">
        <v>1449</v>
      </c>
      <c r="O6" s="87">
        <v>45463</v>
      </c>
      <c r="P6" s="87">
        <v>45580</v>
      </c>
      <c r="Q6" s="86" t="s">
        <v>1450</v>
      </c>
      <c r="R6" s="86" t="s">
        <v>1451</v>
      </c>
      <c r="S6" s="86" t="s">
        <v>1452</v>
      </c>
      <c r="T6" s="86" t="s">
        <v>1453</v>
      </c>
      <c r="U6" s="85" t="s">
        <v>1454</v>
      </c>
      <c r="V6" s="87">
        <v>45387</v>
      </c>
      <c r="W6" s="85" t="s">
        <v>84</v>
      </c>
      <c r="X6" s="86" t="s">
        <v>1455</v>
      </c>
    </row>
    <row r="7" spans="1:24" ht="60" customHeight="1" x14ac:dyDescent="0.25">
      <c r="A7" s="85" t="s">
        <v>1456</v>
      </c>
      <c r="B7" s="85" t="s">
        <v>324</v>
      </c>
      <c r="C7" s="86" t="s">
        <v>325</v>
      </c>
      <c r="D7" s="86" t="s">
        <v>329</v>
      </c>
      <c r="E7" s="86" t="s">
        <v>106</v>
      </c>
      <c r="F7" s="86" t="s">
        <v>44</v>
      </c>
      <c r="G7" s="86" t="s">
        <v>335</v>
      </c>
      <c r="H7" s="86" t="s">
        <v>1457</v>
      </c>
      <c r="I7" s="86" t="s">
        <v>1458</v>
      </c>
      <c r="J7" s="86" t="s">
        <v>1459</v>
      </c>
      <c r="K7" s="86" t="s">
        <v>1460</v>
      </c>
      <c r="L7" s="87">
        <v>45301</v>
      </c>
      <c r="M7" s="89" t="s">
        <v>1448</v>
      </c>
      <c r="N7" s="85" t="s">
        <v>1461</v>
      </c>
      <c r="O7" s="87">
        <v>45463</v>
      </c>
      <c r="P7" s="87">
        <v>45580</v>
      </c>
      <c r="Q7" s="86" t="s">
        <v>1462</v>
      </c>
      <c r="R7" s="86" t="s">
        <v>1463</v>
      </c>
      <c r="S7" s="86" t="s">
        <v>1464</v>
      </c>
      <c r="T7" s="86" t="s">
        <v>1465</v>
      </c>
      <c r="U7" s="85" t="s">
        <v>1466</v>
      </c>
      <c r="V7" s="87">
        <v>45355</v>
      </c>
      <c r="W7" s="85" t="s">
        <v>84</v>
      </c>
      <c r="X7" s="86" t="s">
        <v>1467</v>
      </c>
    </row>
    <row r="8" spans="1:24" ht="60" customHeight="1" x14ac:dyDescent="0.25">
      <c r="A8" s="90" t="s">
        <v>1468</v>
      </c>
      <c r="B8" s="90" t="s">
        <v>341</v>
      </c>
      <c r="C8" s="91" t="s">
        <v>342</v>
      </c>
      <c r="D8" s="91" t="s">
        <v>329</v>
      </c>
      <c r="E8" s="91" t="s">
        <v>43</v>
      </c>
      <c r="F8" s="91" t="s">
        <v>66</v>
      </c>
      <c r="G8" s="91" t="s">
        <v>351</v>
      </c>
      <c r="H8" s="91" t="s">
        <v>1469</v>
      </c>
      <c r="I8" s="91" t="s">
        <v>1470</v>
      </c>
      <c r="J8" s="91" t="s">
        <v>1471</v>
      </c>
      <c r="K8" s="91" t="s">
        <v>1472</v>
      </c>
      <c r="L8" s="92">
        <v>45309</v>
      </c>
      <c r="M8" s="88" t="s">
        <v>1434</v>
      </c>
      <c r="N8" s="90" t="s">
        <v>1473</v>
      </c>
      <c r="O8" s="92">
        <v>45792</v>
      </c>
      <c r="P8" s="92">
        <v>45991</v>
      </c>
      <c r="Q8" s="91" t="s">
        <v>1474</v>
      </c>
      <c r="R8" s="91" t="s">
        <v>1475</v>
      </c>
      <c r="S8" s="91" t="s">
        <v>1476</v>
      </c>
      <c r="T8" s="91" t="s">
        <v>1477</v>
      </c>
      <c r="U8" s="90" t="s">
        <v>1440</v>
      </c>
      <c r="V8" s="92">
        <v>45352</v>
      </c>
      <c r="W8" s="90" t="s">
        <v>1441</v>
      </c>
      <c r="X8" s="91" t="s">
        <v>1478</v>
      </c>
    </row>
    <row r="9" spans="1:24" ht="60" customHeight="1" x14ac:dyDescent="0.25">
      <c r="A9" s="90" t="s">
        <v>1479</v>
      </c>
      <c r="B9" s="90" t="s">
        <v>341</v>
      </c>
      <c r="C9" s="91" t="s">
        <v>342</v>
      </c>
      <c r="D9" s="91" t="s">
        <v>329</v>
      </c>
      <c r="E9" s="91" t="s">
        <v>43</v>
      </c>
      <c r="F9" s="91" t="s">
        <v>66</v>
      </c>
      <c r="G9" s="91" t="s">
        <v>351</v>
      </c>
      <c r="H9" s="91" t="s">
        <v>350</v>
      </c>
      <c r="I9" s="91" t="s">
        <v>1480</v>
      </c>
      <c r="J9" s="91" t="s">
        <v>1481</v>
      </c>
      <c r="K9" s="91" t="s">
        <v>1482</v>
      </c>
      <c r="L9" s="92">
        <v>45303</v>
      </c>
      <c r="M9" s="93" t="s">
        <v>1483</v>
      </c>
      <c r="N9" s="90" t="s">
        <v>1484</v>
      </c>
      <c r="O9" s="92">
        <v>45792</v>
      </c>
      <c r="P9" s="92">
        <v>45991</v>
      </c>
      <c r="Q9" s="91" t="s">
        <v>1485</v>
      </c>
      <c r="R9" s="91" t="s">
        <v>1486</v>
      </c>
      <c r="S9" s="91" t="s">
        <v>1487</v>
      </c>
      <c r="T9" s="91" t="s">
        <v>1488</v>
      </c>
      <c r="U9" s="90" t="s">
        <v>1440</v>
      </c>
      <c r="V9" s="92">
        <v>45397</v>
      </c>
      <c r="W9" s="90" t="s">
        <v>1441</v>
      </c>
      <c r="X9" s="91" t="s">
        <v>1489</v>
      </c>
    </row>
    <row r="10" spans="1:24" ht="60" customHeight="1" x14ac:dyDescent="0.25">
      <c r="A10" s="90" t="s">
        <v>1490</v>
      </c>
      <c r="B10" s="90" t="s">
        <v>341</v>
      </c>
      <c r="C10" s="91" t="s">
        <v>342</v>
      </c>
      <c r="D10" s="91" t="s">
        <v>329</v>
      </c>
      <c r="E10" s="91" t="s">
        <v>43</v>
      </c>
      <c r="F10" s="91" t="s">
        <v>66</v>
      </c>
      <c r="G10" s="91" t="s">
        <v>351</v>
      </c>
      <c r="H10" s="91" t="s">
        <v>1444</v>
      </c>
      <c r="I10" s="91" t="s">
        <v>1445</v>
      </c>
      <c r="J10" s="91" t="s">
        <v>1491</v>
      </c>
      <c r="K10" s="91" t="s">
        <v>1492</v>
      </c>
      <c r="L10" s="92">
        <v>45280</v>
      </c>
      <c r="M10" s="89" t="s">
        <v>1448</v>
      </c>
      <c r="N10" s="90" t="s">
        <v>1449</v>
      </c>
      <c r="O10" s="92">
        <v>45792</v>
      </c>
      <c r="P10" s="92">
        <v>45991</v>
      </c>
      <c r="Q10" s="91" t="s">
        <v>1493</v>
      </c>
      <c r="R10" s="91" t="s">
        <v>1494</v>
      </c>
      <c r="S10" s="91" t="s">
        <v>1495</v>
      </c>
      <c r="T10" s="91" t="s">
        <v>1453</v>
      </c>
      <c r="U10" s="90" t="s">
        <v>1440</v>
      </c>
      <c r="V10" s="92">
        <v>45352</v>
      </c>
      <c r="W10" s="90" t="s">
        <v>84</v>
      </c>
      <c r="X10" s="91" t="s">
        <v>1496</v>
      </c>
    </row>
  </sheetData>
  <mergeCells count="2">
    <mergeCell ref="A2:W2"/>
    <mergeCell ref="A1:W1"/>
  </mergeCell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N63"/>
  <sheetViews>
    <sheetView workbookViewId="0">
      <pane xSplit="2" ySplit="4" topLeftCell="C5" activePane="bottomRight" state="frozen"/>
      <selection pane="topRight"/>
      <selection pane="bottomLeft"/>
      <selection pane="bottomRight"/>
    </sheetView>
  </sheetViews>
  <sheetFormatPr defaultRowHeight="15" x14ac:dyDescent="0.25"/>
  <cols>
    <col min="1" max="1" width="9" customWidth="1"/>
    <col min="2" max="2" width="16" customWidth="1"/>
    <col min="3" max="3" width="55" customWidth="1"/>
    <col min="4" max="4" width="30" customWidth="1"/>
    <col min="5" max="5" width="20" customWidth="1"/>
    <col min="6" max="6" width="28" customWidth="1"/>
    <col min="7" max="7" width="18" customWidth="1"/>
    <col min="8" max="8" width="35" customWidth="1"/>
    <col min="9" max="9" width="7" customWidth="1"/>
    <col min="10" max="10" width="42" customWidth="1"/>
    <col min="11" max="11" width="9" customWidth="1"/>
    <col min="12" max="12" width="14" customWidth="1"/>
    <col min="13" max="13" width="65" customWidth="1"/>
    <col min="14" max="14" width="22" customWidth="1"/>
  </cols>
  <sheetData>
    <row r="1" spans="1:14" ht="26.1" customHeight="1" x14ac:dyDescent="0.25">
      <c r="A1" s="191" t="s">
        <v>1497</v>
      </c>
      <c r="B1" s="160"/>
      <c r="C1" s="160"/>
      <c r="D1" s="160"/>
      <c r="E1" s="160"/>
      <c r="F1" s="160"/>
      <c r="G1" s="160"/>
      <c r="H1" s="160"/>
      <c r="I1" s="160"/>
      <c r="J1" s="160"/>
      <c r="K1" s="160"/>
      <c r="L1" s="160"/>
      <c r="M1" s="160"/>
      <c r="N1" s="160"/>
    </row>
    <row r="2" spans="1:14" ht="24" customHeight="1" x14ac:dyDescent="0.25">
      <c r="A2" s="194" t="s">
        <v>1498</v>
      </c>
      <c r="B2" s="160"/>
      <c r="C2" s="160"/>
      <c r="D2" s="160"/>
      <c r="E2" s="160"/>
      <c r="F2" s="160"/>
      <c r="G2" s="160"/>
      <c r="H2" s="160"/>
      <c r="I2" s="160"/>
      <c r="J2" s="160"/>
      <c r="K2" s="160"/>
      <c r="L2" s="160"/>
      <c r="M2" s="160"/>
      <c r="N2" s="160"/>
    </row>
    <row r="3" spans="1:14" ht="6" customHeight="1" x14ac:dyDescent="0.25"/>
    <row r="4" spans="1:14" ht="36" customHeight="1" x14ac:dyDescent="0.25">
      <c r="A4" s="75" t="s">
        <v>1499</v>
      </c>
      <c r="B4" s="75" t="s">
        <v>1057</v>
      </c>
      <c r="C4" s="75" t="s">
        <v>1500</v>
      </c>
      <c r="D4" s="75" t="s">
        <v>1501</v>
      </c>
      <c r="E4" s="75" t="s">
        <v>1502</v>
      </c>
      <c r="F4" s="75" t="s">
        <v>1503</v>
      </c>
      <c r="G4" s="75" t="s">
        <v>1504</v>
      </c>
      <c r="H4" s="75" t="s">
        <v>1505</v>
      </c>
      <c r="I4" s="75" t="s">
        <v>1412</v>
      </c>
      <c r="J4" s="75" t="s">
        <v>1506</v>
      </c>
      <c r="K4" s="75" t="s">
        <v>1507</v>
      </c>
      <c r="L4" s="75" t="s">
        <v>1508</v>
      </c>
      <c r="M4" s="75" t="s">
        <v>1509</v>
      </c>
      <c r="N4" s="75" t="s">
        <v>1510</v>
      </c>
    </row>
    <row r="5" spans="1:14" ht="36" customHeight="1" x14ac:dyDescent="0.25">
      <c r="A5" s="94" t="s">
        <v>1511</v>
      </c>
      <c r="B5" s="94" t="s">
        <v>1512</v>
      </c>
      <c r="C5" s="95" t="s">
        <v>1513</v>
      </c>
      <c r="D5" s="95" t="s">
        <v>1514</v>
      </c>
      <c r="E5" s="94" t="s">
        <v>1515</v>
      </c>
      <c r="F5" s="94" t="s">
        <v>1516</v>
      </c>
      <c r="G5" s="94" t="s">
        <v>1517</v>
      </c>
      <c r="H5" s="95" t="s">
        <v>1518</v>
      </c>
      <c r="I5" s="94">
        <v>2023</v>
      </c>
      <c r="J5" s="95" t="s">
        <v>1519</v>
      </c>
      <c r="K5" s="94">
        <v>5</v>
      </c>
      <c r="L5" s="94" t="s">
        <v>1520</v>
      </c>
      <c r="M5" s="95" t="s">
        <v>1521</v>
      </c>
      <c r="N5" s="95" t="s">
        <v>1522</v>
      </c>
    </row>
    <row r="6" spans="1:14" ht="36" customHeight="1" x14ac:dyDescent="0.25">
      <c r="A6" s="94" t="s">
        <v>1523</v>
      </c>
      <c r="B6" s="94" t="s">
        <v>1512</v>
      </c>
      <c r="C6" s="95" t="s">
        <v>1524</v>
      </c>
      <c r="D6" s="95" t="s">
        <v>1525</v>
      </c>
      <c r="E6" s="94" t="s">
        <v>1526</v>
      </c>
      <c r="F6" s="94" t="s">
        <v>1527</v>
      </c>
      <c r="G6" s="94" t="s">
        <v>1517</v>
      </c>
      <c r="H6" s="95" t="s">
        <v>1528</v>
      </c>
      <c r="I6" s="94">
        <v>2023</v>
      </c>
      <c r="J6" s="95" t="s">
        <v>1529</v>
      </c>
      <c r="K6" s="94">
        <v>5</v>
      </c>
      <c r="L6" s="94" t="s">
        <v>1520</v>
      </c>
      <c r="M6" s="95" t="s">
        <v>1530</v>
      </c>
      <c r="N6" s="95" t="s">
        <v>278</v>
      </c>
    </row>
    <row r="7" spans="1:14" ht="36" customHeight="1" x14ac:dyDescent="0.25">
      <c r="A7" s="94" t="s">
        <v>1531</v>
      </c>
      <c r="B7" s="94" t="s">
        <v>1512</v>
      </c>
      <c r="C7" s="95" t="s">
        <v>1532</v>
      </c>
      <c r="D7" s="95" t="s">
        <v>1533</v>
      </c>
      <c r="E7" s="94" t="s">
        <v>1534</v>
      </c>
      <c r="F7" s="94" t="s">
        <v>1535</v>
      </c>
      <c r="G7" s="94" t="s">
        <v>1517</v>
      </c>
      <c r="H7" s="95" t="s">
        <v>1536</v>
      </c>
      <c r="I7" s="94">
        <v>2022</v>
      </c>
      <c r="J7" s="95" t="s">
        <v>1537</v>
      </c>
      <c r="K7" s="94">
        <v>5</v>
      </c>
      <c r="L7" s="94" t="s">
        <v>1520</v>
      </c>
      <c r="M7" s="95" t="s">
        <v>1538</v>
      </c>
      <c r="N7" s="95" t="s">
        <v>364</v>
      </c>
    </row>
    <row r="8" spans="1:14" ht="36" customHeight="1" x14ac:dyDescent="0.25">
      <c r="A8" s="94" t="s">
        <v>1539</v>
      </c>
      <c r="B8" s="94" t="s">
        <v>1512</v>
      </c>
      <c r="C8" s="95" t="s">
        <v>1540</v>
      </c>
      <c r="D8" s="95" t="s">
        <v>1514</v>
      </c>
      <c r="E8" s="94" t="s">
        <v>1515</v>
      </c>
      <c r="F8" s="94" t="s">
        <v>1541</v>
      </c>
      <c r="G8" s="94" t="s">
        <v>1517</v>
      </c>
      <c r="H8" s="95" t="s">
        <v>1542</v>
      </c>
      <c r="I8" s="94">
        <v>2023</v>
      </c>
      <c r="J8" s="95" t="s">
        <v>1543</v>
      </c>
      <c r="K8" s="94">
        <v>4</v>
      </c>
      <c r="L8" s="94" t="s">
        <v>1520</v>
      </c>
      <c r="M8" s="95" t="s">
        <v>1544</v>
      </c>
      <c r="N8" s="95" t="s">
        <v>560</v>
      </c>
    </row>
    <row r="9" spans="1:14" ht="36" customHeight="1" x14ac:dyDescent="0.25">
      <c r="A9" s="94" t="s">
        <v>1545</v>
      </c>
      <c r="B9" s="94" t="s">
        <v>1512</v>
      </c>
      <c r="C9" s="95" t="s">
        <v>1546</v>
      </c>
      <c r="D9" s="95" t="s">
        <v>1514</v>
      </c>
      <c r="E9" s="94" t="s">
        <v>1515</v>
      </c>
      <c r="F9" s="94" t="s">
        <v>1547</v>
      </c>
      <c r="G9" s="94" t="s">
        <v>1517</v>
      </c>
      <c r="H9" s="95" t="s">
        <v>1548</v>
      </c>
      <c r="I9" s="94">
        <v>2020</v>
      </c>
      <c r="J9" s="95" t="s">
        <v>1549</v>
      </c>
      <c r="K9" s="94">
        <v>5</v>
      </c>
      <c r="L9" s="94" t="s">
        <v>1520</v>
      </c>
      <c r="M9" s="95" t="s">
        <v>1550</v>
      </c>
      <c r="N9" s="95" t="s">
        <v>364</v>
      </c>
    </row>
    <row r="10" spans="1:14" ht="36" customHeight="1" x14ac:dyDescent="0.25">
      <c r="A10" s="94" t="s">
        <v>1551</v>
      </c>
      <c r="B10" s="94" t="s">
        <v>1512</v>
      </c>
      <c r="C10" s="95" t="s">
        <v>1552</v>
      </c>
      <c r="D10" s="95" t="s">
        <v>1514</v>
      </c>
      <c r="E10" s="94" t="s">
        <v>1515</v>
      </c>
      <c r="F10" s="94" t="s">
        <v>1553</v>
      </c>
      <c r="G10" s="94" t="s">
        <v>1517</v>
      </c>
      <c r="H10" s="95" t="s">
        <v>1554</v>
      </c>
      <c r="I10" s="94">
        <v>2024</v>
      </c>
      <c r="J10" s="95" t="s">
        <v>1555</v>
      </c>
      <c r="K10" s="94">
        <v>5</v>
      </c>
      <c r="L10" s="94" t="s">
        <v>1520</v>
      </c>
      <c r="M10" s="95" t="s">
        <v>1556</v>
      </c>
      <c r="N10" s="95" t="s">
        <v>560</v>
      </c>
    </row>
    <row r="11" spans="1:14" ht="36" customHeight="1" x14ac:dyDescent="0.25">
      <c r="A11" s="94" t="s">
        <v>1557</v>
      </c>
      <c r="B11" s="94" t="s">
        <v>1512</v>
      </c>
      <c r="C11" s="95" t="s">
        <v>1558</v>
      </c>
      <c r="D11" s="95" t="s">
        <v>1559</v>
      </c>
      <c r="E11" s="94" t="s">
        <v>1560</v>
      </c>
      <c r="F11" s="94" t="s">
        <v>1547</v>
      </c>
      <c r="G11" s="94" t="s">
        <v>1517</v>
      </c>
      <c r="H11" s="95" t="s">
        <v>1561</v>
      </c>
      <c r="I11" s="94">
        <v>2023</v>
      </c>
      <c r="J11" s="95" t="s">
        <v>1562</v>
      </c>
      <c r="K11" s="94">
        <v>5</v>
      </c>
      <c r="L11" s="94" t="s">
        <v>1520</v>
      </c>
      <c r="M11" s="95" t="s">
        <v>1563</v>
      </c>
      <c r="N11" s="95" t="s">
        <v>278</v>
      </c>
    </row>
    <row r="12" spans="1:14" ht="36" customHeight="1" x14ac:dyDescent="0.25">
      <c r="A12" s="94" t="s">
        <v>1564</v>
      </c>
      <c r="B12" s="94" t="s">
        <v>1512</v>
      </c>
      <c r="C12" s="95" t="s">
        <v>1565</v>
      </c>
      <c r="D12" s="95" t="s">
        <v>1566</v>
      </c>
      <c r="E12" s="94" t="s">
        <v>1567</v>
      </c>
      <c r="F12" s="94" t="s">
        <v>1553</v>
      </c>
      <c r="G12" s="94" t="s">
        <v>1568</v>
      </c>
      <c r="H12" s="95" t="s">
        <v>1569</v>
      </c>
      <c r="I12" s="94">
        <v>2023</v>
      </c>
      <c r="J12" s="95" t="s">
        <v>1570</v>
      </c>
      <c r="K12" s="94">
        <v>5</v>
      </c>
      <c r="L12" s="94" t="s">
        <v>1571</v>
      </c>
      <c r="M12" s="95" t="s">
        <v>1572</v>
      </c>
      <c r="N12" s="95" t="s">
        <v>351</v>
      </c>
    </row>
    <row r="13" spans="1:14" ht="36" customHeight="1" x14ac:dyDescent="0.25">
      <c r="A13" s="94" t="s">
        <v>1573</v>
      </c>
      <c r="B13" s="94" t="s">
        <v>1512</v>
      </c>
      <c r="C13" s="95" t="s">
        <v>1574</v>
      </c>
      <c r="D13" s="95" t="s">
        <v>1514</v>
      </c>
      <c r="E13" s="94" t="s">
        <v>1575</v>
      </c>
      <c r="F13" s="94" t="s">
        <v>1553</v>
      </c>
      <c r="G13" s="94" t="s">
        <v>1517</v>
      </c>
      <c r="H13" s="95" t="s">
        <v>1576</v>
      </c>
      <c r="I13" s="94">
        <v>2023</v>
      </c>
      <c r="J13" s="95" t="s">
        <v>1577</v>
      </c>
      <c r="K13" s="94">
        <v>4</v>
      </c>
      <c r="L13" s="94" t="s">
        <v>1520</v>
      </c>
      <c r="M13" s="95" t="s">
        <v>1578</v>
      </c>
      <c r="N13" s="95" t="s">
        <v>278</v>
      </c>
    </row>
    <row r="14" spans="1:14" ht="36" customHeight="1" x14ac:dyDescent="0.25">
      <c r="A14" s="94" t="s">
        <v>1579</v>
      </c>
      <c r="B14" s="94" t="s">
        <v>1512</v>
      </c>
      <c r="C14" s="95" t="s">
        <v>1580</v>
      </c>
      <c r="D14" s="95" t="s">
        <v>1514</v>
      </c>
      <c r="E14" s="94" t="s">
        <v>1515</v>
      </c>
      <c r="F14" s="94" t="s">
        <v>334</v>
      </c>
      <c r="G14" s="94" t="s">
        <v>1517</v>
      </c>
      <c r="H14" s="95" t="s">
        <v>1581</v>
      </c>
      <c r="I14" s="94">
        <v>2023</v>
      </c>
      <c r="J14" s="95" t="s">
        <v>1582</v>
      </c>
      <c r="K14" s="94">
        <v>5</v>
      </c>
      <c r="L14" s="94" t="s">
        <v>1520</v>
      </c>
      <c r="M14" s="95" t="s">
        <v>1583</v>
      </c>
      <c r="N14" s="95" t="s">
        <v>560</v>
      </c>
    </row>
    <row r="15" spans="1:14" ht="36" customHeight="1" x14ac:dyDescent="0.25">
      <c r="A15" s="94" t="s">
        <v>1584</v>
      </c>
      <c r="B15" s="94" t="s">
        <v>1512</v>
      </c>
      <c r="C15" s="95" t="s">
        <v>1585</v>
      </c>
      <c r="D15" s="95" t="s">
        <v>1514</v>
      </c>
      <c r="E15" s="94" t="s">
        <v>416</v>
      </c>
      <c r="F15" s="94" t="s">
        <v>1586</v>
      </c>
      <c r="G15" s="94" t="s">
        <v>1517</v>
      </c>
      <c r="H15" s="95" t="s">
        <v>1587</v>
      </c>
      <c r="I15" s="94">
        <v>2024</v>
      </c>
      <c r="J15" s="95" t="s">
        <v>1588</v>
      </c>
      <c r="K15" s="94">
        <v>5</v>
      </c>
      <c r="L15" s="94" t="s">
        <v>1520</v>
      </c>
      <c r="M15" s="95" t="s">
        <v>1589</v>
      </c>
      <c r="N15" s="95" t="s">
        <v>560</v>
      </c>
    </row>
    <row r="16" spans="1:14" ht="36" customHeight="1" x14ac:dyDescent="0.25">
      <c r="A16" s="94" t="s">
        <v>1590</v>
      </c>
      <c r="B16" s="94" t="s">
        <v>1512</v>
      </c>
      <c r="C16" s="95" t="s">
        <v>1591</v>
      </c>
      <c r="D16" s="95" t="s">
        <v>1514</v>
      </c>
      <c r="E16" s="94" t="s">
        <v>1515</v>
      </c>
      <c r="F16" s="94" t="s">
        <v>334</v>
      </c>
      <c r="G16" s="94" t="s">
        <v>1517</v>
      </c>
      <c r="H16" s="95" t="s">
        <v>1592</v>
      </c>
      <c r="I16" s="94">
        <v>2024</v>
      </c>
      <c r="J16" s="95" t="s">
        <v>1593</v>
      </c>
      <c r="K16" s="94">
        <v>4</v>
      </c>
      <c r="L16" s="94" t="s">
        <v>1520</v>
      </c>
      <c r="M16" s="95" t="s">
        <v>1594</v>
      </c>
      <c r="N16" s="95" t="s">
        <v>560</v>
      </c>
    </row>
    <row r="17" spans="1:14" ht="36" customHeight="1" x14ac:dyDescent="0.25">
      <c r="A17" s="96" t="s">
        <v>1595</v>
      </c>
      <c r="B17" s="96" t="s">
        <v>1596</v>
      </c>
      <c r="C17" s="97" t="s">
        <v>1597</v>
      </c>
      <c r="D17" s="97" t="s">
        <v>1514</v>
      </c>
      <c r="E17" s="96" t="s">
        <v>1515</v>
      </c>
      <c r="F17" s="96" t="s">
        <v>1598</v>
      </c>
      <c r="G17" s="96" t="s">
        <v>1568</v>
      </c>
      <c r="H17" s="97" t="s">
        <v>1599</v>
      </c>
      <c r="I17" s="96">
        <v>2024</v>
      </c>
      <c r="J17" s="97" t="s">
        <v>1600</v>
      </c>
      <c r="K17" s="96">
        <v>5</v>
      </c>
      <c r="L17" s="96" t="s">
        <v>1601</v>
      </c>
      <c r="M17" s="97" t="s">
        <v>1602</v>
      </c>
      <c r="N17" s="97" t="s">
        <v>1522</v>
      </c>
    </row>
    <row r="18" spans="1:14" ht="36" customHeight="1" x14ac:dyDescent="0.25">
      <c r="A18" s="96" t="s">
        <v>1603</v>
      </c>
      <c r="B18" s="96" t="s">
        <v>1596</v>
      </c>
      <c r="C18" s="97" t="s">
        <v>1604</v>
      </c>
      <c r="D18" s="97" t="s">
        <v>1514</v>
      </c>
      <c r="E18" s="96" t="s">
        <v>1515</v>
      </c>
      <c r="F18" s="96" t="s">
        <v>1598</v>
      </c>
      <c r="G18" s="96" t="s">
        <v>1568</v>
      </c>
      <c r="H18" s="97" t="s">
        <v>1605</v>
      </c>
      <c r="I18" s="96">
        <v>2024</v>
      </c>
      <c r="J18" s="97" t="s">
        <v>1606</v>
      </c>
      <c r="K18" s="96">
        <v>4</v>
      </c>
      <c r="L18" s="96" t="s">
        <v>1601</v>
      </c>
      <c r="M18" s="97" t="s">
        <v>1607</v>
      </c>
      <c r="N18" s="97" t="s">
        <v>1522</v>
      </c>
    </row>
    <row r="19" spans="1:14" ht="36" customHeight="1" x14ac:dyDescent="0.25">
      <c r="A19" s="94" t="s">
        <v>1608</v>
      </c>
      <c r="B19" s="94" t="s">
        <v>1512</v>
      </c>
      <c r="C19" s="95" t="s">
        <v>1609</v>
      </c>
      <c r="D19" s="95" t="s">
        <v>1610</v>
      </c>
      <c r="E19" s="94" t="s">
        <v>1611</v>
      </c>
      <c r="F19" s="94" t="s">
        <v>1612</v>
      </c>
      <c r="G19" s="94" t="s">
        <v>1568</v>
      </c>
      <c r="H19" s="95" t="s">
        <v>1613</v>
      </c>
      <c r="I19" s="94">
        <v>2023</v>
      </c>
      <c r="J19" s="95" t="s">
        <v>1614</v>
      </c>
      <c r="K19" s="94">
        <v>5</v>
      </c>
      <c r="L19" s="94" t="s">
        <v>1615</v>
      </c>
      <c r="M19" s="95" t="s">
        <v>1616</v>
      </c>
      <c r="N19" s="95" t="s">
        <v>351</v>
      </c>
    </row>
    <row r="20" spans="1:14" ht="36" customHeight="1" x14ac:dyDescent="0.25">
      <c r="A20" s="94" t="s">
        <v>1617</v>
      </c>
      <c r="B20" s="94" t="s">
        <v>1512</v>
      </c>
      <c r="C20" s="95" t="s">
        <v>1618</v>
      </c>
      <c r="D20" s="95" t="s">
        <v>1619</v>
      </c>
      <c r="E20" s="94" t="s">
        <v>1611</v>
      </c>
      <c r="F20" s="94" t="s">
        <v>1620</v>
      </c>
      <c r="G20" s="94" t="s">
        <v>1517</v>
      </c>
      <c r="H20" s="95" t="s">
        <v>1621</v>
      </c>
      <c r="I20" s="94">
        <v>2022</v>
      </c>
      <c r="J20" s="95" t="s">
        <v>1622</v>
      </c>
      <c r="K20" s="94">
        <v>5</v>
      </c>
      <c r="L20" s="94" t="s">
        <v>1520</v>
      </c>
      <c r="M20" s="95" t="s">
        <v>1623</v>
      </c>
      <c r="N20" s="95" t="s">
        <v>351</v>
      </c>
    </row>
    <row r="21" spans="1:14" ht="36" customHeight="1" x14ac:dyDescent="0.25">
      <c r="A21" s="94" t="s">
        <v>1624</v>
      </c>
      <c r="B21" s="94" t="s">
        <v>1512</v>
      </c>
      <c r="C21" s="95" t="s">
        <v>1625</v>
      </c>
      <c r="D21" s="95" t="s">
        <v>1626</v>
      </c>
      <c r="E21" s="94" t="s">
        <v>1611</v>
      </c>
      <c r="F21" s="94" t="s">
        <v>1553</v>
      </c>
      <c r="G21" s="94" t="s">
        <v>1517</v>
      </c>
      <c r="H21" s="95" t="s">
        <v>1627</v>
      </c>
      <c r="I21" s="94">
        <v>2023</v>
      </c>
      <c r="J21" s="95" t="s">
        <v>1628</v>
      </c>
      <c r="K21" s="94">
        <v>5</v>
      </c>
      <c r="L21" s="94" t="s">
        <v>1520</v>
      </c>
      <c r="M21" s="95" t="s">
        <v>1629</v>
      </c>
      <c r="N21" s="95" t="s">
        <v>351</v>
      </c>
    </row>
    <row r="22" spans="1:14" ht="36" customHeight="1" x14ac:dyDescent="0.25">
      <c r="A22" s="98" t="s">
        <v>1630</v>
      </c>
      <c r="B22" s="98" t="s">
        <v>1631</v>
      </c>
      <c r="C22" s="99" t="s">
        <v>1632</v>
      </c>
      <c r="D22" s="99" t="s">
        <v>1633</v>
      </c>
      <c r="E22" s="98" t="s">
        <v>1634</v>
      </c>
      <c r="F22" s="98" t="s">
        <v>1535</v>
      </c>
      <c r="G22" s="98" t="s">
        <v>1517</v>
      </c>
      <c r="H22" s="99" t="s">
        <v>1635</v>
      </c>
      <c r="I22" s="98"/>
      <c r="J22" s="99" t="s">
        <v>1636</v>
      </c>
      <c r="K22" s="98">
        <v>4</v>
      </c>
      <c r="L22" s="98" t="s">
        <v>1637</v>
      </c>
      <c r="M22" s="99" t="s">
        <v>1638</v>
      </c>
      <c r="N22" s="99" t="s">
        <v>351</v>
      </c>
    </row>
    <row r="23" spans="1:14" ht="36" customHeight="1" x14ac:dyDescent="0.25">
      <c r="A23" s="100" t="s">
        <v>1639</v>
      </c>
      <c r="B23" s="100" t="s">
        <v>1640</v>
      </c>
      <c r="C23" s="101" t="s">
        <v>1641</v>
      </c>
      <c r="D23" s="101" t="s">
        <v>1642</v>
      </c>
      <c r="E23" s="100" t="s">
        <v>1643</v>
      </c>
      <c r="F23" s="100" t="s">
        <v>1644</v>
      </c>
      <c r="G23" s="100" t="s">
        <v>1517</v>
      </c>
      <c r="H23" s="101" t="s">
        <v>1645</v>
      </c>
      <c r="I23" s="100"/>
      <c r="J23" s="101" t="s">
        <v>1646</v>
      </c>
      <c r="K23" s="100">
        <v>5</v>
      </c>
      <c r="L23" s="100" t="s">
        <v>1640</v>
      </c>
      <c r="M23" s="101" t="s">
        <v>1647</v>
      </c>
      <c r="N23" s="101" t="s">
        <v>262</v>
      </c>
    </row>
    <row r="24" spans="1:14" ht="36" customHeight="1" x14ac:dyDescent="0.25">
      <c r="A24" s="94" t="s">
        <v>1648</v>
      </c>
      <c r="B24" s="94" t="s">
        <v>1512</v>
      </c>
      <c r="C24" s="95" t="s">
        <v>1649</v>
      </c>
      <c r="D24" s="95" t="s">
        <v>1650</v>
      </c>
      <c r="E24" s="94" t="s">
        <v>1651</v>
      </c>
      <c r="F24" s="94" t="s">
        <v>1652</v>
      </c>
      <c r="G24" s="94" t="s">
        <v>1517</v>
      </c>
      <c r="H24" s="95" t="s">
        <v>1653</v>
      </c>
      <c r="I24" s="94">
        <v>2023</v>
      </c>
      <c r="J24" s="95" t="s">
        <v>1654</v>
      </c>
      <c r="K24" s="94">
        <v>5</v>
      </c>
      <c r="L24" s="94" t="s">
        <v>1520</v>
      </c>
      <c r="M24" s="95" t="s">
        <v>1655</v>
      </c>
      <c r="N24" s="95" t="s">
        <v>335</v>
      </c>
    </row>
    <row r="25" spans="1:14" ht="36" customHeight="1" x14ac:dyDescent="0.25">
      <c r="A25" s="94" t="s">
        <v>1656</v>
      </c>
      <c r="B25" s="94" t="s">
        <v>1512</v>
      </c>
      <c r="C25" s="95" t="s">
        <v>1657</v>
      </c>
      <c r="D25" s="95" t="s">
        <v>1658</v>
      </c>
      <c r="E25" s="94" t="s">
        <v>1659</v>
      </c>
      <c r="F25" s="94" t="s">
        <v>1553</v>
      </c>
      <c r="G25" s="94" t="s">
        <v>1517</v>
      </c>
      <c r="H25" s="95" t="s">
        <v>1660</v>
      </c>
      <c r="I25" s="94">
        <v>2021</v>
      </c>
      <c r="J25" s="95" t="s">
        <v>1661</v>
      </c>
      <c r="K25" s="94">
        <v>5</v>
      </c>
      <c r="L25" s="94" t="s">
        <v>1520</v>
      </c>
      <c r="M25" s="95" t="s">
        <v>1662</v>
      </c>
      <c r="N25" s="95" t="s">
        <v>335</v>
      </c>
    </row>
    <row r="26" spans="1:14" ht="36" customHeight="1" x14ac:dyDescent="0.25">
      <c r="A26" s="94" t="s">
        <v>1663</v>
      </c>
      <c r="B26" s="94" t="s">
        <v>1512</v>
      </c>
      <c r="C26" s="95" t="s">
        <v>1664</v>
      </c>
      <c r="D26" s="95" t="s">
        <v>129</v>
      </c>
      <c r="E26" s="94" t="s">
        <v>1665</v>
      </c>
      <c r="F26" s="94" t="s">
        <v>1666</v>
      </c>
      <c r="G26" s="94" t="s">
        <v>1517</v>
      </c>
      <c r="H26" s="95" t="s">
        <v>1667</v>
      </c>
      <c r="I26" s="94">
        <v>2023</v>
      </c>
      <c r="J26" s="95" t="s">
        <v>1668</v>
      </c>
      <c r="K26" s="94">
        <v>5</v>
      </c>
      <c r="L26" s="94" t="s">
        <v>1520</v>
      </c>
      <c r="M26" s="95" t="s">
        <v>1669</v>
      </c>
      <c r="N26" s="95" t="s">
        <v>505</v>
      </c>
    </row>
    <row r="27" spans="1:14" ht="36" customHeight="1" x14ac:dyDescent="0.25">
      <c r="A27" s="98" t="s">
        <v>1670</v>
      </c>
      <c r="B27" s="98" t="s">
        <v>1631</v>
      </c>
      <c r="C27" s="99" t="s">
        <v>1671</v>
      </c>
      <c r="D27" s="99" t="s">
        <v>1672</v>
      </c>
      <c r="E27" s="98" t="s">
        <v>1673</v>
      </c>
      <c r="F27" s="98" t="s">
        <v>1535</v>
      </c>
      <c r="G27" s="98" t="s">
        <v>1674</v>
      </c>
      <c r="H27" s="99" t="s">
        <v>1675</v>
      </c>
      <c r="I27" s="98"/>
      <c r="J27" s="99" t="s">
        <v>1676</v>
      </c>
      <c r="K27" s="98">
        <v>4</v>
      </c>
      <c r="L27" s="98" t="s">
        <v>1677</v>
      </c>
      <c r="M27" s="99" t="s">
        <v>1678</v>
      </c>
      <c r="N27" s="99" t="s">
        <v>394</v>
      </c>
    </row>
    <row r="28" spans="1:14" ht="36" customHeight="1" x14ac:dyDescent="0.25">
      <c r="A28" s="100" t="s">
        <v>1679</v>
      </c>
      <c r="B28" s="100" t="s">
        <v>1640</v>
      </c>
      <c r="C28" s="101" t="s">
        <v>1680</v>
      </c>
      <c r="D28" s="101" t="s">
        <v>1681</v>
      </c>
      <c r="E28" s="100" t="s">
        <v>1682</v>
      </c>
      <c r="F28" s="100" t="s">
        <v>1644</v>
      </c>
      <c r="G28" s="100" t="s">
        <v>1683</v>
      </c>
      <c r="H28" s="101" t="s">
        <v>1684</v>
      </c>
      <c r="I28" s="100"/>
      <c r="J28" s="101" t="s">
        <v>1685</v>
      </c>
      <c r="K28" s="100">
        <v>5</v>
      </c>
      <c r="L28" s="100" t="s">
        <v>1686</v>
      </c>
      <c r="M28" s="101" t="s">
        <v>1687</v>
      </c>
      <c r="N28" s="101" t="s">
        <v>394</v>
      </c>
    </row>
    <row r="29" spans="1:14" ht="36" customHeight="1" x14ac:dyDescent="0.25">
      <c r="A29" s="94" t="s">
        <v>1688</v>
      </c>
      <c r="B29" s="94" t="s">
        <v>1512</v>
      </c>
      <c r="C29" s="95" t="s">
        <v>1689</v>
      </c>
      <c r="D29" s="95" t="s">
        <v>162</v>
      </c>
      <c r="E29" s="94" t="s">
        <v>1690</v>
      </c>
      <c r="F29" s="94" t="s">
        <v>1652</v>
      </c>
      <c r="G29" s="94" t="s">
        <v>1517</v>
      </c>
      <c r="H29" s="95" t="s">
        <v>1691</v>
      </c>
      <c r="I29" s="94">
        <v>2023</v>
      </c>
      <c r="J29" s="95" t="s">
        <v>1692</v>
      </c>
      <c r="K29" s="94">
        <v>4</v>
      </c>
      <c r="L29" s="94" t="s">
        <v>1520</v>
      </c>
      <c r="M29" s="95" t="s">
        <v>1693</v>
      </c>
      <c r="N29" s="95" t="s">
        <v>301</v>
      </c>
    </row>
    <row r="30" spans="1:14" ht="36" customHeight="1" x14ac:dyDescent="0.25">
      <c r="A30" s="94" t="s">
        <v>1694</v>
      </c>
      <c r="B30" s="94" t="s">
        <v>1512</v>
      </c>
      <c r="C30" s="95" t="s">
        <v>1695</v>
      </c>
      <c r="D30" s="95" t="s">
        <v>1696</v>
      </c>
      <c r="E30" s="94" t="s">
        <v>1697</v>
      </c>
      <c r="F30" s="94" t="s">
        <v>1612</v>
      </c>
      <c r="G30" s="94" t="s">
        <v>1517</v>
      </c>
      <c r="H30" s="95" t="s">
        <v>1698</v>
      </c>
      <c r="I30" s="94">
        <v>2022</v>
      </c>
      <c r="J30" s="95" t="s">
        <v>1699</v>
      </c>
      <c r="K30" s="94">
        <v>5</v>
      </c>
      <c r="L30" s="94" t="s">
        <v>1520</v>
      </c>
      <c r="M30" s="95" t="s">
        <v>1700</v>
      </c>
      <c r="N30" s="95" t="s">
        <v>301</v>
      </c>
    </row>
    <row r="31" spans="1:14" ht="36" customHeight="1" x14ac:dyDescent="0.25">
      <c r="A31" s="94" t="s">
        <v>1701</v>
      </c>
      <c r="B31" s="94" t="s">
        <v>1512</v>
      </c>
      <c r="C31" s="95" t="s">
        <v>1702</v>
      </c>
      <c r="D31" s="95" t="s">
        <v>1703</v>
      </c>
      <c r="E31" s="94" t="s">
        <v>1704</v>
      </c>
      <c r="F31" s="94" t="s">
        <v>1620</v>
      </c>
      <c r="G31" s="94" t="s">
        <v>1568</v>
      </c>
      <c r="H31" s="95" t="s">
        <v>1705</v>
      </c>
      <c r="I31" s="94">
        <v>2023</v>
      </c>
      <c r="J31" s="95" t="s">
        <v>1706</v>
      </c>
      <c r="K31" s="94">
        <v>5</v>
      </c>
      <c r="L31" s="94" t="s">
        <v>1707</v>
      </c>
      <c r="M31" s="95" t="s">
        <v>1708</v>
      </c>
      <c r="N31" s="95" t="s">
        <v>301</v>
      </c>
    </row>
    <row r="32" spans="1:14" ht="36" customHeight="1" x14ac:dyDescent="0.25">
      <c r="A32" s="98" t="s">
        <v>1709</v>
      </c>
      <c r="B32" s="98" t="s">
        <v>1631</v>
      </c>
      <c r="C32" s="99" t="s">
        <v>1710</v>
      </c>
      <c r="D32" s="99" t="s">
        <v>162</v>
      </c>
      <c r="E32" s="98" t="s">
        <v>1697</v>
      </c>
      <c r="F32" s="98" t="s">
        <v>1535</v>
      </c>
      <c r="G32" s="98" t="s">
        <v>1517</v>
      </c>
      <c r="H32" s="99" t="s">
        <v>1711</v>
      </c>
      <c r="I32" s="98"/>
      <c r="J32" s="99" t="s">
        <v>1712</v>
      </c>
      <c r="K32" s="98">
        <v>5</v>
      </c>
      <c r="L32" s="98" t="s">
        <v>1637</v>
      </c>
      <c r="M32" s="99" t="s">
        <v>1713</v>
      </c>
      <c r="N32" s="99" t="s">
        <v>301</v>
      </c>
    </row>
    <row r="33" spans="1:14" ht="36" customHeight="1" x14ac:dyDescent="0.25">
      <c r="A33" s="94" t="s">
        <v>1714</v>
      </c>
      <c r="B33" s="94" t="s">
        <v>1512</v>
      </c>
      <c r="C33" s="95" t="s">
        <v>1715</v>
      </c>
      <c r="D33" s="95" t="s">
        <v>122</v>
      </c>
      <c r="E33" s="94" t="s">
        <v>1716</v>
      </c>
      <c r="F33" s="94" t="s">
        <v>1535</v>
      </c>
      <c r="G33" s="94" t="s">
        <v>1517</v>
      </c>
      <c r="H33" s="95" t="s">
        <v>1717</v>
      </c>
      <c r="I33" s="94">
        <v>2023</v>
      </c>
      <c r="J33" s="95" t="s">
        <v>1718</v>
      </c>
      <c r="K33" s="94">
        <v>5</v>
      </c>
      <c r="L33" s="94" t="s">
        <v>1520</v>
      </c>
      <c r="M33" s="95" t="s">
        <v>1719</v>
      </c>
      <c r="N33" s="95" t="s">
        <v>364</v>
      </c>
    </row>
    <row r="34" spans="1:14" ht="36" customHeight="1" x14ac:dyDescent="0.25">
      <c r="A34" s="94" t="s">
        <v>1720</v>
      </c>
      <c r="B34" s="94" t="s">
        <v>1512</v>
      </c>
      <c r="C34" s="95" t="s">
        <v>1721</v>
      </c>
      <c r="D34" s="95" t="s">
        <v>1722</v>
      </c>
      <c r="E34" s="94" t="s">
        <v>1716</v>
      </c>
      <c r="F34" s="94" t="s">
        <v>1652</v>
      </c>
      <c r="G34" s="94" t="s">
        <v>1517</v>
      </c>
      <c r="H34" s="95" t="s">
        <v>1723</v>
      </c>
      <c r="I34" s="94">
        <v>2023</v>
      </c>
      <c r="J34" s="95" t="s">
        <v>1724</v>
      </c>
      <c r="K34" s="94">
        <v>5</v>
      </c>
      <c r="L34" s="94" t="s">
        <v>1520</v>
      </c>
      <c r="M34" s="95" t="s">
        <v>1725</v>
      </c>
      <c r="N34" s="95" t="s">
        <v>364</v>
      </c>
    </row>
    <row r="35" spans="1:14" ht="36" customHeight="1" x14ac:dyDescent="0.25">
      <c r="A35" s="98" t="s">
        <v>1726</v>
      </c>
      <c r="B35" s="98" t="s">
        <v>1631</v>
      </c>
      <c r="C35" s="99" t="s">
        <v>1727</v>
      </c>
      <c r="D35" s="99" t="s">
        <v>1722</v>
      </c>
      <c r="E35" s="98" t="s">
        <v>1728</v>
      </c>
      <c r="F35" s="98" t="s">
        <v>1535</v>
      </c>
      <c r="G35" s="98" t="s">
        <v>1517</v>
      </c>
      <c r="H35" s="99" t="s">
        <v>1729</v>
      </c>
      <c r="I35" s="98"/>
      <c r="J35" s="99" t="s">
        <v>1730</v>
      </c>
      <c r="K35" s="98">
        <v>4</v>
      </c>
      <c r="L35" s="98" t="s">
        <v>1637</v>
      </c>
      <c r="M35" s="99" t="s">
        <v>1731</v>
      </c>
    </row>
    <row r="36" spans="1:14" ht="36" customHeight="1" x14ac:dyDescent="0.25">
      <c r="A36" s="94" t="s">
        <v>1732</v>
      </c>
      <c r="B36" s="94" t="s">
        <v>1512</v>
      </c>
      <c r="C36" s="95" t="s">
        <v>1733</v>
      </c>
      <c r="D36" s="95" t="s">
        <v>1734</v>
      </c>
      <c r="E36" s="94" t="s">
        <v>1735</v>
      </c>
      <c r="F36" s="94" t="s">
        <v>1620</v>
      </c>
      <c r="G36" s="94" t="s">
        <v>1517</v>
      </c>
      <c r="H36" s="95" t="s">
        <v>1736</v>
      </c>
      <c r="I36" s="94">
        <v>2024</v>
      </c>
      <c r="J36" s="95" t="s">
        <v>1737</v>
      </c>
      <c r="K36" s="94">
        <v>5</v>
      </c>
      <c r="L36" s="94" t="s">
        <v>1520</v>
      </c>
      <c r="M36" s="95" t="s">
        <v>1738</v>
      </c>
      <c r="N36" s="95" t="s">
        <v>278</v>
      </c>
    </row>
    <row r="37" spans="1:14" ht="36" customHeight="1" x14ac:dyDescent="0.25">
      <c r="A37" s="94" t="s">
        <v>1739</v>
      </c>
      <c r="B37" s="94" t="s">
        <v>1512</v>
      </c>
      <c r="C37" s="95" t="s">
        <v>1740</v>
      </c>
      <c r="D37" s="95" t="s">
        <v>1525</v>
      </c>
      <c r="E37" s="94" t="s">
        <v>1741</v>
      </c>
      <c r="F37" s="94" t="s">
        <v>1652</v>
      </c>
      <c r="G37" s="94" t="s">
        <v>1517</v>
      </c>
      <c r="H37" s="95" t="s">
        <v>1742</v>
      </c>
      <c r="I37" s="94">
        <v>2008</v>
      </c>
      <c r="J37" s="95" t="s">
        <v>1743</v>
      </c>
      <c r="K37" s="94">
        <v>5</v>
      </c>
      <c r="L37" s="94" t="s">
        <v>1520</v>
      </c>
      <c r="M37" s="95" t="s">
        <v>1744</v>
      </c>
      <c r="N37" s="95" t="s">
        <v>278</v>
      </c>
    </row>
    <row r="38" spans="1:14" ht="36" customHeight="1" x14ac:dyDescent="0.25">
      <c r="A38" s="94" t="s">
        <v>1745</v>
      </c>
      <c r="B38" s="94" t="s">
        <v>1512</v>
      </c>
      <c r="C38" s="95" t="s">
        <v>1746</v>
      </c>
      <c r="D38" s="95" t="s">
        <v>64</v>
      </c>
      <c r="E38" s="94" t="s">
        <v>1747</v>
      </c>
      <c r="F38" s="94" t="s">
        <v>1612</v>
      </c>
      <c r="G38" s="94" t="s">
        <v>1517</v>
      </c>
      <c r="H38" s="95" t="s">
        <v>1748</v>
      </c>
      <c r="I38" s="94">
        <v>2022</v>
      </c>
      <c r="J38" s="95" t="s">
        <v>1749</v>
      </c>
      <c r="K38" s="94">
        <v>5</v>
      </c>
      <c r="L38" s="94" t="s">
        <v>1520</v>
      </c>
      <c r="M38" s="95" t="s">
        <v>1750</v>
      </c>
      <c r="N38" s="95" t="s">
        <v>278</v>
      </c>
    </row>
    <row r="39" spans="1:14" ht="36" customHeight="1" x14ac:dyDescent="0.25">
      <c r="A39" s="98" t="s">
        <v>1751</v>
      </c>
      <c r="B39" s="98" t="s">
        <v>1631</v>
      </c>
      <c r="C39" s="99" t="s">
        <v>1752</v>
      </c>
      <c r="D39" s="99" t="s">
        <v>1753</v>
      </c>
      <c r="E39" s="98" t="s">
        <v>1754</v>
      </c>
      <c r="F39" s="98" t="s">
        <v>1535</v>
      </c>
      <c r="G39" s="98" t="s">
        <v>1517</v>
      </c>
      <c r="H39" s="99" t="s">
        <v>1755</v>
      </c>
      <c r="I39" s="98"/>
      <c r="J39" s="99" t="s">
        <v>1756</v>
      </c>
      <c r="K39" s="98">
        <v>4</v>
      </c>
      <c r="L39" s="98" t="s">
        <v>1637</v>
      </c>
      <c r="M39" s="99" t="s">
        <v>1757</v>
      </c>
      <c r="N39" s="99" t="s">
        <v>1758</v>
      </c>
    </row>
    <row r="40" spans="1:14" ht="36" customHeight="1" x14ac:dyDescent="0.25">
      <c r="A40" s="100" t="s">
        <v>1759</v>
      </c>
      <c r="B40" s="100" t="s">
        <v>1640</v>
      </c>
      <c r="C40" s="101" t="s">
        <v>1760</v>
      </c>
      <c r="D40" s="101" t="s">
        <v>1761</v>
      </c>
      <c r="E40" s="100" t="s">
        <v>1762</v>
      </c>
      <c r="F40" s="100" t="s">
        <v>1644</v>
      </c>
      <c r="G40" s="100" t="s">
        <v>1517</v>
      </c>
      <c r="H40" s="101" t="s">
        <v>1763</v>
      </c>
      <c r="I40" s="100"/>
      <c r="J40" s="101" t="s">
        <v>1764</v>
      </c>
      <c r="K40" s="100">
        <v>5</v>
      </c>
      <c r="L40" s="100" t="s">
        <v>1640</v>
      </c>
      <c r="M40" s="101" t="s">
        <v>1765</v>
      </c>
      <c r="N40" s="101" t="s">
        <v>278</v>
      </c>
    </row>
    <row r="41" spans="1:14" ht="36" customHeight="1" x14ac:dyDescent="0.25">
      <c r="A41" s="94" t="s">
        <v>1766</v>
      </c>
      <c r="B41" s="94" t="s">
        <v>1512</v>
      </c>
      <c r="C41" s="95" t="s">
        <v>1767</v>
      </c>
      <c r="D41" s="95" t="s">
        <v>1768</v>
      </c>
      <c r="E41" s="94" t="s">
        <v>1769</v>
      </c>
      <c r="F41" s="94" t="s">
        <v>1612</v>
      </c>
      <c r="G41" s="94" t="s">
        <v>1517</v>
      </c>
      <c r="H41" s="95" t="s">
        <v>1770</v>
      </c>
      <c r="I41" s="94">
        <v>2024</v>
      </c>
      <c r="J41" s="95" t="s">
        <v>1771</v>
      </c>
      <c r="K41" s="94">
        <v>5</v>
      </c>
      <c r="L41" s="94" t="s">
        <v>1520</v>
      </c>
      <c r="M41" s="95" t="s">
        <v>1772</v>
      </c>
      <c r="N41" s="95" t="s">
        <v>394</v>
      </c>
    </row>
    <row r="42" spans="1:14" ht="36" customHeight="1" x14ac:dyDescent="0.25">
      <c r="A42" s="94" t="s">
        <v>1773</v>
      </c>
      <c r="B42" s="94" t="s">
        <v>1512</v>
      </c>
      <c r="C42" s="95" t="s">
        <v>1774</v>
      </c>
      <c r="D42" s="95" t="s">
        <v>1775</v>
      </c>
      <c r="E42" s="94" t="s">
        <v>1769</v>
      </c>
      <c r="F42" s="94" t="s">
        <v>1620</v>
      </c>
      <c r="G42" s="94" t="s">
        <v>1517</v>
      </c>
      <c r="H42" s="95" t="s">
        <v>1776</v>
      </c>
      <c r="I42" s="94">
        <v>2023</v>
      </c>
      <c r="J42" s="95" t="s">
        <v>1777</v>
      </c>
      <c r="K42" s="94">
        <v>4</v>
      </c>
      <c r="L42" s="94" t="s">
        <v>1520</v>
      </c>
      <c r="M42" s="95" t="s">
        <v>1778</v>
      </c>
      <c r="N42" s="95" t="s">
        <v>394</v>
      </c>
    </row>
    <row r="43" spans="1:14" ht="36" customHeight="1" x14ac:dyDescent="0.25">
      <c r="A43" s="98" t="s">
        <v>1779</v>
      </c>
      <c r="B43" s="98" t="s">
        <v>1631</v>
      </c>
      <c r="C43" s="99" t="s">
        <v>1780</v>
      </c>
      <c r="D43" s="99" t="s">
        <v>1781</v>
      </c>
      <c r="E43" s="98" t="s">
        <v>1782</v>
      </c>
      <c r="F43" s="98" t="s">
        <v>1535</v>
      </c>
      <c r="G43" s="98" t="s">
        <v>1674</v>
      </c>
      <c r="H43" s="99" t="s">
        <v>1783</v>
      </c>
      <c r="I43" s="98"/>
      <c r="J43" s="99" t="s">
        <v>1784</v>
      </c>
      <c r="K43" s="98">
        <v>5</v>
      </c>
      <c r="L43" s="98" t="s">
        <v>1677</v>
      </c>
      <c r="M43" s="99" t="s">
        <v>1785</v>
      </c>
      <c r="N43" s="99" t="s">
        <v>394</v>
      </c>
    </row>
    <row r="44" spans="1:14" ht="36" customHeight="1" x14ac:dyDescent="0.25">
      <c r="A44" s="94" t="s">
        <v>1786</v>
      </c>
      <c r="B44" s="94" t="s">
        <v>1512</v>
      </c>
      <c r="C44" s="95" t="s">
        <v>1787</v>
      </c>
      <c r="D44" s="95" t="s">
        <v>1788</v>
      </c>
      <c r="E44" s="94" t="s">
        <v>1789</v>
      </c>
      <c r="F44" s="94" t="s">
        <v>1652</v>
      </c>
      <c r="G44" s="94" t="s">
        <v>1517</v>
      </c>
      <c r="H44" s="95" t="s">
        <v>1790</v>
      </c>
      <c r="I44" s="94">
        <v>2023</v>
      </c>
      <c r="J44" s="95" t="s">
        <v>1791</v>
      </c>
      <c r="K44" s="94">
        <v>4</v>
      </c>
      <c r="L44" s="94" t="s">
        <v>1520</v>
      </c>
      <c r="M44" s="95" t="s">
        <v>1792</v>
      </c>
      <c r="N44" s="95" t="s">
        <v>379</v>
      </c>
    </row>
    <row r="45" spans="1:14" ht="36" customHeight="1" x14ac:dyDescent="0.25">
      <c r="A45" s="94" t="s">
        <v>1793</v>
      </c>
      <c r="B45" s="94" t="s">
        <v>1512</v>
      </c>
      <c r="C45" s="95" t="s">
        <v>1794</v>
      </c>
      <c r="D45" s="95" t="s">
        <v>1795</v>
      </c>
      <c r="E45" s="94" t="s">
        <v>1796</v>
      </c>
      <c r="F45" s="94" t="s">
        <v>1612</v>
      </c>
      <c r="G45" s="94" t="s">
        <v>1517</v>
      </c>
      <c r="H45" s="95" t="s">
        <v>1797</v>
      </c>
      <c r="I45" s="94">
        <v>2023</v>
      </c>
      <c r="J45" s="95" t="s">
        <v>1798</v>
      </c>
      <c r="K45" s="94">
        <v>5</v>
      </c>
      <c r="L45" s="94" t="s">
        <v>1520</v>
      </c>
      <c r="M45" s="95" t="s">
        <v>1799</v>
      </c>
      <c r="N45" s="95" t="s">
        <v>379</v>
      </c>
    </row>
    <row r="46" spans="1:14" ht="36" customHeight="1" x14ac:dyDescent="0.25">
      <c r="A46" s="98" t="s">
        <v>1800</v>
      </c>
      <c r="B46" s="98" t="s">
        <v>1631</v>
      </c>
      <c r="C46" s="99" t="s">
        <v>1801</v>
      </c>
      <c r="D46" s="99" t="s">
        <v>1795</v>
      </c>
      <c r="E46" s="98" t="s">
        <v>1796</v>
      </c>
      <c r="F46" s="98" t="s">
        <v>1535</v>
      </c>
      <c r="G46" s="98" t="s">
        <v>1517</v>
      </c>
      <c r="H46" s="99" t="s">
        <v>1802</v>
      </c>
      <c r="I46" s="98"/>
      <c r="J46" s="99" t="s">
        <v>1803</v>
      </c>
      <c r="K46" s="98">
        <v>4</v>
      </c>
      <c r="L46" s="98" t="s">
        <v>1637</v>
      </c>
      <c r="M46" s="99" t="s">
        <v>1804</v>
      </c>
      <c r="N46" s="99" t="s">
        <v>379</v>
      </c>
    </row>
    <row r="47" spans="1:14" ht="36" customHeight="1" x14ac:dyDescent="0.25">
      <c r="A47" s="100" t="s">
        <v>1805</v>
      </c>
      <c r="B47" s="100" t="s">
        <v>1640</v>
      </c>
      <c r="C47" s="101" t="s">
        <v>1806</v>
      </c>
      <c r="D47" s="101" t="s">
        <v>1514</v>
      </c>
      <c r="E47" s="100" t="s">
        <v>1807</v>
      </c>
      <c r="F47" s="100" t="s">
        <v>1644</v>
      </c>
      <c r="G47" s="100" t="s">
        <v>1517</v>
      </c>
      <c r="H47" s="101" t="s">
        <v>1808</v>
      </c>
      <c r="I47" s="100"/>
      <c r="J47" s="101" t="s">
        <v>1809</v>
      </c>
      <c r="K47" s="100">
        <v>5</v>
      </c>
      <c r="L47" s="100" t="s">
        <v>1640</v>
      </c>
      <c r="M47" s="101" t="s">
        <v>1810</v>
      </c>
      <c r="N47" s="101" t="s">
        <v>1522</v>
      </c>
    </row>
    <row r="48" spans="1:14" ht="36" customHeight="1" x14ac:dyDescent="0.25">
      <c r="A48" s="100" t="s">
        <v>1811</v>
      </c>
      <c r="B48" s="100" t="s">
        <v>1640</v>
      </c>
      <c r="C48" s="101" t="s">
        <v>1812</v>
      </c>
      <c r="D48" s="101" t="s">
        <v>1514</v>
      </c>
      <c r="E48" s="100" t="s">
        <v>1807</v>
      </c>
      <c r="F48" s="100" t="s">
        <v>1644</v>
      </c>
      <c r="G48" s="100" t="s">
        <v>1517</v>
      </c>
      <c r="H48" s="101" t="s">
        <v>1813</v>
      </c>
      <c r="I48" s="100"/>
      <c r="J48" s="101" t="s">
        <v>1814</v>
      </c>
      <c r="K48" s="100">
        <v>5</v>
      </c>
      <c r="L48" s="100" t="s">
        <v>1640</v>
      </c>
      <c r="M48" s="101" t="s">
        <v>1815</v>
      </c>
      <c r="N48" s="101" t="s">
        <v>1522</v>
      </c>
    </row>
    <row r="49" spans="1:14" ht="36" customHeight="1" x14ac:dyDescent="0.25">
      <c r="A49" s="100" t="s">
        <v>1816</v>
      </c>
      <c r="B49" s="100" t="s">
        <v>1640</v>
      </c>
      <c r="C49" s="101" t="s">
        <v>1817</v>
      </c>
      <c r="D49" s="101" t="s">
        <v>1818</v>
      </c>
      <c r="E49" s="100" t="s">
        <v>1534</v>
      </c>
      <c r="F49" s="100" t="s">
        <v>1644</v>
      </c>
      <c r="G49" s="100" t="s">
        <v>1517</v>
      </c>
      <c r="H49" s="101" t="s">
        <v>1819</v>
      </c>
      <c r="I49" s="100"/>
      <c r="J49" s="101" t="s">
        <v>1820</v>
      </c>
      <c r="K49" s="100">
        <v>4</v>
      </c>
      <c r="L49" s="100" t="s">
        <v>1640</v>
      </c>
      <c r="M49" s="101" t="s">
        <v>1821</v>
      </c>
      <c r="N49" s="101" t="s">
        <v>364</v>
      </c>
    </row>
    <row r="50" spans="1:14" ht="36" customHeight="1" x14ac:dyDescent="0.25">
      <c r="A50" s="100" t="s">
        <v>1822</v>
      </c>
      <c r="B50" s="100" t="s">
        <v>1640</v>
      </c>
      <c r="C50" s="101" t="s">
        <v>1823</v>
      </c>
      <c r="D50" s="101" t="s">
        <v>1514</v>
      </c>
      <c r="E50" s="100" t="s">
        <v>1515</v>
      </c>
      <c r="F50" s="100" t="s">
        <v>1644</v>
      </c>
      <c r="G50" s="100" t="s">
        <v>1683</v>
      </c>
      <c r="H50" s="101" t="s">
        <v>1824</v>
      </c>
      <c r="I50" s="100"/>
      <c r="J50" s="101" t="s">
        <v>1825</v>
      </c>
      <c r="K50" s="100">
        <v>4</v>
      </c>
      <c r="L50" s="100" t="s">
        <v>1686</v>
      </c>
      <c r="M50" s="101" t="s">
        <v>1826</v>
      </c>
      <c r="N50" s="101" t="s">
        <v>1522</v>
      </c>
    </row>
    <row r="51" spans="1:14" ht="36" customHeight="1" x14ac:dyDescent="0.25">
      <c r="A51" s="100" t="s">
        <v>1827</v>
      </c>
      <c r="B51" s="100" t="s">
        <v>1640</v>
      </c>
      <c r="C51" s="101" t="s">
        <v>1828</v>
      </c>
      <c r="D51" s="101" t="s">
        <v>1829</v>
      </c>
      <c r="E51" s="100" t="s">
        <v>1515</v>
      </c>
      <c r="F51" s="100" t="s">
        <v>1644</v>
      </c>
      <c r="G51" s="100" t="s">
        <v>1517</v>
      </c>
      <c r="H51" s="101" t="s">
        <v>1830</v>
      </c>
      <c r="I51" s="100"/>
      <c r="J51" s="101" t="s">
        <v>1831</v>
      </c>
      <c r="K51" s="100">
        <v>5</v>
      </c>
      <c r="L51" s="100" t="s">
        <v>1640</v>
      </c>
      <c r="M51" s="101" t="s">
        <v>1832</v>
      </c>
      <c r="N51" s="101" t="s">
        <v>1522</v>
      </c>
    </row>
    <row r="52" spans="1:14" ht="36" customHeight="1" x14ac:dyDescent="0.25">
      <c r="A52" s="100" t="s">
        <v>1833</v>
      </c>
      <c r="B52" s="100" t="s">
        <v>1640</v>
      </c>
      <c r="C52" s="101" t="s">
        <v>1834</v>
      </c>
      <c r="D52" s="101" t="s">
        <v>1835</v>
      </c>
      <c r="E52" s="100" t="s">
        <v>1515</v>
      </c>
      <c r="F52" s="100" t="s">
        <v>1644</v>
      </c>
      <c r="G52" s="100" t="s">
        <v>1836</v>
      </c>
      <c r="H52" s="101" t="s">
        <v>1837</v>
      </c>
      <c r="I52" s="100"/>
      <c r="J52" s="101" t="s">
        <v>1838</v>
      </c>
      <c r="K52" s="100">
        <v>5</v>
      </c>
      <c r="L52" s="100" t="s">
        <v>1686</v>
      </c>
      <c r="M52" s="101" t="s">
        <v>1839</v>
      </c>
      <c r="N52" s="101" t="s">
        <v>1522</v>
      </c>
    </row>
    <row r="53" spans="1:14" ht="36" customHeight="1" x14ac:dyDescent="0.25">
      <c r="A53" s="100" t="s">
        <v>1840</v>
      </c>
      <c r="B53" s="100" t="s">
        <v>1640</v>
      </c>
      <c r="C53" s="101" t="s">
        <v>1841</v>
      </c>
      <c r="D53" s="101" t="s">
        <v>1842</v>
      </c>
      <c r="E53" s="100" t="s">
        <v>1515</v>
      </c>
      <c r="F53" s="100" t="s">
        <v>1644</v>
      </c>
      <c r="G53" s="100" t="s">
        <v>1843</v>
      </c>
      <c r="H53" s="101" t="s">
        <v>1844</v>
      </c>
      <c r="I53" s="100"/>
      <c r="J53" s="101" t="s">
        <v>1845</v>
      </c>
      <c r="K53" s="100">
        <v>5</v>
      </c>
      <c r="L53" s="100" t="s">
        <v>1686</v>
      </c>
      <c r="M53" s="101" t="s">
        <v>1846</v>
      </c>
      <c r="N53" s="101" t="s">
        <v>1522</v>
      </c>
    </row>
    <row r="54" spans="1:14" ht="36" customHeight="1" x14ac:dyDescent="0.25">
      <c r="A54" s="102" t="s">
        <v>1847</v>
      </c>
      <c r="B54" s="102" t="s">
        <v>1848</v>
      </c>
      <c r="C54" s="103" t="s">
        <v>1849</v>
      </c>
      <c r="D54" s="103" t="s">
        <v>1850</v>
      </c>
      <c r="E54" s="102" t="s">
        <v>1851</v>
      </c>
      <c r="F54" s="102" t="s">
        <v>350</v>
      </c>
      <c r="G54" s="102" t="s">
        <v>1683</v>
      </c>
      <c r="H54" s="103" t="s">
        <v>1852</v>
      </c>
      <c r="I54" s="102"/>
      <c r="J54" s="103" t="s">
        <v>1853</v>
      </c>
      <c r="K54" s="102">
        <v>5</v>
      </c>
      <c r="L54" s="102" t="s">
        <v>1854</v>
      </c>
      <c r="M54" s="103" t="s">
        <v>1855</v>
      </c>
      <c r="N54" s="103" t="s">
        <v>1758</v>
      </c>
    </row>
    <row r="55" spans="1:14" ht="36" customHeight="1" x14ac:dyDescent="0.25">
      <c r="A55" s="102" t="s">
        <v>1856</v>
      </c>
      <c r="B55" s="102" t="s">
        <v>1848</v>
      </c>
      <c r="C55" s="103" t="s">
        <v>1857</v>
      </c>
      <c r="D55" s="103" t="s">
        <v>390</v>
      </c>
      <c r="E55" s="102" t="s">
        <v>1769</v>
      </c>
      <c r="F55" s="102" t="s">
        <v>350</v>
      </c>
      <c r="G55" s="102" t="s">
        <v>1683</v>
      </c>
      <c r="H55" s="103" t="s">
        <v>1858</v>
      </c>
      <c r="I55" s="102"/>
      <c r="J55" s="103" t="s">
        <v>1859</v>
      </c>
      <c r="K55" s="102">
        <v>5</v>
      </c>
      <c r="L55" s="102" t="s">
        <v>1854</v>
      </c>
      <c r="M55" s="103" t="s">
        <v>1860</v>
      </c>
      <c r="N55" s="103" t="s">
        <v>394</v>
      </c>
    </row>
    <row r="56" spans="1:14" ht="36" customHeight="1" x14ac:dyDescent="0.25">
      <c r="A56" s="102" t="s">
        <v>1861</v>
      </c>
      <c r="B56" s="102" t="s">
        <v>1848</v>
      </c>
      <c r="C56" s="103" t="s">
        <v>1862</v>
      </c>
      <c r="D56" s="103" t="s">
        <v>1863</v>
      </c>
      <c r="E56" s="102" t="s">
        <v>1864</v>
      </c>
      <c r="F56" s="102" t="s">
        <v>350</v>
      </c>
      <c r="G56" s="102" t="s">
        <v>1683</v>
      </c>
      <c r="H56" s="103" t="s">
        <v>1865</v>
      </c>
      <c r="I56" s="102"/>
      <c r="J56" s="103" t="s">
        <v>1866</v>
      </c>
      <c r="K56" s="102">
        <v>5</v>
      </c>
      <c r="L56" s="102" t="s">
        <v>1854</v>
      </c>
      <c r="M56" s="103" t="s">
        <v>1867</v>
      </c>
      <c r="N56" s="103" t="s">
        <v>1522</v>
      </c>
    </row>
    <row r="57" spans="1:14" ht="36" customHeight="1" x14ac:dyDescent="0.25">
      <c r="A57" s="104" t="s">
        <v>1868</v>
      </c>
      <c r="B57" s="104" t="s">
        <v>1869</v>
      </c>
      <c r="C57" s="105" t="s">
        <v>1870</v>
      </c>
      <c r="D57" s="105" t="s">
        <v>1514</v>
      </c>
      <c r="E57" s="104" t="s">
        <v>1515</v>
      </c>
      <c r="F57" s="104" t="s">
        <v>1871</v>
      </c>
      <c r="G57" s="104" t="s">
        <v>1872</v>
      </c>
      <c r="H57" s="105" t="s">
        <v>1873</v>
      </c>
      <c r="I57" s="104">
        <v>2024</v>
      </c>
      <c r="J57" s="105" t="s">
        <v>1874</v>
      </c>
      <c r="K57" s="104">
        <v>4</v>
      </c>
      <c r="L57" s="104" t="s">
        <v>1875</v>
      </c>
      <c r="M57" s="105" t="s">
        <v>1876</v>
      </c>
      <c r="N57" s="105" t="s">
        <v>560</v>
      </c>
    </row>
    <row r="58" spans="1:14" ht="36" customHeight="1" x14ac:dyDescent="0.25">
      <c r="A58" s="104" t="s">
        <v>1877</v>
      </c>
      <c r="B58" s="104" t="s">
        <v>1869</v>
      </c>
      <c r="C58" s="105" t="s">
        <v>1878</v>
      </c>
      <c r="D58" s="105" t="s">
        <v>1610</v>
      </c>
      <c r="E58" s="104" t="s">
        <v>1611</v>
      </c>
      <c r="F58" s="104" t="s">
        <v>1553</v>
      </c>
      <c r="G58" s="104" t="s">
        <v>1872</v>
      </c>
      <c r="H58" s="105" t="s">
        <v>1879</v>
      </c>
      <c r="I58" s="104">
        <v>2024</v>
      </c>
      <c r="J58" s="105" t="s">
        <v>1880</v>
      </c>
      <c r="K58" s="104">
        <v>5</v>
      </c>
      <c r="L58" s="104" t="s">
        <v>1881</v>
      </c>
      <c r="M58" s="105" t="s">
        <v>1882</v>
      </c>
      <c r="N58" s="105" t="s">
        <v>351</v>
      </c>
    </row>
    <row r="59" spans="1:14" ht="36" customHeight="1" x14ac:dyDescent="0.25">
      <c r="A59" s="104" t="s">
        <v>1883</v>
      </c>
      <c r="B59" s="104" t="s">
        <v>1869</v>
      </c>
      <c r="C59" s="105" t="s">
        <v>1884</v>
      </c>
      <c r="D59" s="105" t="s">
        <v>1885</v>
      </c>
      <c r="E59" s="104" t="s">
        <v>1886</v>
      </c>
      <c r="F59" s="104" t="s">
        <v>1553</v>
      </c>
      <c r="G59" s="104" t="s">
        <v>1872</v>
      </c>
      <c r="H59" s="105" t="s">
        <v>1887</v>
      </c>
      <c r="I59" s="104">
        <v>2024</v>
      </c>
      <c r="J59" s="105" t="s">
        <v>1888</v>
      </c>
      <c r="K59" s="104">
        <v>4</v>
      </c>
      <c r="L59" s="104" t="s">
        <v>1881</v>
      </c>
      <c r="M59" s="105" t="s">
        <v>1889</v>
      </c>
      <c r="N59" s="105" t="s">
        <v>335</v>
      </c>
    </row>
    <row r="60" spans="1:14" ht="36" customHeight="1" x14ac:dyDescent="0.25">
      <c r="A60" s="104" t="s">
        <v>1890</v>
      </c>
      <c r="B60" s="104" t="s">
        <v>1869</v>
      </c>
      <c r="C60" s="105" t="s">
        <v>1891</v>
      </c>
      <c r="D60" s="105" t="s">
        <v>1892</v>
      </c>
      <c r="E60" s="104" t="s">
        <v>1893</v>
      </c>
      <c r="F60" s="104" t="s">
        <v>1535</v>
      </c>
      <c r="G60" s="104" t="s">
        <v>1683</v>
      </c>
      <c r="H60" s="105" t="s">
        <v>1894</v>
      </c>
      <c r="I60" s="104"/>
      <c r="J60" s="105" t="s">
        <v>1895</v>
      </c>
      <c r="K60" s="104">
        <v>5</v>
      </c>
      <c r="L60" s="104" t="s">
        <v>1896</v>
      </c>
      <c r="M60" s="105" t="s">
        <v>1897</v>
      </c>
      <c r="N60" s="105" t="s">
        <v>560</v>
      </c>
    </row>
    <row r="61" spans="1:14" ht="36" customHeight="1" x14ac:dyDescent="0.25">
      <c r="A61" s="96" t="s">
        <v>1898</v>
      </c>
      <c r="B61" s="96" t="s">
        <v>1596</v>
      </c>
      <c r="C61" s="97" t="s">
        <v>1899</v>
      </c>
      <c r="D61" s="97" t="s">
        <v>1514</v>
      </c>
      <c r="E61" s="96" t="s">
        <v>1515</v>
      </c>
      <c r="F61" s="96" t="s">
        <v>1900</v>
      </c>
      <c r="G61" s="96" t="s">
        <v>1683</v>
      </c>
      <c r="H61" s="97" t="s">
        <v>1901</v>
      </c>
      <c r="I61" s="96"/>
      <c r="J61" s="97" t="s">
        <v>1902</v>
      </c>
      <c r="K61" s="96">
        <v>5</v>
      </c>
      <c r="L61" s="96" t="s">
        <v>1903</v>
      </c>
      <c r="M61" s="97" t="s">
        <v>1904</v>
      </c>
      <c r="N61" s="97" t="s">
        <v>1522</v>
      </c>
    </row>
    <row r="63" spans="1:14" x14ac:dyDescent="0.25">
      <c r="A63" s="193" t="s">
        <v>1905</v>
      </c>
      <c r="B63" s="160"/>
      <c r="C63" s="160"/>
      <c r="D63" s="160"/>
      <c r="E63" s="160"/>
      <c r="F63" s="160"/>
      <c r="G63" s="160"/>
      <c r="H63" s="160"/>
      <c r="I63" s="160"/>
      <c r="J63" s="160"/>
      <c r="K63" s="160"/>
      <c r="L63" s="160"/>
      <c r="M63" s="160"/>
      <c r="N63" s="160"/>
    </row>
  </sheetData>
  <mergeCells count="3">
    <mergeCell ref="A63:N63"/>
    <mergeCell ref="A2:N2"/>
    <mergeCell ref="A1:N1"/>
  </mergeCell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D11"/>
  <sheetViews>
    <sheetView workbookViewId="0">
      <pane xSplit="2" ySplit="5" topLeftCell="C6" activePane="bottomRight" state="frozen"/>
      <selection pane="topRight"/>
      <selection pane="bottomLeft"/>
      <selection pane="bottomRight"/>
    </sheetView>
  </sheetViews>
  <sheetFormatPr defaultRowHeight="15" x14ac:dyDescent="0.25"/>
  <cols>
    <col min="1" max="1" width="17" customWidth="1"/>
    <col min="2" max="2" width="22" customWidth="1"/>
    <col min="3" max="3" width="24" customWidth="1"/>
    <col min="4" max="4" width="52" customWidth="1"/>
    <col min="5" max="5" width="28" customWidth="1"/>
    <col min="6" max="6" width="32" customWidth="1"/>
    <col min="7" max="8" width="13" customWidth="1"/>
    <col min="9" max="9" width="10" customWidth="1"/>
    <col min="10" max="21" width="11" customWidth="1"/>
    <col min="22" max="24" width="14" customWidth="1"/>
    <col min="25" max="25" width="18" customWidth="1"/>
    <col min="26" max="26" width="9" customWidth="1"/>
    <col min="27" max="27" width="14" customWidth="1"/>
    <col min="28" max="28" width="10" customWidth="1"/>
    <col min="29" max="29" width="13" customWidth="1"/>
    <col min="30" max="30" width="52" customWidth="1"/>
  </cols>
  <sheetData>
    <row r="1" spans="1:30" ht="30" customHeight="1" x14ac:dyDescent="0.25">
      <c r="A1" s="202" t="s">
        <v>1906</v>
      </c>
      <c r="B1" s="160"/>
      <c r="C1" s="160"/>
      <c r="D1" s="160"/>
      <c r="E1" s="160"/>
      <c r="F1" s="160"/>
      <c r="G1" s="160"/>
      <c r="H1" s="160"/>
      <c r="I1" s="160"/>
      <c r="J1" s="160"/>
      <c r="K1" s="160"/>
      <c r="L1" s="160"/>
      <c r="M1" s="160"/>
      <c r="N1" s="160"/>
      <c r="O1" s="160"/>
      <c r="P1" s="160"/>
      <c r="Q1" s="160"/>
      <c r="R1" s="160"/>
      <c r="S1" s="160"/>
      <c r="T1" s="160"/>
      <c r="U1" s="160"/>
      <c r="V1" s="160"/>
      <c r="W1" s="160"/>
      <c r="X1" s="160"/>
      <c r="Y1" s="160"/>
      <c r="Z1" s="160"/>
      <c r="AA1" s="160"/>
      <c r="AB1" s="160"/>
      <c r="AC1" s="160"/>
      <c r="AD1" s="160"/>
    </row>
    <row r="2" spans="1:30" ht="15.95" customHeight="1" x14ac:dyDescent="0.25">
      <c r="A2" s="197" t="s">
        <v>1907</v>
      </c>
      <c r="B2" s="160"/>
      <c r="C2" s="160"/>
      <c r="D2" s="160"/>
      <c r="E2" s="160"/>
      <c r="F2" s="160"/>
      <c r="G2" s="160"/>
      <c r="H2" s="160"/>
      <c r="I2" s="160"/>
      <c r="J2" s="160"/>
      <c r="K2" s="160"/>
      <c r="L2" s="160"/>
      <c r="M2" s="160"/>
      <c r="N2" s="160"/>
      <c r="O2" s="160"/>
      <c r="P2" s="160"/>
      <c r="Q2" s="160"/>
      <c r="R2" s="160"/>
      <c r="S2" s="160"/>
      <c r="T2" s="160"/>
      <c r="U2" s="160"/>
      <c r="V2" s="160"/>
      <c r="W2" s="160"/>
      <c r="X2" s="160"/>
      <c r="Y2" s="160"/>
      <c r="Z2" s="160"/>
      <c r="AA2" s="160"/>
      <c r="AB2" s="160"/>
      <c r="AC2" s="160"/>
      <c r="AD2" s="160"/>
    </row>
    <row r="3" spans="1:30" ht="6" customHeight="1" x14ac:dyDescent="0.25"/>
    <row r="4" spans="1:30" ht="20.100000000000001" customHeight="1" x14ac:dyDescent="0.25">
      <c r="A4" s="196" t="s">
        <v>1908</v>
      </c>
      <c r="B4" s="160"/>
      <c r="C4" s="160"/>
      <c r="D4" s="160"/>
      <c r="E4" s="160"/>
      <c r="F4" s="160"/>
      <c r="G4" s="160"/>
      <c r="H4" s="199" t="s">
        <v>1909</v>
      </c>
      <c r="I4" s="160"/>
      <c r="J4" s="201" t="s">
        <v>1910</v>
      </c>
      <c r="K4" s="160"/>
      <c r="L4" s="160"/>
      <c r="M4" s="160"/>
      <c r="N4" s="160"/>
      <c r="O4" s="160"/>
      <c r="P4" s="160"/>
      <c r="Q4" s="160"/>
      <c r="R4" s="160"/>
      <c r="S4" s="160"/>
      <c r="T4" s="160"/>
      <c r="U4" s="160"/>
      <c r="V4" s="195" t="s">
        <v>1911</v>
      </c>
      <c r="W4" s="160"/>
      <c r="X4" s="160"/>
      <c r="Y4" s="160"/>
      <c r="Z4" s="200" t="s">
        <v>1912</v>
      </c>
      <c r="AA4" s="160"/>
      <c r="AB4" s="160"/>
      <c r="AC4" s="203" t="s">
        <v>1913</v>
      </c>
      <c r="AD4" s="160"/>
    </row>
    <row r="5" spans="1:30" ht="56.1" customHeight="1" x14ac:dyDescent="0.25">
      <c r="A5" s="107" t="s">
        <v>846</v>
      </c>
      <c r="B5" s="107" t="s">
        <v>1139</v>
      </c>
      <c r="C5" s="107" t="s">
        <v>1914</v>
      </c>
      <c r="D5" s="107" t="s">
        <v>1915</v>
      </c>
      <c r="E5" s="107" t="s">
        <v>1916</v>
      </c>
      <c r="F5" s="107" t="s">
        <v>1917</v>
      </c>
      <c r="G5" s="107" t="s">
        <v>1140</v>
      </c>
      <c r="H5" s="108" t="s">
        <v>1918</v>
      </c>
      <c r="I5" s="108" t="s">
        <v>1919</v>
      </c>
      <c r="J5" s="109" t="s">
        <v>1920</v>
      </c>
      <c r="K5" s="109" t="s">
        <v>1921</v>
      </c>
      <c r="L5" s="109" t="s">
        <v>1922</v>
      </c>
      <c r="M5" s="109" t="s">
        <v>1923</v>
      </c>
      <c r="N5" s="109" t="s">
        <v>1924</v>
      </c>
      <c r="O5" s="109" t="s">
        <v>1925</v>
      </c>
      <c r="P5" s="109" t="s">
        <v>1926</v>
      </c>
      <c r="Q5" s="109" t="s">
        <v>1927</v>
      </c>
      <c r="R5" s="109" t="s">
        <v>1928</v>
      </c>
      <c r="S5" s="109" t="s">
        <v>1929</v>
      </c>
      <c r="T5" s="109" t="s">
        <v>1930</v>
      </c>
      <c r="U5" s="109" t="s">
        <v>1931</v>
      </c>
      <c r="V5" s="110" t="s">
        <v>1932</v>
      </c>
      <c r="W5" s="110" t="s">
        <v>1933</v>
      </c>
      <c r="X5" s="110" t="s">
        <v>1934</v>
      </c>
      <c r="Y5" s="110" t="s">
        <v>1935</v>
      </c>
      <c r="Z5" s="111" t="s">
        <v>1936</v>
      </c>
      <c r="AA5" s="111" t="s">
        <v>1937</v>
      </c>
      <c r="AB5" s="111" t="s">
        <v>1938</v>
      </c>
      <c r="AC5" s="112" t="s">
        <v>1939</v>
      </c>
      <c r="AD5" s="112" t="s">
        <v>1940</v>
      </c>
    </row>
    <row r="6" spans="1:30" ht="54" customHeight="1" x14ac:dyDescent="0.25">
      <c r="A6" s="113" t="s">
        <v>412</v>
      </c>
      <c r="B6" s="114" t="s">
        <v>413</v>
      </c>
      <c r="C6" s="115" t="s">
        <v>43</v>
      </c>
      <c r="D6" s="115" t="s">
        <v>419</v>
      </c>
      <c r="E6" s="115" t="s">
        <v>351</v>
      </c>
      <c r="F6" s="115" t="s">
        <v>1941</v>
      </c>
      <c r="G6" s="116">
        <v>45175</v>
      </c>
      <c r="H6" s="113" t="s">
        <v>332</v>
      </c>
      <c r="I6" s="117" t="s">
        <v>1942</v>
      </c>
      <c r="J6" s="118" t="s">
        <v>1164</v>
      </c>
      <c r="K6" s="118" t="s">
        <v>1164</v>
      </c>
      <c r="L6" s="118" t="s">
        <v>1164</v>
      </c>
      <c r="M6" s="118" t="s">
        <v>1164</v>
      </c>
      <c r="N6" s="118" t="s">
        <v>1164</v>
      </c>
      <c r="O6" s="118" t="s">
        <v>1164</v>
      </c>
      <c r="P6" s="119" t="s">
        <v>84</v>
      </c>
      <c r="Q6" s="120" t="s">
        <v>56</v>
      </c>
      <c r="R6" s="120" t="s">
        <v>56</v>
      </c>
      <c r="S6" s="120" t="s">
        <v>56</v>
      </c>
      <c r="T6" s="120" t="s">
        <v>56</v>
      </c>
      <c r="U6" s="120" t="s">
        <v>56</v>
      </c>
      <c r="V6" s="116">
        <v>46142</v>
      </c>
      <c r="W6" s="116">
        <v>46203</v>
      </c>
      <c r="X6" s="116">
        <v>46356</v>
      </c>
      <c r="Y6" s="121" t="s">
        <v>1943</v>
      </c>
      <c r="Z6" s="122">
        <v>3.88</v>
      </c>
      <c r="AA6" s="121" t="s">
        <v>53</v>
      </c>
      <c r="AB6" s="121" t="s">
        <v>52</v>
      </c>
      <c r="AC6" s="116">
        <v>45306</v>
      </c>
      <c r="AD6" s="123" t="s">
        <v>1944</v>
      </c>
    </row>
    <row r="7" spans="1:30" ht="54" customHeight="1" x14ac:dyDescent="0.25">
      <c r="A7" s="124" t="s">
        <v>425</v>
      </c>
      <c r="B7" s="125" t="s">
        <v>426</v>
      </c>
      <c r="C7" s="126" t="s">
        <v>91</v>
      </c>
      <c r="D7" s="126" t="s">
        <v>431</v>
      </c>
      <c r="E7" s="126" t="s">
        <v>394</v>
      </c>
      <c r="F7" s="126" t="s">
        <v>1945</v>
      </c>
      <c r="G7" s="127">
        <v>45176</v>
      </c>
      <c r="H7" s="124" t="s">
        <v>430</v>
      </c>
      <c r="I7" s="122" t="s">
        <v>1946</v>
      </c>
      <c r="J7" s="118" t="s">
        <v>1164</v>
      </c>
      <c r="K7" s="118" t="s">
        <v>1164</v>
      </c>
      <c r="L7" s="118" t="s">
        <v>1164</v>
      </c>
      <c r="M7" s="118" t="s">
        <v>1164</v>
      </c>
      <c r="N7" s="118" t="s">
        <v>1164</v>
      </c>
      <c r="O7" s="118" t="s">
        <v>1164</v>
      </c>
      <c r="P7" s="118" t="s">
        <v>1164</v>
      </c>
      <c r="Q7" s="119" t="s">
        <v>84</v>
      </c>
      <c r="R7" s="120" t="s">
        <v>56</v>
      </c>
      <c r="S7" s="120" t="s">
        <v>56</v>
      </c>
      <c r="T7" s="120" t="s">
        <v>56</v>
      </c>
      <c r="U7" s="120" t="s">
        <v>56</v>
      </c>
      <c r="V7" s="127">
        <v>45930</v>
      </c>
      <c r="W7" s="127">
        <v>45991</v>
      </c>
      <c r="X7" s="127">
        <v>46081</v>
      </c>
      <c r="Y7" s="128" t="s">
        <v>1943</v>
      </c>
      <c r="Z7" s="122">
        <v>3.71</v>
      </c>
      <c r="AA7" s="128" t="s">
        <v>53</v>
      </c>
      <c r="AB7" s="128" t="s">
        <v>52</v>
      </c>
      <c r="AC7" s="127">
        <v>45306</v>
      </c>
      <c r="AD7" s="129" t="s">
        <v>1947</v>
      </c>
    </row>
    <row r="8" spans="1:30" ht="54" customHeight="1" x14ac:dyDescent="0.25">
      <c r="A8" s="113" t="s">
        <v>438</v>
      </c>
      <c r="B8" s="114" t="s">
        <v>439</v>
      </c>
      <c r="C8" s="115" t="s">
        <v>65</v>
      </c>
      <c r="D8" s="115" t="s">
        <v>444</v>
      </c>
      <c r="E8" s="115" t="s">
        <v>278</v>
      </c>
      <c r="F8" s="115" t="s">
        <v>1948</v>
      </c>
      <c r="G8" s="116">
        <v>45173</v>
      </c>
      <c r="H8" s="113" t="s">
        <v>405</v>
      </c>
      <c r="I8" s="130" t="s">
        <v>1262</v>
      </c>
      <c r="J8" s="118" t="s">
        <v>1164</v>
      </c>
      <c r="K8" s="119" t="s">
        <v>84</v>
      </c>
      <c r="L8" s="119" t="s">
        <v>84</v>
      </c>
      <c r="M8" s="119" t="s">
        <v>84</v>
      </c>
      <c r="N8" s="120" t="s">
        <v>56</v>
      </c>
      <c r="O8" s="120" t="s">
        <v>56</v>
      </c>
      <c r="P8" s="120" t="s">
        <v>56</v>
      </c>
      <c r="Q8" s="120" t="s">
        <v>56</v>
      </c>
      <c r="R8" s="120" t="s">
        <v>56</v>
      </c>
      <c r="S8" s="120" t="s">
        <v>56</v>
      </c>
      <c r="T8" s="120" t="s">
        <v>56</v>
      </c>
      <c r="U8" s="120" t="s">
        <v>56</v>
      </c>
      <c r="V8" s="116">
        <v>46203</v>
      </c>
      <c r="W8" s="116">
        <v>46265</v>
      </c>
      <c r="X8" s="116">
        <v>46356</v>
      </c>
      <c r="Y8" s="121" t="s">
        <v>1943</v>
      </c>
      <c r="Z8" s="117">
        <v>3.65</v>
      </c>
      <c r="AA8" s="121" t="s">
        <v>53</v>
      </c>
      <c r="AB8" s="121" t="s">
        <v>52</v>
      </c>
      <c r="AC8" s="116">
        <v>45306</v>
      </c>
      <c r="AD8" s="123" t="s">
        <v>1949</v>
      </c>
    </row>
    <row r="9" spans="1:30" ht="54" customHeight="1" x14ac:dyDescent="0.25">
      <c r="A9" s="124" t="s">
        <v>451</v>
      </c>
      <c r="B9" s="125" t="s">
        <v>452</v>
      </c>
      <c r="C9" s="126" t="s">
        <v>106</v>
      </c>
      <c r="D9" s="126" t="s">
        <v>456</v>
      </c>
      <c r="E9" s="126" t="s">
        <v>301</v>
      </c>
      <c r="F9" s="126" t="s">
        <v>1950</v>
      </c>
      <c r="G9" s="127">
        <v>45540</v>
      </c>
      <c r="H9" s="124" t="s">
        <v>348</v>
      </c>
      <c r="I9" s="130" t="s">
        <v>1951</v>
      </c>
      <c r="J9" s="118" t="s">
        <v>1164</v>
      </c>
      <c r="K9" s="118" t="s">
        <v>1164</v>
      </c>
      <c r="L9" s="118" t="s">
        <v>1164</v>
      </c>
      <c r="M9" s="118" t="s">
        <v>1164</v>
      </c>
      <c r="N9" s="119" t="s">
        <v>84</v>
      </c>
      <c r="O9" s="120" t="s">
        <v>56</v>
      </c>
      <c r="P9" s="120" t="s">
        <v>56</v>
      </c>
      <c r="Q9" s="120" t="s">
        <v>56</v>
      </c>
      <c r="R9" s="120" t="s">
        <v>56</v>
      </c>
      <c r="S9" s="120" t="s">
        <v>56</v>
      </c>
      <c r="T9" s="120" t="s">
        <v>56</v>
      </c>
      <c r="U9" s="120" t="s">
        <v>56</v>
      </c>
      <c r="V9" s="127">
        <v>46387</v>
      </c>
      <c r="W9" s="127">
        <v>46387</v>
      </c>
      <c r="X9" s="127">
        <v>46387</v>
      </c>
      <c r="Y9" s="128" t="s">
        <v>1943</v>
      </c>
      <c r="Z9" s="117">
        <v>3.42</v>
      </c>
      <c r="AA9" s="128" t="s">
        <v>53</v>
      </c>
      <c r="AB9" s="128" t="s">
        <v>52</v>
      </c>
      <c r="AC9" s="127">
        <v>45306</v>
      </c>
      <c r="AD9" s="129" t="s">
        <v>1952</v>
      </c>
    </row>
    <row r="11" spans="1:30" ht="15.95" customHeight="1" x14ac:dyDescent="0.25">
      <c r="A11" s="198" t="s">
        <v>1953</v>
      </c>
      <c r="B11" s="160"/>
      <c r="C11" s="160"/>
      <c r="D11" s="160"/>
      <c r="E11" s="160"/>
      <c r="F11" s="160"/>
      <c r="G11" s="160"/>
      <c r="H11" s="160"/>
      <c r="I11" s="160"/>
      <c r="J11" s="160"/>
      <c r="K11" s="160"/>
      <c r="L11" s="160"/>
      <c r="M11" s="160"/>
      <c r="N11" s="160"/>
      <c r="O11" s="160"/>
      <c r="P11" s="160"/>
      <c r="Q11" s="160"/>
      <c r="R11" s="160"/>
      <c r="S11" s="160"/>
      <c r="T11" s="160"/>
      <c r="U11" s="160"/>
      <c r="V11" s="160"/>
      <c r="W11" s="160"/>
      <c r="X11" s="160"/>
      <c r="Y11" s="160"/>
      <c r="Z11" s="160"/>
      <c r="AA11" s="160"/>
      <c r="AB11" s="160"/>
      <c r="AC11" s="160"/>
      <c r="AD11" s="160"/>
    </row>
  </sheetData>
  <mergeCells count="9">
    <mergeCell ref="A1:AD1"/>
    <mergeCell ref="AC4:AD4"/>
    <mergeCell ref="V4:Y4"/>
    <mergeCell ref="A4:G4"/>
    <mergeCell ref="A2:AD2"/>
    <mergeCell ref="A11:AD11"/>
    <mergeCell ref="H4:I4"/>
    <mergeCell ref="Z4:AB4"/>
    <mergeCell ref="J4:U4"/>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54"/>
  <sheetViews>
    <sheetView workbookViewId="0">
      <pane ySplit="5" topLeftCell="A6" activePane="bottomLeft" state="frozen"/>
      <selection pane="bottomLeft"/>
    </sheetView>
  </sheetViews>
  <sheetFormatPr defaultRowHeight="15" x14ac:dyDescent="0.25"/>
  <cols>
    <col min="1" max="1" width="6" customWidth="1"/>
    <col min="2" max="2" width="22" customWidth="1"/>
    <col min="3" max="3" width="10" customWidth="1"/>
    <col min="4" max="4" width="13" customWidth="1"/>
    <col min="5" max="5" width="52" customWidth="1"/>
    <col min="6" max="6" width="45" customWidth="1"/>
    <col min="7" max="7" width="42" customWidth="1"/>
    <col min="8" max="8" width="40" customWidth="1"/>
    <col min="9" max="9" width="38" customWidth="1"/>
    <col min="10" max="10" width="48" customWidth="1"/>
    <col min="11" max="11" width="36" customWidth="1"/>
    <col min="12" max="12" width="34" customWidth="1"/>
  </cols>
  <sheetData>
    <row r="1" spans="1:12" ht="30" customHeight="1" x14ac:dyDescent="0.25">
      <c r="A1" s="202" t="s">
        <v>1954</v>
      </c>
      <c r="B1" s="160"/>
      <c r="C1" s="160"/>
      <c r="D1" s="160"/>
      <c r="E1" s="160"/>
      <c r="F1" s="160"/>
      <c r="G1" s="160"/>
      <c r="H1" s="160"/>
      <c r="I1" s="160"/>
      <c r="J1" s="160"/>
      <c r="K1" s="160"/>
      <c r="L1" s="160"/>
    </row>
    <row r="2" spans="1:12" ht="15.95" customHeight="1" x14ac:dyDescent="0.25">
      <c r="A2" s="197" t="s">
        <v>1955</v>
      </c>
      <c r="B2" s="160"/>
      <c r="C2" s="160"/>
      <c r="D2" s="160"/>
      <c r="E2" s="160"/>
      <c r="F2" s="160"/>
      <c r="G2" s="160"/>
      <c r="H2" s="160"/>
      <c r="I2" s="160"/>
      <c r="J2" s="160"/>
      <c r="K2" s="160"/>
      <c r="L2" s="160"/>
    </row>
    <row r="3" spans="1:12" ht="6" customHeight="1" x14ac:dyDescent="0.25"/>
    <row r="4" spans="1:12" ht="21.95" customHeight="1" x14ac:dyDescent="0.25">
      <c r="A4" s="211" t="s">
        <v>1956</v>
      </c>
      <c r="B4" s="160"/>
      <c r="C4" s="160"/>
      <c r="D4" s="160"/>
      <c r="E4" s="160"/>
      <c r="F4" s="160"/>
      <c r="G4" s="160"/>
      <c r="H4" s="160"/>
      <c r="I4" s="160"/>
      <c r="J4" s="160"/>
      <c r="K4" s="160"/>
      <c r="L4" s="160"/>
    </row>
    <row r="5" spans="1:12" ht="44.1" customHeight="1" x14ac:dyDescent="0.25">
      <c r="A5" s="107" t="s">
        <v>1957</v>
      </c>
      <c r="B5" s="107" t="s">
        <v>1958</v>
      </c>
      <c r="C5" s="107" t="s">
        <v>1959</v>
      </c>
      <c r="D5" s="107" t="s">
        <v>1960</v>
      </c>
      <c r="E5" s="107" t="s">
        <v>1961</v>
      </c>
      <c r="F5" s="107" t="s">
        <v>1962</v>
      </c>
      <c r="G5" s="107" t="s">
        <v>1963</v>
      </c>
      <c r="H5" s="107" t="s">
        <v>1964</v>
      </c>
      <c r="I5" s="107" t="s">
        <v>1965</v>
      </c>
      <c r="J5" s="107" t="s">
        <v>1966</v>
      </c>
      <c r="K5" s="107" t="s">
        <v>1967</v>
      </c>
      <c r="L5" s="107" t="s">
        <v>1968</v>
      </c>
    </row>
    <row r="6" spans="1:12" ht="99.95" customHeight="1" x14ac:dyDescent="0.25">
      <c r="A6" s="131">
        <v>1</v>
      </c>
      <c r="B6" s="132" t="s">
        <v>1969</v>
      </c>
      <c r="C6" s="133" t="s">
        <v>1970</v>
      </c>
      <c r="D6" s="133" t="s">
        <v>1971</v>
      </c>
      <c r="E6" s="134" t="s">
        <v>1972</v>
      </c>
      <c r="F6" s="134" t="s">
        <v>1973</v>
      </c>
      <c r="G6" s="134" t="s">
        <v>1974</v>
      </c>
      <c r="H6" s="134" t="s">
        <v>1975</v>
      </c>
      <c r="I6" s="134" t="s">
        <v>1976</v>
      </c>
      <c r="J6" s="134" t="s">
        <v>1977</v>
      </c>
      <c r="K6" s="134" t="s">
        <v>1978</v>
      </c>
      <c r="L6" s="134" t="s">
        <v>1979</v>
      </c>
    </row>
    <row r="7" spans="1:12" ht="99.95" customHeight="1" x14ac:dyDescent="0.25">
      <c r="A7" s="135">
        <v>2</v>
      </c>
      <c r="B7" s="136" t="s">
        <v>1980</v>
      </c>
      <c r="C7" s="137" t="s">
        <v>1981</v>
      </c>
      <c r="D7" s="137" t="s">
        <v>1982</v>
      </c>
      <c r="E7" s="138" t="s">
        <v>1983</v>
      </c>
      <c r="F7" s="138" t="s">
        <v>1984</v>
      </c>
      <c r="G7" s="138" t="s">
        <v>1985</v>
      </c>
      <c r="H7" s="138" t="s">
        <v>1986</v>
      </c>
      <c r="I7" s="138" t="s">
        <v>1987</v>
      </c>
      <c r="J7" s="138" t="s">
        <v>1988</v>
      </c>
      <c r="K7" s="138" t="s">
        <v>1989</v>
      </c>
      <c r="L7" s="138" t="s">
        <v>1990</v>
      </c>
    </row>
    <row r="8" spans="1:12" ht="99.95" customHeight="1" x14ac:dyDescent="0.25">
      <c r="A8" s="139">
        <v>3</v>
      </c>
      <c r="B8" s="140" t="s">
        <v>1991</v>
      </c>
      <c r="C8" s="141" t="s">
        <v>1992</v>
      </c>
      <c r="D8" s="141" t="s">
        <v>1993</v>
      </c>
      <c r="E8" s="142" t="s">
        <v>1994</v>
      </c>
      <c r="F8" s="142" t="s">
        <v>1995</v>
      </c>
      <c r="G8" s="142" t="s">
        <v>1996</v>
      </c>
      <c r="H8" s="142" t="s">
        <v>1997</v>
      </c>
      <c r="I8" s="142" t="s">
        <v>1998</v>
      </c>
      <c r="J8" s="142" t="s">
        <v>1999</v>
      </c>
      <c r="K8" s="142" t="s">
        <v>2000</v>
      </c>
      <c r="L8" s="142" t="s">
        <v>2001</v>
      </c>
    </row>
    <row r="9" spans="1:12" ht="99.95" customHeight="1" x14ac:dyDescent="0.25">
      <c r="A9" s="143">
        <v>4</v>
      </c>
      <c r="B9" s="144" t="s">
        <v>2002</v>
      </c>
      <c r="C9" s="145" t="s">
        <v>2003</v>
      </c>
      <c r="D9" s="145" t="s">
        <v>2004</v>
      </c>
      <c r="E9" s="146" t="s">
        <v>2005</v>
      </c>
      <c r="F9" s="146" t="s">
        <v>2006</v>
      </c>
      <c r="G9" s="146" t="s">
        <v>2007</v>
      </c>
      <c r="H9" s="146" t="s">
        <v>2008</v>
      </c>
      <c r="I9" s="146" t="s">
        <v>2009</v>
      </c>
      <c r="J9" s="146" t="s">
        <v>2010</v>
      </c>
      <c r="K9" s="146" t="s">
        <v>2011</v>
      </c>
      <c r="L9" s="146" t="s">
        <v>2012</v>
      </c>
    </row>
    <row r="10" spans="1:12" ht="99.95" customHeight="1" x14ac:dyDescent="0.25">
      <c r="A10" s="131">
        <v>5</v>
      </c>
      <c r="B10" s="132" t="s">
        <v>2013</v>
      </c>
      <c r="C10" s="133" t="s">
        <v>2014</v>
      </c>
      <c r="D10" s="133" t="s">
        <v>2015</v>
      </c>
      <c r="E10" s="134" t="s">
        <v>2016</v>
      </c>
      <c r="F10" s="134" t="s">
        <v>2017</v>
      </c>
      <c r="G10" s="134" t="s">
        <v>2018</v>
      </c>
      <c r="H10" s="134" t="s">
        <v>2019</v>
      </c>
      <c r="I10" s="134" t="s">
        <v>2020</v>
      </c>
      <c r="J10" s="134" t="s">
        <v>2021</v>
      </c>
      <c r="K10" s="134" t="s">
        <v>2022</v>
      </c>
      <c r="L10" s="134" t="s">
        <v>2023</v>
      </c>
    </row>
    <row r="11" spans="1:12" ht="99.95" customHeight="1" x14ac:dyDescent="0.25">
      <c r="A11" s="135">
        <v>6</v>
      </c>
      <c r="B11" s="136" t="s">
        <v>2024</v>
      </c>
      <c r="C11" s="137" t="s">
        <v>2025</v>
      </c>
      <c r="D11" s="137" t="s">
        <v>2026</v>
      </c>
      <c r="E11" s="138" t="s">
        <v>2027</v>
      </c>
      <c r="F11" s="138" t="s">
        <v>2028</v>
      </c>
      <c r="G11" s="138" t="s">
        <v>2029</v>
      </c>
      <c r="H11" s="138" t="s">
        <v>2030</v>
      </c>
      <c r="I11" s="138" t="s">
        <v>2031</v>
      </c>
      <c r="J11" s="138" t="s">
        <v>2032</v>
      </c>
      <c r="K11" s="138" t="s">
        <v>2033</v>
      </c>
      <c r="L11" s="138" t="s">
        <v>2034</v>
      </c>
    </row>
    <row r="12" spans="1:12" ht="99.95" customHeight="1" x14ac:dyDescent="0.25">
      <c r="A12" s="139">
        <v>7</v>
      </c>
      <c r="B12" s="140" t="s">
        <v>350</v>
      </c>
      <c r="C12" s="141" t="s">
        <v>2035</v>
      </c>
      <c r="D12" s="141" t="s">
        <v>2036</v>
      </c>
      <c r="E12" s="142" t="s">
        <v>2037</v>
      </c>
      <c r="F12" s="142" t="s">
        <v>2038</v>
      </c>
      <c r="G12" s="142" t="s">
        <v>2039</v>
      </c>
      <c r="H12" s="142" t="s">
        <v>2040</v>
      </c>
      <c r="I12" s="142" t="s">
        <v>2041</v>
      </c>
      <c r="J12" s="142" t="s">
        <v>2042</v>
      </c>
      <c r="K12" s="142" t="s">
        <v>2043</v>
      </c>
      <c r="L12" s="142" t="s">
        <v>2044</v>
      </c>
    </row>
    <row r="13" spans="1:12" ht="99.95" customHeight="1" x14ac:dyDescent="0.25">
      <c r="A13" s="143">
        <v>8</v>
      </c>
      <c r="B13" s="144" t="s">
        <v>2045</v>
      </c>
      <c r="C13" s="145" t="s">
        <v>2046</v>
      </c>
      <c r="D13" s="145" t="s">
        <v>2047</v>
      </c>
      <c r="E13" s="146" t="s">
        <v>2048</v>
      </c>
      <c r="F13" s="146" t="s">
        <v>2049</v>
      </c>
      <c r="G13" s="146" t="s">
        <v>2050</v>
      </c>
      <c r="H13" s="146" t="s">
        <v>2051</v>
      </c>
      <c r="I13" s="146" t="s">
        <v>2052</v>
      </c>
      <c r="J13" s="146" t="s">
        <v>2053</v>
      </c>
      <c r="K13" s="146" t="s">
        <v>2054</v>
      </c>
      <c r="L13" s="146" t="s">
        <v>2055</v>
      </c>
    </row>
    <row r="14" spans="1:12" ht="99.95" customHeight="1" x14ac:dyDescent="0.25">
      <c r="A14" s="131">
        <v>9</v>
      </c>
      <c r="B14" s="132" t="s">
        <v>2056</v>
      </c>
      <c r="C14" s="133" t="s">
        <v>2057</v>
      </c>
      <c r="D14" s="133" t="s">
        <v>2015</v>
      </c>
      <c r="E14" s="134" t="s">
        <v>2058</v>
      </c>
      <c r="F14" s="134" t="s">
        <v>2059</v>
      </c>
      <c r="G14" s="134" t="s">
        <v>2060</v>
      </c>
      <c r="H14" s="134" t="s">
        <v>2061</v>
      </c>
      <c r="I14" s="134" t="s">
        <v>2062</v>
      </c>
      <c r="J14" s="134" t="s">
        <v>2063</v>
      </c>
      <c r="K14" s="134" t="s">
        <v>2064</v>
      </c>
      <c r="L14" s="134" t="s">
        <v>2065</v>
      </c>
    </row>
    <row r="15" spans="1:12" ht="99.95" customHeight="1" x14ac:dyDescent="0.25">
      <c r="A15" s="135">
        <v>10</v>
      </c>
      <c r="B15" s="136" t="s">
        <v>1151</v>
      </c>
      <c r="C15" s="137" t="s">
        <v>2066</v>
      </c>
      <c r="D15" s="137" t="s">
        <v>2067</v>
      </c>
      <c r="E15" s="138" t="s">
        <v>2068</v>
      </c>
      <c r="F15" s="138" t="s">
        <v>2069</v>
      </c>
      <c r="G15" s="138" t="s">
        <v>2070</v>
      </c>
      <c r="H15" s="138" t="s">
        <v>2071</v>
      </c>
      <c r="I15" s="138" t="s">
        <v>2072</v>
      </c>
      <c r="J15" s="138" t="s">
        <v>2073</v>
      </c>
      <c r="K15" s="138" t="s">
        <v>2074</v>
      </c>
      <c r="L15" s="138" t="s">
        <v>2075</v>
      </c>
    </row>
    <row r="16" spans="1:12" ht="99.95" customHeight="1" x14ac:dyDescent="0.25">
      <c r="A16" s="139">
        <v>11</v>
      </c>
      <c r="B16" s="140" t="s">
        <v>2076</v>
      </c>
      <c r="C16" s="141" t="s">
        <v>2077</v>
      </c>
      <c r="D16" s="141" t="s">
        <v>2078</v>
      </c>
      <c r="E16" s="142" t="s">
        <v>2079</v>
      </c>
      <c r="F16" s="142" t="s">
        <v>2080</v>
      </c>
      <c r="G16" s="142" t="s">
        <v>2081</v>
      </c>
      <c r="H16" s="142" t="s">
        <v>2082</v>
      </c>
      <c r="I16" s="142" t="s">
        <v>2083</v>
      </c>
      <c r="J16" s="142" t="s">
        <v>2084</v>
      </c>
      <c r="K16" s="142" t="s">
        <v>2085</v>
      </c>
      <c r="L16" s="142" t="s">
        <v>2086</v>
      </c>
    </row>
    <row r="17" spans="1:12" ht="99.95" customHeight="1" x14ac:dyDescent="0.25">
      <c r="A17" s="147">
        <v>12</v>
      </c>
      <c r="B17" s="148" t="s">
        <v>2087</v>
      </c>
      <c r="C17" s="149" t="s">
        <v>2077</v>
      </c>
      <c r="D17" s="149" t="s">
        <v>2088</v>
      </c>
      <c r="E17" s="150" t="s">
        <v>2089</v>
      </c>
      <c r="F17" s="150" t="s">
        <v>2090</v>
      </c>
      <c r="G17" s="150" t="s">
        <v>2091</v>
      </c>
      <c r="H17" s="150" t="s">
        <v>2092</v>
      </c>
      <c r="I17" s="150" t="s">
        <v>2093</v>
      </c>
      <c r="J17" s="150" t="s">
        <v>2094</v>
      </c>
      <c r="K17" s="150" t="s">
        <v>2095</v>
      </c>
      <c r="L17" s="150" t="s">
        <v>2096</v>
      </c>
    </row>
    <row r="18" spans="1:12" ht="12" customHeight="1" x14ac:dyDescent="0.25"/>
    <row r="19" spans="1:12" ht="20.100000000000001" customHeight="1" x14ac:dyDescent="0.25">
      <c r="A19" s="207" t="s">
        <v>2097</v>
      </c>
      <c r="B19" s="160"/>
      <c r="C19" s="160"/>
      <c r="D19" s="160"/>
      <c r="E19" s="160"/>
      <c r="F19" s="160"/>
      <c r="G19" s="160"/>
      <c r="H19" s="160"/>
      <c r="I19" s="160"/>
      <c r="J19" s="160"/>
      <c r="K19" s="160"/>
      <c r="L19" s="160"/>
    </row>
    <row r="20" spans="1:12" ht="30" customHeight="1" x14ac:dyDescent="0.25">
      <c r="A20" s="106" t="s">
        <v>2098</v>
      </c>
      <c r="B20" s="106" t="s">
        <v>2099</v>
      </c>
      <c r="C20" s="106" t="s">
        <v>2100</v>
      </c>
      <c r="D20" s="106" t="s">
        <v>2101</v>
      </c>
      <c r="E20" s="106" t="s">
        <v>2102</v>
      </c>
      <c r="F20" s="106" t="s">
        <v>2103</v>
      </c>
      <c r="G20" s="210" t="s">
        <v>2104</v>
      </c>
      <c r="H20" s="160"/>
      <c r="I20" s="160"/>
      <c r="J20" s="160"/>
      <c r="K20" s="160"/>
      <c r="L20" s="160"/>
    </row>
    <row r="21" spans="1:12" ht="36" customHeight="1" x14ac:dyDescent="0.25">
      <c r="A21" s="121" t="s">
        <v>2105</v>
      </c>
      <c r="B21" s="115" t="s">
        <v>560</v>
      </c>
      <c r="C21" s="115" t="s">
        <v>2106</v>
      </c>
      <c r="D21" s="115" t="s">
        <v>2107</v>
      </c>
      <c r="E21" s="115" t="s">
        <v>2108</v>
      </c>
      <c r="F21" s="115" t="s">
        <v>2109</v>
      </c>
      <c r="G21" s="160"/>
      <c r="H21" s="160"/>
      <c r="I21" s="160"/>
      <c r="J21" s="160"/>
      <c r="K21" s="160"/>
      <c r="L21" s="160"/>
    </row>
    <row r="22" spans="1:12" ht="36" customHeight="1" x14ac:dyDescent="0.25">
      <c r="A22" s="128" t="s">
        <v>2110</v>
      </c>
      <c r="B22" s="126" t="s">
        <v>2111</v>
      </c>
      <c r="C22" s="126" t="s">
        <v>2112</v>
      </c>
      <c r="D22" s="126" t="s">
        <v>2113</v>
      </c>
      <c r="E22" s="126" t="s">
        <v>2114</v>
      </c>
      <c r="F22" s="126" t="s">
        <v>2115</v>
      </c>
      <c r="G22" s="160"/>
      <c r="H22" s="160"/>
      <c r="I22" s="160"/>
      <c r="J22" s="160"/>
      <c r="K22" s="160"/>
      <c r="L22" s="160"/>
    </row>
    <row r="23" spans="1:12" ht="36" customHeight="1" x14ac:dyDescent="0.25">
      <c r="A23" s="121" t="s">
        <v>2116</v>
      </c>
      <c r="B23" s="115" t="s">
        <v>2117</v>
      </c>
      <c r="C23" s="115" t="s">
        <v>2118</v>
      </c>
      <c r="D23" s="115" t="s">
        <v>2119</v>
      </c>
      <c r="E23" s="115" t="s">
        <v>2120</v>
      </c>
      <c r="F23" s="115" t="s">
        <v>2121</v>
      </c>
      <c r="G23" s="160"/>
      <c r="H23" s="160"/>
      <c r="I23" s="160"/>
      <c r="J23" s="160"/>
      <c r="K23" s="160"/>
      <c r="L23" s="160"/>
    </row>
    <row r="24" spans="1:12" ht="36" customHeight="1" x14ac:dyDescent="0.25">
      <c r="A24" s="128" t="s">
        <v>2122</v>
      </c>
      <c r="B24" s="126" t="s">
        <v>2123</v>
      </c>
      <c r="C24" s="126" t="s">
        <v>2124</v>
      </c>
      <c r="D24" s="126" t="s">
        <v>2125</v>
      </c>
      <c r="E24" s="126" t="s">
        <v>2126</v>
      </c>
      <c r="F24" s="126" t="s">
        <v>2127</v>
      </c>
      <c r="G24" s="160"/>
      <c r="H24" s="160"/>
      <c r="I24" s="160"/>
      <c r="J24" s="160"/>
      <c r="K24" s="160"/>
      <c r="L24" s="160"/>
    </row>
    <row r="25" spans="1:12" ht="36" customHeight="1" x14ac:dyDescent="0.25">
      <c r="A25" s="121" t="s">
        <v>2128</v>
      </c>
      <c r="B25" s="115" t="s">
        <v>2129</v>
      </c>
      <c r="C25" s="115" t="s">
        <v>2130</v>
      </c>
      <c r="D25" s="115" t="s">
        <v>2131</v>
      </c>
      <c r="E25" s="115" t="s">
        <v>2132</v>
      </c>
      <c r="F25" s="115" t="s">
        <v>2133</v>
      </c>
      <c r="G25" s="160"/>
      <c r="H25" s="160"/>
      <c r="I25" s="160"/>
      <c r="J25" s="160"/>
      <c r="K25" s="160"/>
      <c r="L25" s="160"/>
    </row>
    <row r="26" spans="1:12" ht="36" customHeight="1" x14ac:dyDescent="0.25">
      <c r="A26" s="128" t="s">
        <v>2134</v>
      </c>
      <c r="B26" s="126" t="s">
        <v>2135</v>
      </c>
      <c r="C26" s="126" t="s">
        <v>2136</v>
      </c>
      <c r="D26" s="126" t="s">
        <v>2137</v>
      </c>
      <c r="E26" s="126" t="s">
        <v>2138</v>
      </c>
      <c r="F26" s="126" t="s">
        <v>2139</v>
      </c>
      <c r="G26" s="160"/>
      <c r="H26" s="160"/>
      <c r="I26" s="160"/>
      <c r="J26" s="160"/>
      <c r="K26" s="160"/>
      <c r="L26" s="160"/>
    </row>
    <row r="27" spans="1:12" ht="36" customHeight="1" x14ac:dyDescent="0.25">
      <c r="A27" s="121" t="s">
        <v>2140</v>
      </c>
      <c r="B27" s="115" t="s">
        <v>2141</v>
      </c>
      <c r="C27" s="115" t="s">
        <v>2142</v>
      </c>
      <c r="D27" s="115" t="s">
        <v>2143</v>
      </c>
      <c r="E27" s="115" t="s">
        <v>2144</v>
      </c>
      <c r="F27" s="115" t="s">
        <v>2145</v>
      </c>
      <c r="G27" s="160"/>
      <c r="H27" s="160"/>
      <c r="I27" s="160"/>
      <c r="J27" s="160"/>
      <c r="K27" s="160"/>
      <c r="L27" s="160"/>
    </row>
    <row r="28" spans="1:12" ht="36" customHeight="1" x14ac:dyDescent="0.25">
      <c r="A28" s="128" t="s">
        <v>2146</v>
      </c>
      <c r="B28" s="126" t="s">
        <v>2147</v>
      </c>
      <c r="C28" s="126" t="s">
        <v>2148</v>
      </c>
      <c r="D28" s="126" t="s">
        <v>2149</v>
      </c>
      <c r="E28" s="126" t="s">
        <v>2150</v>
      </c>
      <c r="F28" s="126" t="s">
        <v>2151</v>
      </c>
      <c r="G28" s="160"/>
      <c r="H28" s="160"/>
      <c r="I28" s="160"/>
      <c r="J28" s="160"/>
      <c r="K28" s="160"/>
      <c r="L28" s="160"/>
    </row>
    <row r="29" spans="1:12" ht="36" customHeight="1" x14ac:dyDescent="0.25">
      <c r="A29" s="121" t="s">
        <v>2152</v>
      </c>
      <c r="B29" s="115" t="s">
        <v>2153</v>
      </c>
      <c r="C29" s="115" t="s">
        <v>2154</v>
      </c>
      <c r="D29" s="115" t="s">
        <v>2155</v>
      </c>
      <c r="E29" s="115" t="s">
        <v>2156</v>
      </c>
      <c r="F29" s="115" t="s">
        <v>2157</v>
      </c>
      <c r="G29" s="160"/>
      <c r="H29" s="160"/>
      <c r="I29" s="160"/>
      <c r="J29" s="160"/>
      <c r="K29" s="160"/>
      <c r="L29" s="160"/>
    </row>
    <row r="30" spans="1:12" ht="36" customHeight="1" x14ac:dyDescent="0.25">
      <c r="A30" s="128" t="s">
        <v>2158</v>
      </c>
      <c r="B30" s="126" t="s">
        <v>2159</v>
      </c>
      <c r="C30" s="126" t="s">
        <v>2160</v>
      </c>
      <c r="D30" s="126" t="s">
        <v>2161</v>
      </c>
      <c r="E30" s="126" t="s">
        <v>2162</v>
      </c>
      <c r="F30" s="126" t="s">
        <v>2163</v>
      </c>
      <c r="G30" s="160"/>
      <c r="H30" s="160"/>
      <c r="I30" s="160"/>
      <c r="J30" s="160"/>
      <c r="K30" s="160"/>
      <c r="L30" s="160"/>
    </row>
    <row r="32" spans="1:12" ht="12" customHeight="1" x14ac:dyDescent="0.25"/>
    <row r="33" spans="1:12" ht="20.100000000000001" customHeight="1" x14ac:dyDescent="0.25">
      <c r="A33" s="207" t="s">
        <v>2164</v>
      </c>
      <c r="B33" s="160"/>
      <c r="C33" s="160"/>
      <c r="D33" s="160"/>
      <c r="E33" s="160"/>
      <c r="F33" s="160"/>
      <c r="G33" s="160"/>
      <c r="H33" s="160"/>
      <c r="I33" s="160"/>
      <c r="J33" s="160"/>
      <c r="K33" s="160"/>
      <c r="L33" s="160"/>
    </row>
    <row r="34" spans="1:12" ht="27.95" customHeight="1" x14ac:dyDescent="0.25">
      <c r="A34" s="106" t="s">
        <v>2165</v>
      </c>
      <c r="B34" s="106" t="s">
        <v>2166</v>
      </c>
      <c r="C34" s="106" t="s">
        <v>2167</v>
      </c>
      <c r="D34" s="106" t="s">
        <v>2168</v>
      </c>
      <c r="E34" s="106" t="s">
        <v>2169</v>
      </c>
      <c r="F34" s="106" t="s">
        <v>2170</v>
      </c>
      <c r="G34" s="160"/>
      <c r="H34" s="160"/>
      <c r="I34" s="160"/>
      <c r="J34" s="160"/>
      <c r="K34" s="160"/>
      <c r="L34" s="160"/>
    </row>
    <row r="35" spans="1:12" ht="68.099999999999994" customHeight="1" x14ac:dyDescent="0.25">
      <c r="A35" s="151" t="s">
        <v>2171</v>
      </c>
      <c r="B35" s="151" t="s">
        <v>107</v>
      </c>
      <c r="C35" s="151" t="s">
        <v>2172</v>
      </c>
      <c r="D35" s="151" t="s">
        <v>2173</v>
      </c>
      <c r="E35" s="151" t="s">
        <v>2174</v>
      </c>
      <c r="F35" s="151" t="s">
        <v>2175</v>
      </c>
      <c r="G35" s="160"/>
      <c r="H35" s="160"/>
      <c r="I35" s="160"/>
      <c r="J35" s="160"/>
      <c r="K35" s="160"/>
      <c r="L35" s="160"/>
    </row>
    <row r="36" spans="1:12" ht="68.099999999999994" customHeight="1" x14ac:dyDescent="0.25">
      <c r="A36" s="152" t="s">
        <v>2176</v>
      </c>
      <c r="B36" s="152" t="s">
        <v>2177</v>
      </c>
      <c r="C36" s="152" t="s">
        <v>2178</v>
      </c>
      <c r="D36" s="152" t="s">
        <v>2179</v>
      </c>
      <c r="E36" s="152" t="s">
        <v>2180</v>
      </c>
      <c r="F36" s="152" t="s">
        <v>2181</v>
      </c>
      <c r="G36" s="160"/>
      <c r="H36" s="160"/>
      <c r="I36" s="160"/>
      <c r="J36" s="160"/>
      <c r="K36" s="160"/>
      <c r="L36" s="160"/>
    </row>
    <row r="37" spans="1:12" ht="68.099999999999994" customHeight="1" x14ac:dyDescent="0.25">
      <c r="A37" s="151" t="s">
        <v>2182</v>
      </c>
      <c r="B37" s="151" t="s">
        <v>44</v>
      </c>
      <c r="C37" s="151" t="s">
        <v>2183</v>
      </c>
      <c r="D37" s="151" t="s">
        <v>2184</v>
      </c>
      <c r="E37" s="151" t="s">
        <v>2185</v>
      </c>
      <c r="F37" s="151" t="s">
        <v>2186</v>
      </c>
      <c r="G37" s="160"/>
      <c r="H37" s="160"/>
      <c r="I37" s="160"/>
      <c r="J37" s="160"/>
      <c r="K37" s="160"/>
      <c r="L37" s="160"/>
    </row>
    <row r="38" spans="1:12" ht="68.099999999999994" customHeight="1" x14ac:dyDescent="0.25">
      <c r="A38" s="152" t="s">
        <v>2187</v>
      </c>
      <c r="B38" s="152" t="s">
        <v>2188</v>
      </c>
      <c r="C38" s="152" t="s">
        <v>2189</v>
      </c>
      <c r="D38" s="152" t="s">
        <v>2190</v>
      </c>
      <c r="E38" s="152" t="s">
        <v>2191</v>
      </c>
      <c r="F38" s="152" t="s">
        <v>2192</v>
      </c>
      <c r="G38" s="160"/>
      <c r="H38" s="160"/>
      <c r="I38" s="160"/>
      <c r="J38" s="160"/>
      <c r="K38" s="160"/>
      <c r="L38" s="160"/>
    </row>
    <row r="40" spans="1:12" ht="12" customHeight="1" x14ac:dyDescent="0.25"/>
    <row r="41" spans="1:12" ht="20.100000000000001" customHeight="1" x14ac:dyDescent="0.25">
      <c r="A41" s="207" t="s">
        <v>2193</v>
      </c>
      <c r="B41" s="160"/>
      <c r="C41" s="160"/>
      <c r="D41" s="160"/>
      <c r="E41" s="160"/>
      <c r="F41" s="160"/>
      <c r="G41" s="160"/>
      <c r="H41" s="160"/>
      <c r="I41" s="160"/>
      <c r="J41" s="160"/>
      <c r="K41" s="160"/>
      <c r="L41" s="160"/>
    </row>
    <row r="42" spans="1:12" ht="27.95" customHeight="1" x14ac:dyDescent="0.25">
      <c r="A42" s="199" t="s">
        <v>2194</v>
      </c>
      <c r="B42" s="160"/>
      <c r="C42" s="199" t="s">
        <v>2195</v>
      </c>
      <c r="D42" s="160"/>
      <c r="E42" s="199" t="s">
        <v>2196</v>
      </c>
      <c r="F42" s="160"/>
      <c r="G42" s="160"/>
      <c r="H42" s="160"/>
      <c r="I42" s="160"/>
      <c r="J42" s="160"/>
      <c r="K42" s="160"/>
      <c r="L42" s="160"/>
    </row>
    <row r="43" spans="1:12" ht="51.95" customHeight="1" x14ac:dyDescent="0.25">
      <c r="A43" s="208" t="s">
        <v>2197</v>
      </c>
      <c r="B43" s="160"/>
      <c r="C43" s="209" t="s">
        <v>2198</v>
      </c>
      <c r="D43" s="160"/>
      <c r="E43" s="204" t="s">
        <v>2199</v>
      </c>
      <c r="F43" s="160"/>
      <c r="G43" s="160"/>
      <c r="H43" s="160"/>
      <c r="I43" s="160"/>
      <c r="J43" s="160"/>
      <c r="K43" s="160"/>
      <c r="L43" s="160"/>
    </row>
    <row r="44" spans="1:12" ht="51.95" customHeight="1" x14ac:dyDescent="0.25">
      <c r="A44" s="206" t="s">
        <v>2200</v>
      </c>
      <c r="B44" s="160"/>
      <c r="C44" s="209" t="s">
        <v>2198</v>
      </c>
      <c r="D44" s="160"/>
      <c r="E44" s="205" t="s">
        <v>2201</v>
      </c>
      <c r="F44" s="160"/>
      <c r="G44" s="160"/>
      <c r="H44" s="160"/>
      <c r="I44" s="160"/>
      <c r="J44" s="160"/>
      <c r="K44" s="160"/>
      <c r="L44" s="160"/>
    </row>
    <row r="45" spans="1:12" ht="51.95" customHeight="1" x14ac:dyDescent="0.25">
      <c r="A45" s="208" t="s">
        <v>2202</v>
      </c>
      <c r="B45" s="160"/>
      <c r="C45" s="209" t="s">
        <v>2203</v>
      </c>
      <c r="D45" s="160"/>
      <c r="E45" s="204" t="s">
        <v>2204</v>
      </c>
      <c r="F45" s="160"/>
      <c r="G45" s="160"/>
      <c r="H45" s="160"/>
      <c r="I45" s="160"/>
      <c r="J45" s="160"/>
      <c r="K45" s="160"/>
      <c r="L45" s="160"/>
    </row>
    <row r="46" spans="1:12" ht="51.95" customHeight="1" x14ac:dyDescent="0.25">
      <c r="A46" s="206" t="s">
        <v>2205</v>
      </c>
      <c r="B46" s="160"/>
      <c r="C46" s="209" t="s">
        <v>2203</v>
      </c>
      <c r="D46" s="160"/>
      <c r="E46" s="205" t="s">
        <v>2206</v>
      </c>
      <c r="F46" s="160"/>
      <c r="G46" s="160"/>
      <c r="H46" s="160"/>
      <c r="I46" s="160"/>
      <c r="J46" s="160"/>
      <c r="K46" s="160"/>
      <c r="L46" s="160"/>
    </row>
    <row r="47" spans="1:12" ht="51.95" customHeight="1" x14ac:dyDescent="0.25">
      <c r="A47" s="208" t="s">
        <v>2207</v>
      </c>
      <c r="B47" s="160"/>
      <c r="C47" s="209" t="s">
        <v>2208</v>
      </c>
      <c r="D47" s="160"/>
      <c r="E47" s="204" t="s">
        <v>2209</v>
      </c>
      <c r="F47" s="160"/>
      <c r="G47" s="160"/>
      <c r="H47" s="160"/>
      <c r="I47" s="160"/>
      <c r="J47" s="160"/>
      <c r="K47" s="160"/>
      <c r="L47" s="160"/>
    </row>
    <row r="48" spans="1:12" ht="51.95" customHeight="1" x14ac:dyDescent="0.25">
      <c r="A48" s="206" t="s">
        <v>2210</v>
      </c>
      <c r="B48" s="160"/>
      <c r="C48" s="209" t="s">
        <v>2208</v>
      </c>
      <c r="D48" s="160"/>
      <c r="E48" s="205" t="s">
        <v>2211</v>
      </c>
      <c r="F48" s="160"/>
      <c r="G48" s="160"/>
      <c r="H48" s="160"/>
      <c r="I48" s="160"/>
      <c r="J48" s="160"/>
      <c r="K48" s="160"/>
      <c r="L48" s="160"/>
    </row>
    <row r="49" spans="1:12" ht="51.95" customHeight="1" x14ac:dyDescent="0.25">
      <c r="A49" s="208" t="s">
        <v>2212</v>
      </c>
      <c r="B49" s="160"/>
      <c r="C49" s="209" t="s">
        <v>2213</v>
      </c>
      <c r="D49" s="160"/>
      <c r="E49" s="204" t="s">
        <v>2214</v>
      </c>
      <c r="F49" s="160"/>
      <c r="G49" s="160"/>
      <c r="H49" s="160"/>
      <c r="I49" s="160"/>
      <c r="J49" s="160"/>
      <c r="K49" s="160"/>
      <c r="L49" s="160"/>
    </row>
    <row r="50" spans="1:12" ht="51.95" customHeight="1" x14ac:dyDescent="0.25">
      <c r="A50" s="206" t="s">
        <v>2215</v>
      </c>
      <c r="B50" s="160"/>
      <c r="C50" s="209" t="s">
        <v>2216</v>
      </c>
      <c r="D50" s="160"/>
      <c r="E50" s="205" t="s">
        <v>2217</v>
      </c>
      <c r="F50" s="160"/>
      <c r="G50" s="160"/>
      <c r="H50" s="160"/>
      <c r="I50" s="160"/>
      <c r="J50" s="160"/>
      <c r="K50" s="160"/>
      <c r="L50" s="160"/>
    </row>
    <row r="51" spans="1:12" ht="51.95" customHeight="1" x14ac:dyDescent="0.25">
      <c r="A51" s="208" t="s">
        <v>2218</v>
      </c>
      <c r="B51" s="160"/>
      <c r="C51" s="209" t="s">
        <v>2219</v>
      </c>
      <c r="D51" s="160"/>
      <c r="E51" s="204" t="s">
        <v>2220</v>
      </c>
      <c r="F51" s="160"/>
      <c r="G51" s="160"/>
      <c r="H51" s="160"/>
      <c r="I51" s="160"/>
      <c r="J51" s="160"/>
      <c r="K51" s="160"/>
      <c r="L51" s="160"/>
    </row>
    <row r="52" spans="1:12" ht="51.95" customHeight="1" x14ac:dyDescent="0.25">
      <c r="A52" s="206" t="s">
        <v>2221</v>
      </c>
      <c r="B52" s="160"/>
      <c r="C52" s="209" t="s">
        <v>2219</v>
      </c>
      <c r="D52" s="160"/>
      <c r="E52" s="205" t="s">
        <v>2222</v>
      </c>
      <c r="F52" s="160"/>
      <c r="G52" s="160"/>
      <c r="H52" s="160"/>
      <c r="I52" s="160"/>
      <c r="J52" s="160"/>
      <c r="K52" s="160"/>
      <c r="L52" s="160"/>
    </row>
    <row r="54" spans="1:12" ht="18" customHeight="1" x14ac:dyDescent="0.25">
      <c r="A54" s="198" t="s">
        <v>2223</v>
      </c>
      <c r="B54" s="160"/>
      <c r="C54" s="160"/>
      <c r="D54" s="160"/>
      <c r="E54" s="160"/>
      <c r="F54" s="160"/>
      <c r="G54" s="160"/>
      <c r="H54" s="160"/>
      <c r="I54" s="160"/>
      <c r="J54" s="160"/>
      <c r="K54" s="160"/>
      <c r="L54" s="160"/>
    </row>
  </sheetData>
  <mergeCells count="56">
    <mergeCell ref="A1:L1"/>
    <mergeCell ref="G23:L23"/>
    <mergeCell ref="A44:B44"/>
    <mergeCell ref="G38:L38"/>
    <mergeCell ref="A19:L19"/>
    <mergeCell ref="C51:D51"/>
    <mergeCell ref="G22:L22"/>
    <mergeCell ref="A47:B47"/>
    <mergeCell ref="A42:B42"/>
    <mergeCell ref="E46:L46"/>
    <mergeCell ref="E49:L49"/>
    <mergeCell ref="E45:L45"/>
    <mergeCell ref="C48:D48"/>
    <mergeCell ref="G21:L21"/>
    <mergeCell ref="G27:L27"/>
    <mergeCell ref="G36:L36"/>
    <mergeCell ref="A43:B43"/>
    <mergeCell ref="A2:L2"/>
    <mergeCell ref="G24:L24"/>
    <mergeCell ref="E44:L44"/>
    <mergeCell ref="C47:D47"/>
    <mergeCell ref="A33:L33"/>
    <mergeCell ref="E47:L47"/>
    <mergeCell ref="A46:B46"/>
    <mergeCell ref="C44:D44"/>
    <mergeCell ref="G35:L35"/>
    <mergeCell ref="G26:L26"/>
    <mergeCell ref="G20:L20"/>
    <mergeCell ref="G29:L29"/>
    <mergeCell ref="A4:L4"/>
    <mergeCell ref="C43:D43"/>
    <mergeCell ref="G25:L25"/>
    <mergeCell ref="C46:D46"/>
    <mergeCell ref="G28:L28"/>
    <mergeCell ref="A49:B49"/>
    <mergeCell ref="A51:B51"/>
    <mergeCell ref="C42:D42"/>
    <mergeCell ref="A45:B45"/>
    <mergeCell ref="E42:L42"/>
    <mergeCell ref="C45:D45"/>
    <mergeCell ref="G34:L34"/>
    <mergeCell ref="G30:L30"/>
    <mergeCell ref="E48:L48"/>
    <mergeCell ref="E51:L51"/>
    <mergeCell ref="C50:D50"/>
    <mergeCell ref="A50:B50"/>
    <mergeCell ref="C49:D49"/>
    <mergeCell ref="E43:L43"/>
    <mergeCell ref="E50:L50"/>
    <mergeCell ref="A48:B48"/>
    <mergeCell ref="A54:L54"/>
    <mergeCell ref="G37:L37"/>
    <mergeCell ref="A41:L41"/>
    <mergeCell ref="E52:L52"/>
    <mergeCell ref="C52:D52"/>
    <mergeCell ref="A52:B5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Students</vt:lpstr>
      <vt:lpstr>Courses</vt:lpstr>
      <vt:lpstr>Enrolments</vt:lpstr>
      <vt:lpstr>Grades</vt:lpstr>
      <vt:lpstr>Attendance</vt:lpstr>
      <vt:lpstr>Fee Records</vt:lpstr>
      <vt:lpstr>Payments</vt:lpstr>
      <vt:lpstr>Scholarships</vt:lpstr>
      <vt:lpstr>Dashboard</vt:lpstr>
      <vt:lpstr>Journey Tracker</vt:lpstr>
      <vt:lpstr>Rankings Dashboard</vt:lpstr>
      <vt:lpstr>PG Research Tracker</vt:lpstr>
      <vt:lpstr>PG Academic Support</vt:lpstr>
      <vt:lpstr>Library Resources</vt:lpstr>
      <vt:lpstr>PhD Journey Tracker</vt:lpstr>
      <vt:lpstr>PhD Academic Support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 ELITE</cp:lastModifiedBy>
  <cp:revision>0</cp:revision>
  <dcterms:created xsi:type="dcterms:W3CDTF">2026-04-15T09:55:39Z</dcterms:created>
  <dcterms:modified xsi:type="dcterms:W3CDTF">2026-06-04T13:02:13Z</dcterms:modified>
  <dc:language>en-US</dc:language>
</cp:coreProperties>
</file>