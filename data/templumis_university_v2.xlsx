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projects\templumIS\data\"/>
    </mc:Choice>
  </mc:AlternateContent>
  <xr:revisionPtr revIDLastSave="0" documentId="8_{9E7EC28C-5823-42D4-9452-0ECECDD90039}" xr6:coauthVersionLast="47" xr6:coauthVersionMax="47" xr10:uidLastSave="{00000000-0000-0000-0000-000000000000}"/>
  <bookViews>
    <workbookView xWindow="-120" yWindow="-120" windowWidth="29040" windowHeight="15720" tabRatio="500" xr2:uid="{00000000-000D-0000-FFFF-FFFF00000000}"/>
  </bookViews>
  <sheets>
    <sheet name="Students" sheetId="1" r:id="rId1"/>
    <sheet name="Courses" sheetId="2" r:id="rId2"/>
    <sheet name="Enrolments" sheetId="3" r:id="rId3"/>
    <sheet name="Grades" sheetId="4" r:id="rId4"/>
    <sheet name="Attendance" sheetId="5" r:id="rId5"/>
    <sheet name="Fee Records" sheetId="6" r:id="rId6"/>
    <sheet name="Payments" sheetId="7" r:id="rId7"/>
    <sheet name="Scholarships" sheetId="8" r:id="rId8"/>
    <sheet name="Dashboard" sheetId="9" r:id="rId9"/>
    <sheet name="Journey Tracker" sheetId="10" r:id="rId10"/>
    <sheet name="Rankings Dashboard" sheetId="11" r:id="rId11"/>
    <sheet name="PG Research Tracker" sheetId="12" r:id="rId12"/>
    <sheet name="PG Academic Support" sheetId="13" r:id="rId13"/>
    <sheet name="Library Resources" sheetId="14" r:id="rId14"/>
    <sheet name="PhD Journey Tracker" sheetId="15" r:id="rId15"/>
    <sheet name="PhD Academic Support" sheetId="16" r:id="rId16"/>
    <sheet name="Demo Accounts" sheetId="17" r:id="rId17"/>
    <sheet name="NSFAS Student Tracking" sheetId="18" r:id="rId18"/>
    <sheet name="NSFAS Reports" sheetId="19" r:id="rId19"/>
  </sheet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E78" i="19" l="1"/>
  <c r="D78" i="19"/>
  <c r="C78" i="19"/>
  <c r="B78" i="19"/>
  <c r="A78" i="19"/>
  <c r="E77" i="19"/>
  <c r="D77" i="19"/>
  <c r="C77" i="19"/>
  <c r="B77" i="19"/>
  <c r="A77" i="19"/>
  <c r="E76" i="19"/>
  <c r="D76" i="19"/>
  <c r="C76" i="19"/>
  <c r="B76" i="19"/>
  <c r="A76" i="19"/>
  <c r="E75" i="19"/>
  <c r="D75" i="19"/>
  <c r="C75" i="19"/>
  <c r="B75" i="19"/>
  <c r="A75" i="19"/>
  <c r="E74" i="19"/>
  <c r="D74" i="19"/>
  <c r="C74" i="19"/>
  <c r="B74" i="19"/>
  <c r="A74" i="19"/>
  <c r="E73" i="19"/>
  <c r="D73" i="19"/>
  <c r="C73" i="19"/>
  <c r="B73" i="19"/>
  <c r="A73" i="19"/>
  <c r="E72" i="19"/>
  <c r="D72" i="19"/>
  <c r="C72" i="19"/>
  <c r="B72" i="19"/>
  <c r="A72" i="19"/>
  <c r="E71" i="19"/>
  <c r="D71" i="19"/>
  <c r="C71" i="19"/>
  <c r="B71" i="19"/>
  <c r="A71" i="19"/>
  <c r="E70" i="19"/>
  <c r="D70" i="19"/>
  <c r="C70" i="19"/>
  <c r="B70" i="19"/>
  <c r="A70" i="19"/>
  <c r="E69" i="19"/>
  <c r="D69" i="19"/>
  <c r="C69" i="19"/>
  <c r="B69" i="19"/>
  <c r="A69" i="19"/>
  <c r="E68" i="19"/>
  <c r="D68" i="19"/>
  <c r="C68" i="19"/>
  <c r="B68" i="19"/>
  <c r="A68" i="19"/>
  <c r="E67" i="19"/>
  <c r="D67" i="19"/>
  <c r="C67" i="19"/>
  <c r="B67" i="19"/>
  <c r="A67" i="19"/>
  <c r="E66" i="19"/>
  <c r="D66" i="19"/>
  <c r="C66" i="19"/>
  <c r="B66" i="19"/>
  <c r="A66" i="19"/>
  <c r="E65" i="19"/>
  <c r="D65" i="19"/>
  <c r="C65" i="19"/>
  <c r="B65" i="19"/>
  <c r="A65" i="19"/>
  <c r="E64" i="19"/>
  <c r="D64" i="19"/>
  <c r="C64" i="19"/>
  <c r="B64" i="19"/>
  <c r="A64" i="19"/>
  <c r="E63" i="19"/>
  <c r="D63" i="19"/>
  <c r="C63" i="19"/>
  <c r="B63" i="19"/>
  <c r="A63" i="19"/>
  <c r="E62" i="19"/>
  <c r="D62" i="19"/>
  <c r="C62" i="19"/>
  <c r="B62" i="19"/>
  <c r="A62" i="19"/>
  <c r="E61" i="19"/>
  <c r="D61" i="19"/>
  <c r="C61" i="19"/>
  <c r="B61" i="19"/>
  <c r="A61" i="19"/>
  <c r="E60" i="19"/>
  <c r="D60" i="19"/>
  <c r="C60" i="19"/>
  <c r="B60" i="19"/>
  <c r="A60" i="19"/>
  <c r="E59" i="19"/>
  <c r="D59" i="19"/>
  <c r="C59" i="19"/>
  <c r="B59" i="19"/>
  <c r="A59" i="19"/>
  <c r="B55" i="19"/>
  <c r="B54" i="19"/>
  <c r="B53" i="19"/>
  <c r="B52" i="19"/>
  <c r="B51" i="19"/>
  <c r="B50" i="19"/>
  <c r="B49" i="19"/>
  <c r="B48" i="19"/>
  <c r="B47" i="19"/>
  <c r="B38" i="19"/>
  <c r="B16" i="19"/>
  <c r="B15" i="19"/>
  <c r="B14" i="19"/>
  <c r="B13" i="19"/>
  <c r="G9" i="19"/>
  <c r="E9" i="19"/>
  <c r="C9" i="19"/>
  <c r="A9" i="19"/>
  <c r="A6" i="19"/>
  <c r="X24" i="18"/>
  <c r="Y24" i="18" s="1"/>
  <c r="V24" i="18"/>
  <c r="K78" i="19" s="1"/>
  <c r="T24" i="18"/>
  <c r="S24" i="18"/>
  <c r="I78" i="19" s="1"/>
  <c r="R24" i="18"/>
  <c r="H78" i="19" s="1"/>
  <c r="Q24" i="18"/>
  <c r="G78" i="19" s="1"/>
  <c r="L24" i="18"/>
  <c r="I24" i="18"/>
  <c r="H24" i="18"/>
  <c r="O24" i="18" s="1"/>
  <c r="Z23" i="18"/>
  <c r="L77" i="19" s="1"/>
  <c r="Y23" i="18"/>
  <c r="X23" i="18"/>
  <c r="V23" i="18"/>
  <c r="K77" i="19" s="1"/>
  <c r="T23" i="18"/>
  <c r="S23" i="18"/>
  <c r="I77" i="19" s="1"/>
  <c r="R23" i="18"/>
  <c r="H77" i="19" s="1"/>
  <c r="K23" i="18"/>
  <c r="I23" i="18"/>
  <c r="H23" i="18"/>
  <c r="O23" i="18" s="1"/>
  <c r="Z22" i="18"/>
  <c r="L76" i="19" s="1"/>
  <c r="Y22" i="18"/>
  <c r="X22" i="18"/>
  <c r="V22" i="18"/>
  <c r="K76" i="19" s="1"/>
  <c r="T22" i="18"/>
  <c r="S22" i="18"/>
  <c r="C47" i="19" s="1"/>
  <c r="R22" i="18"/>
  <c r="H76" i="19" s="1"/>
  <c r="Q22" i="18"/>
  <c r="G76" i="19" s="1"/>
  <c r="L22" i="18"/>
  <c r="I22" i="18"/>
  <c r="H22" i="18"/>
  <c r="O22" i="18" s="1"/>
  <c r="Z21" i="18"/>
  <c r="L75" i="19" s="1"/>
  <c r="Y21" i="18"/>
  <c r="X21" i="18"/>
  <c r="V21" i="18"/>
  <c r="K75" i="19" s="1"/>
  <c r="T21" i="18"/>
  <c r="S21" i="18"/>
  <c r="I75" i="19" s="1"/>
  <c r="R21" i="18"/>
  <c r="H75" i="19" s="1"/>
  <c r="K21" i="18"/>
  <c r="I21" i="18"/>
  <c r="H21" i="18"/>
  <c r="O21" i="18" s="1"/>
  <c r="Z20" i="18"/>
  <c r="L74" i="19" s="1"/>
  <c r="Y20" i="18"/>
  <c r="X20" i="18"/>
  <c r="V20" i="18"/>
  <c r="K74" i="19" s="1"/>
  <c r="T20" i="18"/>
  <c r="S20" i="18"/>
  <c r="I74" i="19" s="1"/>
  <c r="R20" i="18"/>
  <c r="H74" i="19" s="1"/>
  <c r="L20" i="18"/>
  <c r="I20" i="18"/>
  <c r="H20" i="18"/>
  <c r="O20" i="18" s="1"/>
  <c r="Z19" i="18"/>
  <c r="L73" i="19" s="1"/>
  <c r="Y19" i="18"/>
  <c r="X19" i="18"/>
  <c r="V19" i="18"/>
  <c r="K73" i="19" s="1"/>
  <c r="T19" i="18"/>
  <c r="S19" i="18"/>
  <c r="I73" i="19" s="1"/>
  <c r="R19" i="18"/>
  <c r="H73" i="19" s="1"/>
  <c r="K19" i="18"/>
  <c r="I19" i="18"/>
  <c r="H19" i="18"/>
  <c r="O19" i="18" s="1"/>
  <c r="Z18" i="18"/>
  <c r="L72" i="19" s="1"/>
  <c r="Y18" i="18"/>
  <c r="X18" i="18"/>
  <c r="V18" i="18"/>
  <c r="K72" i="19" s="1"/>
  <c r="T18" i="18"/>
  <c r="S18" i="18"/>
  <c r="I72" i="19" s="1"/>
  <c r="R18" i="18"/>
  <c r="H72" i="19" s="1"/>
  <c r="L18" i="18"/>
  <c r="I18" i="18"/>
  <c r="H18" i="18"/>
  <c r="O18" i="18" s="1"/>
  <c r="Z17" i="18"/>
  <c r="L71" i="19" s="1"/>
  <c r="Y17" i="18"/>
  <c r="X17" i="18"/>
  <c r="V17" i="18"/>
  <c r="K71" i="19" s="1"/>
  <c r="T17" i="18"/>
  <c r="S17" i="18"/>
  <c r="I71" i="19" s="1"/>
  <c r="R17" i="18"/>
  <c r="H71" i="19" s="1"/>
  <c r="K17" i="18"/>
  <c r="I17" i="18"/>
  <c r="H17" i="18"/>
  <c r="O17" i="18" s="1"/>
  <c r="Z16" i="18"/>
  <c r="L70" i="19" s="1"/>
  <c r="Y16" i="18"/>
  <c r="X16" i="18"/>
  <c r="V16" i="18"/>
  <c r="K70" i="19" s="1"/>
  <c r="T16" i="18"/>
  <c r="S16" i="18"/>
  <c r="I70" i="19" s="1"/>
  <c r="R16" i="18"/>
  <c r="H70" i="19" s="1"/>
  <c r="Q16" i="18"/>
  <c r="D15" i="19" s="1"/>
  <c r="L16" i="18"/>
  <c r="I16" i="18"/>
  <c r="H16" i="18"/>
  <c r="O16" i="18" s="1"/>
  <c r="Z15" i="18"/>
  <c r="L69" i="19" s="1"/>
  <c r="Y15" i="18"/>
  <c r="X15" i="18"/>
  <c r="V15" i="18"/>
  <c r="K69" i="19" s="1"/>
  <c r="T15" i="18"/>
  <c r="S15" i="18"/>
  <c r="C55" i="19" s="1"/>
  <c r="R15" i="18"/>
  <c r="H69" i="19" s="1"/>
  <c r="K15" i="18"/>
  <c r="I15" i="18"/>
  <c r="H15" i="18"/>
  <c r="O15" i="18" s="1"/>
  <c r="Z14" i="18"/>
  <c r="L68" i="19" s="1"/>
  <c r="Y14" i="18"/>
  <c r="X14" i="18"/>
  <c r="V14" i="18"/>
  <c r="K68" i="19" s="1"/>
  <c r="T14" i="18"/>
  <c r="S14" i="18"/>
  <c r="I68" i="19" s="1"/>
  <c r="R14" i="18"/>
  <c r="H68" i="19" s="1"/>
  <c r="L14" i="18"/>
  <c r="I14" i="18"/>
  <c r="H14" i="18"/>
  <c r="O14" i="18" s="1"/>
  <c r="Z13" i="18"/>
  <c r="L67" i="19" s="1"/>
  <c r="Y13" i="18"/>
  <c r="X13" i="18"/>
  <c r="V13" i="18"/>
  <c r="K67" i="19" s="1"/>
  <c r="T13" i="18"/>
  <c r="S13" i="18"/>
  <c r="I67" i="19" s="1"/>
  <c r="R13" i="18"/>
  <c r="H67" i="19" s="1"/>
  <c r="K13" i="18"/>
  <c r="I13" i="18"/>
  <c r="H13" i="18"/>
  <c r="O13" i="18" s="1"/>
  <c r="Z12" i="18"/>
  <c r="L66" i="19" s="1"/>
  <c r="Y12" i="18"/>
  <c r="X12" i="18"/>
  <c r="V12" i="18"/>
  <c r="K66" i="19" s="1"/>
  <c r="T12" i="18"/>
  <c r="S12" i="18"/>
  <c r="I66" i="19" s="1"/>
  <c r="R12" i="18"/>
  <c r="H66" i="19" s="1"/>
  <c r="L12" i="18"/>
  <c r="I12" i="18"/>
  <c r="H12" i="18"/>
  <c r="O12" i="18" s="1"/>
  <c r="Z11" i="18"/>
  <c r="L65" i="19" s="1"/>
  <c r="Y11" i="18"/>
  <c r="X11" i="18"/>
  <c r="V11" i="18"/>
  <c r="K65" i="19" s="1"/>
  <c r="T11" i="18"/>
  <c r="S11" i="18"/>
  <c r="C51" i="19" s="1"/>
  <c r="R11" i="18"/>
  <c r="H65" i="19" s="1"/>
  <c r="K11" i="18"/>
  <c r="I11" i="18"/>
  <c r="H11" i="18"/>
  <c r="O11" i="18" s="1"/>
  <c r="Z10" i="18"/>
  <c r="L64" i="19" s="1"/>
  <c r="Y10" i="18"/>
  <c r="X10" i="18"/>
  <c r="V10" i="18"/>
  <c r="K64" i="19" s="1"/>
  <c r="T10" i="18"/>
  <c r="S10" i="18"/>
  <c r="I64" i="19" s="1"/>
  <c r="R10" i="18"/>
  <c r="H64" i="19" s="1"/>
  <c r="L10" i="18"/>
  <c r="I10" i="18"/>
  <c r="H10" i="18"/>
  <c r="O10" i="18" s="1"/>
  <c r="Z9" i="18"/>
  <c r="L63" i="19" s="1"/>
  <c r="Y9" i="18"/>
  <c r="X9" i="18"/>
  <c r="V9" i="18"/>
  <c r="K63" i="19" s="1"/>
  <c r="T9" i="18"/>
  <c r="S9" i="18"/>
  <c r="C50" i="19" s="1"/>
  <c r="R9" i="18"/>
  <c r="H63" i="19" s="1"/>
  <c r="K9" i="18"/>
  <c r="I9" i="18"/>
  <c r="H9" i="18"/>
  <c r="O9" i="18" s="1"/>
  <c r="Z8" i="18"/>
  <c r="L62" i="19" s="1"/>
  <c r="Y8" i="18"/>
  <c r="X8" i="18"/>
  <c r="V8" i="18"/>
  <c r="K62" i="19" s="1"/>
  <c r="T8" i="18"/>
  <c r="S8" i="18"/>
  <c r="I62" i="19" s="1"/>
  <c r="R8" i="18"/>
  <c r="H62" i="19" s="1"/>
  <c r="L8" i="18"/>
  <c r="I8" i="18"/>
  <c r="H8" i="18"/>
  <c r="O8" i="18" s="1"/>
  <c r="Z7" i="18"/>
  <c r="L61" i="19" s="1"/>
  <c r="Y7" i="18"/>
  <c r="X7" i="18"/>
  <c r="V7" i="18"/>
  <c r="K61" i="19" s="1"/>
  <c r="T7" i="18"/>
  <c r="S7" i="18"/>
  <c r="C52" i="19" s="1"/>
  <c r="R7" i="18"/>
  <c r="H61" i="19" s="1"/>
  <c r="K7" i="18"/>
  <c r="I7" i="18"/>
  <c r="H7" i="18"/>
  <c r="O7" i="18" s="1"/>
  <c r="Z6" i="18"/>
  <c r="L60" i="19" s="1"/>
  <c r="Y6" i="18"/>
  <c r="X6" i="18"/>
  <c r="V6" i="18"/>
  <c r="K60" i="19" s="1"/>
  <c r="T6" i="18"/>
  <c r="S6" i="18"/>
  <c r="I60" i="19" s="1"/>
  <c r="R6" i="18"/>
  <c r="H60" i="19" s="1"/>
  <c r="L6" i="18"/>
  <c r="I6" i="18"/>
  <c r="H6" i="18"/>
  <c r="O6" i="18" s="1"/>
  <c r="Z5" i="18"/>
  <c r="Y5" i="18"/>
  <c r="X5" i="18"/>
  <c r="V5" i="18"/>
  <c r="B23" i="19" s="1"/>
  <c r="T5" i="18"/>
  <c r="S5" i="18"/>
  <c r="C49" i="19" s="1"/>
  <c r="R5" i="18"/>
  <c r="H59" i="19" s="1"/>
  <c r="K5" i="18"/>
  <c r="I5" i="18"/>
  <c r="H5" i="18"/>
  <c r="I9" i="19" s="1"/>
  <c r="G25" i="9"/>
  <c r="F25" i="9"/>
  <c r="E25" i="9"/>
  <c r="D25" i="9"/>
  <c r="C25" i="9"/>
  <c r="B25" i="9"/>
  <c r="G24" i="9"/>
  <c r="F24" i="9"/>
  <c r="E24" i="9"/>
  <c r="D24" i="9"/>
  <c r="C24" i="9"/>
  <c r="B24" i="9"/>
  <c r="G23" i="9"/>
  <c r="G26" i="9" s="1"/>
  <c r="F23" i="9"/>
  <c r="F26" i="9" s="1"/>
  <c r="E23" i="9"/>
  <c r="E26" i="9" s="1"/>
  <c r="D23" i="9"/>
  <c r="D26" i="9" s="1"/>
  <c r="C23" i="9"/>
  <c r="C26" i="9" s="1"/>
  <c r="B23" i="9"/>
  <c r="B26" i="9" s="1"/>
  <c r="D19" i="9"/>
  <c r="D18" i="9"/>
  <c r="D17" i="9"/>
  <c r="D16" i="9"/>
  <c r="D12" i="9"/>
  <c r="D11" i="9"/>
  <c r="D10" i="9"/>
  <c r="D9" i="9"/>
  <c r="H157" i="7"/>
  <c r="K157" i="6"/>
  <c r="I157" i="6"/>
  <c r="H157" i="6"/>
  <c r="J156" i="6"/>
  <c r="L156" i="6" s="1"/>
  <c r="J155" i="6"/>
  <c r="L155" i="6" s="1"/>
  <c r="J154" i="6"/>
  <c r="L154" i="6" s="1"/>
  <c r="J153" i="6"/>
  <c r="L153" i="6" s="1"/>
  <c r="J152" i="6"/>
  <c r="L152" i="6" s="1"/>
  <c r="J151" i="6"/>
  <c r="L151" i="6" s="1"/>
  <c r="J150" i="6"/>
  <c r="L150" i="6" s="1"/>
  <c r="J149" i="6"/>
  <c r="L149" i="6" s="1"/>
  <c r="J148" i="6"/>
  <c r="L148" i="6" s="1"/>
  <c r="J147" i="6"/>
  <c r="L147" i="6" s="1"/>
  <c r="J146" i="6"/>
  <c r="L146" i="6" s="1"/>
  <c r="J145" i="6"/>
  <c r="L145" i="6" s="1"/>
  <c r="J144" i="6"/>
  <c r="L144" i="6" s="1"/>
  <c r="J143" i="6"/>
  <c r="L143" i="6" s="1"/>
  <c r="J142" i="6"/>
  <c r="L142" i="6" s="1"/>
  <c r="J141" i="6"/>
  <c r="L141" i="6" s="1"/>
  <c r="J140" i="6"/>
  <c r="L140" i="6" s="1"/>
  <c r="J139" i="6"/>
  <c r="L139" i="6" s="1"/>
  <c r="J138" i="6"/>
  <c r="L138" i="6" s="1"/>
  <c r="J137" i="6"/>
  <c r="L137" i="6" s="1"/>
  <c r="J136" i="6"/>
  <c r="L136" i="6" s="1"/>
  <c r="J135" i="6"/>
  <c r="L135" i="6" s="1"/>
  <c r="J134" i="6"/>
  <c r="L134" i="6" s="1"/>
  <c r="J133" i="6"/>
  <c r="L133" i="6" s="1"/>
  <c r="J132" i="6"/>
  <c r="L132" i="6" s="1"/>
  <c r="J131" i="6"/>
  <c r="L131" i="6" s="1"/>
  <c r="J130" i="6"/>
  <c r="L130" i="6" s="1"/>
  <c r="J129" i="6"/>
  <c r="L129" i="6" s="1"/>
  <c r="J128" i="6"/>
  <c r="L128" i="6" s="1"/>
  <c r="J127" i="6"/>
  <c r="L127" i="6" s="1"/>
  <c r="J126" i="6"/>
  <c r="L126" i="6" s="1"/>
  <c r="J125" i="6"/>
  <c r="L125" i="6" s="1"/>
  <c r="J124" i="6"/>
  <c r="L124" i="6" s="1"/>
  <c r="J123" i="6"/>
  <c r="L123" i="6" s="1"/>
  <c r="J122" i="6"/>
  <c r="L122" i="6" s="1"/>
  <c r="J121" i="6"/>
  <c r="L121" i="6" s="1"/>
  <c r="J120" i="6"/>
  <c r="L120" i="6" s="1"/>
  <c r="J119" i="6"/>
  <c r="L119" i="6" s="1"/>
  <c r="J118" i="6"/>
  <c r="L118" i="6" s="1"/>
  <c r="J117" i="6"/>
  <c r="L117" i="6" s="1"/>
  <c r="J116" i="6"/>
  <c r="L116" i="6" s="1"/>
  <c r="J115" i="6"/>
  <c r="L115" i="6" s="1"/>
  <c r="J114" i="6"/>
  <c r="L114" i="6" s="1"/>
  <c r="J113" i="6"/>
  <c r="L113" i="6" s="1"/>
  <c r="J112" i="6"/>
  <c r="L112" i="6" s="1"/>
  <c r="J111" i="6"/>
  <c r="L111" i="6" s="1"/>
  <c r="J110" i="6"/>
  <c r="L110" i="6" s="1"/>
  <c r="J109" i="6"/>
  <c r="L109" i="6" s="1"/>
  <c r="J108" i="6"/>
  <c r="L108" i="6" s="1"/>
  <c r="J107" i="6"/>
  <c r="L107" i="6" s="1"/>
  <c r="J106" i="6"/>
  <c r="L106" i="6" s="1"/>
  <c r="J105" i="6"/>
  <c r="L105" i="6" s="1"/>
  <c r="J104" i="6"/>
  <c r="L104" i="6" s="1"/>
  <c r="J103" i="6"/>
  <c r="L103" i="6" s="1"/>
  <c r="J102" i="6"/>
  <c r="L102" i="6" s="1"/>
  <c r="J101" i="6"/>
  <c r="L101" i="6" s="1"/>
  <c r="J100" i="6"/>
  <c r="L100" i="6" s="1"/>
  <c r="J99" i="6"/>
  <c r="L99" i="6" s="1"/>
  <c r="J98" i="6"/>
  <c r="L98" i="6" s="1"/>
  <c r="J97" i="6"/>
  <c r="L97" i="6" s="1"/>
  <c r="J96" i="6"/>
  <c r="L96" i="6" s="1"/>
  <c r="J95" i="6"/>
  <c r="L95" i="6" s="1"/>
  <c r="L94" i="6"/>
  <c r="J94" i="6"/>
  <c r="J93" i="6"/>
  <c r="L93" i="6" s="1"/>
  <c r="J92" i="6"/>
  <c r="L92" i="6" s="1"/>
  <c r="J91" i="6"/>
  <c r="L91" i="6" s="1"/>
  <c r="J90" i="6"/>
  <c r="L90" i="6" s="1"/>
  <c r="J89" i="6"/>
  <c r="L89" i="6" s="1"/>
  <c r="J88" i="6"/>
  <c r="L88" i="6" s="1"/>
  <c r="J87" i="6"/>
  <c r="L87" i="6" s="1"/>
  <c r="L86" i="6"/>
  <c r="J86" i="6"/>
  <c r="L85" i="6"/>
  <c r="J85" i="6"/>
  <c r="J84" i="6"/>
  <c r="L84" i="6" s="1"/>
  <c r="J83" i="6"/>
  <c r="L83" i="6" s="1"/>
  <c r="J82" i="6"/>
  <c r="L82" i="6" s="1"/>
  <c r="J81" i="6"/>
  <c r="L81" i="6" s="1"/>
  <c r="J80" i="6"/>
  <c r="L80" i="6" s="1"/>
  <c r="J79" i="6"/>
  <c r="L79" i="6" s="1"/>
  <c r="J78" i="6"/>
  <c r="L78" i="6" s="1"/>
  <c r="L77" i="6"/>
  <c r="J77" i="6"/>
  <c r="L76" i="6"/>
  <c r="J76" i="6"/>
  <c r="J75" i="6"/>
  <c r="L75" i="6" s="1"/>
  <c r="J74" i="6"/>
  <c r="L74" i="6" s="1"/>
  <c r="J73" i="6"/>
  <c r="L73" i="6" s="1"/>
  <c r="J72" i="6"/>
  <c r="L72" i="6" s="1"/>
  <c r="J71" i="6"/>
  <c r="L71" i="6" s="1"/>
  <c r="J70" i="6"/>
  <c r="L70" i="6" s="1"/>
  <c r="J69" i="6"/>
  <c r="L69" i="6" s="1"/>
  <c r="L68" i="6"/>
  <c r="J68" i="6"/>
  <c r="J67" i="6"/>
  <c r="L67" i="6" s="1"/>
  <c r="J66" i="6"/>
  <c r="L66" i="6" s="1"/>
  <c r="J65" i="6"/>
  <c r="L65" i="6" s="1"/>
  <c r="J64" i="6"/>
  <c r="L64" i="6" s="1"/>
  <c r="J63" i="6"/>
  <c r="L63" i="6" s="1"/>
  <c r="L62" i="6"/>
  <c r="J62" i="6"/>
  <c r="J61" i="6"/>
  <c r="L61" i="6" s="1"/>
  <c r="J60" i="6"/>
  <c r="L60" i="6" s="1"/>
  <c r="J59" i="6"/>
  <c r="L59" i="6" s="1"/>
  <c r="J58" i="6"/>
  <c r="L58" i="6" s="1"/>
  <c r="J57" i="6"/>
  <c r="L57" i="6" s="1"/>
  <c r="J56" i="6"/>
  <c r="L56" i="6" s="1"/>
  <c r="J55" i="6"/>
  <c r="L55" i="6" s="1"/>
  <c r="L54" i="6"/>
  <c r="J54" i="6"/>
  <c r="L53" i="6"/>
  <c r="J53" i="6"/>
  <c r="J52" i="6"/>
  <c r="L52" i="6" s="1"/>
  <c r="J51" i="6"/>
  <c r="L51" i="6" s="1"/>
  <c r="J50" i="6"/>
  <c r="L50" i="6" s="1"/>
  <c r="J49" i="6"/>
  <c r="L49" i="6" s="1"/>
  <c r="J48" i="6"/>
  <c r="L48" i="6" s="1"/>
  <c r="J47" i="6"/>
  <c r="L47" i="6" s="1"/>
  <c r="J46" i="6"/>
  <c r="L46" i="6" s="1"/>
  <c r="L41" i="6"/>
  <c r="J41" i="6"/>
  <c r="L40" i="6"/>
  <c r="J40" i="6"/>
  <c r="J39" i="6"/>
  <c r="L39" i="6" s="1"/>
  <c r="J38" i="6"/>
  <c r="L38" i="6" s="1"/>
  <c r="J37" i="6"/>
  <c r="L37" i="6" s="1"/>
  <c r="J36" i="6"/>
  <c r="L36" i="6" s="1"/>
  <c r="J35" i="6"/>
  <c r="L35" i="6" s="1"/>
  <c r="J34" i="6"/>
  <c r="L34" i="6" s="1"/>
  <c r="J33" i="6"/>
  <c r="L33" i="6" s="1"/>
  <c r="L32" i="6"/>
  <c r="J32" i="6"/>
  <c r="J31" i="6"/>
  <c r="L31" i="6" s="1"/>
  <c r="J30" i="6"/>
  <c r="L30" i="6" s="1"/>
  <c r="J29" i="6"/>
  <c r="L29" i="6" s="1"/>
  <c r="J28" i="6"/>
  <c r="L28" i="6" s="1"/>
  <c r="J27" i="6"/>
  <c r="L27" i="6" s="1"/>
  <c r="L26" i="6"/>
  <c r="J26" i="6"/>
  <c r="J25" i="6"/>
  <c r="L25" i="6" s="1"/>
  <c r="J24" i="6"/>
  <c r="L24" i="6" s="1"/>
  <c r="J23" i="6"/>
  <c r="L23" i="6" s="1"/>
  <c r="J22" i="6"/>
  <c r="L22" i="6" s="1"/>
  <c r="J21" i="6"/>
  <c r="L21" i="6" s="1"/>
  <c r="J20" i="6"/>
  <c r="L20" i="6" s="1"/>
  <c r="J19" i="6"/>
  <c r="L19" i="6" s="1"/>
  <c r="L18" i="6"/>
  <c r="J18" i="6"/>
  <c r="L17" i="6"/>
  <c r="J17" i="6"/>
  <c r="J16" i="6"/>
  <c r="L16" i="6" s="1"/>
  <c r="J15" i="6"/>
  <c r="L15" i="6" s="1"/>
  <c r="J14" i="6"/>
  <c r="L14" i="6" s="1"/>
  <c r="J13" i="6"/>
  <c r="L13" i="6" s="1"/>
  <c r="J12" i="6"/>
  <c r="L12" i="6" s="1"/>
  <c r="J11" i="6"/>
  <c r="L11" i="6" s="1"/>
  <c r="J10" i="6"/>
  <c r="L10" i="6" s="1"/>
  <c r="L9" i="6"/>
  <c r="J9" i="6"/>
  <c r="L8" i="6"/>
  <c r="J8" i="6"/>
  <c r="J7" i="6"/>
  <c r="L7" i="6" s="1"/>
  <c r="J6" i="6"/>
  <c r="L6" i="6" s="1"/>
  <c r="J5" i="6"/>
  <c r="J157" i="6" s="1"/>
  <c r="J179" i="5"/>
  <c r="J178" i="5"/>
  <c r="U24" i="18" s="1"/>
  <c r="J78" i="19" s="1"/>
  <c r="J177" i="5"/>
  <c r="J176" i="5"/>
  <c r="U23" i="18" s="1"/>
  <c r="J77" i="19" s="1"/>
  <c r="J175" i="5"/>
  <c r="J174" i="5"/>
  <c r="U22" i="18" s="1"/>
  <c r="J76" i="19" s="1"/>
  <c r="J173" i="5"/>
  <c r="J172" i="5"/>
  <c r="U21" i="18" s="1"/>
  <c r="J75" i="19" s="1"/>
  <c r="J171" i="5"/>
  <c r="J170" i="5"/>
  <c r="U20" i="18" s="1"/>
  <c r="J74" i="19" s="1"/>
  <c r="J169" i="5"/>
  <c r="J168" i="5"/>
  <c r="U19" i="18" s="1"/>
  <c r="J73" i="19" s="1"/>
  <c r="J167" i="5"/>
  <c r="J166" i="5"/>
  <c r="U18" i="18" s="1"/>
  <c r="J72" i="19" s="1"/>
  <c r="J165" i="5"/>
  <c r="J164" i="5"/>
  <c r="U17" i="18" s="1"/>
  <c r="J71" i="19" s="1"/>
  <c r="J163" i="5"/>
  <c r="J162" i="5"/>
  <c r="U16" i="18" s="1"/>
  <c r="J70" i="19" s="1"/>
  <c r="J161" i="5"/>
  <c r="J160" i="5"/>
  <c r="U15" i="18" s="1"/>
  <c r="J69" i="19" s="1"/>
  <c r="J159" i="5"/>
  <c r="J158" i="5"/>
  <c r="U14" i="18" s="1"/>
  <c r="J68" i="19" s="1"/>
  <c r="J157" i="5"/>
  <c r="J156" i="5"/>
  <c r="U13" i="18" s="1"/>
  <c r="J67" i="19" s="1"/>
  <c r="J155" i="5"/>
  <c r="J154" i="5"/>
  <c r="U12" i="18" s="1"/>
  <c r="J66" i="19" s="1"/>
  <c r="J153" i="5"/>
  <c r="J152" i="5"/>
  <c r="U11" i="18" s="1"/>
  <c r="J65" i="19" s="1"/>
  <c r="J151" i="5"/>
  <c r="J150" i="5"/>
  <c r="U10" i="18" s="1"/>
  <c r="J64" i="19" s="1"/>
  <c r="J149" i="5"/>
  <c r="J148" i="5"/>
  <c r="U9" i="18" s="1"/>
  <c r="J63" i="19" s="1"/>
  <c r="J147" i="5"/>
  <c r="J146" i="5"/>
  <c r="U8" i="18" s="1"/>
  <c r="J62" i="19" s="1"/>
  <c r="J145" i="5"/>
  <c r="J144" i="5"/>
  <c r="U7" i="18" s="1"/>
  <c r="J61" i="19" s="1"/>
  <c r="J143" i="5"/>
  <c r="J142" i="5"/>
  <c r="U6" i="18" s="1"/>
  <c r="J60" i="19" s="1"/>
  <c r="J141" i="5"/>
  <c r="J140" i="5"/>
  <c r="U5" i="18" s="1"/>
  <c r="J139" i="5"/>
  <c r="J138" i="5"/>
  <c r="J137" i="5"/>
  <c r="J136" i="5"/>
  <c r="J135" i="5"/>
  <c r="J134" i="5"/>
  <c r="J133" i="5"/>
  <c r="J132" i="5"/>
  <c r="J131" i="5"/>
  <c r="J130" i="5"/>
  <c r="J129" i="5"/>
  <c r="J128" i="5"/>
  <c r="J127" i="5"/>
  <c r="J126" i="5"/>
  <c r="J125" i="5"/>
  <c r="J124" i="5"/>
  <c r="J123" i="5"/>
  <c r="J122" i="5"/>
  <c r="J121" i="5"/>
  <c r="J120" i="5"/>
  <c r="J119" i="5"/>
  <c r="J118" i="5"/>
  <c r="J117" i="5"/>
  <c r="J116" i="5"/>
  <c r="J115" i="5"/>
  <c r="J114" i="5"/>
  <c r="J113" i="5"/>
  <c r="J112" i="5"/>
  <c r="J111" i="5"/>
  <c r="J110" i="5"/>
  <c r="J109" i="5"/>
  <c r="J108" i="5"/>
  <c r="J107" i="5"/>
  <c r="J106" i="5"/>
  <c r="J105" i="5"/>
  <c r="J104" i="5"/>
  <c r="J103" i="5"/>
  <c r="J102" i="5"/>
  <c r="J101" i="5"/>
  <c r="J100" i="5"/>
  <c r="J99" i="5"/>
  <c r="J98" i="5"/>
  <c r="J97" i="5"/>
  <c r="J96" i="5"/>
  <c r="J95" i="5"/>
  <c r="J94" i="5"/>
  <c r="J93" i="5"/>
  <c r="J92" i="5"/>
  <c r="J91" i="5"/>
  <c r="J90" i="5"/>
  <c r="J89" i="5"/>
  <c r="J88" i="5"/>
  <c r="J87" i="5"/>
  <c r="J86" i="5"/>
  <c r="J85" i="5"/>
  <c r="J84" i="5"/>
  <c r="J83" i="5"/>
  <c r="J82" i="5"/>
  <c r="J81" i="5"/>
  <c r="J80" i="5"/>
  <c r="J79" i="5"/>
  <c r="J78" i="5"/>
  <c r="J77" i="5"/>
  <c r="J76" i="5"/>
  <c r="J75" i="5"/>
  <c r="J74" i="5"/>
  <c r="J73" i="5"/>
  <c r="J72" i="5"/>
  <c r="J71" i="5"/>
  <c r="J70" i="5"/>
  <c r="J69" i="5"/>
  <c r="J68" i="5"/>
  <c r="J67" i="5"/>
  <c r="J66" i="5"/>
  <c r="J65" i="5"/>
  <c r="J64" i="5"/>
  <c r="J63" i="5"/>
  <c r="J62" i="5"/>
  <c r="J61" i="5"/>
  <c r="J60" i="5"/>
  <c r="J59" i="5"/>
  <c r="J58" i="5"/>
  <c r="J57" i="5"/>
  <c r="J56" i="5"/>
  <c r="J55" i="5"/>
  <c r="J54" i="5"/>
  <c r="J53" i="5"/>
  <c r="J52" i="5"/>
  <c r="J51" i="5"/>
  <c r="J50" i="5"/>
  <c r="J49" i="5"/>
  <c r="J17" i="5"/>
  <c r="J16" i="5"/>
  <c r="J15" i="5"/>
  <c r="J14" i="5"/>
  <c r="J13" i="5"/>
  <c r="J12" i="5"/>
  <c r="J11" i="5"/>
  <c r="J10" i="5"/>
  <c r="J9" i="5"/>
  <c r="J8" i="5"/>
  <c r="J7" i="5"/>
  <c r="J6" i="5"/>
  <c r="J5" i="5"/>
  <c r="J4" i="5"/>
  <c r="J3" i="5"/>
  <c r="J2" i="5"/>
  <c r="H23" i="9" l="1"/>
  <c r="P13" i="18"/>
  <c r="K6" i="19"/>
  <c r="J59" i="19"/>
  <c r="L5" i="6"/>
  <c r="L157" i="6" s="1"/>
  <c r="H26" i="9"/>
  <c r="H24" i="9"/>
  <c r="H25" i="9"/>
  <c r="P21" i="18"/>
  <c r="P6" i="18"/>
  <c r="P18" i="18"/>
  <c r="M5" i="18"/>
  <c r="P5" i="18" s="1"/>
  <c r="M6" i="18"/>
  <c r="M7" i="18"/>
  <c r="P7" i="18" s="1"/>
  <c r="M8" i="18"/>
  <c r="P8" i="18" s="1"/>
  <c r="M9" i="18"/>
  <c r="P9" i="18" s="1"/>
  <c r="M10" i="18"/>
  <c r="P10" i="18" s="1"/>
  <c r="M11" i="18"/>
  <c r="P11" i="18" s="1"/>
  <c r="M12" i="18"/>
  <c r="P12" i="18" s="1"/>
  <c r="F66" i="19" s="1"/>
  <c r="M13" i="18"/>
  <c r="M14" i="18"/>
  <c r="P14" i="18" s="1"/>
  <c r="M15" i="18"/>
  <c r="P15" i="18" s="1"/>
  <c r="M16" i="18"/>
  <c r="P16" i="18" s="1"/>
  <c r="M17" i="18"/>
  <c r="P17" i="18" s="1"/>
  <c r="M18" i="18"/>
  <c r="M19" i="18"/>
  <c r="P19" i="18" s="1"/>
  <c r="F73" i="19" s="1"/>
  <c r="M20" i="18"/>
  <c r="P20" i="18" s="1"/>
  <c r="M21" i="18"/>
  <c r="M22" i="18"/>
  <c r="M23" i="18"/>
  <c r="P23" i="18" s="1"/>
  <c r="M24" i="18"/>
  <c r="P24" i="18" s="1"/>
  <c r="F78" i="19" s="1"/>
  <c r="G6" i="19"/>
  <c r="E14" i="19"/>
  <c r="E16" i="19"/>
  <c r="B39" i="19"/>
  <c r="C53" i="19"/>
  <c r="I59" i="19"/>
  <c r="I61" i="19"/>
  <c r="I63" i="19"/>
  <c r="I65" i="19"/>
  <c r="I69" i="19"/>
  <c r="N5" i="18"/>
  <c r="N6" i="18"/>
  <c r="Q6" i="18" s="1"/>
  <c r="N7" i="18"/>
  <c r="N8" i="18"/>
  <c r="N9" i="18"/>
  <c r="N10" i="18"/>
  <c r="N11" i="18"/>
  <c r="N12" i="18"/>
  <c r="Q12" i="18" s="1"/>
  <c r="G66" i="19" s="1"/>
  <c r="N13" i="18"/>
  <c r="N14" i="18"/>
  <c r="N15" i="18"/>
  <c r="N16" i="18"/>
  <c r="N17" i="18"/>
  <c r="N18" i="18"/>
  <c r="N19" i="18"/>
  <c r="Q19" i="18" s="1"/>
  <c r="G73" i="19" s="1"/>
  <c r="N20" i="18"/>
  <c r="N21" i="18"/>
  <c r="N22" i="18"/>
  <c r="P22" i="18" s="1"/>
  <c r="N23" i="18"/>
  <c r="N24" i="18"/>
  <c r="I6" i="19"/>
  <c r="B20" i="19"/>
  <c r="B33" i="19"/>
  <c r="B40" i="19"/>
  <c r="C48" i="19"/>
  <c r="O5" i="18"/>
  <c r="B43" i="19" s="1"/>
  <c r="B21" i="19"/>
  <c r="C33" i="19"/>
  <c r="K59" i="19"/>
  <c r="G70" i="19"/>
  <c r="B22" i="19"/>
  <c r="D33" i="19"/>
  <c r="C54" i="19"/>
  <c r="L59" i="19"/>
  <c r="Z24" i="18"/>
  <c r="L78" i="19" s="1"/>
  <c r="E13" i="19"/>
  <c r="E15" i="19"/>
  <c r="B34" i="19"/>
  <c r="I76" i="19"/>
  <c r="D34" i="19"/>
  <c r="B19" i="9"/>
  <c r="D54" i="19" l="1"/>
  <c r="Q14" i="18"/>
  <c r="G68" i="19" s="1"/>
  <c r="F68" i="19"/>
  <c r="F71" i="19"/>
  <c r="Q17" i="18"/>
  <c r="G71" i="19" s="1"/>
  <c r="C15" i="19"/>
  <c r="F70" i="19"/>
  <c r="D55" i="19"/>
  <c r="F69" i="19"/>
  <c r="Q15" i="18"/>
  <c r="G69" i="19" s="1"/>
  <c r="F77" i="19"/>
  <c r="Q23" i="18"/>
  <c r="G77" i="19" s="1"/>
  <c r="D47" i="19"/>
  <c r="F76" i="19"/>
  <c r="Q20" i="18"/>
  <c r="G74" i="19" s="1"/>
  <c r="F74" i="19"/>
  <c r="F65" i="19"/>
  <c r="Q11" i="18"/>
  <c r="G65" i="19" s="1"/>
  <c r="D51" i="19"/>
  <c r="F63" i="19"/>
  <c r="Q9" i="18"/>
  <c r="G63" i="19" s="1"/>
  <c r="D50" i="19"/>
  <c r="Q8" i="18"/>
  <c r="G62" i="19" s="1"/>
  <c r="F62" i="19"/>
  <c r="D53" i="19"/>
  <c r="D52" i="19"/>
  <c r="F61" i="19"/>
  <c r="Q7" i="18"/>
  <c r="G61" i="19" s="1"/>
  <c r="C6" i="19"/>
  <c r="F59" i="19"/>
  <c r="D49" i="19"/>
  <c r="Q5" i="18"/>
  <c r="C13" i="19"/>
  <c r="C16" i="19"/>
  <c r="Q10" i="18"/>
  <c r="F64" i="19"/>
  <c r="D14" i="19"/>
  <c r="G60" i="19"/>
  <c r="Q18" i="18"/>
  <c r="G72" i="19" s="1"/>
  <c r="F72" i="19"/>
  <c r="B27" i="19"/>
  <c r="C34" i="19"/>
  <c r="B42" i="19"/>
  <c r="B29" i="19"/>
  <c r="B41" i="19"/>
  <c r="C14" i="19"/>
  <c r="D48" i="19"/>
  <c r="F60" i="19"/>
  <c r="F75" i="19"/>
  <c r="Q21" i="18"/>
  <c r="G75" i="19" s="1"/>
  <c r="B26" i="19"/>
  <c r="K9" i="19"/>
  <c r="F67" i="19"/>
  <c r="Q13" i="18"/>
  <c r="G67" i="19" s="1"/>
  <c r="B28" i="19"/>
  <c r="E6" i="19" l="1"/>
  <c r="G59" i="19"/>
  <c r="D13" i="19"/>
  <c r="D16" i="19"/>
  <c r="G64" i="19"/>
</calcChain>
</file>

<file path=xl/sharedStrings.xml><?xml version="1.0" encoding="utf-8"?>
<sst xmlns="http://schemas.openxmlformats.org/spreadsheetml/2006/main" count="20854" uniqueCount="4299">
  <si>
    <t>student_id</t>
  </si>
  <si>
    <t>full_name</t>
  </si>
  <si>
    <t>gender</t>
  </si>
  <si>
    <t>date_of_birth</t>
  </si>
  <si>
    <t>email</t>
  </si>
  <si>
    <t>phone</t>
  </si>
  <si>
    <t>program</t>
  </si>
  <si>
    <t>major</t>
  </si>
  <si>
    <t>department</t>
  </si>
  <si>
    <t>year_of_study</t>
  </si>
  <si>
    <t>gpa</t>
  </si>
  <si>
    <t>credit_hours_earned</t>
  </si>
  <si>
    <t>status</t>
  </si>
  <si>
    <t>nationality</t>
  </si>
  <si>
    <t>enrollment_date</t>
  </si>
  <si>
    <t>expected_graduation</t>
  </si>
  <si>
    <t>Student Type</t>
  </si>
  <si>
    <t>Programme Level</t>
  </si>
  <si>
    <t>Journey Stage</t>
  </si>
  <si>
    <t>Current Semester</t>
  </si>
  <si>
    <t>Fees Status</t>
  </si>
  <si>
    <t>Fees Balance (KES)</t>
  </si>
  <si>
    <t>Academic Standing</t>
  </si>
  <si>
    <t>Last Standing Review</t>
  </si>
  <si>
    <t>Dissertation Title</t>
  </si>
  <si>
    <t>Dissertation Status</t>
  </si>
  <si>
    <t>Graduation Clearance</t>
  </si>
  <si>
    <t>Actual Graduation Date</t>
  </si>
  <si>
    <t>Programme Advisor / Supervisor</t>
  </si>
  <si>
    <t>Co-Supervisor</t>
  </si>
  <si>
    <t>Specialisation / Research Area</t>
  </si>
  <si>
    <t>Expected Defense / Completion</t>
  </si>
  <si>
    <t>Milestones Achieved</t>
  </si>
  <si>
    <t>Next Milestone</t>
  </si>
  <si>
    <t>Research / Capstone Output</t>
  </si>
  <si>
    <t>Institution</t>
  </si>
  <si>
    <t>NSFAS Beneficiary</t>
  </si>
  <si>
    <t>Has Disability</t>
  </si>
  <si>
    <t>Disability Type</t>
  </si>
  <si>
    <t>Disability Accommodation Needed</t>
  </si>
  <si>
    <t>TU-2021-0001</t>
  </si>
  <si>
    <t>Amelia Odhiambo</t>
  </si>
  <si>
    <t>Female</t>
  </si>
  <si>
    <t>2001-03-12</t>
  </si>
  <si>
    <t>a.odhiambo@templumis.ac</t>
  </si>
  <si>
    <t>+254712345001</t>
  </si>
  <si>
    <t>BSc</t>
  </si>
  <si>
    <t>Computer Science</t>
  </si>
  <si>
    <t>School of Computing</t>
  </si>
  <si>
    <t>Year 3</t>
  </si>
  <si>
    <t>Active</t>
  </si>
  <si>
    <t>Kenyan</t>
  </si>
  <si>
    <t>2021-09-05</t>
  </si>
  <si>
    <t>2025-06-30</t>
  </si>
  <si>
    <t>Undergraduate</t>
  </si>
  <si>
    <t>3. Progressing — Year 3</t>
  </si>
  <si>
    <t>Sem 6</t>
  </si>
  <si>
    <t>Paid</t>
  </si>
  <si>
    <t>Good Standing</t>
  </si>
  <si>
    <t>2024-01-15</t>
  </si>
  <si>
    <t>N/A</t>
  </si>
  <si>
    <t>Not Yet</t>
  </si>
  <si>
    <t>Templumis University</t>
  </si>
  <si>
    <t>No</t>
  </si>
  <si>
    <t>None</t>
  </si>
  <si>
    <t>TU-2022-0002</t>
  </si>
  <si>
    <t>Brian Mwangi</t>
  </si>
  <si>
    <t>Male</t>
  </si>
  <si>
    <t>2002-07-22</t>
  </si>
  <si>
    <t>b.mwangi@templumis.ac</t>
  </si>
  <si>
    <t>+254712345002</t>
  </si>
  <si>
    <t>BA</t>
  </si>
  <si>
    <t>Economics</t>
  </si>
  <si>
    <t>School of Business</t>
  </si>
  <si>
    <t>Year 2</t>
  </si>
  <si>
    <t>2022-09-05</t>
  </si>
  <si>
    <t>2026-06-30</t>
  </si>
  <si>
    <t>2. Progressing — Year 2</t>
  </si>
  <si>
    <t>Sem 4</t>
  </si>
  <si>
    <t>TU-2020-0003</t>
  </si>
  <si>
    <t>Claire Nakato</t>
  </si>
  <si>
    <t>2000-11-05</t>
  </si>
  <si>
    <t>c.nakato@templumis.ac</t>
  </si>
  <si>
    <t>+256712345003</t>
  </si>
  <si>
    <t>Civil Engineering</t>
  </si>
  <si>
    <t>School of Engineering</t>
  </si>
  <si>
    <t>Year 4</t>
  </si>
  <si>
    <t>Ugandan</t>
  </si>
  <si>
    <t>2020-09-07</t>
  </si>
  <si>
    <t>2024-06-30</t>
  </si>
  <si>
    <t>4. Final Year — Pre-Clearance</t>
  </si>
  <si>
    <t>Sem 8</t>
  </si>
  <si>
    <t>In Progress</t>
  </si>
  <si>
    <t>Yes</t>
  </si>
  <si>
    <t>Physical / Mobility Impairment</t>
  </si>
  <si>
    <t>Ground-floor lecture venues; extended assignment deadlines</t>
  </si>
  <si>
    <t>TU-2019-0004</t>
  </si>
  <si>
    <t>David Mensah</t>
  </si>
  <si>
    <t>1999-04-18</t>
  </si>
  <si>
    <t>d.mensah@templumis.ac</t>
  </si>
  <si>
    <t>+233712345004</t>
  </si>
  <si>
    <t>Nursing</t>
  </si>
  <si>
    <t>School of Health Sciences</t>
  </si>
  <si>
    <t>Graduated</t>
  </si>
  <si>
    <t>Ghanaian</t>
  </si>
  <si>
    <t>2019-09-02</t>
  </si>
  <si>
    <t>6. Graduated ✓</t>
  </si>
  <si>
    <t>Completed</t>
  </si>
  <si>
    <t>Cleared</t>
  </si>
  <si>
    <t>Approved</t>
  </si>
  <si>
    <t>2023-11-10</t>
  </si>
  <si>
    <t>TU-2023-0005</t>
  </si>
  <si>
    <t>Esther Wanjiku</t>
  </si>
  <si>
    <t>2003-09-30</t>
  </si>
  <si>
    <t>e.wanjiku@templumis.ac</t>
  </si>
  <si>
    <t>+254712345005</t>
  </si>
  <si>
    <t>Mathematics</t>
  </si>
  <si>
    <t>School of Science</t>
  </si>
  <si>
    <t>Year 1</t>
  </si>
  <si>
    <t>Probation</t>
  </si>
  <si>
    <t>2023-09-04</t>
  </si>
  <si>
    <t>2027-06-30</t>
  </si>
  <si>
    <t>⚠ Academic Review — Probation</t>
  </si>
  <si>
    <t>Sem 2</t>
  </si>
  <si>
    <t>Partial</t>
  </si>
  <si>
    <t>2023-12-01</t>
  </si>
  <si>
    <t>Blocked</t>
  </si>
  <si>
    <t>TU-2021-0006</t>
  </si>
  <si>
    <t>Felix Otieno</t>
  </si>
  <si>
    <t>2001-01-14</t>
  </si>
  <si>
    <t>f.otieno@templumis.ac</t>
  </si>
  <si>
    <t>+254712345006</t>
  </si>
  <si>
    <t>BEd</t>
  </si>
  <si>
    <t>Education</t>
  </si>
  <si>
    <t>School of Education</t>
  </si>
  <si>
    <t>TU-2022-0007</t>
  </si>
  <si>
    <t>Grace Auma</t>
  </si>
  <si>
    <t>2002-06-08</t>
  </si>
  <si>
    <t>g.auma@templumis.ac</t>
  </si>
  <si>
    <t>+254712345007</t>
  </si>
  <si>
    <t>Biochemistry</t>
  </si>
  <si>
    <t>2022-09-06</t>
  </si>
  <si>
    <t>TU-2020-0008</t>
  </si>
  <si>
    <t>Hassan Abdi</t>
  </si>
  <si>
    <t>2000-12-20</t>
  </si>
  <si>
    <t>h.abdi@templumis.ac</t>
  </si>
  <si>
    <t>+252712345008</t>
  </si>
  <si>
    <t>LLB</t>
  </si>
  <si>
    <t>Law</t>
  </si>
  <si>
    <t>School of Law</t>
  </si>
  <si>
    <t>Somali</t>
  </si>
  <si>
    <t>TU-2021-0009</t>
  </si>
  <si>
    <t>Ivy Njeri</t>
  </si>
  <si>
    <t>2001-08-03</t>
  </si>
  <si>
    <t>i.njeri@templumis.ac</t>
  </si>
  <si>
    <t>+254712345009</t>
  </si>
  <si>
    <t>BComm</t>
  </si>
  <si>
    <t>Accounting</t>
  </si>
  <si>
    <t>On Leave</t>
  </si>
  <si>
    <t>⏸ Deferred — On Leave</t>
  </si>
  <si>
    <t>Deferred</t>
  </si>
  <si>
    <t>TU-2023-0010</t>
  </si>
  <si>
    <t>James Kibaki</t>
  </si>
  <si>
    <t>2003-02-25</t>
  </si>
  <si>
    <t>j.kibaki@templumis.ac</t>
  </si>
  <si>
    <t>+254712345010</t>
  </si>
  <si>
    <t>Information Technology</t>
  </si>
  <si>
    <t>1. Enrolled &amp; Orientated</t>
  </si>
  <si>
    <t>TU-2022-0011</t>
  </si>
  <si>
    <t>Kezia Moraa</t>
  </si>
  <si>
    <t>2002-10-11</t>
  </si>
  <si>
    <t>k.moraa@templumis.ac</t>
  </si>
  <si>
    <t>+254712345011</t>
  </si>
  <si>
    <t>Environmental Science</t>
  </si>
  <si>
    <t>TU-2019-0012</t>
  </si>
  <si>
    <t>Liam Okonkwo</t>
  </si>
  <si>
    <t>1999-05-17</t>
  </si>
  <si>
    <t>l.okonkwo@templumis.ac</t>
  </si>
  <si>
    <t>+234712345012</t>
  </si>
  <si>
    <t>Electrical Engineering</t>
  </si>
  <si>
    <t>Nigerian</t>
  </si>
  <si>
    <t>TU-2021-0013</t>
  </si>
  <si>
    <t>Mary Adhiambo</t>
  </si>
  <si>
    <t>2001-07-29</t>
  </si>
  <si>
    <t>m.adhiambo@templumis.ac</t>
  </si>
  <si>
    <t>+254712345013</t>
  </si>
  <si>
    <t>Sociology</t>
  </si>
  <si>
    <t>School of Social Sciences</t>
  </si>
  <si>
    <t>TU-2020-0014</t>
  </si>
  <si>
    <t>Noel Kiprotich</t>
  </si>
  <si>
    <t>2000-03-06</t>
  </si>
  <si>
    <t>n.kiprotich@templumis.ac</t>
  </si>
  <si>
    <t>+254712345014</t>
  </si>
  <si>
    <t>BPharm</t>
  </si>
  <si>
    <t>Pharmacy</t>
  </si>
  <si>
    <t>Suspended</t>
  </si>
  <si>
    <t>⚠ Academic Hold — Suspended</t>
  </si>
  <si>
    <t>Overdue</t>
  </si>
  <si>
    <t>TU-2023-0015</t>
  </si>
  <si>
    <t>Olivia Achieng</t>
  </si>
  <si>
    <t>2003-11-15</t>
  </si>
  <si>
    <t>o.achieng@templumis.ac</t>
  </si>
  <si>
    <t>+254712345015</t>
  </si>
  <si>
    <t>Communication</t>
  </si>
  <si>
    <t>School of Arts</t>
  </si>
  <si>
    <t>TU-2022-0016</t>
  </si>
  <si>
    <t>Patrick Owino</t>
  </si>
  <si>
    <t>2002-04-02</t>
  </si>
  <si>
    <t>p.owino@templumis.ac</t>
  </si>
  <si>
    <t>+254712345016</t>
  </si>
  <si>
    <t>Statistics</t>
  </si>
  <si>
    <t>Visual Impairment</t>
  </si>
  <si>
    <t>Screen-reader software; extended exam time</t>
  </si>
  <si>
    <t>TU-2021-0017</t>
  </si>
  <si>
    <t>Queenie Mugo</t>
  </si>
  <si>
    <t>2001-09-19</t>
  </si>
  <si>
    <t>q.mugo@templumis.ac</t>
  </si>
  <si>
    <t>+254712345017</t>
  </si>
  <si>
    <t>TU-2020-0018</t>
  </si>
  <si>
    <t>Robert Dlamini</t>
  </si>
  <si>
    <t>2000-06-23</t>
  </si>
  <si>
    <t>r.dlamini@templumis.ac</t>
  </si>
  <si>
    <t>+268712345018</t>
  </si>
  <si>
    <t>Science Education</t>
  </si>
  <si>
    <t>Swazi</t>
  </si>
  <si>
    <t>TU-2023-0019</t>
  </si>
  <si>
    <t>Sandra Chebet</t>
  </si>
  <si>
    <t>2003-01-08</t>
  </si>
  <si>
    <t>s.chebet@templumis.ac</t>
  </si>
  <si>
    <t>+254712345019</t>
  </si>
  <si>
    <t>Nutrition</t>
  </si>
  <si>
    <t>TU-2022-0020</t>
  </si>
  <si>
    <t>Tunde Adeyemi</t>
  </si>
  <si>
    <t>2002-08-14</t>
  </si>
  <si>
    <t>t.adeyemi@templumis.ac</t>
  </si>
  <si>
    <t>+234712345020</t>
  </si>
  <si>
    <t>TU-2021-0021</t>
  </si>
  <si>
    <t>Uchenna Eze</t>
  </si>
  <si>
    <t>2001-12-01</t>
  </si>
  <si>
    <t>u.eze@templumis.ac</t>
  </si>
  <si>
    <t>+234712345021</t>
  </si>
  <si>
    <t>Political Science</t>
  </si>
  <si>
    <t>TU-2019-0022</t>
  </si>
  <si>
    <t>Vivian Kamau</t>
  </si>
  <si>
    <t>1999-07-27</t>
  </si>
  <si>
    <t>v.kamau@templumis.ac</t>
  </si>
  <si>
    <t>+254712345022</t>
  </si>
  <si>
    <t>TU-2023-0023</t>
  </si>
  <si>
    <t>William Barasa</t>
  </si>
  <si>
    <t>2003-05-10</t>
  </si>
  <si>
    <t>w.barasa@templumis.ac</t>
  </si>
  <si>
    <t>+254712345023</t>
  </si>
  <si>
    <t>Finance</t>
  </si>
  <si>
    <t>TU-2022-0024</t>
  </si>
  <si>
    <t>Xena Mutua</t>
  </si>
  <si>
    <t>2002-02-18</t>
  </si>
  <si>
    <t>x.mutua@templumis.ac</t>
  </si>
  <si>
    <t>+254712345024</t>
  </si>
  <si>
    <t>TU-2023-0025</t>
  </si>
  <si>
    <t>Stephen Gaita Gaikia</t>
  </si>
  <si>
    <t>2003-06-17</t>
  </si>
  <si>
    <t>s.gaikia@templumis.ac</t>
  </si>
  <si>
    <t>+254712345025</t>
  </si>
  <si>
    <t>In Arrears</t>
  </si>
  <si>
    <t>TU-PG-2022-0026</t>
  </si>
  <si>
    <t>Amara Diallo</t>
  </si>
  <si>
    <t>1996-03-15</t>
  </si>
  <si>
    <t>a.diallo@templumis.ac</t>
  </si>
  <si>
    <t>+221712345026</t>
  </si>
  <si>
    <t>MSc</t>
  </si>
  <si>
    <t>Data Science</t>
  </si>
  <si>
    <t>Senegalese</t>
  </si>
  <si>
    <t>Postgraduate</t>
  </si>
  <si>
    <t>MSc (Coursework)</t>
  </si>
  <si>
    <t>3. PG Final Semester — Pre-Graduation</t>
  </si>
  <si>
    <t>Ms. Cynthia Aluoch</t>
  </si>
  <si>
    <t>Dr. Kevin Otiato (JKUAT, External)</t>
  </si>
  <si>
    <t>Data Science — Urban Mobility &amp; Smart City Analytics</t>
  </si>
  <si>
    <t>Coursework Yr1 ✓ | Yr2 ✓ | Capstone Proposal Approved ✓ | Data Analysis In Progress</t>
  </si>
  <si>
    <t>Final Capstone Report Submission</t>
  </si>
  <si>
    <t>N/A (Coursework Track)</t>
  </si>
  <si>
    <t>TU-PG-2023-0027</t>
  </si>
  <si>
    <t>Benjamin Kamto</t>
  </si>
  <si>
    <t>1994-07-22</t>
  </si>
  <si>
    <t>b.kamto@templumis.ac</t>
  </si>
  <si>
    <t>+237712345027</t>
  </si>
  <si>
    <t>MBA</t>
  </si>
  <si>
    <t>Business Administration</t>
  </si>
  <si>
    <t>Cameroonian</t>
  </si>
  <si>
    <t>MBA (Coursework)</t>
  </si>
  <si>
    <t>1. PG Enrolled — Coursework Phase</t>
  </si>
  <si>
    <t>Prof. Wambua Simiyu</t>
  </si>
  <si>
    <t>MBA — Marketing Analytics &amp; Consumer Behaviour</t>
  </si>
  <si>
    <t>Orientation ✓ | Semester 1 Coursework ✓</t>
  </si>
  <si>
    <t>Semester 2 Coursework Completion</t>
  </si>
  <si>
    <t>N/A (Coursework Phase)</t>
  </si>
  <si>
    <t>TU-PG-2022-0028</t>
  </si>
  <si>
    <t>Celestine Awino</t>
  </si>
  <si>
    <t>1995-11-05</t>
  </si>
  <si>
    <t>c.awino@templumis.ac</t>
  </si>
  <si>
    <t>+254712345028</t>
  </si>
  <si>
    <t>MA</t>
  </si>
  <si>
    <t>MA (Coursework)</t>
  </si>
  <si>
    <t>4. Graduated ✓</t>
  </si>
  <si>
    <t>2023-11-01</t>
  </si>
  <si>
    <t>MA Economics — International Trade &amp; Regional Integration</t>
  </si>
  <si>
    <t>All Milestones Complete ✓ | Capstone Defended ✓ | Graduated</t>
  </si>
  <si>
    <t>N/A — Graduated</t>
  </si>
  <si>
    <t>Capstone: Kenya's Export Diversification &amp; EAC Trade Agreements (2024)</t>
  </si>
  <si>
    <t>TU-PG-2023-0029</t>
  </si>
  <si>
    <t>Derrick Ssempa</t>
  </si>
  <si>
    <t>1997-04-18</t>
  </si>
  <si>
    <t>d.ssempa@templumis.ac</t>
  </si>
  <si>
    <t>+256712345029</t>
  </si>
  <si>
    <t>Dr. Sasha Mutinda</t>
  </si>
  <si>
    <t>MSc Environmental Science — Climate Change &amp; Sustainability</t>
  </si>
  <si>
    <t>Orientation ✓ | Semester 1 Completed (Probation)</t>
  </si>
  <si>
    <t>Semester 2 — Achieve GPA ≥ 3.00 to Continue Programme</t>
  </si>
  <si>
    <t>N/A — Academic Review Phase</t>
  </si>
  <si>
    <t>TU-PG-2022-0030</t>
  </si>
  <si>
    <t>Faith Onyango</t>
  </si>
  <si>
    <t>1996-09-30</t>
  </si>
  <si>
    <t>f.onyango@templumis.ac</t>
  </si>
  <si>
    <t>+254712345030</t>
  </si>
  <si>
    <t>Ms. Abigael Ndungu</t>
  </si>
  <si>
    <t>Dr. Zawadi Amani (School of Social Sciences)</t>
  </si>
  <si>
    <t>MA Communication — Digital Media &amp; Political Engagement in Africa</t>
  </si>
  <si>
    <t>Coursework Yr1 ✓ | Yr2 ✓ | Capstone Proposal Approved ✓</t>
  </si>
  <si>
    <t>TU-PG-2023-0031</t>
  </si>
  <si>
    <t>George Nkosi</t>
  </si>
  <si>
    <t>1993-02-14</t>
  </si>
  <si>
    <t>g.nkosi@templumis.ac</t>
  </si>
  <si>
    <t>+27712345031</t>
  </si>
  <si>
    <t>Strategic Management</t>
  </si>
  <si>
    <t>South African</t>
  </si>
  <si>
    <t>MBA — Strategic Management &amp; Organisational Leadership</t>
  </si>
  <si>
    <t>Semester 2 Coursework + Capstone Topic Selection</t>
  </si>
  <si>
    <t>TU-PG-2021-0032</t>
  </si>
  <si>
    <t>Helen Mutuku</t>
  </si>
  <si>
    <t>1995-07-03</t>
  </si>
  <si>
    <t>h.mutuku@templumis.ac</t>
  </si>
  <si>
    <t>+254712345032</t>
  </si>
  <si>
    <t>MSc by Research</t>
  </si>
  <si>
    <t>2021-09-06</t>
  </si>
  <si>
    <t>4. Thesis Writing Phase</t>
  </si>
  <si>
    <t>Research Year 3</t>
  </si>
  <si>
    <t>Novel Enzyme Inhibitors in Malaria Parasite Metabolism</t>
  </si>
  <si>
    <t>Writing</t>
  </si>
  <si>
    <t>Prof. Margaret Wangari</t>
  </si>
  <si>
    <t>Dr. Daniel Njomo (KEMRI, External)</t>
  </si>
  <si>
    <t>MSc Biochemistry — Antimalarial Drug Discovery &amp; Enzyme Inhibition</t>
  </si>
  <si>
    <t>Registered ✓ | Lit Review ✓ | Lab Work ✓ | Analysis ✓ | ⚠ CHALLENGE: Ch.3 Major Revision Required — Kinetic Model Error | Chs 1–2 Supervisor-Approved</t>
  </si>
  <si>
    <t>⚠ CASE-PG-001 ACTIVE: (1) Re-run Ch.3 kinetics using Hill Equation (not Michaelis-Menten) | (2) Secure interim co-supervisor (Dr. Ouma) | (3) Rebook LC-MS/MS (March 2024) | Revised viva: Oct 2024</t>
  </si>
  <si>
    <t>Conference Paper: E. Africa Biochem Symposium 2024 | ⚠ Viva postponed June → October 2024 due to Ch.3 major revision requirement</t>
  </si>
  <si>
    <t>TU-PG-2022-0033</t>
  </si>
  <si>
    <t>Ibrahim Hassan</t>
  </si>
  <si>
    <t>1996-12-20</t>
  </si>
  <si>
    <t>i.hassan@templumis.ac</t>
  </si>
  <si>
    <t>+251712345033</t>
  </si>
  <si>
    <t>Ethiopian</t>
  </si>
  <si>
    <t>3. Data Collection &amp; Analysis Phase</t>
  </si>
  <si>
    <t>Research Year 2</t>
  </si>
  <si>
    <t>AI-Based Crop Disease Detection Using UAV Imagery</t>
  </si>
  <si>
    <t>Data Collection</t>
  </si>
  <si>
    <t>Dr. Kamande Njoroge</t>
  </si>
  <si>
    <t>Prof. James Mwema (School of Engineering)</t>
  </si>
  <si>
    <t>MSc CS — Computer Vision &amp; Precision Agriculture (UAV-Based Systems)</t>
  </si>
  <si>
    <t>Registered ✓ | Lit Review ✓ | ⚠ CHALLENGE: UAV Dataset 31% Unusable (345/500 images valid) | CNN Model Training PAUSED — Dataset rebuild + ethics amendment required</t>
  </si>
  <si>
    <t>⚠ CASE-PG-002 ACTIVE: (1) Ethics amendment: expand to Kakamega &amp; Meru counties | (2) Recollect ≥700 images per revised UAV protocol | (3) Add YOLOv8/EfficientDet/ViT baselines + ablation study for paper revision</t>
  </si>
  <si>
    <t>⚠ AAAI Africa 2025 paper: Major Revisions Required — resubmitting to IEEE Access / CVPR Africa after dataset rebuild | Revised completion: November 2025</t>
  </si>
  <si>
    <t>TU-PG-2021-0034</t>
  </si>
  <si>
    <t>Janet Akinyi</t>
  </si>
  <si>
    <t>1994-08-11</t>
  </si>
  <si>
    <t>j.akinyi@templumis.ac</t>
  </si>
  <si>
    <t>+254712345034</t>
  </si>
  <si>
    <t>MA by Research</t>
  </si>
  <si>
    <t>Digital Pedagogy &amp; Learning Outcomes in Kenyan Secondary Schools</t>
  </si>
  <si>
    <t>Mr. Barasa Wekesa</t>
  </si>
  <si>
    <t>Prof. Agnes Njeru (Ministry of Education, External)</t>
  </si>
  <si>
    <t>MA Education — EdTech &amp; Learning Outcomes in Kenyan Secondary Schools</t>
  </si>
  <si>
    <t>Registered ✓ | Literature Review ✓ | Fieldwork (12 schools) ✓ | Data Analysis ✓ | Chapters 1–4 Complete ✓</t>
  </si>
  <si>
    <t>Chapter 5 (Conclusions) + Final Submission (Target: August 2024)</t>
  </si>
  <si>
    <t>Policy Brief submitted to Kenya Ministry of Education (February 2024)</t>
  </si>
  <si>
    <t>TU-PG-2022-0035</t>
  </si>
  <si>
    <t>Kenneth Osei</t>
  </si>
  <si>
    <t>1995-05-17</t>
  </si>
  <si>
    <t>k.osei@templumis.ac</t>
  </si>
  <si>
    <t>+233712345035</t>
  </si>
  <si>
    <t>Mechanical Engineering</t>
  </si>
  <si>
    <t>⏸ Deferred — On Leave (Research)</t>
  </si>
  <si>
    <t>Low-Cost Solar Desalination for Rural East Africa</t>
  </si>
  <si>
    <t>Proposal Approved</t>
  </si>
  <si>
    <t>Dr. Oloo Otiende</t>
  </si>
  <si>
    <t>Dr. Marcus Kipande (University of Nairobi, External)</t>
  </si>
  <si>
    <t>MSc Mechanical Engineering — Renewable Energy Systems &amp; Rural Water Security</t>
  </si>
  <si>
    <t>Registered ✓ | Literature Review ✓ | Research Proposal Approved ✓</t>
  </si>
  <si>
    <t>Return from Leave (Est. Sep 2024) &amp; Begin Prototype Development</t>
  </si>
  <si>
    <t>N/A — On Leave; No Research Output Yet</t>
  </si>
  <si>
    <t>TU-PG-2020-0036</t>
  </si>
  <si>
    <t>Lydia Cheptoo</t>
  </si>
  <si>
    <t>1993-06-23</t>
  </si>
  <si>
    <t>l.cheptoo@templumis.ac</t>
  </si>
  <si>
    <t>+254712345036</t>
  </si>
  <si>
    <t>Public Health</t>
  </si>
  <si>
    <t>6. Graduated ✓ (Research)</t>
  </si>
  <si>
    <t>Community-Based Interventions for Maternal Health in Western Kenya</t>
  </si>
  <si>
    <t>Defended &amp; Approved</t>
  </si>
  <si>
    <t>Dr. Atieno Ouma</t>
  </si>
  <si>
    <t>Prof. Grace Adhola (WHO Kenya, External)</t>
  </si>
  <si>
    <t>MSc Public Health — Maternal &amp; Child Health Interventions in SSA</t>
  </si>
  <si>
    <t>All Milestones Complete ✓ | Thesis Defended &amp; Approved ✓ | Graduated</t>
  </si>
  <si>
    <t>Published: East African Medical Journal, 2025 (Vol. 102, Issue 3)</t>
  </si>
  <si>
    <t>TU-PG-2023-0037</t>
  </si>
  <si>
    <t>Moses Waweru</t>
  </si>
  <si>
    <t>1997-01-08</t>
  </si>
  <si>
    <t>m.waweru@templumis.ac</t>
  </si>
  <si>
    <t>+254712345037</t>
  </si>
  <si>
    <t>2. Research Proposal Phase</t>
  </si>
  <si>
    <t>Research Year 1</t>
  </si>
  <si>
    <t>Machine Learning for Swahili NLP Applications</t>
  </si>
  <si>
    <t>Proposal Submitted</t>
  </si>
  <si>
    <t>MSc CS — Natural Language Processing for African Languages (Swahili)</t>
  </si>
  <si>
    <t>Registered ✓ | Topic Selection ✓ | Proposal Submitted (Pending Departmental Review)</t>
  </si>
  <si>
    <t>Proposal Defense &amp; Ethics Clearance (Target: April 2024)</t>
  </si>
  <si>
    <t>N/A — Early Stage Research (Year 1)</t>
  </si>
  <si>
    <t>TU-PHD-2021-0038</t>
  </si>
  <si>
    <t>Amina Osei</t>
  </si>
  <si>
    <t>a.osei@templumis.ac</t>
  </si>
  <si>
    <t>+233712345038</t>
  </si>
  <si>
    <t>PhD</t>
  </si>
  <si>
    <t>PhD by Research</t>
  </si>
  <si>
    <t>5. Candidacy Confirmed — Data Collection Phase</t>
  </si>
  <si>
    <t>Federated Learning for Privacy-Preserving Health Data Analytics in Sub-Saharan Africa</t>
  </si>
  <si>
    <t>Prof. Ruth Mutua (Strathmore University, External)</t>
  </si>
  <si>
    <t>Computer Science — Federated Learning, Privacy &amp; mHealth in Africa</t>
  </si>
  <si>
    <t>Enrolled ✓ | Foundation CW ✓ | Proposal Defended ✓ | Candidacy Confirmed ✓ | FL Architecture Designed ✓ | Data Collection Ongoing (4 hospital sites)</t>
  </si>
  <si>
    <t>Complete Hospital Data Collection &amp; Begin Federated Model Training</t>
  </si>
  <si>
    <t>Poster: African AI Summit 2024 | Working Paper: IEEE Trans. Medical Informatics (under review)</t>
  </si>
  <si>
    <t>TU-PHD-2020-0039</t>
  </si>
  <si>
    <t>Samuel Odhiambo</t>
  </si>
  <si>
    <t>s.odhiambo@templumis.ac</t>
  </si>
  <si>
    <t>+254712345039</t>
  </si>
  <si>
    <t>6. Thesis Writing Phase (Final)</t>
  </si>
  <si>
    <t>Research Year 4</t>
  </si>
  <si>
    <t>Impact of Community Health Worker Integration on Under-5 Mortality Rates in Rural Kenya</t>
  </si>
  <si>
    <t>Pending</t>
  </si>
  <si>
    <t>Dr. Rebecca Adero (WHO Kenya, External)</t>
  </si>
  <si>
    <t>Public Health — Community Health Systems, Child Survival &amp; Rural Health Delivery</t>
  </si>
  <si>
    <t>Enrolled ✓ | Foundation CW ✓ | Proposal Defended ✓ | Candidacy Confirmed ✓ | Fieldwork (14 counties, n=2,400) ✓ | Data Analysis ✓ | Chapters 1–4 Approved ✓</t>
  </si>
  <si>
    <t>Complete Chapter 5 (Conclusions &amp; Policy Recommendations) + Submit Full Thesis Draft</t>
  </si>
  <si>
    <t>Published: African J. Primary Health Care (2024) | Under Review: PLOS Global Health</t>
  </si>
  <si>
    <t>TU-PHD-2023-0040</t>
  </si>
  <si>
    <t>Fatima Al-Rashid</t>
  </si>
  <si>
    <t>f.al-rashid@templumis.ac</t>
  </si>
  <si>
    <t>+249712345040</t>
  </si>
  <si>
    <t>Sudanese</t>
  </si>
  <si>
    <t>2. Research Proposal Writing</t>
  </si>
  <si>
    <t>FDI, Structural Transformation &amp; Inclusive Growth in East Africa: A Panel Data Analysis</t>
  </si>
  <si>
    <t>Proposal Writing</t>
  </si>
  <si>
    <t>Dr. Emmanuel Kiprotich (IMF Africa Division, External)</t>
  </si>
  <si>
    <t>Economics — International Economics, Structural Change &amp; Panel Econometrics</t>
  </si>
  <si>
    <t>Enrolled ✓ | Foundation CW (PHD701 ✓) | Systematic Lit Review 60% ✓ | Research Proposal Draft 40% In Progress</t>
  </si>
  <si>
    <t>Submit Full Research Proposal to Departmental Committee (Target: April 2024)</t>
  </si>
  <si>
    <t>N/A — Year 1, Foundation Phase</t>
  </si>
  <si>
    <t>TU-PHD-2022-0041</t>
  </si>
  <si>
    <t>Peter Kamau Njeru</t>
  </si>
  <si>
    <t>p.njeru@templumis.ac</t>
  </si>
  <si>
    <t>+254712345041</t>
  </si>
  <si>
    <t>3. Proposal Defense — Pre-Candidacy Phase</t>
  </si>
  <si>
    <t>Carbon Sequestration Potential of Afromontane Forests: Evidence from Central Kenya</t>
  </si>
  <si>
    <t>Proposal Submitted — Awaiting Defense</t>
  </si>
  <si>
    <t>Dr. Osei Kwame (UNEP Kenya, External)</t>
  </si>
  <si>
    <t>Environmental Science — Carbon Science, Forest Ecology &amp; Climate Change Mitigation</t>
  </si>
  <si>
    <t>Enrolled ✓ | Foundation CW ✓ | Systematic Lit Review ✓ | Proposal Submitted (Dept Review) | Pilot Site Identified (Aberdares Forest Reserve, 500ha)</t>
  </si>
  <si>
    <t>Proposal Defense (Target: March 2024) + Ethics Clearance Application</t>
  </si>
  <si>
    <t>N/A — Year 2, Pre-Candidacy Phase</t>
  </si>
  <si>
    <t>KT-2021-0001</t>
  </si>
  <si>
    <t>Yusuf Al-Farsi</t>
  </si>
  <si>
    <t>2001-02-11</t>
  </si>
  <si>
    <t>y.al-farsi@kitaptech.com</t>
  </si>
  <si>
    <t>+966712345001</t>
  </si>
  <si>
    <t>School of Computer Science</t>
  </si>
  <si>
    <t>Saudi Arabian</t>
  </si>
  <si>
    <t>2021-09-02</t>
  </si>
  <si>
    <t>Kitaptech University</t>
  </si>
  <si>
    <t>KT-2022-0002</t>
  </si>
  <si>
    <t>Fatima Al-Sayed</t>
  </si>
  <si>
    <t>2002-06-24</t>
  </si>
  <si>
    <t>f.al-sayed@kitaptech.com</t>
  </si>
  <si>
    <t>+971712345002</t>
  </si>
  <si>
    <t>Software Engineering</t>
  </si>
  <si>
    <t>School of Software Engineering</t>
  </si>
  <si>
    <t>Emirati</t>
  </si>
  <si>
    <t>2022-09-04</t>
  </si>
  <si>
    <t>KT-2020-0003</t>
  </si>
  <si>
    <t>Omar Haddad</t>
  </si>
  <si>
    <t>2000-10-03</t>
  </si>
  <si>
    <t>o.haddad@kitaptech.com</t>
  </si>
  <si>
    <t>+962712345003</t>
  </si>
  <si>
    <t>School of Information Technology &amp; Cybersecurity</t>
  </si>
  <si>
    <t>Jordanian</t>
  </si>
  <si>
    <t>2020-09-05</t>
  </si>
  <si>
    <t>Hearing Impairment</t>
  </si>
  <si>
    <t>Sign-language interpreter; note-taking support</t>
  </si>
  <si>
    <t>KT-2020-0004</t>
  </si>
  <si>
    <t>Layla Mansour</t>
  </si>
  <si>
    <t>1999-04-19</t>
  </si>
  <si>
    <t>l.mansour@kitaptech.com</t>
  </si>
  <si>
    <t>+961712345004</t>
  </si>
  <si>
    <t>School of Data Science &amp; Artificial Intelligence</t>
  </si>
  <si>
    <t>Lebanese</t>
  </si>
  <si>
    <t>2020-09-06</t>
  </si>
  <si>
    <t>KT-2023-0005</t>
  </si>
  <si>
    <t>Khalid Nasser</t>
  </si>
  <si>
    <t>2003-08-30</t>
  </si>
  <si>
    <t>k.nasser@kitaptech.com</t>
  </si>
  <si>
    <t>+974712345005</t>
  </si>
  <si>
    <t>Cybersecurity</t>
  </si>
  <si>
    <t>Qatari</t>
  </si>
  <si>
    <t>2023-09-07</t>
  </si>
  <si>
    <t>KT-2021-0006</t>
  </si>
  <si>
    <t>Rania Saleh</t>
  </si>
  <si>
    <t>2001-01-17</t>
  </si>
  <si>
    <t>r.saleh@kitaptech.com</t>
  </si>
  <si>
    <t>+20712345006</t>
  </si>
  <si>
    <t>Egyptian</t>
  </si>
  <si>
    <t>KT-2022-0007</t>
  </si>
  <si>
    <t>Hamza Zidane</t>
  </si>
  <si>
    <t>2002-09-12</t>
  </si>
  <si>
    <t>h.zidane@kitaptech.com</t>
  </si>
  <si>
    <t>+213712345007</t>
  </si>
  <si>
    <t>Financial Technology</t>
  </si>
  <si>
    <t>School of Digital Business &amp; Financial Technology</t>
  </si>
  <si>
    <t>Algerian</t>
  </si>
  <si>
    <t>KT-2020-0008</t>
  </si>
  <si>
    <t>Noor Al-Amin</t>
  </si>
  <si>
    <t>2000-05-02</t>
  </si>
  <si>
    <t>n.al-amin@kitaptech.com</t>
  </si>
  <si>
    <t>+965712345008</t>
  </si>
  <si>
    <t>Kuwaiti</t>
  </si>
  <si>
    <t>KT-2021-0009</t>
  </si>
  <si>
    <t>Bilal Qureshi</t>
  </si>
  <si>
    <t>2001-11-27</t>
  </si>
  <si>
    <t>b.qureshi@kitaptech.com</t>
  </si>
  <si>
    <t>+970712345009</t>
  </si>
  <si>
    <t>Palestinian</t>
  </si>
  <si>
    <t>KT-2023-0010</t>
  </si>
  <si>
    <t>Sami Hijazi</t>
  </si>
  <si>
    <t>2003-03-08</t>
  </si>
  <si>
    <t>s.hijazi@kitaptech.com</t>
  </si>
  <si>
    <t>+963712345010</t>
  </si>
  <si>
    <t>Syrian</t>
  </si>
  <si>
    <t>KT-2022-0011</t>
  </si>
  <si>
    <t>Dalia Abdullah</t>
  </si>
  <si>
    <t>2002-07-21</t>
  </si>
  <si>
    <t>d.abdullah@kitaptech.com</t>
  </si>
  <si>
    <t>+968712345011</t>
  </si>
  <si>
    <t>Omani</t>
  </si>
  <si>
    <t>2022-09-02</t>
  </si>
  <si>
    <t>KT-2020-0012</t>
  </si>
  <si>
    <t>Tariq Al-Otaibi</t>
  </si>
  <si>
    <t>1999-12-14</t>
  </si>
  <si>
    <t>t.al-otaibi@kitaptech.com</t>
  </si>
  <si>
    <t>+966712345012</t>
  </si>
  <si>
    <t>2020-09-04</t>
  </si>
  <si>
    <t>KT-2021-0013</t>
  </si>
  <si>
    <t>Maryam Karam</t>
  </si>
  <si>
    <t>2001-06-09</t>
  </si>
  <si>
    <t>m.karam@kitaptech.com</t>
  </si>
  <si>
    <t>+964712345013</t>
  </si>
  <si>
    <t>Iraqi</t>
  </si>
  <si>
    <t>KT-2020-0014</t>
  </si>
  <si>
    <t>Faisal Al-Mutairi</t>
  </si>
  <si>
    <t>2000-02-28</t>
  </si>
  <si>
    <t>f.al-mutairi@kitaptech.com</t>
  </si>
  <si>
    <t>+965712345014</t>
  </si>
  <si>
    <t>KT-2023-0015</t>
  </si>
  <si>
    <t>Huda Shammari</t>
  </si>
  <si>
    <t>2003-10-05</t>
  </si>
  <si>
    <t>h.shammari@kitaptech.com</t>
  </si>
  <si>
    <t>+966712345015</t>
  </si>
  <si>
    <t>KT-2021-0016</t>
  </si>
  <si>
    <t>Ahmed Al-Masri</t>
  </si>
  <si>
    <t>2001-08-16</t>
  </si>
  <si>
    <t>a.al-masri@kitaptech.com</t>
  </si>
  <si>
    <t>+20712345016</t>
  </si>
  <si>
    <t>KT-2022-0017</t>
  </si>
  <si>
    <t>Yasmin Qasim</t>
  </si>
  <si>
    <t>2002-03-22</t>
  </si>
  <si>
    <t>y.qasim@kitaptech.com</t>
  </si>
  <si>
    <t>+962712345017</t>
  </si>
  <si>
    <t>KT-2020-0018</t>
  </si>
  <si>
    <t>Karim Hamdan</t>
  </si>
  <si>
    <t>2000-09-09</t>
  </si>
  <si>
    <t>k.hamdan@kitaptech.com</t>
  </si>
  <si>
    <t>+961712345018</t>
  </si>
  <si>
    <t>Chronic Illness (Epilepsy)</t>
  </si>
  <si>
    <t>Modified exam schedule for medical appointments; rest breaks</t>
  </si>
  <si>
    <t>KT-2021-0019</t>
  </si>
  <si>
    <t>Zainab Al-Rashid</t>
  </si>
  <si>
    <t>2001-05-13</t>
  </si>
  <si>
    <t>z.al-rashid@kitaptech.com</t>
  </si>
  <si>
    <t>+973712345019</t>
  </si>
  <si>
    <t>Bahraini</t>
  </si>
  <si>
    <t>KT-2023-0020</t>
  </si>
  <si>
    <t>Hassan Mansour</t>
  </si>
  <si>
    <t>2003-01-30</t>
  </si>
  <si>
    <t>h.mansour@kitaptech.com</t>
  </si>
  <si>
    <t>+967712345020</t>
  </si>
  <si>
    <t>Yemeni</t>
  </si>
  <si>
    <t>KT-2022-0021</t>
  </si>
  <si>
    <t>Salma Nasser</t>
  </si>
  <si>
    <t>2002-11-02</t>
  </si>
  <si>
    <t>s.nasser@kitaptech.com</t>
  </si>
  <si>
    <t>+216712345021</t>
  </si>
  <si>
    <t>Tunisian</t>
  </si>
  <si>
    <t>KT-2020-0022</t>
  </si>
  <si>
    <t>Ali Abdullah</t>
  </si>
  <si>
    <t>1999-07-18</t>
  </si>
  <si>
    <t>a.abdullah@kitaptech.com</t>
  </si>
  <si>
    <t>+212712345022</t>
  </si>
  <si>
    <t>Moroccan</t>
  </si>
  <si>
    <t>KT-2021-0023</t>
  </si>
  <si>
    <t>Reem Al-Farsi</t>
  </si>
  <si>
    <t>2001-04-06</t>
  </si>
  <si>
    <t>r.al-farsi@kitaptech.com</t>
  </si>
  <si>
    <t>+971712345023</t>
  </si>
  <si>
    <t>KT-2022-0024</t>
  </si>
  <si>
    <t>Mohammed Khalil</t>
  </si>
  <si>
    <t>2002-12-23</t>
  </si>
  <si>
    <t>m.khalil@kitaptech.com</t>
  </si>
  <si>
    <t>+974712345024</t>
  </si>
  <si>
    <t>KT-2023-0025</t>
  </si>
  <si>
    <t>Lina Haddad</t>
  </si>
  <si>
    <t>2003-02-14</t>
  </si>
  <si>
    <t>l.haddad@kitaptech.com</t>
  </si>
  <si>
    <t>+962712345025</t>
  </si>
  <si>
    <t>KT-PG-2022-0026</t>
  </si>
  <si>
    <t>Nadia Saleh</t>
  </si>
  <si>
    <t>1996-03-11</t>
  </si>
  <si>
    <t>n.saleh@kitaptech.com</t>
  </si>
  <si>
    <t>+20712345026</t>
  </si>
  <si>
    <t>Artificial Intelligence</t>
  </si>
  <si>
    <t>Dr. Samir Al-Balawi</t>
  </si>
  <si>
    <t>AI — Applied Machine Learning for Arabic NLP</t>
  </si>
  <si>
    <t>KT-PG-2023-0027</t>
  </si>
  <si>
    <t>Rashid Al-Amin</t>
  </si>
  <si>
    <t>1994-07-19</t>
  </si>
  <si>
    <t>r.al-amin@kitaptech.com</t>
  </si>
  <si>
    <t>+966712345027</t>
  </si>
  <si>
    <t>Technology Management</t>
  </si>
  <si>
    <t>Dr. Huda Ibrahim</t>
  </si>
  <si>
    <t>Tech Management — Digital Transformation &amp; FinTech Strategy</t>
  </si>
  <si>
    <t>KT-PG-2022-0028</t>
  </si>
  <si>
    <t>Dina Khalil</t>
  </si>
  <si>
    <t>1995-11-02</t>
  </si>
  <si>
    <t>d.khalil@kitaptech.com</t>
  </si>
  <si>
    <t>+961712345028</t>
  </si>
  <si>
    <t>Dr. Adel Karam</t>
  </si>
  <si>
    <t>Cybersecurity — Critical Infrastructure Protection</t>
  </si>
  <si>
    <t>Capstone: Critical Infrastructure Protection (Completed)</t>
  </si>
  <si>
    <t>KT-PG-2023-0029</t>
  </si>
  <si>
    <t>Waleed Hamdan</t>
  </si>
  <si>
    <t>1997-04-27</t>
  </si>
  <si>
    <t>w.hamdan@kitaptech.com</t>
  </si>
  <si>
    <t>+962712345029</t>
  </si>
  <si>
    <t>2023-09-06</t>
  </si>
  <si>
    <t>Dr. Samar Odeh</t>
  </si>
  <si>
    <t>Software Engineering — DevSecOps &amp; Cloud-Native Architectures</t>
  </si>
  <si>
    <t>Semester 2 — Achieve GPA ≥ 3.00 to Continue (MSc Software Engineering)</t>
  </si>
  <si>
    <t>KT-PG-2022-0030</t>
  </si>
  <si>
    <t>Amal Qasim</t>
  </si>
  <si>
    <t>1996-09-08</t>
  </si>
  <si>
    <t>a.qasim@kitaptech.com</t>
  </si>
  <si>
    <t>+216712345030</t>
  </si>
  <si>
    <t>2022-09-07</t>
  </si>
  <si>
    <t>Prof. Nour Kassem (School of Digital Business &amp; FinTech)</t>
  </si>
  <si>
    <t>Data Science — Predictive Analytics for Fintech Risk Scoring</t>
  </si>
  <si>
    <t>KT-PG-2023-0031</t>
  </si>
  <si>
    <t>Jamal Al-Otaibi</t>
  </si>
  <si>
    <t>1993-01-15</t>
  </si>
  <si>
    <t>j.al-otaibi@kitaptech.com</t>
  </si>
  <si>
    <t>+965712345031</t>
  </si>
  <si>
    <t>2023-09-02</t>
  </si>
  <si>
    <t>Tech Management — AI Adoption in Gulf Banking Sector</t>
  </si>
  <si>
    <t>KT-PG-2021-0032</t>
  </si>
  <si>
    <t>Samira Haddad</t>
  </si>
  <si>
    <t>1995-06-03</t>
  </si>
  <si>
    <t>s.haddad@kitaptech.com</t>
  </si>
  <si>
    <t>+963712345032</t>
  </si>
  <si>
    <t>Arabic Dialect Identification Using Transformer-Based Deep Learning</t>
  </si>
  <si>
    <t>Prof. Nour Kassem</t>
  </si>
  <si>
    <t>Dr. Leila Sabbagh (KAUST, External)</t>
  </si>
  <si>
    <t>Data Science — Arabic NLP &amp; Dialectal Speech Processing</t>
  </si>
  <si>
    <t>Registered ✓ | Lit Review ✓ | Proposal Approved ✓ | Fieldwork Underway</t>
  </si>
  <si>
    <t>Complete Analysis &amp; Begin Thesis Writing</t>
  </si>
  <si>
    <t>Working paper in preparation — Arabic NLP &amp; Dialectal Speech Processing</t>
  </si>
  <si>
    <t>KT-PG-2022-0033</t>
  </si>
  <si>
    <t>Anwar Mutairi</t>
  </si>
  <si>
    <t>1996-12-21</t>
  </si>
  <si>
    <t>a.mutairi@kitaptech.com</t>
  </si>
  <si>
    <t>+974712345033</t>
  </si>
  <si>
    <t>Edge-Computing Architectures for Real-Time Fraud Detection in Mobile Payments</t>
  </si>
  <si>
    <t>Dr. Karim Badawi</t>
  </si>
  <si>
    <t>Dr. Rafiq Qadri (MBZUAI, External)</t>
  </si>
  <si>
    <t>Computer Science — Edge AI &amp; FinTech Security</t>
  </si>
  <si>
    <t>Complete Data Collection &amp; Begin Analysis</t>
  </si>
  <si>
    <t>Working paper in preparation — Edge AI &amp; FinTech Security</t>
  </si>
  <si>
    <t>KT-PG-2021-0034</t>
  </si>
  <si>
    <t>Samar Odeh</t>
  </si>
  <si>
    <t>1994-08-09</t>
  </si>
  <si>
    <t>s.odeh@kitaptech.com</t>
  </si>
  <si>
    <t>+970712345034</t>
  </si>
  <si>
    <t>Information Systems</t>
  </si>
  <si>
    <t>Digital Inclusion &amp; E-Government Adoption Among Arab Youth</t>
  </si>
  <si>
    <t>Prof. Yasir Mansoor (Qatar University, External)</t>
  </si>
  <si>
    <t>Information Systems — Digital Government &amp; Youth Digital Inclusion</t>
  </si>
  <si>
    <t>Working paper in preparation — Digital Government &amp; Youth Digital Inclusion</t>
  </si>
  <si>
    <t>KT-PG-2022-0035</t>
  </si>
  <si>
    <t>Bassam Najjar</t>
  </si>
  <si>
    <t>b.najjar@kitaptech.com</t>
  </si>
  <si>
    <t>+212712345035</t>
  </si>
  <si>
    <t>Threat Intelligence Sharing Frameworks for GCC Financial Institutions</t>
  </si>
  <si>
    <t>Cybersecurity — Threat Intelligence &amp; Financial Sector Resilience</t>
  </si>
  <si>
    <t>Return from Leave &amp; Resume Fieldwork</t>
  </si>
  <si>
    <t>KT-PG-2020-0036</t>
  </si>
  <si>
    <t>Hanan Zahran</t>
  </si>
  <si>
    <t>h.zahran@kitaptech.com</t>
  </si>
  <si>
    <t>+967712345036</t>
  </si>
  <si>
    <t>Satellite Imagery &amp; Deep Learning for Water Scarcity Monitoring in Arid Regions</t>
  </si>
  <si>
    <t>Prof. Leila Sabbagh (KAUST, External)</t>
  </si>
  <si>
    <t>Data Science — Remote Sensing &amp; Climate Resilience</t>
  </si>
  <si>
    <t>2023-06-30</t>
  </si>
  <si>
    <t>Thesis published / archived — Remote Sensing &amp; Climate Resilience</t>
  </si>
  <si>
    <t>KT-PG-2023-0037</t>
  </si>
  <si>
    <t>Marwan Saad</t>
  </si>
  <si>
    <t>m.saad@kitaptech.com</t>
  </si>
  <si>
    <t>+973712345037</t>
  </si>
  <si>
    <t>Federated Learning for Cross-Border Mobile Money Fraud Detection</t>
  </si>
  <si>
    <t>Computer Science — Federated Learning &amp; Cross-Border FinTech</t>
  </si>
  <si>
    <t>Proposal Defense &amp; Ethics Clearance</t>
  </si>
  <si>
    <t>N/A — Early-Stage Research</t>
  </si>
  <si>
    <t>KT-PHD-2021-0038</t>
  </si>
  <si>
    <t>Nabil Farouk</t>
  </si>
  <si>
    <t>1990-02-19</t>
  </si>
  <si>
    <t>n.farouk@kitaptech.com</t>
  </si>
  <si>
    <t>+20712345038</t>
  </si>
  <si>
    <t>Explainable AI for Credit Risk Assessment in Underbanked GCC Populations</t>
  </si>
  <si>
    <t>Prof. Aisha Rahman (MBZUAI, External)</t>
  </si>
  <si>
    <t>Computer Science — Explainable AI &amp; Financial Inclusion</t>
  </si>
  <si>
    <t>Enrolled ✓ | Foundation CW ✓ | Proposal Defended ✓ | Candidacy Confirmed ✓ | Data Collection Ongoing</t>
  </si>
  <si>
    <t>Complete Data Collection &amp; Begin Thesis Writing</t>
  </si>
  <si>
    <t>Working paper in preparation — Explainable AI &amp; Financial Inclusion</t>
  </si>
  <si>
    <t>KT-PHD-2020-0039</t>
  </si>
  <si>
    <t>Soraya Bint Nasser</t>
  </si>
  <si>
    <t>1989-09-04</t>
  </si>
  <si>
    <t>+966712345039</t>
  </si>
  <si>
    <t>Data Science &amp; AI</t>
  </si>
  <si>
    <t>Deep Learning for Early-Stage Drought Prediction Across the Arabian Peninsula</t>
  </si>
  <si>
    <t>Data Science — Climate Modelling &amp; Deep Learning</t>
  </si>
  <si>
    <t>Enrolled ✓ | Foundation CW ✓ | Proposal Defended ✓ | Candidacy Confirmed ✓ | Fieldwork ✓ | Data Analysis ✓</t>
  </si>
  <si>
    <t>Submit Full Thesis Draft &amp; Schedule Viva</t>
  </si>
  <si>
    <t>Working paper in preparation — Climate Modelling &amp; Deep Learning</t>
  </si>
  <si>
    <t>KT-PHD-2023-0040</t>
  </si>
  <si>
    <t>Karam Abu Zaid</t>
  </si>
  <si>
    <t>1992-11-27</t>
  </si>
  <si>
    <t>k.zaid@kitaptech.com</t>
  </si>
  <si>
    <t>+962712345040</t>
  </si>
  <si>
    <t>2023-09-05</t>
  </si>
  <si>
    <t>Cybersecurity Governance Maturity Models for Gulf State E-Government Platforms</t>
  </si>
  <si>
    <t>Information Systems — Cybersecurity Governance &amp; Public Sector Digitalisation</t>
  </si>
  <si>
    <t>Enrolled ✓ | Foundation Coursework (PHD701 ✓) | Systematic Lit Review In Progress</t>
  </si>
  <si>
    <t>Submit Full Research Proposal to Departmental Committee</t>
  </si>
  <si>
    <t>KT-PHD-2022-0041</t>
  </si>
  <si>
    <t>Widad El-Amrani</t>
  </si>
  <si>
    <t>1991-04-13</t>
  </si>
  <si>
    <t>w.el-amrani@kitaptech.com</t>
  </si>
  <si>
    <t>+212712345041</t>
  </si>
  <si>
    <t>Low-Resource Software Testing Automation for Arabic-Script Mobile Applications</t>
  </si>
  <si>
    <t>Software Engineering — Automated Testing &amp; Localisation</t>
  </si>
  <si>
    <t>Enrolled ✓ | Foundation CW ✓ | Systematic Lit Review ✓ | Proposal Submitted (Dept Review)</t>
  </si>
  <si>
    <t>Working paper in preparation — Automated Testing &amp; Localisation</t>
  </si>
  <si>
    <t>RU-2021-0001</t>
  </si>
  <si>
    <t>Dennis Otieno</t>
  </si>
  <si>
    <t>2001-03-02</t>
  </si>
  <si>
    <t>d.otieno@rongovarsity.ac.ke</t>
  </si>
  <si>
    <t>Rongo University</t>
  </si>
  <si>
    <t>RU-2022-0002</t>
  </si>
  <si>
    <t>Sharon Achieng</t>
  </si>
  <si>
    <t>2002-07-14</t>
  </si>
  <si>
    <t>s.achieng@rongovarsity.ac.ke</t>
  </si>
  <si>
    <t>BCom</t>
  </si>
  <si>
    <t>Human Resource Management</t>
  </si>
  <si>
    <t>School of Business and Human Resource Management</t>
  </si>
  <si>
    <t>RU-2020-0003</t>
  </si>
  <si>
    <t>Collins Onyango</t>
  </si>
  <si>
    <t>2000-11-21</t>
  </si>
  <si>
    <t>c.onyango@rongovarsity.ac.ke</t>
  </si>
  <si>
    <t>+254712345003</t>
  </si>
  <si>
    <t>Journalism &amp; Mass Communication</t>
  </si>
  <si>
    <t>School of Information, Communication and Media Studies</t>
  </si>
  <si>
    <t>Specific Learning Disability (Dyslexia)</t>
  </si>
  <si>
    <t>Extended exam time; reader/scribe support</t>
  </si>
  <si>
    <t>RU-2020-0004</t>
  </si>
  <si>
    <t>Brenda Adhiambo</t>
  </si>
  <si>
    <t>1999-05-09</t>
  </si>
  <si>
    <t>b.adhiambo@rongovarsity.ac.ke</t>
  </si>
  <si>
    <t>+254712345004</t>
  </si>
  <si>
    <t>School of Science, Technology and Engineering</t>
  </si>
  <si>
    <t>RU-2023-0005</t>
  </si>
  <si>
    <t>Kevin Owino</t>
  </si>
  <si>
    <t>2003-09-28</t>
  </si>
  <si>
    <t>k.owino@rongovarsity.ac.ke</t>
  </si>
  <si>
    <t>School of Arts and Social Sciences</t>
  </si>
  <si>
    <t>RU-2021-0006</t>
  </si>
  <si>
    <t>Mercy Akinyi</t>
  </si>
  <si>
    <t>2001-01-16</t>
  </si>
  <si>
    <t>m.akinyi@rongovarsity.ac.ke</t>
  </si>
  <si>
    <t>Agricultural Science</t>
  </si>
  <si>
    <t>School of Agriculture, Natural Resources and Environmental Studies</t>
  </si>
  <si>
    <t>RU-2022-0007</t>
  </si>
  <si>
    <t>Elvis Opiyo</t>
  </si>
  <si>
    <t>2002-10-04</t>
  </si>
  <si>
    <t>e.opiyo@rongovarsity.ac.ke</t>
  </si>
  <si>
    <t>RU-2020-0008</t>
  </si>
  <si>
    <t>Joy Anyango</t>
  </si>
  <si>
    <t>2000-04-12</t>
  </si>
  <si>
    <t>j.anyango@rongovarsity.ac.ke</t>
  </si>
  <si>
    <t>+254712345008</t>
  </si>
  <si>
    <t>Curriculum Studies</t>
  </si>
  <si>
    <t>RU-2021-0009</t>
  </si>
  <si>
    <t>Moses Ochieng</t>
  </si>
  <si>
    <t>2001-12-19</t>
  </si>
  <si>
    <t>m.ochieng@rongovarsity.ac.ke</t>
  </si>
  <si>
    <t>RU-2023-0010</t>
  </si>
  <si>
    <t>Lilian Auma</t>
  </si>
  <si>
    <t>l.auma@rongovarsity.ac.ke</t>
  </si>
  <si>
    <t>Communication &amp; Media Studies</t>
  </si>
  <si>
    <t>RU-2022-0011</t>
  </si>
  <si>
    <t>Paul Oduya</t>
  </si>
  <si>
    <t>2002-08-07</t>
  </si>
  <si>
    <t>p.oduya@rongovarsity.ac.ke</t>
  </si>
  <si>
    <t>RU-2020-0012</t>
  </si>
  <si>
    <t>Janet Nyambura</t>
  </si>
  <si>
    <t>1999-06-30</t>
  </si>
  <si>
    <t>j.nyambura@rongovarsity.ac.ke</t>
  </si>
  <si>
    <t>+254712345012</t>
  </si>
  <si>
    <t>Special Needs Education</t>
  </si>
  <si>
    <t>RU-2021-0013</t>
  </si>
  <si>
    <t>Brian Omondi</t>
  </si>
  <si>
    <t>2001-07-23</t>
  </si>
  <si>
    <t>b.omondi@rongovarsity.ac.ke</t>
  </si>
  <si>
    <t>RU-2020-0014</t>
  </si>
  <si>
    <t>Beatrice Atieno</t>
  </si>
  <si>
    <t>2000-03-11</t>
  </si>
  <si>
    <t>b.atieno@rongovarsity.ac.ke</t>
  </si>
  <si>
    <t>Agribusiness Management</t>
  </si>
  <si>
    <t>RU-2023-0015</t>
  </si>
  <si>
    <t>Michael Wafula</t>
  </si>
  <si>
    <t>2003-11-08</t>
  </si>
  <si>
    <t>m.wafula@rongovarsity.ac.ke</t>
  </si>
  <si>
    <t>+256712345015</t>
  </si>
  <si>
    <t>RU-2021-0016</t>
  </si>
  <si>
    <t>Christine Achola</t>
  </si>
  <si>
    <t>2001-09-17</t>
  </si>
  <si>
    <t>c.achola@rongovarsity.ac.ke</t>
  </si>
  <si>
    <t>Marketing</t>
  </si>
  <si>
    <t>RU-2022-0017</t>
  </si>
  <si>
    <t>Steve Okoth</t>
  </si>
  <si>
    <t>2002-05-26</t>
  </si>
  <si>
    <t>s.okoth@rongovarsity.ac.ke</t>
  </si>
  <si>
    <t>Electrical &amp; Electronics Engineering</t>
  </si>
  <si>
    <t>Psychosocial Disability (Anxiety Disorder)</t>
  </si>
  <si>
    <t>Counselling support; flexible coursework deadlines</t>
  </si>
  <si>
    <t>RU-2020-0018</t>
  </si>
  <si>
    <t>Vivian Nyakundi</t>
  </si>
  <si>
    <t>2000-01-03</t>
  </si>
  <si>
    <t>v.nyakundi@rongovarsity.ac.ke</t>
  </si>
  <si>
    <t>+254712345018</t>
  </si>
  <si>
    <t>RU-2021-0019</t>
  </si>
  <si>
    <t>Erick Oyugi</t>
  </si>
  <si>
    <t>2001-06-15</t>
  </si>
  <si>
    <t>e.oyugi@rongovarsity.ac.ke</t>
  </si>
  <si>
    <t>Education (Arts)</t>
  </si>
  <si>
    <t>RU-2023-0020</t>
  </si>
  <si>
    <t>Gladys Kerubo</t>
  </si>
  <si>
    <t>2003-03-29</t>
  </si>
  <si>
    <t>g.kerubo@rongovarsity.ac.ke</t>
  </si>
  <si>
    <t>+254712345020</t>
  </si>
  <si>
    <t>Food Science &amp; Nutrition</t>
  </si>
  <si>
    <t>RU-2022-0021</t>
  </si>
  <si>
    <t>Felix Omolo</t>
  </si>
  <si>
    <t>2002-12-02</t>
  </si>
  <si>
    <t>f.omolo@rongovarsity.ac.ke</t>
  </si>
  <si>
    <t>+255712345021</t>
  </si>
  <si>
    <t>Tanzanian</t>
  </si>
  <si>
    <t>RU-2020-0022</t>
  </si>
  <si>
    <t>Margaret Awuor</t>
  </si>
  <si>
    <t>1999-10-20</t>
  </si>
  <si>
    <t>m.awuor@rongovarsity.ac.ke</t>
  </si>
  <si>
    <t>RU-2021-0023</t>
  </si>
  <si>
    <t>Dancun Wanyama</t>
  </si>
  <si>
    <t>2001-04-05</t>
  </si>
  <si>
    <t>d.wanyama@rongovarsity.ac.ke</t>
  </si>
  <si>
    <t>RU-2022-0024</t>
  </si>
  <si>
    <t>Purity Moraa</t>
  </si>
  <si>
    <t>2002-02-14</t>
  </si>
  <si>
    <t>p.moraa@rongovarsity.ac.ke</t>
  </si>
  <si>
    <t>Agricultural Economics</t>
  </si>
  <si>
    <t>RU-2023-0025</t>
  </si>
  <si>
    <t>Samuel Ogola</t>
  </si>
  <si>
    <t>2003-08-21</t>
  </si>
  <si>
    <t>s.ogola@rongovarsity.ac.ke</t>
  </si>
  <si>
    <t>RU-PG-2022-0026</t>
  </si>
  <si>
    <t>Evelyn Nyabuto</t>
  </si>
  <si>
    <t>1996-02-08</t>
  </si>
  <si>
    <t>e.nyabuto@rongovarsity.ac.ke</t>
  </si>
  <si>
    <t>+254712345026</t>
  </si>
  <si>
    <t>MEd</t>
  </si>
  <si>
    <t>Educational Administration</t>
  </si>
  <si>
    <t>MEd (Coursework)</t>
  </si>
  <si>
    <t>Prof. Richard Onyango</t>
  </si>
  <si>
    <t>Education — Institutional Leadership &amp; Policy in Public Universities</t>
  </si>
  <si>
    <t>RU-PG-2023-0027</t>
  </si>
  <si>
    <t>Antony Nyakwaka</t>
  </si>
  <si>
    <t>1994-06-17</t>
  </si>
  <si>
    <t>a.nyakwaka@rongovarsity.ac.ke</t>
  </si>
  <si>
    <t>+254712345027</t>
  </si>
  <si>
    <t>Dr. Agnes Moturi</t>
  </si>
  <si>
    <t>HRM — Talent Retention &amp; Performance Management in Public Universities</t>
  </si>
  <si>
    <t>RU-PG-2022-0028</t>
  </si>
  <si>
    <t>Caroline Adika</t>
  </si>
  <si>
    <t>1995-09-25</t>
  </si>
  <si>
    <t>c.adika@rongovarsity.ac.ke</t>
  </si>
  <si>
    <t>Dr. Patrick Owade</t>
  </si>
  <si>
    <t>Communication — Community Radio &amp; Civic Participation in Nyanza</t>
  </si>
  <si>
    <t>Capstone: Community Radio &amp; Civic Participation in Nyanza (Completed)</t>
  </si>
  <si>
    <t>RU-PG-2023-0029</t>
  </si>
  <si>
    <t>Isaac Otiende</t>
  </si>
  <si>
    <t>1997-01-30</t>
  </si>
  <si>
    <t>i.otiende@rongovarsity.ac.ke</t>
  </si>
  <si>
    <t>+254712345029</t>
  </si>
  <si>
    <t>Dr. Felix Odongo</t>
  </si>
  <si>
    <t>Computer Science — Cloud Computing for SME Digital Adoption</t>
  </si>
  <si>
    <t>Semester 2 — Achieve GPA ≥ 3.00 to Continue (MSc Computer Science)</t>
  </si>
  <si>
    <t>RU-PG-2022-0030</t>
  </si>
  <si>
    <t>Agnes Kwamboka</t>
  </si>
  <si>
    <t>1996-11-12</t>
  </si>
  <si>
    <t>a.kwamboka@rongovarsity.ac.ke</t>
  </si>
  <si>
    <t>Dr. Benard Osero</t>
  </si>
  <si>
    <t>Prof. Milka Rabuogi (School of Business &amp; HRM)</t>
  </si>
  <si>
    <t>Agri-Economics — Smallholder Value Chains &amp; Market Access in Migori County</t>
  </si>
  <si>
    <t>RU-PG-2023-0031</t>
  </si>
  <si>
    <t>Dickson Obare</t>
  </si>
  <si>
    <t>1993-04-04</t>
  </si>
  <si>
    <t>d.obare@rongovarsity.ac.ke</t>
  </si>
  <si>
    <t>+254712345031</t>
  </si>
  <si>
    <t>Strategic Management — Cooperative Governance in Sugar-Belt SACCOs</t>
  </si>
  <si>
    <t>RU-PG-2021-0032</t>
  </si>
  <si>
    <t>Mercyline Atandi</t>
  </si>
  <si>
    <t>1995-07-21</t>
  </si>
  <si>
    <t>m.atandi@rongovarsity.ac.ke</t>
  </si>
  <si>
    <t>Wetland Degradation and Livelihood Resilience Around Lake Victoria's Nyanza Gulf</t>
  </si>
  <si>
    <t>Dr. Joshua Orina (Maseno University, External)</t>
  </si>
  <si>
    <t>Environmental Science — Wetland Ecology &amp; Community Livelihoods</t>
  </si>
  <si>
    <t>Working paper in preparation — Wetland Ecology &amp; Community Livelihoods</t>
  </si>
  <si>
    <t>RU-PG-2022-0033</t>
  </si>
  <si>
    <t>Kennedy Abuga</t>
  </si>
  <si>
    <t>1996-10-14</t>
  </si>
  <si>
    <t>k.abuga@rongovarsity.ac.ke</t>
  </si>
  <si>
    <t>+254712345033</t>
  </si>
  <si>
    <t>Mobile-Based Early Warning System for Flood-Prone Communities in Migori River Basin</t>
  </si>
  <si>
    <t>Prof. Stella Okumu (Maseno University, External)</t>
  </si>
  <si>
    <t>Computer Science — Disaster-Resilient Mobile Systems</t>
  </si>
  <si>
    <t>Working paper in preparation — Disaster-Resilient Mobile Systems</t>
  </si>
  <si>
    <t>RU-PG-2021-0034</t>
  </si>
  <si>
    <t>Naomi Sianga</t>
  </si>
  <si>
    <t>1994-03-09</t>
  </si>
  <si>
    <t>n.sianga@rongovarsity.ac.ke</t>
  </si>
  <si>
    <t>Teacher Motivation &amp; Retention in Hard-to-Staff Rural Primary Schools</t>
  </si>
  <si>
    <t>Dr. Caren Nyamweya (Ministry of Education, External)</t>
  </si>
  <si>
    <t>Education — Teacher Policy &amp; Rural Education Access</t>
  </si>
  <si>
    <t>Working paper in preparation — Teacher Policy &amp; Rural Education Access</t>
  </si>
  <si>
    <t>RU-PG-2022-0035</t>
  </si>
  <si>
    <t>Robert Ratemo</t>
  </si>
  <si>
    <t>1995-12-01</t>
  </si>
  <si>
    <t>r.ratemo@rongovarsity.ac.ke</t>
  </si>
  <si>
    <t>+254712345035</t>
  </si>
  <si>
    <t>Soil Fertility Decline and Maize Yield Response to Integrated Nutrient Management in Migori County</t>
  </si>
  <si>
    <t>Agricultural Science — Soil Fertility &amp; Smallholder Agronomy</t>
  </si>
  <si>
    <t>RU-PG-2020-0036</t>
  </si>
  <si>
    <t>Josephine Moige</t>
  </si>
  <si>
    <t>1993-08-19</t>
  </si>
  <si>
    <t>j.moige@rongovarsity.ac.ke</t>
  </si>
  <si>
    <t>Vernacular FM Radio and Health Communication During Public Health Emergencies</t>
  </si>
  <si>
    <t>Communication — Health Communication &amp; Vernacular Media</t>
  </si>
  <si>
    <t>Thesis published / archived — Health Communication &amp; Vernacular Media</t>
  </si>
  <si>
    <t>RU-PG-2023-0037</t>
  </si>
  <si>
    <t>Martin Osiemo</t>
  </si>
  <si>
    <t>1997-05-26</t>
  </si>
  <si>
    <t>m.osiemo@rongovarsity.ac.ke</t>
  </si>
  <si>
    <t>Low-Cost IoT Soil Moisture Monitoring for Smallholder Irrigation Scheduling</t>
  </si>
  <si>
    <t>Computer Science — IoT Systems for Precision Agriculture</t>
  </si>
  <si>
    <t>RU-PHD-2021-0038</t>
  </si>
  <si>
    <t>Wilkista Nyaboke</t>
  </si>
  <si>
    <t>1988-01-22</t>
  </si>
  <si>
    <t>w.nyaboke@rongovarsity.ac.ke</t>
  </si>
  <si>
    <t>+254712345038</t>
  </si>
  <si>
    <t>Devolved Education Financing and Learning Outcomes in Migori and Homa Bay Counties</t>
  </si>
  <si>
    <t>Prof. James Achoka (Maseno University, External)</t>
  </si>
  <si>
    <t>Education — Education Finance &amp; Devolution</t>
  </si>
  <si>
    <t>Working paper in preparation — Education Finance &amp; Devolution</t>
  </si>
  <si>
    <t>RU-PHD-2020-0039</t>
  </si>
  <si>
    <t>Elkana Motanya</t>
  </si>
  <si>
    <t>1987-06-30</t>
  </si>
  <si>
    <t>e.motanya@rongovarsity.ac.ke</t>
  </si>
  <si>
    <t>Agriculture &amp; Natural Resources</t>
  </si>
  <si>
    <t>Climate-Resilient Cropping Systems and Food Security in the Lake Victoria Basin</t>
  </si>
  <si>
    <t>Agriculture — Climate Adaptation &amp; Food Systems</t>
  </si>
  <si>
    <t>Working paper in preparation — Climate Adaptation &amp; Food Systems</t>
  </si>
  <si>
    <t>RU-PHD-2023-0040</t>
  </si>
  <si>
    <t>Diana Nyangweso</t>
  </si>
  <si>
    <t>1990-09-15</t>
  </si>
  <si>
    <t>d.nyangweso@rongovarsity.ac.ke</t>
  </si>
  <si>
    <t>+254712345040</t>
  </si>
  <si>
    <t>SACCO Governance Reform and Smallholder Sugarcane Farmer Incomes in Western Kenya</t>
  </si>
  <si>
    <t>Prof. Milka Rabuogi (External, Kisii University)</t>
  </si>
  <si>
    <t>Business — Cooperative Governance &amp; Rural Finance</t>
  </si>
  <si>
    <t>RU-PHD-2022-0041</t>
  </si>
  <si>
    <t>Victor Anyiko</t>
  </si>
  <si>
    <t>1989-11-11</t>
  </si>
  <si>
    <t>v.anyiko@rongovarsity.ac.ke</t>
  </si>
  <si>
    <t>Federated Machine Learning for Crop Disease Surveillance Across County Extension Networks</t>
  </si>
  <si>
    <t>Computer Science — Federated Learning for Agricultural Extension</t>
  </si>
  <si>
    <t>Working paper in preparation — Federated Learning for Agricultural Extension</t>
  </si>
  <si>
    <t>TU-DEMO-UG</t>
  </si>
  <si>
    <t>Demo UG Student</t>
  </si>
  <si>
    <t>2002-06-15</t>
  </si>
  <si>
    <t>student-ug@templumis.ac</t>
  </si>
  <si>
    <t>+254712345901</t>
  </si>
  <si>
    <t>TU-DEMO-PG</t>
  </si>
  <si>
    <t>Demo PG Student</t>
  </si>
  <si>
    <t>1998-03-10</t>
  </si>
  <si>
    <t>student-pg@templumis.ac</t>
  </si>
  <si>
    <t>+254712345902</t>
  </si>
  <si>
    <t>2024-09-05</t>
  </si>
  <si>
    <t>Demo Supervisor</t>
  </si>
  <si>
    <t>Computer Science — Demo Programme (for platform walkthroughs)</t>
  </si>
  <si>
    <t>TU-DEMO-PHD</t>
  </si>
  <si>
    <t>Demo PhD Student</t>
  </si>
  <si>
    <t>1995-01-20</t>
  </si>
  <si>
    <t>student-phd@templumis.ac</t>
  </si>
  <si>
    <t>+254712345903</t>
  </si>
  <si>
    <t>2024-09-06</t>
  </si>
  <si>
    <t>2028-06-30</t>
  </si>
  <si>
    <t>Demo Research Project for Platform Walkthroughs</t>
  </si>
  <si>
    <t>Computer Science — Demo Research Track</t>
  </si>
  <si>
    <t>KT-DEMO-UG</t>
  </si>
  <si>
    <t>student-ug@kitaptech.com</t>
  </si>
  <si>
    <t>+966712345901</t>
  </si>
  <si>
    <t>KT-DEMO-PG</t>
  </si>
  <si>
    <t>student-pg@kitaptech.com</t>
  </si>
  <si>
    <t>+966712345902</t>
  </si>
  <si>
    <t>KT-DEMO-PHD</t>
  </si>
  <si>
    <t>student-phd@kitaptech.com</t>
  </si>
  <si>
    <t>+966712345903</t>
  </si>
  <si>
    <t>RU-DEMO-UG</t>
  </si>
  <si>
    <t>student-ug@rongovarsity.ac.ke</t>
  </si>
  <si>
    <t>RU-DEMO-PG</t>
  </si>
  <si>
    <t>student-pg@rongovarsity.ac.ke</t>
  </si>
  <si>
    <t>RU-DEMO-PHD</t>
  </si>
  <si>
    <t>student-phd@rongovarsity.ac.ke</t>
  </si>
  <si>
    <t>TU-2024-0042</t>
  </si>
  <si>
    <t>Alice Mumbi</t>
  </si>
  <si>
    <t>2007-07-16</t>
  </si>
  <si>
    <t>a.mumbi@templumis.ac</t>
  </si>
  <si>
    <t>+254712345900</t>
  </si>
  <si>
    <t>2026-01-15</t>
  </si>
  <si>
    <t>TU-2023-0043</t>
  </si>
  <si>
    <t>Brian Kiptoo</t>
  </si>
  <si>
    <t>2006-08-17</t>
  </si>
  <si>
    <t>b.kiptoo@templumis.ac</t>
  </si>
  <si>
    <t>TU-2025-0044</t>
  </si>
  <si>
    <t>Catherine Wafula</t>
  </si>
  <si>
    <t>2008-09-18</t>
  </si>
  <si>
    <t>c.wafula@templumis.ac</t>
  </si>
  <si>
    <t>2025-09-05</t>
  </si>
  <si>
    <t>2029-06-30</t>
  </si>
  <si>
    <t>1. Progressing — Year 1</t>
  </si>
  <si>
    <t>TU-2022-0045</t>
  </si>
  <si>
    <t>Daniel Kiprono</t>
  </si>
  <si>
    <t>2005-10-19</t>
  </si>
  <si>
    <t>d.kiprono@templumis.ac</t>
  </si>
  <si>
    <t>4. Progressing — Year 4</t>
  </si>
  <si>
    <t>TU-2024-0046</t>
  </si>
  <si>
    <t>Esther Nabwire</t>
  </si>
  <si>
    <t>2007-11-20</t>
  </si>
  <si>
    <t>e.nabwire@templumis.ac</t>
  </si>
  <si>
    <t>+254712345904</t>
  </si>
  <si>
    <t>TU-2022-0047</t>
  </si>
  <si>
    <t>Felix Wanyama</t>
  </si>
  <si>
    <t>2005-12-21</t>
  </si>
  <si>
    <t>f.wanyama@templumis.ac</t>
  </si>
  <si>
    <t>+254712345905</t>
  </si>
  <si>
    <t>TU-2023-0048</t>
  </si>
  <si>
    <t>Grace Chepkoech</t>
  </si>
  <si>
    <t>2006-01-22</t>
  </si>
  <si>
    <t>g.chepkoech@templumis.ac</t>
  </si>
  <si>
    <t>+254712345906</t>
  </si>
  <si>
    <t>Wheelchair-accessible venues; extended assignment deadlines</t>
  </si>
  <si>
    <t>TU-2025-0049</t>
  </si>
  <si>
    <t>Hussein Farah</t>
  </si>
  <si>
    <t>2008-02-23</t>
  </si>
  <si>
    <t>h.farah@templumis.ac</t>
  </si>
  <si>
    <t>+254712345907</t>
  </si>
  <si>
    <t>TU-2022-0050</t>
  </si>
  <si>
    <t>Irene Naliaka</t>
  </si>
  <si>
    <t>2005-03-24</t>
  </si>
  <si>
    <t>i.naliaka@templumis.ac</t>
  </si>
  <si>
    <t>+254712345908</t>
  </si>
  <si>
    <t>TU-2024-0051</t>
  </si>
  <si>
    <t>John Mwikya</t>
  </si>
  <si>
    <t>2007-04-25</t>
  </si>
  <si>
    <t>j.mwikya@templumis.ac</t>
  </si>
  <si>
    <t>+254712345909</t>
  </si>
  <si>
    <t>TU-2023-0052</t>
  </si>
  <si>
    <t>Karen Jepkosgei</t>
  </si>
  <si>
    <t>2006-05-26</t>
  </si>
  <si>
    <t>k.jepkosgei@templumis.ac</t>
  </si>
  <si>
    <t>+254712345910</t>
  </si>
  <si>
    <t>TU-2025-0053</t>
  </si>
  <si>
    <t>Levi Otieno</t>
  </si>
  <si>
    <t>2008-06-27</t>
  </si>
  <si>
    <t>l.otieno@templumis.ac</t>
  </si>
  <si>
    <t>+254712345911</t>
  </si>
  <si>
    <t>TU-2024-0054</t>
  </si>
  <si>
    <t>Mercy Wangeci</t>
  </si>
  <si>
    <t>2007-07-01</t>
  </si>
  <si>
    <t>m.wangeci@templumis.ac</t>
  </si>
  <si>
    <t>+254712345912</t>
  </si>
  <si>
    <t>TU-2022-0055</t>
  </si>
  <si>
    <t>Nicholas Kilonzo</t>
  </si>
  <si>
    <t>2005-08-02</t>
  </si>
  <si>
    <t>n.kilonzo@templumis.ac</t>
  </si>
  <si>
    <t>+254712345913</t>
  </si>
  <si>
    <t>TU-2024-0056</t>
  </si>
  <si>
    <t>Purity Chelangat</t>
  </si>
  <si>
    <t>2007-09-03</t>
  </si>
  <si>
    <t>p.chelangat@templumis.ac</t>
  </si>
  <si>
    <t>+254712345914</t>
  </si>
  <si>
    <t>TU-2023-0057</t>
  </si>
  <si>
    <t>Quinter Anyango</t>
  </si>
  <si>
    <t>2006-10-04</t>
  </si>
  <si>
    <t>q.anyango@templumis.ac</t>
  </si>
  <si>
    <t>+254712345915</t>
  </si>
  <si>
    <t>TU-2025-0058</t>
  </si>
  <si>
    <t>Ronald Kiplagat</t>
  </si>
  <si>
    <t>2008-11-05</t>
  </si>
  <si>
    <t>r.kiplagat@templumis.ac</t>
  </si>
  <si>
    <t>+254712345916</t>
  </si>
  <si>
    <t>TU-2022-0059</t>
  </si>
  <si>
    <t>Susan Atieno</t>
  </si>
  <si>
    <t>2005-12-06</t>
  </si>
  <si>
    <t>s.atieno@templumis.ac</t>
  </si>
  <si>
    <t>+254712345917</t>
  </si>
  <si>
    <t>TU-2024-0060</t>
  </si>
  <si>
    <t>Titus Mburu</t>
  </si>
  <si>
    <t>2007-01-07</t>
  </si>
  <si>
    <t>t.mburu@templumis.ac</t>
  </si>
  <si>
    <t>+254712345918</t>
  </si>
  <si>
    <t>TU-2024-0061</t>
  </si>
  <si>
    <t>Winnie Adhiambo</t>
  </si>
  <si>
    <t>2007-02-08</t>
  </si>
  <si>
    <t>w.adhiambo@templumis.ac</t>
  </si>
  <si>
    <t>+254712345919</t>
  </si>
  <si>
    <t>course_code</t>
  </si>
  <si>
    <t>title</t>
  </si>
  <si>
    <t>instructor</t>
  </si>
  <si>
    <t>credits</t>
  </si>
  <si>
    <t>enrolled_count</t>
  </si>
  <si>
    <t>type</t>
  </si>
  <si>
    <t>schedule</t>
  </si>
  <si>
    <t>room</t>
  </si>
  <si>
    <t>CS301</t>
  </si>
  <si>
    <t>Data Structures &amp; Algorithms</t>
  </si>
  <si>
    <t>Core</t>
  </si>
  <si>
    <t>Mon/Wed 8–10am</t>
  </si>
  <si>
    <t>LH-201</t>
  </si>
  <si>
    <t>CS201</t>
  </si>
  <si>
    <t>Object-Oriented Programming</t>
  </si>
  <si>
    <t>Tue/Thu 10–12pm</t>
  </si>
  <si>
    <t>LH-202</t>
  </si>
  <si>
    <t>ECO201</t>
  </si>
  <si>
    <t>Microeconomics</t>
  </si>
  <si>
    <t>Mon/Wed 2–4pm</t>
  </si>
  <si>
    <t>BH-101</t>
  </si>
  <si>
    <t>ACC301</t>
  </si>
  <si>
    <t>Intermediate Accounting</t>
  </si>
  <si>
    <t>Ms. Ruth Kariuki</t>
  </si>
  <si>
    <t>Tue/Thu 8–10am</t>
  </si>
  <si>
    <t>BH-102</t>
  </si>
  <si>
    <t>CE401</t>
  </si>
  <si>
    <t>Structural Engineering</t>
  </si>
  <si>
    <t>Mon 8–12pm</t>
  </si>
  <si>
    <t>EH-301</t>
  </si>
  <si>
    <t>EE401</t>
  </si>
  <si>
    <t>Power Systems</t>
  </si>
  <si>
    <t>Prof. James Mwema</t>
  </si>
  <si>
    <t>Wed 8–12pm</t>
  </si>
  <si>
    <t>EH-302</t>
  </si>
  <si>
    <t>LAW301</t>
  </si>
  <si>
    <t>Contract Law</t>
  </si>
  <si>
    <t>Prof. Adhiambo Orengo</t>
  </si>
  <si>
    <t>Tue/Thu 2–4pm</t>
  </si>
  <si>
    <t>LW-101</t>
  </si>
  <si>
    <t>BCH201</t>
  </si>
  <si>
    <t>Biochemistry I</t>
  </si>
  <si>
    <t>Dr. Mwangi Kiarie</t>
  </si>
  <si>
    <t>Mon/Wed 10–12pm</t>
  </si>
  <si>
    <t>SC-201</t>
  </si>
  <si>
    <t>NUR301</t>
  </si>
  <si>
    <t>Clinical Nursing Practice</t>
  </si>
  <si>
    <t>Fri 8am–2pm</t>
  </si>
  <si>
    <t>HS-401</t>
  </si>
  <si>
    <t>EDU201</t>
  </si>
  <si>
    <t>Curriculum Development</t>
  </si>
  <si>
    <t>Tue/Thu 12–2pm</t>
  </si>
  <si>
    <t>ED-101</t>
  </si>
  <si>
    <t>SOC201</t>
  </si>
  <si>
    <t>Sociological Theory</t>
  </si>
  <si>
    <t>Dr. Zawadi Amani</t>
  </si>
  <si>
    <t>Mon/Wed 12–2pm</t>
  </si>
  <si>
    <t>SS-101</t>
  </si>
  <si>
    <t>COM101</t>
  </si>
  <si>
    <t>Introduction to Mass Media</t>
  </si>
  <si>
    <t>Mon/Wed 4–6pm</t>
  </si>
  <si>
    <t>AR-101</t>
  </si>
  <si>
    <t>MATH201</t>
  </si>
  <si>
    <t>Calculus II</t>
  </si>
  <si>
    <t>Prof. Kipkemoi Ruto</t>
  </si>
  <si>
    <t>Mon–Thu 7–8am</t>
  </si>
  <si>
    <t>SC-101</t>
  </si>
  <si>
    <t>STAT201</t>
  </si>
  <si>
    <t>Probability &amp; Statistics</t>
  </si>
  <si>
    <t>Tue/Thu 4–6pm</t>
  </si>
  <si>
    <t>SC-102</t>
  </si>
  <si>
    <t>IT201</t>
  </si>
  <si>
    <t>Database Management Systems</t>
  </si>
  <si>
    <t>Wed/Fri 10–12pm</t>
  </si>
  <si>
    <t>LH-203</t>
  </si>
  <si>
    <t>ENV201</t>
  </si>
  <si>
    <t>Environmental Ecology</t>
  </si>
  <si>
    <t>Elective</t>
  </si>
  <si>
    <t>Fri 10am–1pm</t>
  </si>
  <si>
    <t>SC-301</t>
  </si>
  <si>
    <t>FIN201</t>
  </si>
  <si>
    <t>Principles of Finance</t>
  </si>
  <si>
    <t>Mr. Odhiambo Yusuf</t>
  </si>
  <si>
    <t>BH-103</t>
  </si>
  <si>
    <t>PHAR301</t>
  </si>
  <si>
    <t>Pharmacology I</t>
  </si>
  <si>
    <t>HS-201</t>
  </si>
  <si>
    <t>CS101</t>
  </si>
  <si>
    <t>Introduction to Programming</t>
  </si>
  <si>
    <t>LH-101</t>
  </si>
  <si>
    <t>GEN101</t>
  </si>
  <si>
    <t>Communication Skills</t>
  </si>
  <si>
    <t>Fri 2–4pm</t>
  </si>
  <si>
    <t>AR-201</t>
  </si>
  <si>
    <t>PGR601</t>
  </si>
  <si>
    <t>Research Methods &amp; Academic Writing</t>
  </si>
  <si>
    <t>Graduate School</t>
  </si>
  <si>
    <t>Dr. Susan Wangari</t>
  </si>
  <si>
    <t>PG Core</t>
  </si>
  <si>
    <t>PG-Lab-01</t>
  </si>
  <si>
    <t>PGR602</t>
  </si>
  <si>
    <t>Thesis Writing &amp; Scholarly Communication</t>
  </si>
  <si>
    <t>Fri 9–11am</t>
  </si>
  <si>
    <t>PGR603</t>
  </si>
  <si>
    <t>Graduate Research Colloquium &amp; Seminar</t>
  </si>
  <si>
    <t>Wed 4–5pm</t>
  </si>
  <si>
    <t>PG-Seminar</t>
  </si>
  <si>
    <t>PGR604</t>
  </si>
  <si>
    <t>Research Ethics, Integrity &amp; Publishing</t>
  </si>
  <si>
    <t>Tue 4–5pm</t>
  </si>
  <si>
    <t>PG-Lab-02</t>
  </si>
  <si>
    <t>MBA601</t>
  </si>
  <si>
    <t>Strategic Leadership &amp; Corporate Governance</t>
  </si>
  <si>
    <t>MBA Core</t>
  </si>
  <si>
    <t>BH-301</t>
  </si>
  <si>
    <t>MBA602</t>
  </si>
  <si>
    <t>Advanced Financial Management</t>
  </si>
  <si>
    <t>BH-302</t>
  </si>
  <si>
    <t>MBA603</t>
  </si>
  <si>
    <t>Innovation, Entrepreneurship &amp; Strategy</t>
  </si>
  <si>
    <t>Fri 9am–12pm</t>
  </si>
  <si>
    <t>BH-303</t>
  </si>
  <si>
    <t>MSC601</t>
  </si>
  <si>
    <t>Advanced Data Science &amp; Machine Learning</t>
  </si>
  <si>
    <t>MSc Core</t>
  </si>
  <si>
    <t>LH-301</t>
  </si>
  <si>
    <t>MSC602</t>
  </si>
  <si>
    <t>Advanced Environmental Research Methods</t>
  </si>
  <si>
    <t>SC-401</t>
  </si>
  <si>
    <t>PHD701</t>
  </si>
  <si>
    <t>Advanced Research Design &amp; Epistemology</t>
  </si>
  <si>
    <t>PhD Core</t>
  </si>
  <si>
    <t>PHD702</t>
  </si>
  <si>
    <t>Doctoral Seminar Series</t>
  </si>
  <si>
    <t>Fri 3–4pm</t>
  </si>
  <si>
    <t>PHD703</t>
  </si>
  <si>
    <t>PhD Comprehensive Exam Preparation</t>
  </si>
  <si>
    <t>Mon 4–6pm</t>
  </si>
  <si>
    <t>KT-CS101</t>
  </si>
  <si>
    <t>Sun/Tue 8–10am</t>
  </si>
  <si>
    <t>CSB-101</t>
  </si>
  <si>
    <t>KT-CS201</t>
  </si>
  <si>
    <t>CSB-102</t>
  </si>
  <si>
    <t>KT-CS301</t>
  </si>
  <si>
    <t>Dr. Nabil Farouk</t>
  </si>
  <si>
    <t>Sun/Tue 12–2pm</t>
  </si>
  <si>
    <t>CSB-201</t>
  </si>
  <si>
    <t>KT-SE201</t>
  </si>
  <si>
    <t>Object-Oriented Software Design</t>
  </si>
  <si>
    <t>SEB-101</t>
  </si>
  <si>
    <t>KT-SE301</t>
  </si>
  <si>
    <t>DevOps &amp; Cloud-Native Engineering</t>
  </si>
  <si>
    <t>SEB-201</t>
  </si>
  <si>
    <t>KT-DS201</t>
  </si>
  <si>
    <t>Statistics &amp; Probability for Data Science</t>
  </si>
  <si>
    <t>Sun–Wed 7–8am</t>
  </si>
  <si>
    <t>DSB-101</t>
  </si>
  <si>
    <t>KT-DS301</t>
  </si>
  <si>
    <t>Machine Learning Foundations</t>
  </si>
  <si>
    <t>DSB-201</t>
  </si>
  <si>
    <t>KT-DS401</t>
  </si>
  <si>
    <t>Deep Learning &amp; Neural Networks</t>
  </si>
  <si>
    <t>DSB-202</t>
  </si>
  <si>
    <t>KT-IT201</t>
  </si>
  <si>
    <t>Networks &amp; Systems Administration</t>
  </si>
  <si>
    <t>Sun/Tue 2–4pm</t>
  </si>
  <si>
    <t>ITB-101</t>
  </si>
  <si>
    <t>KT-IT301</t>
  </si>
  <si>
    <t>Cybersecurity Fundamentals</t>
  </si>
  <si>
    <t>ITB-201</t>
  </si>
  <si>
    <t>KT-IT302</t>
  </si>
  <si>
    <t>Digital Forensics &amp; Incident Response</t>
  </si>
  <si>
    <t>Thu 10am–1pm</t>
  </si>
  <si>
    <t>ITB-202</t>
  </si>
  <si>
    <t>KT-FT201</t>
  </si>
  <si>
    <t>Principles of Financial Technology</t>
  </si>
  <si>
    <t>Sun/Tue 10–12pm</t>
  </si>
  <si>
    <t>FTB-101</t>
  </si>
  <si>
    <t>KT-FT301</t>
  </si>
  <si>
    <t>Blockchain &amp; Digital Currencies</t>
  </si>
  <si>
    <t>Wed 2–5pm</t>
  </si>
  <si>
    <t>FTB-201</t>
  </si>
  <si>
    <t>KT-GEN101</t>
  </si>
  <si>
    <t>Academic &amp; Professional Communication</t>
  </si>
  <si>
    <t>Thu 2–4pm</t>
  </si>
  <si>
    <t>GSB-101</t>
  </si>
  <si>
    <t>KT-MATH201</t>
  </si>
  <si>
    <t>Discrete Mathematics</t>
  </si>
  <si>
    <t>CSB-103</t>
  </si>
  <si>
    <t>KT-PGR601</t>
  </si>
  <si>
    <t>GS-Lab-01</t>
  </si>
  <si>
    <t>KT-PGR602</t>
  </si>
  <si>
    <t>Thu 9–11am</t>
  </si>
  <si>
    <t>KT-PGR603</t>
  </si>
  <si>
    <t>GS-Seminar</t>
  </si>
  <si>
    <t>KT-MBA601</t>
  </si>
  <si>
    <t>Digital Transformation &amp; Tech Strategy</t>
  </si>
  <si>
    <t>FTB-301</t>
  </si>
  <si>
    <t>KT-MSC601</t>
  </si>
  <si>
    <t>Advanced Machine Learning &amp; AI Systems</t>
  </si>
  <si>
    <t>DSB-301</t>
  </si>
  <si>
    <t>KT-PHD701</t>
  </si>
  <si>
    <t>GS-Lab-02</t>
  </si>
  <si>
    <t>KT-PHD702</t>
  </si>
  <si>
    <t>Thu 3–4pm</t>
  </si>
  <si>
    <t>RU-EDU101</t>
  </si>
  <si>
    <t>Foundations of Education</t>
  </si>
  <si>
    <t>EDU-101</t>
  </si>
  <si>
    <t>RU-EDU201</t>
  </si>
  <si>
    <t>Dr. Caren Mobegi</t>
  </si>
  <si>
    <t>EDU-102</t>
  </si>
  <si>
    <t>RU-BUS201</t>
  </si>
  <si>
    <t>Principles of Human Resource Management</t>
  </si>
  <si>
    <t>BUS-101</t>
  </si>
  <si>
    <t>RU-BUS301</t>
  </si>
  <si>
    <t>Financial Accounting III</t>
  </si>
  <si>
    <t>Mr. Geoffrey Okumu</t>
  </si>
  <si>
    <t>BUS-201</t>
  </si>
  <si>
    <t>RU-ICM201</t>
  </si>
  <si>
    <t>Newswriting &amp; Reporting</t>
  </si>
  <si>
    <t>ICM-101</t>
  </si>
  <si>
    <t>RU-ICM301</t>
  </si>
  <si>
    <t>Development Communication</t>
  </si>
  <si>
    <t>ICM-201</t>
  </si>
  <si>
    <t>RU-ASS201</t>
  </si>
  <si>
    <t>Introduction to Sociology</t>
  </si>
  <si>
    <t>Dr. Monica Bichang'a</t>
  </si>
  <si>
    <t>ASS-101</t>
  </si>
  <si>
    <t>RU-ASS301</t>
  </si>
  <si>
    <t>Political Systems &amp; Governance</t>
  </si>
  <si>
    <t>Mr. Tom Onkoba</t>
  </si>
  <si>
    <t>ASS-201</t>
  </si>
  <si>
    <t>RU-STE201</t>
  </si>
  <si>
    <t>STE-101</t>
  </si>
  <si>
    <t>RU-STE301</t>
  </si>
  <si>
    <t>Database Systems</t>
  </si>
  <si>
    <t>STE-201</t>
  </si>
  <si>
    <t>RU-STE302</t>
  </si>
  <si>
    <t>Electrical Circuit Theory</t>
  </si>
  <si>
    <t>Mr. Dennis Kiboi</t>
  </si>
  <si>
    <t>Mon 8am–12pm</t>
  </si>
  <si>
    <t>STE-202</t>
  </si>
  <si>
    <t>RU-STE201B</t>
  </si>
  <si>
    <t>Dr. Millicent Abong'o</t>
  </si>
  <si>
    <t>STE-102</t>
  </si>
  <si>
    <t>RU-ANR201</t>
  </si>
  <si>
    <t>Principles of Crop Production</t>
  </si>
  <si>
    <t>ANR-101</t>
  </si>
  <si>
    <t>RU-ANR301</t>
  </si>
  <si>
    <t>Environmental Impact Assessment</t>
  </si>
  <si>
    <t>Dr. Joyce Kemunto</t>
  </si>
  <si>
    <t>Fri 2–5pm</t>
  </si>
  <si>
    <t>ANR-201</t>
  </si>
  <si>
    <t>RU-ANR302</t>
  </si>
  <si>
    <t>Agribusiness &amp; Value Chain Management</t>
  </si>
  <si>
    <t>ANR-202</t>
  </si>
  <si>
    <t>RU-GEN101</t>
  </si>
  <si>
    <t>Directorate of Graduate Studies</t>
  </si>
  <si>
    <t>GS-101</t>
  </si>
  <si>
    <t>RU-PGR601</t>
  </si>
  <si>
    <t>RU-PGR602</t>
  </si>
  <si>
    <t>RU-PGR603</t>
  </si>
  <si>
    <t>RU-MBA601</t>
  </si>
  <si>
    <t>Strategic Leadership &amp; Governance</t>
  </si>
  <si>
    <t>BUS-301</t>
  </si>
  <si>
    <t>RU-MED601</t>
  </si>
  <si>
    <t>Educational Leadership &amp; Policy</t>
  </si>
  <si>
    <t>MEd Core</t>
  </si>
  <si>
    <t>EDU-301</t>
  </si>
  <si>
    <t>RU-PHD701</t>
  </si>
  <si>
    <t>RU-PHD702</t>
  </si>
  <si>
    <t>enrolment_id</t>
  </si>
  <si>
    <t>student_name</t>
  </si>
  <si>
    <t>course_title</t>
  </si>
  <si>
    <t>enrol_date</t>
  </si>
  <si>
    <t>midterm_score</t>
  </si>
  <si>
    <t>current_grade</t>
  </si>
  <si>
    <t>ENR-0001</t>
  </si>
  <si>
    <t>Enrolled</t>
  </si>
  <si>
    <t>ENR-0002</t>
  </si>
  <si>
    <t>ENR-0003</t>
  </si>
  <si>
    <t>ENR-0004</t>
  </si>
  <si>
    <t>ENR-0005</t>
  </si>
  <si>
    <t>ENR-0006</t>
  </si>
  <si>
    <t>ENR-0007</t>
  </si>
  <si>
    <t>ENR-0008</t>
  </si>
  <si>
    <t>ENR-0009</t>
  </si>
  <si>
    <t>ENR-0010</t>
  </si>
  <si>
    <t>ENR-0011</t>
  </si>
  <si>
    <t>ENR-0012</t>
  </si>
  <si>
    <t>ENR-0013</t>
  </si>
  <si>
    <t>ENR-0014</t>
  </si>
  <si>
    <t>ENR-0015</t>
  </si>
  <si>
    <t>ENR-0016</t>
  </si>
  <si>
    <t>ENR-0017</t>
  </si>
  <si>
    <t>ENR-0018</t>
  </si>
  <si>
    <t>ENR-0019</t>
  </si>
  <si>
    <t>ENR-0020</t>
  </si>
  <si>
    <t>ENR-0021</t>
  </si>
  <si>
    <t>ENR-0022</t>
  </si>
  <si>
    <t>ENR-0023</t>
  </si>
  <si>
    <t>ENR-0024</t>
  </si>
  <si>
    <t>ENR-0025</t>
  </si>
  <si>
    <t>ENR-0026</t>
  </si>
  <si>
    <t>ENR-0027</t>
  </si>
  <si>
    <t>ENR-0028</t>
  </si>
  <si>
    <t>ENR-0029</t>
  </si>
  <si>
    <t>ENR-0030</t>
  </si>
  <si>
    <t>ENR-0031</t>
  </si>
  <si>
    <t>ENR-0032</t>
  </si>
  <si>
    <t>ENR-0033</t>
  </si>
  <si>
    <t>ENR-0034</t>
  </si>
  <si>
    <t>ENR-0035</t>
  </si>
  <si>
    <t>ENR-0036</t>
  </si>
  <si>
    <t>ENR-0037</t>
  </si>
  <si>
    <t>ENR-0038</t>
  </si>
  <si>
    <t>ENR-0039</t>
  </si>
  <si>
    <t>ENR-0040</t>
  </si>
  <si>
    <t>ENR-0041</t>
  </si>
  <si>
    <t>ENR-0042</t>
  </si>
  <si>
    <t>ENR-0043</t>
  </si>
  <si>
    <t>ENR-0044</t>
  </si>
  <si>
    <t>Dropped</t>
  </si>
  <si>
    <t>ENR-0045</t>
  </si>
  <si>
    <t>ENR-0046</t>
  </si>
  <si>
    <t>ENR-0047</t>
  </si>
  <si>
    <t>ENR-0048</t>
  </si>
  <si>
    <t>ENR-0049</t>
  </si>
  <si>
    <t>ENR-0050</t>
  </si>
  <si>
    <t>ENR-0051</t>
  </si>
  <si>
    <t>ENR-0052</t>
  </si>
  <si>
    <t>ENR-0053</t>
  </si>
  <si>
    <t>ENR-0054</t>
  </si>
  <si>
    <t>ENR-0055</t>
  </si>
  <si>
    <t>ENR-0056</t>
  </si>
  <si>
    <t>ENR-0057</t>
  </si>
  <si>
    <t>ENR-0058</t>
  </si>
  <si>
    <t>ENR-0059</t>
  </si>
  <si>
    <t>ENR-0060</t>
  </si>
  <si>
    <t>ENR-0061</t>
  </si>
  <si>
    <t>ENR-0062</t>
  </si>
  <si>
    <t>ENR-0063</t>
  </si>
  <si>
    <t>ENR-0064</t>
  </si>
  <si>
    <t>ENR-0065</t>
  </si>
  <si>
    <t>ENR-0066</t>
  </si>
  <si>
    <t>ENR-0067</t>
  </si>
  <si>
    <t>ENR-0068</t>
  </si>
  <si>
    <t>ENR-0069</t>
  </si>
  <si>
    <t>ENR-0070</t>
  </si>
  <si>
    <t>ENR-0071</t>
  </si>
  <si>
    <t>ENR-0072</t>
  </si>
  <si>
    <t>ENR-0073</t>
  </si>
  <si>
    <t>ENR-0074</t>
  </si>
  <si>
    <t>ENR-0075</t>
  </si>
  <si>
    <t>ENR-0076</t>
  </si>
  <si>
    <t>ENR-0077</t>
  </si>
  <si>
    <t>ENR-0078</t>
  </si>
  <si>
    <t>ENR-0079</t>
  </si>
  <si>
    <t>ENR-0080</t>
  </si>
  <si>
    <t>ENR-0081</t>
  </si>
  <si>
    <t>ENR-0082</t>
  </si>
  <si>
    <t>ENR-0083</t>
  </si>
  <si>
    <t>ENR-0084</t>
  </si>
  <si>
    <t>ENR-0085</t>
  </si>
  <si>
    <t>ENR-0086</t>
  </si>
  <si>
    <t>ENR-0087</t>
  </si>
  <si>
    <t>ENR-0088</t>
  </si>
  <si>
    <t>ENR-0089</t>
  </si>
  <si>
    <t>ENR-0090</t>
  </si>
  <si>
    <t>ENR-0091</t>
  </si>
  <si>
    <t>ENR-0092</t>
  </si>
  <si>
    <t>ENR-0093</t>
  </si>
  <si>
    <t>ENR-0094</t>
  </si>
  <si>
    <t>ENR-0095</t>
  </si>
  <si>
    <t>ENR-0096</t>
  </si>
  <si>
    <t>ENR-0097</t>
  </si>
  <si>
    <t>ENR-0098</t>
  </si>
  <si>
    <t>ENR-0099</t>
  </si>
  <si>
    <t>ENR-0100</t>
  </si>
  <si>
    <t>ENR-0101</t>
  </si>
  <si>
    <t>ENR-0102</t>
  </si>
  <si>
    <t>ENR-0103</t>
  </si>
  <si>
    <t>ENR-0104</t>
  </si>
  <si>
    <t>ENR-0105</t>
  </si>
  <si>
    <t>ENR-0106</t>
  </si>
  <si>
    <t>ENR-0107</t>
  </si>
  <si>
    <t>ENR-0108</t>
  </si>
  <si>
    <t>ENR-0109</t>
  </si>
  <si>
    <t>ENR-0110</t>
  </si>
  <si>
    <t>ENR-0111</t>
  </si>
  <si>
    <t>ENR-0112</t>
  </si>
  <si>
    <t>ENR-0113</t>
  </si>
  <si>
    <t>ENR-0114</t>
  </si>
  <si>
    <t>ENR-0115</t>
  </si>
  <si>
    <t>ENR-0116</t>
  </si>
  <si>
    <t>ENR-0117</t>
  </si>
  <si>
    <t>ENR-0118</t>
  </si>
  <si>
    <t>ENR-0119</t>
  </si>
  <si>
    <t>ENR-0120</t>
  </si>
  <si>
    <t>ENR-0121</t>
  </si>
  <si>
    <t>ENR-0122</t>
  </si>
  <si>
    <t>ENR-0123</t>
  </si>
  <si>
    <t>ENR-0124</t>
  </si>
  <si>
    <t>ENR-0125</t>
  </si>
  <si>
    <t>ENR-0126</t>
  </si>
  <si>
    <t>ENR-0127</t>
  </si>
  <si>
    <t>ENR-0128</t>
  </si>
  <si>
    <t>ENR-0129</t>
  </si>
  <si>
    <t>ENR-0130</t>
  </si>
  <si>
    <t>ENR-0131</t>
  </si>
  <si>
    <t>ENR-0132</t>
  </si>
  <si>
    <t>ENR-0133</t>
  </si>
  <si>
    <t>ENR-0134</t>
  </si>
  <si>
    <t>ENR-0135</t>
  </si>
  <si>
    <t>ENR-0136</t>
  </si>
  <si>
    <t>ENR-0137</t>
  </si>
  <si>
    <t>ENR-0138</t>
  </si>
  <si>
    <t>ENR-0139</t>
  </si>
  <si>
    <t>ENR-0140</t>
  </si>
  <si>
    <t>ENR-0141</t>
  </si>
  <si>
    <t>ENR-0142</t>
  </si>
  <si>
    <t>ENR-0143</t>
  </si>
  <si>
    <t>ENR-0144</t>
  </si>
  <si>
    <t>ENR-0145</t>
  </si>
  <si>
    <t>ENR-0146</t>
  </si>
  <si>
    <t>ENR-0147</t>
  </si>
  <si>
    <t>ENR-0148</t>
  </si>
  <si>
    <t>ENR-0149</t>
  </si>
  <si>
    <t>ENR-0150</t>
  </si>
  <si>
    <t>ENR-0151</t>
  </si>
  <si>
    <t>ENR-0152</t>
  </si>
  <si>
    <t>ENR-0153</t>
  </si>
  <si>
    <t>ENR-0154</t>
  </si>
  <si>
    <t>ENR-0155</t>
  </si>
  <si>
    <t>ENR-0156</t>
  </si>
  <si>
    <t>ENR-0157</t>
  </si>
  <si>
    <t>ENR-0158</t>
  </si>
  <si>
    <t>ENR-0159</t>
  </si>
  <si>
    <t>ENR-0160</t>
  </si>
  <si>
    <t>ENR-0161</t>
  </si>
  <si>
    <t>ENR-0162</t>
  </si>
  <si>
    <t>ENR-0163</t>
  </si>
  <si>
    <t>ENR-0164</t>
  </si>
  <si>
    <t>ENR-0165</t>
  </si>
  <si>
    <t>ENR-0166</t>
  </si>
  <si>
    <t>ENR-0167</t>
  </si>
  <si>
    <t>ENR-0168</t>
  </si>
  <si>
    <t>ENR-0169</t>
  </si>
  <si>
    <t>ENR-0170</t>
  </si>
  <si>
    <t>ENR-0171</t>
  </si>
  <si>
    <t>ENR-0172</t>
  </si>
  <si>
    <t>ENR-0173</t>
  </si>
  <si>
    <t>ENR-0174</t>
  </si>
  <si>
    <t>ENR-0175</t>
  </si>
  <si>
    <t>ENR-0176</t>
  </si>
  <si>
    <t>ENR-0177</t>
  </si>
  <si>
    <t>ENR-0178</t>
  </si>
  <si>
    <t>ENR-0179</t>
  </si>
  <si>
    <t>ENR-0180</t>
  </si>
  <si>
    <t>ENR-0181</t>
  </si>
  <si>
    <t>ENR-0182</t>
  </si>
  <si>
    <t>ENR-0183</t>
  </si>
  <si>
    <t>ENR-0184</t>
  </si>
  <si>
    <t>ENR-0185</t>
  </si>
  <si>
    <t>ENR-0186</t>
  </si>
  <si>
    <t>ENR-0187</t>
  </si>
  <si>
    <t>ENR-0188</t>
  </si>
  <si>
    <t>ENR-0189</t>
  </si>
  <si>
    <t>ENR-0190</t>
  </si>
  <si>
    <t>ENR-0191</t>
  </si>
  <si>
    <t>ENR-0192</t>
  </si>
  <si>
    <t>ENR-0193</t>
  </si>
  <si>
    <t>ENR-0194</t>
  </si>
  <si>
    <t>ENR-0195</t>
  </si>
  <si>
    <t>ENR-0196</t>
  </si>
  <si>
    <t>ENR-0197</t>
  </si>
  <si>
    <t>ENR-0198</t>
  </si>
  <si>
    <t>ENR-0199</t>
  </si>
  <si>
    <t>ENR-0200</t>
  </si>
  <si>
    <t>ENR-0201</t>
  </si>
  <si>
    <t>ENR-0202</t>
  </si>
  <si>
    <t>ENR-0203</t>
  </si>
  <si>
    <t>ENR-0204</t>
  </si>
  <si>
    <t>ENR-0205</t>
  </si>
  <si>
    <t>ENR-0206</t>
  </si>
  <si>
    <t>ENR-0207</t>
  </si>
  <si>
    <t>ENR-0208</t>
  </si>
  <si>
    <t>ENR-0209</t>
  </si>
  <si>
    <t>ENR-0210</t>
  </si>
  <si>
    <t>ENR-0211</t>
  </si>
  <si>
    <t>ENR-0212</t>
  </si>
  <si>
    <t>ENR-0213</t>
  </si>
  <si>
    <t>ENR-0214</t>
  </si>
  <si>
    <t>ENR-0215</t>
  </si>
  <si>
    <t>ENR-0216</t>
  </si>
  <si>
    <t>ENR-0217</t>
  </si>
  <si>
    <t>ENR-0218</t>
  </si>
  <si>
    <t>ENR-0219</t>
  </si>
  <si>
    <t>ENR-0220</t>
  </si>
  <si>
    <t>ENR-0221</t>
  </si>
  <si>
    <t>ENR-0222</t>
  </si>
  <si>
    <t>ENR-0223</t>
  </si>
  <si>
    <t>ENR-0224</t>
  </si>
  <si>
    <t>ENR-0225</t>
  </si>
  <si>
    <t>ENR-0226</t>
  </si>
  <si>
    <t>ENR-0227</t>
  </si>
  <si>
    <t>ENR-0228</t>
  </si>
  <si>
    <t>ENR-0229</t>
  </si>
  <si>
    <t>ENR-0230</t>
  </si>
  <si>
    <t>ENR-0231</t>
  </si>
  <si>
    <t>ENR-0232</t>
  </si>
  <si>
    <t>ENR-0233</t>
  </si>
  <si>
    <t>ENR-0234</t>
  </si>
  <si>
    <t>ENR-0235</t>
  </si>
  <si>
    <t>ENR-0236</t>
  </si>
  <si>
    <t>ENR-0237</t>
  </si>
  <si>
    <t>ENR-0238</t>
  </si>
  <si>
    <t>ENR-0239</t>
  </si>
  <si>
    <t>ENR-0240</t>
  </si>
  <si>
    <t>ENR-0241</t>
  </si>
  <si>
    <t>ENR-0242</t>
  </si>
  <si>
    <t>ENR-0243</t>
  </si>
  <si>
    <t>ENR-0244</t>
  </si>
  <si>
    <t>ENR-0245</t>
  </si>
  <si>
    <t>ENR-0246</t>
  </si>
  <si>
    <t>ENR-0247</t>
  </si>
  <si>
    <t>ENR-0248</t>
  </si>
  <si>
    <t>ENR-0249</t>
  </si>
  <si>
    <t>ENR-0250</t>
  </si>
  <si>
    <t>ENR-0251</t>
  </si>
  <si>
    <t>ENR-0252</t>
  </si>
  <si>
    <t>ENR-0253</t>
  </si>
  <si>
    <t>ENR-0254</t>
  </si>
  <si>
    <t>ENR-0255</t>
  </si>
  <si>
    <t>ENR-0256</t>
  </si>
  <si>
    <t>ENR-0257</t>
  </si>
  <si>
    <t>ENR-0258</t>
  </si>
  <si>
    <t>ENR-0259</t>
  </si>
  <si>
    <t>ENR-0260</t>
  </si>
  <si>
    <t>ENR-0261</t>
  </si>
  <si>
    <t>ENR-0262</t>
  </si>
  <si>
    <t>ENR-0263</t>
  </si>
  <si>
    <t>ENR-0264</t>
  </si>
  <si>
    <t>ENR-0265</t>
  </si>
  <si>
    <t>ENR-0266</t>
  </si>
  <si>
    <t>ENR-0267</t>
  </si>
  <si>
    <t>ENR-0268</t>
  </si>
  <si>
    <t>ENR-0269</t>
  </si>
  <si>
    <t>ENR-0270</t>
  </si>
  <si>
    <t>ENR-0271</t>
  </si>
  <si>
    <t>ENR-0272</t>
  </si>
  <si>
    <t>ENR-0273</t>
  </si>
  <si>
    <t>ENR-0274</t>
  </si>
  <si>
    <t>ENR-0275</t>
  </si>
  <si>
    <t>ENR-0276</t>
  </si>
  <si>
    <t>ENR-0277</t>
  </si>
  <si>
    <t>ENR-0278</t>
  </si>
  <si>
    <t>ENR-0279</t>
  </si>
  <si>
    <t>ENR-0280</t>
  </si>
  <si>
    <t>ENR-0281</t>
  </si>
  <si>
    <t>ENR-0282</t>
  </si>
  <si>
    <t>ENR-0283</t>
  </si>
  <si>
    <t>ENR-0284</t>
  </si>
  <si>
    <t>ENR-0285</t>
  </si>
  <si>
    <t>ENR-0286</t>
  </si>
  <si>
    <t>ENR-0287</t>
  </si>
  <si>
    <t>ENR-0288</t>
  </si>
  <si>
    <t>ENR-0289</t>
  </si>
  <si>
    <t>ENR-0290</t>
  </si>
  <si>
    <t>ENR-0291</t>
  </si>
  <si>
    <t>ENR-0292</t>
  </si>
  <si>
    <t>ENR-0293</t>
  </si>
  <si>
    <t>ENR-0294</t>
  </si>
  <si>
    <t>ENR-0295</t>
  </si>
  <si>
    <t>ENR-0296</t>
  </si>
  <si>
    <t>ENR-0297</t>
  </si>
  <si>
    <t>ENR-0298</t>
  </si>
  <si>
    <t>ENR-0299</t>
  </si>
  <si>
    <t>ENR-0300</t>
  </si>
  <si>
    <t>ENR-0301</t>
  </si>
  <si>
    <t>ENR-0302</t>
  </si>
  <si>
    <t>ENR-0303</t>
  </si>
  <si>
    <t>ENR-0304</t>
  </si>
  <si>
    <t>ENR-0305</t>
  </si>
  <si>
    <t>ENR-0306</t>
  </si>
  <si>
    <t>ENR-0307</t>
  </si>
  <si>
    <t>ENR-0308</t>
  </si>
  <si>
    <t>ENR-0309</t>
  </si>
  <si>
    <t>ENR-0310</t>
  </si>
  <si>
    <t>ENR-0311</t>
  </si>
  <si>
    <t>ENR-0312</t>
  </si>
  <si>
    <t>ENR-0313</t>
  </si>
  <si>
    <t>ENR-0314</t>
  </si>
  <si>
    <t>ENR-0315</t>
  </si>
  <si>
    <t>ENR-0316</t>
  </si>
  <si>
    <t>ENR-0317</t>
  </si>
  <si>
    <t>ENR-0318</t>
  </si>
  <si>
    <t>ENR-0319</t>
  </si>
  <si>
    <t>ENR-0320</t>
  </si>
  <si>
    <t>ENR-0321</t>
  </si>
  <si>
    <t>ENR-0322</t>
  </si>
  <si>
    <t>ENR-0323</t>
  </si>
  <si>
    <t>ENR-0324</t>
  </si>
  <si>
    <t>ENR-0325</t>
  </si>
  <si>
    <t>ENR-0326</t>
  </si>
  <si>
    <t>ENR-0327</t>
  </si>
  <si>
    <t>ENR-0328</t>
  </si>
  <si>
    <t>ENR-0329</t>
  </si>
  <si>
    <t>ENR-0330</t>
  </si>
  <si>
    <t>ENR-0331</t>
  </si>
  <si>
    <t>ENR-0332</t>
  </si>
  <si>
    <t>ENR-0333</t>
  </si>
  <si>
    <t>ENR-0334</t>
  </si>
  <si>
    <t>ENR-0335</t>
  </si>
  <si>
    <t>ENR-0336</t>
  </si>
  <si>
    <t>ENR-0337</t>
  </si>
  <si>
    <t>ENR-0338</t>
  </si>
  <si>
    <t>ENR-0339</t>
  </si>
  <si>
    <t>ENR-0340</t>
  </si>
  <si>
    <t>ENR-0341</t>
  </si>
  <si>
    <t>ENR-0342</t>
  </si>
  <si>
    <t>ENR-0343</t>
  </si>
  <si>
    <t>ENR-0344</t>
  </si>
  <si>
    <t>ENR-0345</t>
  </si>
  <si>
    <t>ENR-0346</t>
  </si>
  <si>
    <t>ENR-0347</t>
  </si>
  <si>
    <t>ENR-0348</t>
  </si>
  <si>
    <t>ENR-0349</t>
  </si>
  <si>
    <t>ENR-0350</t>
  </si>
  <si>
    <t>grade_id</t>
  </si>
  <si>
    <t>assignment_1</t>
  </si>
  <si>
    <t>assignment_2</t>
  </si>
  <si>
    <t>midterm</t>
  </si>
  <si>
    <t>final</t>
  </si>
  <si>
    <t>total</t>
  </si>
  <si>
    <t>letter_grade</t>
  </si>
  <si>
    <t>GRD-0001</t>
  </si>
  <si>
    <t>B</t>
  </si>
  <si>
    <t>GRD-0002</t>
  </si>
  <si>
    <t>GRD-0003</t>
  </si>
  <si>
    <t>GRD-0004</t>
  </si>
  <si>
    <t>A</t>
  </si>
  <si>
    <t>GRD-0005</t>
  </si>
  <si>
    <t>GRD-0006</t>
  </si>
  <si>
    <t>GRD-0007</t>
  </si>
  <si>
    <t>D</t>
  </si>
  <si>
    <t>GRD-0008</t>
  </si>
  <si>
    <t>GRD-0009</t>
  </si>
  <si>
    <t>F</t>
  </si>
  <si>
    <t>GRD-0010</t>
  </si>
  <si>
    <t>GRD-0011</t>
  </si>
  <si>
    <t>GRD-0012</t>
  </si>
  <si>
    <t>GRD-0013</t>
  </si>
  <si>
    <t>GRD-0014</t>
  </si>
  <si>
    <t>GRD-0015</t>
  </si>
  <si>
    <t>GRD-0016</t>
  </si>
  <si>
    <t>GRD-0017</t>
  </si>
  <si>
    <t>GRD-0018</t>
  </si>
  <si>
    <t>GRD-0019</t>
  </si>
  <si>
    <t>GRD-0020</t>
  </si>
  <si>
    <t>GRD-0021</t>
  </si>
  <si>
    <t>C</t>
  </si>
  <si>
    <t>GRD-0022</t>
  </si>
  <si>
    <t>GRD-0023</t>
  </si>
  <si>
    <t>GRD-0024</t>
  </si>
  <si>
    <t>GRD-0025</t>
  </si>
  <si>
    <t>GRD-0026</t>
  </si>
  <si>
    <t>GRD-0027</t>
  </si>
  <si>
    <t>GRD-0028</t>
  </si>
  <si>
    <t>GRD-0029</t>
  </si>
  <si>
    <t>GRD-0030</t>
  </si>
  <si>
    <t>GRD-0031</t>
  </si>
  <si>
    <t>GRD-0032</t>
  </si>
  <si>
    <t>GRD-0033</t>
  </si>
  <si>
    <t>GRD-0034</t>
  </si>
  <si>
    <t>GRD-0035</t>
  </si>
  <si>
    <t>GRD-0036</t>
  </si>
  <si>
    <t>GRD-0037</t>
  </si>
  <si>
    <t>GRD-0038</t>
  </si>
  <si>
    <t>GRD-0039</t>
  </si>
  <si>
    <t>GRD-0040</t>
  </si>
  <si>
    <t>GRD-0041</t>
  </si>
  <si>
    <t>GRD-0042</t>
  </si>
  <si>
    <t>GRD-0043</t>
  </si>
  <si>
    <t>GRD-0044</t>
  </si>
  <si>
    <t>GRD-0045</t>
  </si>
  <si>
    <t>GRD-0046</t>
  </si>
  <si>
    <t>GRD-0047</t>
  </si>
  <si>
    <t>GRD-0048</t>
  </si>
  <si>
    <t>GRD-0049</t>
  </si>
  <si>
    <t>GRD-0050</t>
  </si>
  <si>
    <t>GRD-0051</t>
  </si>
  <si>
    <t>GRD-0052</t>
  </si>
  <si>
    <t>GRD-0053</t>
  </si>
  <si>
    <t>GRD-0054</t>
  </si>
  <si>
    <t>GRD-0055</t>
  </si>
  <si>
    <t>GRD-0056</t>
  </si>
  <si>
    <t>GRD-0057</t>
  </si>
  <si>
    <t>GRD-0058</t>
  </si>
  <si>
    <t>GRD-0059</t>
  </si>
  <si>
    <t>GRD-0060</t>
  </si>
  <si>
    <t>GRD-0061</t>
  </si>
  <si>
    <t>GRD-0062</t>
  </si>
  <si>
    <t>GRD-0063</t>
  </si>
  <si>
    <t>GRD-0064</t>
  </si>
  <si>
    <t>GRD-0065</t>
  </si>
  <si>
    <t>GRD-0066</t>
  </si>
  <si>
    <t>GRD-0067</t>
  </si>
  <si>
    <t>GRD-0068</t>
  </si>
  <si>
    <t>GRD-0069</t>
  </si>
  <si>
    <t>GRD-0070</t>
  </si>
  <si>
    <t>GRD-0071</t>
  </si>
  <si>
    <t>GRD-0072</t>
  </si>
  <si>
    <t>GRD-0073</t>
  </si>
  <si>
    <t>GRD-0074</t>
  </si>
  <si>
    <t>GRD-0075</t>
  </si>
  <si>
    <t>GRD-0076</t>
  </si>
  <si>
    <t>GRD-0077</t>
  </si>
  <si>
    <t>GRD-0078</t>
  </si>
  <si>
    <t>GRD-0079</t>
  </si>
  <si>
    <t>GRD-0080</t>
  </si>
  <si>
    <t>GRD-0081</t>
  </si>
  <si>
    <t>GRD-0082</t>
  </si>
  <si>
    <t>GRD-0083</t>
  </si>
  <si>
    <t>GRD-0084</t>
  </si>
  <si>
    <t>GRD-0085</t>
  </si>
  <si>
    <t>GRD-0086</t>
  </si>
  <si>
    <t>GRD-0087</t>
  </si>
  <si>
    <t>GRD-0088</t>
  </si>
  <si>
    <t>GRD-0089</t>
  </si>
  <si>
    <t>GRD-0090</t>
  </si>
  <si>
    <t>GRD-0091</t>
  </si>
  <si>
    <t>GRD-0092</t>
  </si>
  <si>
    <t>GRD-0093</t>
  </si>
  <si>
    <t>GRD-0094</t>
  </si>
  <si>
    <t>GRD-0095</t>
  </si>
  <si>
    <t>GRD-0096</t>
  </si>
  <si>
    <t>GRD-0097</t>
  </si>
  <si>
    <t>GRD-0098</t>
  </si>
  <si>
    <t>GRD-0099</t>
  </si>
  <si>
    <t>GRD-0100</t>
  </si>
  <si>
    <t>GRD-0101</t>
  </si>
  <si>
    <t>GRD-0102</t>
  </si>
  <si>
    <t>GRD-0103</t>
  </si>
  <si>
    <t>GRD-0104</t>
  </si>
  <si>
    <t>GRD-0105</t>
  </si>
  <si>
    <t>GRD-0106</t>
  </si>
  <si>
    <t>GRD-0107</t>
  </si>
  <si>
    <t>GRD-0108</t>
  </si>
  <si>
    <t>GRD-0109</t>
  </si>
  <si>
    <t>GRD-0110</t>
  </si>
  <si>
    <t>GRD-0111</t>
  </si>
  <si>
    <t>GRD-0112</t>
  </si>
  <si>
    <t>GRD-0113</t>
  </si>
  <si>
    <t>GRD-0114</t>
  </si>
  <si>
    <t>GRD-0115</t>
  </si>
  <si>
    <t>GRD-0116</t>
  </si>
  <si>
    <t>GRD-0117</t>
  </si>
  <si>
    <t>GRD-0118</t>
  </si>
  <si>
    <t>GRD-0119</t>
  </si>
  <si>
    <t>GRD-0120</t>
  </si>
  <si>
    <t>GRD-0121</t>
  </si>
  <si>
    <t>GRD-0122</t>
  </si>
  <si>
    <t>GRD-0123</t>
  </si>
  <si>
    <t>GRD-0124</t>
  </si>
  <si>
    <t>GRD-0125</t>
  </si>
  <si>
    <t>GRD-0126</t>
  </si>
  <si>
    <t>GRD-0127</t>
  </si>
  <si>
    <t>GRD-0128</t>
  </si>
  <si>
    <t>GRD-0129</t>
  </si>
  <si>
    <t>GRD-0130</t>
  </si>
  <si>
    <t>GRD-0131</t>
  </si>
  <si>
    <t>GRD-0132</t>
  </si>
  <si>
    <t>GRD-0133</t>
  </si>
  <si>
    <t>GRD-0134</t>
  </si>
  <si>
    <t>GRD-0135</t>
  </si>
  <si>
    <t>GRD-0136</t>
  </si>
  <si>
    <t>GRD-0137</t>
  </si>
  <si>
    <t>GRD-0138</t>
  </si>
  <si>
    <t>GRD-0139</t>
  </si>
  <si>
    <t>GRD-0140</t>
  </si>
  <si>
    <t>GRD-0141</t>
  </si>
  <si>
    <t>GRD-0142</t>
  </si>
  <si>
    <t>GRD-0143</t>
  </si>
  <si>
    <t>GRD-0144</t>
  </si>
  <si>
    <t>GRD-0145</t>
  </si>
  <si>
    <t>GRD-0146</t>
  </si>
  <si>
    <t>GRD-0147</t>
  </si>
  <si>
    <t>GRD-0148</t>
  </si>
  <si>
    <t>GRD-0149</t>
  </si>
  <si>
    <t>GRD-0150</t>
  </si>
  <si>
    <t>GRD-0151</t>
  </si>
  <si>
    <t>GRD-0152</t>
  </si>
  <si>
    <t>GRD-0153</t>
  </si>
  <si>
    <t>GRD-0154</t>
  </si>
  <si>
    <t>GRD-0155</t>
  </si>
  <si>
    <t>GRD-0156</t>
  </si>
  <si>
    <t>GRD-0157</t>
  </si>
  <si>
    <t>GRD-0158</t>
  </si>
  <si>
    <t>GRD-0159</t>
  </si>
  <si>
    <t>GRD-0160</t>
  </si>
  <si>
    <t>GRD-0161</t>
  </si>
  <si>
    <t>GRD-0162</t>
  </si>
  <si>
    <t>GRD-0163</t>
  </si>
  <si>
    <t>GRD-0164</t>
  </si>
  <si>
    <t>GRD-0165</t>
  </si>
  <si>
    <t>GRD-0166</t>
  </si>
  <si>
    <t>GRD-0167</t>
  </si>
  <si>
    <t>GRD-0168</t>
  </si>
  <si>
    <t>GRD-0169</t>
  </si>
  <si>
    <t>GRD-0170</t>
  </si>
  <si>
    <t>GRD-0171</t>
  </si>
  <si>
    <t>GRD-0172</t>
  </si>
  <si>
    <t>GRD-0173</t>
  </si>
  <si>
    <t>GRD-0174</t>
  </si>
  <si>
    <t>GRD-0175</t>
  </si>
  <si>
    <t>GRD-0176</t>
  </si>
  <si>
    <t>GRD-0177</t>
  </si>
  <si>
    <t>GRD-0178</t>
  </si>
  <si>
    <t>attendance_id</t>
  </si>
  <si>
    <t>total_sessions</t>
  </si>
  <si>
    <t>present</t>
  </si>
  <si>
    <t>absent</t>
  </si>
  <si>
    <t>late</t>
  </si>
  <si>
    <t>attendance_pct</t>
  </si>
  <si>
    <t>risk_level</t>
  </si>
  <si>
    <t>ATT-0001</t>
  </si>
  <si>
    <t>Good</t>
  </si>
  <si>
    <t>ATT-0002</t>
  </si>
  <si>
    <t>ATT-0003</t>
  </si>
  <si>
    <t>At Risk</t>
  </si>
  <si>
    <t>ATT-0004</t>
  </si>
  <si>
    <t>ATT-0005</t>
  </si>
  <si>
    <t>ATT-0006</t>
  </si>
  <si>
    <t>ATT-0007</t>
  </si>
  <si>
    <t>Warning</t>
  </si>
  <si>
    <t>ATT-0008</t>
  </si>
  <si>
    <t>ATT-0009</t>
  </si>
  <si>
    <t>ATT-0010</t>
  </si>
  <si>
    <t>ATT-0011</t>
  </si>
  <si>
    <t>ATT-0012</t>
  </si>
  <si>
    <t>ATT-0013</t>
  </si>
  <si>
    <t>ATT-0014</t>
  </si>
  <si>
    <t>ATT-0015</t>
  </si>
  <si>
    <t>ATT-0016</t>
  </si>
  <si>
    <t>ATT-0017</t>
  </si>
  <si>
    <t>ATT-0018</t>
  </si>
  <si>
    <t>ATT-0019</t>
  </si>
  <si>
    <t>ATT-0020</t>
  </si>
  <si>
    <t>ATT-0021</t>
  </si>
  <si>
    <t>ATT-0022</t>
  </si>
  <si>
    <t>ATT-0023</t>
  </si>
  <si>
    <t>ATT-0024</t>
  </si>
  <si>
    <t>ATT-0025</t>
  </si>
  <si>
    <t>ATT-0026</t>
  </si>
  <si>
    <t>ATT-0027</t>
  </si>
  <si>
    <t>ATT-0028</t>
  </si>
  <si>
    <t>ATT-0029</t>
  </si>
  <si>
    <t>ATT-0030</t>
  </si>
  <si>
    <t>ATT-0031</t>
  </si>
  <si>
    <t>ATT-0032</t>
  </si>
  <si>
    <t>ATT-0033</t>
  </si>
  <si>
    <t>ATT-0034</t>
  </si>
  <si>
    <t>ATT-0035</t>
  </si>
  <si>
    <t>ATT-0036</t>
  </si>
  <si>
    <t>ATT-0037</t>
  </si>
  <si>
    <t>ATT-0038</t>
  </si>
  <si>
    <t>ATT-0039</t>
  </si>
  <si>
    <t>ATT-0040</t>
  </si>
  <si>
    <t>ATT-0041</t>
  </si>
  <si>
    <t>ATT-0042</t>
  </si>
  <si>
    <t>ATT-0043</t>
  </si>
  <si>
    <t>ATT-0044</t>
  </si>
  <si>
    <t>ATT-0045</t>
  </si>
  <si>
    <t>ATT-0046</t>
  </si>
  <si>
    <t>ATT-0047</t>
  </si>
  <si>
    <t>ATT-0048</t>
  </si>
  <si>
    <t>ATT-0049</t>
  </si>
  <si>
    <t>ATT-0050</t>
  </si>
  <si>
    <t>ATT-0051</t>
  </si>
  <si>
    <t>ATT-0052</t>
  </si>
  <si>
    <t>ATT-0053</t>
  </si>
  <si>
    <t>ATT-0054</t>
  </si>
  <si>
    <t>ATT-0055</t>
  </si>
  <si>
    <t>ATT-0056</t>
  </si>
  <si>
    <t>ATT-0057</t>
  </si>
  <si>
    <t>ATT-0058</t>
  </si>
  <si>
    <t>ATT-0059</t>
  </si>
  <si>
    <t>ATT-0060</t>
  </si>
  <si>
    <t>ATT-0061</t>
  </si>
  <si>
    <t>ATT-0062</t>
  </si>
  <si>
    <t>ATT-0063</t>
  </si>
  <si>
    <t>ATT-0064</t>
  </si>
  <si>
    <t>ATT-0065</t>
  </si>
  <si>
    <t>ATT-0066</t>
  </si>
  <si>
    <t>ATT-0067</t>
  </si>
  <si>
    <t>ATT-0068</t>
  </si>
  <si>
    <t>ATT-0069</t>
  </si>
  <si>
    <t>ATT-0070</t>
  </si>
  <si>
    <t>ATT-0071</t>
  </si>
  <si>
    <t>ATT-0072</t>
  </si>
  <si>
    <t>ATT-0073</t>
  </si>
  <si>
    <t>ATT-0074</t>
  </si>
  <si>
    <t>ATT-0075</t>
  </si>
  <si>
    <t>ATT-0076</t>
  </si>
  <si>
    <t>ATT-0077</t>
  </si>
  <si>
    <t>ATT-0078</t>
  </si>
  <si>
    <t>ATT-0079</t>
  </si>
  <si>
    <t>ATT-0080</t>
  </si>
  <si>
    <t>ATT-0081</t>
  </si>
  <si>
    <t>ATT-0082</t>
  </si>
  <si>
    <t>ATT-0083</t>
  </si>
  <si>
    <t>ATT-0084</t>
  </si>
  <si>
    <t>ATT-0085</t>
  </si>
  <si>
    <t>ATT-0086</t>
  </si>
  <si>
    <t>ATT-0087</t>
  </si>
  <si>
    <t>ATT-0088</t>
  </si>
  <si>
    <t>ATT-0089</t>
  </si>
  <si>
    <t>ATT-0090</t>
  </si>
  <si>
    <t>ATT-0091</t>
  </si>
  <si>
    <t>ATT-0092</t>
  </si>
  <si>
    <t>ATT-0093</t>
  </si>
  <si>
    <t>ATT-0094</t>
  </si>
  <si>
    <t>ATT-0095</t>
  </si>
  <si>
    <t>ATT-0096</t>
  </si>
  <si>
    <t>ATT-0097</t>
  </si>
  <si>
    <t>ATT-0098</t>
  </si>
  <si>
    <t>ATT-0099</t>
  </si>
  <si>
    <t>ATT-0100</t>
  </si>
  <si>
    <t>ATT-0101</t>
  </si>
  <si>
    <t>ATT-0102</t>
  </si>
  <si>
    <t>ATT-0103</t>
  </si>
  <si>
    <t>ATT-0104</t>
  </si>
  <si>
    <t>ATT-0105</t>
  </si>
  <si>
    <t>ATT-0106</t>
  </si>
  <si>
    <t>ATT-0107</t>
  </si>
  <si>
    <t>ATT-0108</t>
  </si>
  <si>
    <t>ATT-0109</t>
  </si>
  <si>
    <t>ATT-0110</t>
  </si>
  <si>
    <t>ATT-0111</t>
  </si>
  <si>
    <t>ATT-0112</t>
  </si>
  <si>
    <t>ATT-0113</t>
  </si>
  <si>
    <t>ATT-0114</t>
  </si>
  <si>
    <t>ATT-0115</t>
  </si>
  <si>
    <t>ATT-0116</t>
  </si>
  <si>
    <t>ATT-0117</t>
  </si>
  <si>
    <t>ATT-0118</t>
  </si>
  <si>
    <t>ATT-0119</t>
  </si>
  <si>
    <t>ATT-0120</t>
  </si>
  <si>
    <t>ATT-0121</t>
  </si>
  <si>
    <t>ATT-0122</t>
  </si>
  <si>
    <t>ATT-0123</t>
  </si>
  <si>
    <t>ATT-0124</t>
  </si>
  <si>
    <t>ATT-0125</t>
  </si>
  <si>
    <t>ATT-0126</t>
  </si>
  <si>
    <t>ATT-0127</t>
  </si>
  <si>
    <t>ATT-0128</t>
  </si>
  <si>
    <t>ATT-0129</t>
  </si>
  <si>
    <t>ATT-0130</t>
  </si>
  <si>
    <t>ATT-0131</t>
  </si>
  <si>
    <t>ATT-0132</t>
  </si>
  <si>
    <t>ATT-0133</t>
  </si>
  <si>
    <t>ATT-0134</t>
  </si>
  <si>
    <t>ATT-0135</t>
  </si>
  <si>
    <t>ATT-0136</t>
  </si>
  <si>
    <t>ATT-0137</t>
  </si>
  <si>
    <t>ATT-0138</t>
  </si>
  <si>
    <t>ATT-0139</t>
  </si>
  <si>
    <t>ATT-0140</t>
  </si>
  <si>
    <t>ATT-0141</t>
  </si>
  <si>
    <t>ATT-0142</t>
  </si>
  <si>
    <t>ATT-0143</t>
  </si>
  <si>
    <t>ATT-0144</t>
  </si>
  <si>
    <t>ATT-0145</t>
  </si>
  <si>
    <t>ATT-0146</t>
  </si>
  <si>
    <t>ATT-0147</t>
  </si>
  <si>
    <t>ATT-0148</t>
  </si>
  <si>
    <t>ATT-0149</t>
  </si>
  <si>
    <t>ATT-0150</t>
  </si>
  <si>
    <t>ATT-0151</t>
  </si>
  <si>
    <t>ATT-0152</t>
  </si>
  <si>
    <t>ATT-0153</t>
  </si>
  <si>
    <t>ATT-0154</t>
  </si>
  <si>
    <t>ATT-0155</t>
  </si>
  <si>
    <t>ATT-0156</t>
  </si>
  <si>
    <t>ATT-0157</t>
  </si>
  <si>
    <t>ATT-0158</t>
  </si>
  <si>
    <t>ATT-0159</t>
  </si>
  <si>
    <t>ATT-0160</t>
  </si>
  <si>
    <t>ATT-0161</t>
  </si>
  <si>
    <t>ATT-0162</t>
  </si>
  <si>
    <t>ATT-0163</t>
  </si>
  <si>
    <t>ATT-0164</t>
  </si>
  <si>
    <t>ATT-0165</t>
  </si>
  <si>
    <t>ATT-0166</t>
  </si>
  <si>
    <t>ATT-0167</t>
  </si>
  <si>
    <t>ATT-0168</t>
  </si>
  <si>
    <t>ATT-0169</t>
  </si>
  <si>
    <t>ATT-0170</t>
  </si>
  <si>
    <t>ATT-0171</t>
  </si>
  <si>
    <t>ATT-0172</t>
  </si>
  <si>
    <t>ATT-0173</t>
  </si>
  <si>
    <t>ATT-0174</t>
  </si>
  <si>
    <t>ATT-0175</t>
  </si>
  <si>
    <t>ATT-0176</t>
  </si>
  <si>
    <t>ATT-0177</t>
  </si>
  <si>
    <t>ATT-0178</t>
  </si>
  <si>
    <t>Templumis University — Student Fee Records</t>
  </si>
  <si>
    <t>Academic Year 2023/24 · Semester 1  |  All amounts in KES</t>
  </si>
  <si>
    <t>Fee Record ID</t>
  </si>
  <si>
    <t>Student ID</t>
  </si>
  <si>
    <t>Student Name</t>
  </si>
  <si>
    <t>Programme</t>
  </si>
  <si>
    <t>Department</t>
  </si>
  <si>
    <t>Sem Fee (KES)</t>
  </si>
  <si>
    <t>Reg Fee (KES)</t>
  </si>
  <si>
    <t>Total Billed (KES)</t>
  </si>
  <si>
    <t>Amount Paid (KES)</t>
  </si>
  <si>
    <t>Balance (KES)</t>
  </si>
  <si>
    <t>Fee Status</t>
  </si>
  <si>
    <t>FR-0001</t>
  </si>
  <si>
    <t>FR-0002</t>
  </si>
  <si>
    <t>FR-0003</t>
  </si>
  <si>
    <t>FR-0004</t>
  </si>
  <si>
    <t>FR-0005</t>
  </si>
  <si>
    <t>FR-0006</t>
  </si>
  <si>
    <t>FR-0007</t>
  </si>
  <si>
    <t>FR-0008</t>
  </si>
  <si>
    <t>FR-0009</t>
  </si>
  <si>
    <t>FR-0010</t>
  </si>
  <si>
    <t>FR-0011</t>
  </si>
  <si>
    <t>FR-0012</t>
  </si>
  <si>
    <t>FR-0013</t>
  </si>
  <si>
    <t>FR-0014</t>
  </si>
  <si>
    <t>FR-0015</t>
  </si>
  <si>
    <t>FR-0016</t>
  </si>
  <si>
    <t>FR-0017</t>
  </si>
  <si>
    <t>FR-0018</t>
  </si>
  <si>
    <t>FR-0019</t>
  </si>
  <si>
    <t>FR-0020</t>
  </si>
  <si>
    <t>FR-0021</t>
  </si>
  <si>
    <t>FR-0022</t>
  </si>
  <si>
    <t>FR-0023</t>
  </si>
  <si>
    <t>FR-0024</t>
  </si>
  <si>
    <t>FR-0025</t>
  </si>
  <si>
    <t>Arrears</t>
  </si>
  <si>
    <t>FR-0026</t>
  </si>
  <si>
    <t>FR-0027</t>
  </si>
  <si>
    <t>FR-0028</t>
  </si>
  <si>
    <t>FR-0029</t>
  </si>
  <si>
    <t>FR-0030</t>
  </si>
  <si>
    <t>FR-0031</t>
  </si>
  <si>
    <t>FR-0032</t>
  </si>
  <si>
    <t>FR-0033</t>
  </si>
  <si>
    <t>FR-0034</t>
  </si>
  <si>
    <t>FR-0035</t>
  </si>
  <si>
    <t>FR-0036</t>
  </si>
  <si>
    <t>FR-0037</t>
  </si>
  <si>
    <t>FR-0038</t>
  </si>
  <si>
    <t>PhD (Research)</t>
  </si>
  <si>
    <t>FR-0039</t>
  </si>
  <si>
    <t>FR-0040</t>
  </si>
  <si>
    <t>FR-0041</t>
  </si>
  <si>
    <t>FR-0042</t>
  </si>
  <si>
    <t>FR-0043</t>
  </si>
  <si>
    <t>FR-0044</t>
  </si>
  <si>
    <t>FR-0045</t>
  </si>
  <si>
    <t>FR-0046</t>
  </si>
  <si>
    <t>FR-0047</t>
  </si>
  <si>
    <t>FR-0048</t>
  </si>
  <si>
    <t>FR-0049</t>
  </si>
  <si>
    <t>FR-0050</t>
  </si>
  <si>
    <t>FR-0051</t>
  </si>
  <si>
    <t>FR-0052</t>
  </si>
  <si>
    <t>FR-0053</t>
  </si>
  <si>
    <t>FR-0054</t>
  </si>
  <si>
    <t>FR-0055</t>
  </si>
  <si>
    <t>FR-0056</t>
  </si>
  <si>
    <t>FR-0057</t>
  </si>
  <si>
    <t>FR-0058</t>
  </si>
  <si>
    <t>FR-0059</t>
  </si>
  <si>
    <t>FR-0060</t>
  </si>
  <si>
    <t>FR-0061</t>
  </si>
  <si>
    <t>FR-0062</t>
  </si>
  <si>
    <t>FR-0063</t>
  </si>
  <si>
    <t>FR-0064</t>
  </si>
  <si>
    <t>FR-0065</t>
  </si>
  <si>
    <t>FR-0066</t>
  </si>
  <si>
    <t>FR-0067</t>
  </si>
  <si>
    <t>FR-0068</t>
  </si>
  <si>
    <t>FR-0069</t>
  </si>
  <si>
    <t>FR-0070</t>
  </si>
  <si>
    <t>FR-0071</t>
  </si>
  <si>
    <t>FR-0072</t>
  </si>
  <si>
    <t>FR-0073</t>
  </si>
  <si>
    <t>FR-0074</t>
  </si>
  <si>
    <t>FR-0075</t>
  </si>
  <si>
    <t>FR-0076</t>
  </si>
  <si>
    <t>FR-0077</t>
  </si>
  <si>
    <t>FR-0078</t>
  </si>
  <si>
    <t>FR-0079</t>
  </si>
  <si>
    <t>FR-0080</t>
  </si>
  <si>
    <t>FR-0081</t>
  </si>
  <si>
    <t>FR-0082</t>
  </si>
  <si>
    <t>FR-0083</t>
  </si>
  <si>
    <t>FR-0084</t>
  </si>
  <si>
    <t>FR-0085</t>
  </si>
  <si>
    <t>FR-0086</t>
  </si>
  <si>
    <t>FR-0087</t>
  </si>
  <si>
    <t>FR-0088</t>
  </si>
  <si>
    <t>FR-0089</t>
  </si>
  <si>
    <t>FR-0090</t>
  </si>
  <si>
    <t>FR-0091</t>
  </si>
  <si>
    <t>FR-0092</t>
  </si>
  <si>
    <t>FR-0093</t>
  </si>
  <si>
    <t>FR-0094</t>
  </si>
  <si>
    <t>FR-0095</t>
  </si>
  <si>
    <t>FR-0096</t>
  </si>
  <si>
    <t>FR-0097</t>
  </si>
  <si>
    <t>FR-0098</t>
  </si>
  <si>
    <t>FR-0099</t>
  </si>
  <si>
    <t>FR-0100</t>
  </si>
  <si>
    <t>FR-0101</t>
  </si>
  <si>
    <t>FR-0102</t>
  </si>
  <si>
    <t>FR-0103</t>
  </si>
  <si>
    <t>FR-0104</t>
  </si>
  <si>
    <t>FR-0105</t>
  </si>
  <si>
    <t>FR-0106</t>
  </si>
  <si>
    <t>FR-0107</t>
  </si>
  <si>
    <t>FR-0108</t>
  </si>
  <si>
    <t>FR-0109</t>
  </si>
  <si>
    <t>FR-0110</t>
  </si>
  <si>
    <t>FR-0111</t>
  </si>
  <si>
    <t>FR-0112</t>
  </si>
  <si>
    <t>FR-0113</t>
  </si>
  <si>
    <t>FR-0114</t>
  </si>
  <si>
    <t>FR-0115</t>
  </si>
  <si>
    <t>FR-0116</t>
  </si>
  <si>
    <t>FR-0117</t>
  </si>
  <si>
    <t>FR-0118</t>
  </si>
  <si>
    <t>FR-0119</t>
  </si>
  <si>
    <t>FR-0120</t>
  </si>
  <si>
    <t>FR-0121</t>
  </si>
  <si>
    <t>FR-0122</t>
  </si>
  <si>
    <t>FR-0123</t>
  </si>
  <si>
    <t>FR-0124</t>
  </si>
  <si>
    <t>FR-0125</t>
  </si>
  <si>
    <t>FR-0126</t>
  </si>
  <si>
    <t>FR-0127</t>
  </si>
  <si>
    <t>FR-0128</t>
  </si>
  <si>
    <t>FR-0129</t>
  </si>
  <si>
    <t>FR-0130</t>
  </si>
  <si>
    <t>FR-0131</t>
  </si>
  <si>
    <t>FR-0132</t>
  </si>
  <si>
    <t>FR-0133</t>
  </si>
  <si>
    <t>FR-0134</t>
  </si>
  <si>
    <t>FR-0135</t>
  </si>
  <si>
    <t>FR-0136</t>
  </si>
  <si>
    <t>FR-0137</t>
  </si>
  <si>
    <t>FR-0138</t>
  </si>
  <si>
    <t>FR-0139</t>
  </si>
  <si>
    <t>FR-0140</t>
  </si>
  <si>
    <t>FR-0141</t>
  </si>
  <si>
    <t>FR-0142</t>
  </si>
  <si>
    <t>FR-0143</t>
  </si>
  <si>
    <t>FR-0144</t>
  </si>
  <si>
    <t>FR-0145</t>
  </si>
  <si>
    <t>FR-0146</t>
  </si>
  <si>
    <t>FR-0147</t>
  </si>
  <si>
    <t>FR-0148</t>
  </si>
  <si>
    <t>FR-0149</t>
  </si>
  <si>
    <t>FR-0150</t>
  </si>
  <si>
    <t>FR-0151</t>
  </si>
  <si>
    <t>FR-0152</t>
  </si>
  <si>
    <t>TOTALS</t>
  </si>
  <si>
    <t>Templumis University — Payment Transactions</t>
  </si>
  <si>
    <t>Payment ID</t>
  </si>
  <si>
    <t>Payment Date</t>
  </si>
  <si>
    <t>Payment Method</t>
  </si>
  <si>
    <t>Reference No.</t>
  </si>
  <si>
    <t>Amount (KES)</t>
  </si>
  <si>
    <t>Payment Type</t>
  </si>
  <si>
    <t>Processed By</t>
  </si>
  <si>
    <t>Receipt No.</t>
  </si>
  <si>
    <t>Status</t>
  </si>
  <si>
    <t>PAY-0001</t>
  </si>
  <si>
    <t>2023-09-08</t>
  </si>
  <si>
    <t>M-Pesa</t>
  </si>
  <si>
    <t>REF529696</t>
  </si>
  <si>
    <t>Tuition &amp; Registration</t>
  </si>
  <si>
    <t>Bursar</t>
  </si>
  <si>
    <t>RCT-0001</t>
  </si>
  <si>
    <t>Confirmed</t>
  </si>
  <si>
    <t>PAY-0002</t>
  </si>
  <si>
    <t>2023-09-11</t>
  </si>
  <si>
    <t>REF184441</t>
  </si>
  <si>
    <t>Finance Office</t>
  </si>
  <si>
    <t>RCT-0002</t>
  </si>
  <si>
    <t>PAY-0003</t>
  </si>
  <si>
    <t>Bank Transfer</t>
  </si>
  <si>
    <t>REF600208</t>
  </si>
  <si>
    <t>RCT-0003</t>
  </si>
  <si>
    <t>PAY-0004</t>
  </si>
  <si>
    <t>2023-09-13</t>
  </si>
  <si>
    <t>REF749605</t>
  </si>
  <si>
    <t>RCT-0004</t>
  </si>
  <si>
    <t>PAY-0005</t>
  </si>
  <si>
    <t>REF404242</t>
  </si>
  <si>
    <t>Partial Tuition</t>
  </si>
  <si>
    <t>RCT-0005</t>
  </si>
  <si>
    <t>PAY-0006</t>
  </si>
  <si>
    <t>REF432622</t>
  </si>
  <si>
    <t>RCT-0006</t>
  </si>
  <si>
    <t>PAY-0007</t>
  </si>
  <si>
    <t>REF503029</t>
  </si>
  <si>
    <t>RCT-0007</t>
  </si>
  <si>
    <t>PAY-0008</t>
  </si>
  <si>
    <t>2023-09-14</t>
  </si>
  <si>
    <t>REF650659</t>
  </si>
  <si>
    <t>RCT-0008</t>
  </si>
  <si>
    <t>PAY-0009</t>
  </si>
  <si>
    <t>—</t>
  </si>
  <si>
    <t>Deferred — Leave of Absence</t>
  </si>
  <si>
    <t>Registrar</t>
  </si>
  <si>
    <t>RCT-0009</t>
  </si>
  <si>
    <t>PAY-0010</t>
  </si>
  <si>
    <t>REF890008</t>
  </si>
  <si>
    <t>RCT-0010</t>
  </si>
  <si>
    <t>PAY-0011</t>
  </si>
  <si>
    <t>2023-09-10</t>
  </si>
  <si>
    <t>REF723142</t>
  </si>
  <si>
    <t>RCT-0011</t>
  </si>
  <si>
    <t>PAY-0012</t>
  </si>
  <si>
    <t>REF746509</t>
  </si>
  <si>
    <t>RCT-0012</t>
  </si>
  <si>
    <t>PAY-0013</t>
  </si>
  <si>
    <t>REF834564</t>
  </si>
  <si>
    <t>RCT-0013</t>
  </si>
  <si>
    <t>PAY-0014</t>
  </si>
  <si>
    <t>2023-09-21</t>
  </si>
  <si>
    <t>REF313688</t>
  </si>
  <si>
    <t>RCT-0014</t>
  </si>
  <si>
    <t>PAY-0015</t>
  </si>
  <si>
    <t>REF357865</t>
  </si>
  <si>
    <t>RCT-0015</t>
  </si>
  <si>
    <t>PAY-0016</t>
  </si>
  <si>
    <t>2023-09-09</t>
  </si>
  <si>
    <t>REF121357</t>
  </si>
  <si>
    <t>RCT-0016</t>
  </si>
  <si>
    <t>PAY-0017</t>
  </si>
  <si>
    <t>2023-09-03</t>
  </si>
  <si>
    <t>REF635445</t>
  </si>
  <si>
    <t>RCT-0017</t>
  </si>
  <si>
    <t>PAY-0018</t>
  </si>
  <si>
    <t>REF222058</t>
  </si>
  <si>
    <t>RCT-0018</t>
  </si>
  <si>
    <t>PAY-0019</t>
  </si>
  <si>
    <t>REF193437</t>
  </si>
  <si>
    <t>RCT-0019</t>
  </si>
  <si>
    <t>PAY-0020</t>
  </si>
  <si>
    <t>REF354366</t>
  </si>
  <si>
    <t>RCT-0020</t>
  </si>
  <si>
    <t>PAY-0021</t>
  </si>
  <si>
    <t>2023-09-01</t>
  </si>
  <si>
    <t>RCT-0021</t>
  </si>
  <si>
    <t>PAY-0022</t>
  </si>
  <si>
    <t>REF977426</t>
  </si>
  <si>
    <t>RCT-0022</t>
  </si>
  <si>
    <t>PAY-0023</t>
  </si>
  <si>
    <t>REF581637</t>
  </si>
  <si>
    <t>RCT-0023</t>
  </si>
  <si>
    <t>PAY-0024</t>
  </si>
  <si>
    <t>REF340643</t>
  </si>
  <si>
    <t>RCT-0024</t>
  </si>
  <si>
    <t>PAY-0025</t>
  </si>
  <si>
    <t>REF670556</t>
  </si>
  <si>
    <t>Registration Fee Only</t>
  </si>
  <si>
    <t>RCT-0025</t>
  </si>
  <si>
    <t>Partial — Tuition Arrears KES 75,000</t>
  </si>
  <si>
    <t>PAY-0026</t>
  </si>
  <si>
    <t>REF864661</t>
  </si>
  <si>
    <t>RCT-0026</t>
  </si>
  <si>
    <t>PAY-0027</t>
  </si>
  <si>
    <t>2023-09-12</t>
  </si>
  <si>
    <t>REF268175</t>
  </si>
  <si>
    <t>RCT-0027</t>
  </si>
  <si>
    <t>PAY-0028</t>
  </si>
  <si>
    <t>REF438948</t>
  </si>
  <si>
    <t>RCT-0028</t>
  </si>
  <si>
    <t>PAY-0029</t>
  </si>
  <si>
    <t>REF831747</t>
  </si>
  <si>
    <t>RCT-0029</t>
  </si>
  <si>
    <t>PAY-0030</t>
  </si>
  <si>
    <t>REF306824</t>
  </si>
  <si>
    <t>RCT-0030</t>
  </si>
  <si>
    <t>PAY-0031</t>
  </si>
  <si>
    <t>REF216452</t>
  </si>
  <si>
    <t>RCT-0031</t>
  </si>
  <si>
    <t>PAY-0032</t>
  </si>
  <si>
    <t>REF292726</t>
  </si>
  <si>
    <t>RCT-0032</t>
  </si>
  <si>
    <t>PAY-0033</t>
  </si>
  <si>
    <t>REF461197</t>
  </si>
  <si>
    <t>RCT-0033</t>
  </si>
  <si>
    <t>PAY-0034</t>
  </si>
  <si>
    <t>REF525912</t>
  </si>
  <si>
    <t>RCT-0034</t>
  </si>
  <si>
    <t>PAY-0035</t>
  </si>
  <si>
    <t>RCT-0035</t>
  </si>
  <si>
    <t>PAY-0036</t>
  </si>
  <si>
    <t>REF944370</t>
  </si>
  <si>
    <t>RCT-0036</t>
  </si>
  <si>
    <t>PAY-0037</t>
  </si>
  <si>
    <t>REF361964</t>
  </si>
  <si>
    <t>RCT-0037</t>
  </si>
  <si>
    <t>PAY-0038</t>
  </si>
  <si>
    <t>REF821034</t>
  </si>
  <si>
    <t>RCT-0038</t>
  </si>
  <si>
    <t>PAY-0039</t>
  </si>
  <si>
    <t>REF672891</t>
  </si>
  <si>
    <t>RCT-0039</t>
  </si>
  <si>
    <t>PAY-0040</t>
  </si>
  <si>
    <t>REF543217</t>
  </si>
  <si>
    <t>RCT-0040</t>
  </si>
  <si>
    <t>PAY-0041</t>
  </si>
  <si>
    <t>REF309845</t>
  </si>
  <si>
    <t>RCT-0041</t>
  </si>
  <si>
    <t>PAY-0042</t>
  </si>
  <si>
    <t>REF600001</t>
  </si>
  <si>
    <t>RCT-0042</t>
  </si>
  <si>
    <t>PAY-0043</t>
  </si>
  <si>
    <t>REF600002</t>
  </si>
  <si>
    <t>RCT-0043</t>
  </si>
  <si>
    <t>PAY-0044</t>
  </si>
  <si>
    <t>REF600003</t>
  </si>
  <si>
    <t>RCT-0044</t>
  </si>
  <si>
    <t>PAY-0045</t>
  </si>
  <si>
    <t>REF600004</t>
  </si>
  <si>
    <t>RCT-0045</t>
  </si>
  <si>
    <t>PAY-0046</t>
  </si>
  <si>
    <t>REF600005</t>
  </si>
  <si>
    <t>RCT-0046</t>
  </si>
  <si>
    <t>PAY-0047</t>
  </si>
  <si>
    <t>REF600006</t>
  </si>
  <si>
    <t>RCT-0047</t>
  </si>
  <si>
    <t>PAY-0048</t>
  </si>
  <si>
    <t>REF600007</t>
  </si>
  <si>
    <t>RCT-0048</t>
  </si>
  <si>
    <t>PAY-0049</t>
  </si>
  <si>
    <t>REF600008</t>
  </si>
  <si>
    <t>RCT-0049</t>
  </si>
  <si>
    <t>PAY-0050</t>
  </si>
  <si>
    <t>RCT-0050</t>
  </si>
  <si>
    <t>PAY-0051</t>
  </si>
  <si>
    <t>REF600010</t>
  </si>
  <si>
    <t>RCT-0051</t>
  </si>
  <si>
    <t>PAY-0052</t>
  </si>
  <si>
    <t>REF600011</t>
  </si>
  <si>
    <t>RCT-0052</t>
  </si>
  <si>
    <t>PAY-0053</t>
  </si>
  <si>
    <t>REF600012</t>
  </si>
  <si>
    <t>RCT-0053</t>
  </si>
  <si>
    <t>PAY-0054</t>
  </si>
  <si>
    <t>REF600013</t>
  </si>
  <si>
    <t>RCT-0054</t>
  </si>
  <si>
    <t>PAY-0055</t>
  </si>
  <si>
    <t>REF600014</t>
  </si>
  <si>
    <t>Partial Tuition (Overdue)</t>
  </si>
  <si>
    <t>RCT-0055</t>
  </si>
  <si>
    <t>PAY-0056</t>
  </si>
  <si>
    <t>REF600015</t>
  </si>
  <si>
    <t>RCT-0056</t>
  </si>
  <si>
    <t>PAY-0057</t>
  </si>
  <si>
    <t>REF600016</t>
  </si>
  <si>
    <t>RCT-0057</t>
  </si>
  <si>
    <t>PAY-0058</t>
  </si>
  <si>
    <t>REF600017</t>
  </si>
  <si>
    <t>RCT-0058</t>
  </si>
  <si>
    <t>PAY-0059</t>
  </si>
  <si>
    <t>REF600018</t>
  </si>
  <si>
    <t>RCT-0059</t>
  </si>
  <si>
    <t>PAY-0060</t>
  </si>
  <si>
    <t>REF600019</t>
  </si>
  <si>
    <t>RCT-0060</t>
  </si>
  <si>
    <t>PAY-0061</t>
  </si>
  <si>
    <t>REF600020</t>
  </si>
  <si>
    <t>RCT-0061</t>
  </si>
  <si>
    <t>PAY-0062</t>
  </si>
  <si>
    <t>REF600021</t>
  </si>
  <si>
    <t>RCT-0062</t>
  </si>
  <si>
    <t>PAY-0063</t>
  </si>
  <si>
    <t>REF600022</t>
  </si>
  <si>
    <t>RCT-0063</t>
  </si>
  <si>
    <t>PAY-0064</t>
  </si>
  <si>
    <t>RCT-0064</t>
  </si>
  <si>
    <t>PAY-0065</t>
  </si>
  <si>
    <t>REF600024</t>
  </si>
  <si>
    <t>RCT-0065</t>
  </si>
  <si>
    <t>PAY-0066</t>
  </si>
  <si>
    <t>REF600025</t>
  </si>
  <si>
    <t>RCT-0066</t>
  </si>
  <si>
    <t>PAY-0067</t>
  </si>
  <si>
    <t>REF600026</t>
  </si>
  <si>
    <t>RCT-0067</t>
  </si>
  <si>
    <t>PAY-0068</t>
  </si>
  <si>
    <t>REF600027</t>
  </si>
  <si>
    <t>RCT-0068</t>
  </si>
  <si>
    <t>PAY-0069</t>
  </si>
  <si>
    <t>REF600028</t>
  </si>
  <si>
    <t>RCT-0069</t>
  </si>
  <si>
    <t>PAY-0070</t>
  </si>
  <si>
    <t>REF600029</t>
  </si>
  <si>
    <t>RCT-0070</t>
  </si>
  <si>
    <t>PAY-0071</t>
  </si>
  <si>
    <t>REF600030</t>
  </si>
  <si>
    <t>RCT-0071</t>
  </si>
  <si>
    <t>PAY-0072</t>
  </si>
  <si>
    <t>REF600031</t>
  </si>
  <si>
    <t>RCT-0072</t>
  </si>
  <si>
    <t>PAY-0073</t>
  </si>
  <si>
    <t>REF600032</t>
  </si>
  <si>
    <t>RCT-0073</t>
  </si>
  <si>
    <t>PAY-0074</t>
  </si>
  <si>
    <t>REF600033</t>
  </si>
  <si>
    <t>RCT-0074</t>
  </si>
  <si>
    <t>PAY-0075</t>
  </si>
  <si>
    <t>REF600034</t>
  </si>
  <si>
    <t>RCT-0075</t>
  </si>
  <si>
    <t>PAY-0076</t>
  </si>
  <si>
    <t>RCT-0076</t>
  </si>
  <si>
    <t>PAY-0077</t>
  </si>
  <si>
    <t>REF600036</t>
  </si>
  <si>
    <t>RCT-0077</t>
  </si>
  <si>
    <t>PAY-0078</t>
  </si>
  <si>
    <t>REF600037</t>
  </si>
  <si>
    <t>RCT-0078</t>
  </si>
  <si>
    <t>PAY-0079</t>
  </si>
  <si>
    <t>REF600038</t>
  </si>
  <si>
    <t>RCT-0079</t>
  </si>
  <si>
    <t>PAY-0080</t>
  </si>
  <si>
    <t>REF600039</t>
  </si>
  <si>
    <t>RCT-0080</t>
  </si>
  <si>
    <t>PAY-0081</t>
  </si>
  <si>
    <t>REF600040</t>
  </si>
  <si>
    <t>RCT-0081</t>
  </si>
  <si>
    <t>PAY-0082</t>
  </si>
  <si>
    <t>REF600041</t>
  </si>
  <si>
    <t>RCT-0082</t>
  </si>
  <si>
    <t>PAY-0083</t>
  </si>
  <si>
    <t>REF600042</t>
  </si>
  <si>
    <t>RCT-0083</t>
  </si>
  <si>
    <t>PAY-0084</t>
  </si>
  <si>
    <t>REF600043</t>
  </si>
  <si>
    <t>RCT-0084</t>
  </si>
  <si>
    <t>PAY-0085</t>
  </si>
  <si>
    <t>REF600044</t>
  </si>
  <si>
    <t>RCT-0085</t>
  </si>
  <si>
    <t>PAY-0086</t>
  </si>
  <si>
    <t>REF600045</t>
  </si>
  <si>
    <t>RCT-0086</t>
  </si>
  <si>
    <t>PAY-0087</t>
  </si>
  <si>
    <t>REF600046</t>
  </si>
  <si>
    <t>RCT-0087</t>
  </si>
  <si>
    <t>PAY-0088</t>
  </si>
  <si>
    <t>REF600047</t>
  </si>
  <si>
    <t>RCT-0088</t>
  </si>
  <si>
    <t>PAY-0089</t>
  </si>
  <si>
    <t>REF600048</t>
  </si>
  <si>
    <t>RCT-0089</t>
  </si>
  <si>
    <t>PAY-0090</t>
  </si>
  <si>
    <t>REF600049</t>
  </si>
  <si>
    <t>RCT-0090</t>
  </si>
  <si>
    <t>PAY-0091</t>
  </si>
  <si>
    <t>RCT-0091</t>
  </si>
  <si>
    <t>PAY-0092</t>
  </si>
  <si>
    <t>REF600051</t>
  </si>
  <si>
    <t>RCT-0092</t>
  </si>
  <si>
    <t>PAY-0093</t>
  </si>
  <si>
    <t>REF600052</t>
  </si>
  <si>
    <t>RCT-0093</t>
  </si>
  <si>
    <t>PAY-0094</t>
  </si>
  <si>
    <t>REF600053</t>
  </si>
  <si>
    <t>RCT-0094</t>
  </si>
  <si>
    <t>PAY-0095</t>
  </si>
  <si>
    <t>REF600054</t>
  </si>
  <si>
    <t>RCT-0095</t>
  </si>
  <si>
    <t>PAY-0096</t>
  </si>
  <si>
    <t>REF600055</t>
  </si>
  <si>
    <t>RCT-0096</t>
  </si>
  <si>
    <t>PAY-0097</t>
  </si>
  <si>
    <t>REF600056</t>
  </si>
  <si>
    <t>RCT-0097</t>
  </si>
  <si>
    <t>PAY-0098</t>
  </si>
  <si>
    <t>REF600057</t>
  </si>
  <si>
    <t>RCT-0098</t>
  </si>
  <si>
    <t>PAY-0099</t>
  </si>
  <si>
    <t>REF600058</t>
  </si>
  <si>
    <t>RCT-0099</t>
  </si>
  <si>
    <t>PAY-0100</t>
  </si>
  <si>
    <t>REF600059</t>
  </si>
  <si>
    <t>RCT-0100</t>
  </si>
  <si>
    <t>PAY-0101</t>
  </si>
  <si>
    <t>REF600060</t>
  </si>
  <si>
    <t>RCT-0101</t>
  </si>
  <si>
    <t>PAY-0102</t>
  </si>
  <si>
    <t>REF600061</t>
  </si>
  <si>
    <t>RCT-0102</t>
  </si>
  <si>
    <t>PAY-0103</t>
  </si>
  <si>
    <t>REF600062</t>
  </si>
  <si>
    <t>RCT-0103</t>
  </si>
  <si>
    <t>PAY-0104</t>
  </si>
  <si>
    <t>REF600063</t>
  </si>
  <si>
    <t>RCT-0104</t>
  </si>
  <si>
    <t>PAY-0105</t>
  </si>
  <si>
    <t>RCT-0105</t>
  </si>
  <si>
    <t>PAY-0106</t>
  </si>
  <si>
    <t>REF600065</t>
  </si>
  <si>
    <t>RCT-0106</t>
  </si>
  <si>
    <t>PAY-0107</t>
  </si>
  <si>
    <t>REF600066</t>
  </si>
  <si>
    <t>RCT-0107</t>
  </si>
  <si>
    <t>PAY-0108</t>
  </si>
  <si>
    <t>REF600067</t>
  </si>
  <si>
    <t>RCT-0108</t>
  </si>
  <si>
    <t>PAY-0109</t>
  </si>
  <si>
    <t>REF600068</t>
  </si>
  <si>
    <t>RCT-0109</t>
  </si>
  <si>
    <t>PAY-0110</t>
  </si>
  <si>
    <t>REF600069</t>
  </si>
  <si>
    <t>RCT-0110</t>
  </si>
  <si>
    <t>PAY-0111</t>
  </si>
  <si>
    <t>REF600070</t>
  </si>
  <si>
    <t>RCT-0111</t>
  </si>
  <si>
    <t>PAY-0112</t>
  </si>
  <si>
    <t>REF600071</t>
  </si>
  <si>
    <t>RCT-0112</t>
  </si>
  <si>
    <t>PAY-0113</t>
  </si>
  <si>
    <t>REF600072</t>
  </si>
  <si>
    <t>RCT-0113</t>
  </si>
  <si>
    <t>PAY-0114</t>
  </si>
  <si>
    <t>REF600073</t>
  </si>
  <si>
    <t>RCT-0114</t>
  </si>
  <si>
    <t>PAY-0115</t>
  </si>
  <si>
    <t>REF600074</t>
  </si>
  <si>
    <t>RCT-0115</t>
  </si>
  <si>
    <t>PAY-0116</t>
  </si>
  <si>
    <t>REF600075</t>
  </si>
  <si>
    <t>RCT-0116</t>
  </si>
  <si>
    <t>PAY-0117</t>
  </si>
  <si>
    <t>RCT-0117</t>
  </si>
  <si>
    <t>PAY-0118</t>
  </si>
  <si>
    <t>REF600077</t>
  </si>
  <si>
    <t>RCT-0118</t>
  </si>
  <si>
    <t>PAY-0119</t>
  </si>
  <si>
    <t>REF600078</t>
  </si>
  <si>
    <t>RCT-0119</t>
  </si>
  <si>
    <t>PAY-0120</t>
  </si>
  <si>
    <t>REF600079</t>
  </si>
  <si>
    <t>RCT-0120</t>
  </si>
  <si>
    <t>PAY-0121</t>
  </si>
  <si>
    <t>REF600080</t>
  </si>
  <si>
    <t>RCT-0121</t>
  </si>
  <si>
    <t>PAY-0122</t>
  </si>
  <si>
    <t>REF600081</t>
  </si>
  <si>
    <t>RCT-0122</t>
  </si>
  <si>
    <t>PAY-0123</t>
  </si>
  <si>
    <t>REF600082</t>
  </si>
  <si>
    <t>RCT-0123</t>
  </si>
  <si>
    <t>PAY-0124</t>
  </si>
  <si>
    <t>REF700001</t>
  </si>
  <si>
    <t>RCT-0124</t>
  </si>
  <si>
    <t>PAY-0125</t>
  </si>
  <si>
    <t>REF700002</t>
  </si>
  <si>
    <t>RCT-0125</t>
  </si>
  <si>
    <t>PAY-0126</t>
  </si>
  <si>
    <t>REF700003</t>
  </si>
  <si>
    <t>RCT-0126</t>
  </si>
  <si>
    <t>PAY-0127</t>
  </si>
  <si>
    <t>REF700004</t>
  </si>
  <si>
    <t>RCT-0127</t>
  </si>
  <si>
    <t>PAY-0128</t>
  </si>
  <si>
    <t>REF700005</t>
  </si>
  <si>
    <t>RCT-0128</t>
  </si>
  <si>
    <t>PAY-0129</t>
  </si>
  <si>
    <t>REF700006</t>
  </si>
  <si>
    <t>RCT-0129</t>
  </si>
  <si>
    <t>PAY-0130</t>
  </si>
  <si>
    <t>REF700007</t>
  </si>
  <si>
    <t>RCT-0130</t>
  </si>
  <si>
    <t>PAY-0131</t>
  </si>
  <si>
    <t>REF700008</t>
  </si>
  <si>
    <t>RCT-0131</t>
  </si>
  <si>
    <t>PAY-0132</t>
  </si>
  <si>
    <t>REF700009</t>
  </si>
  <si>
    <t>RCT-0132</t>
  </si>
  <si>
    <t>PAY-0133</t>
  </si>
  <si>
    <t>2024-09-16</t>
  </si>
  <si>
    <t>REF700052</t>
  </si>
  <si>
    <t>NSFAS Disbursement — Tuition &amp; Registration</t>
  </si>
  <si>
    <t>NSFAS Liaison Office</t>
  </si>
  <si>
    <t>RCT-0133</t>
  </si>
  <si>
    <t>PAY-0134</t>
  </si>
  <si>
    <t>2023-09-17</t>
  </si>
  <si>
    <t>REF700053</t>
  </si>
  <si>
    <t>NSFAS Disbursement — Registration Only (Means Verification Pending)</t>
  </si>
  <si>
    <t>RCT-0134</t>
  </si>
  <si>
    <t>Partial — Tuition Pending NSFAS Confirmation KES 65,000</t>
  </si>
  <si>
    <t>PAY-0135</t>
  </si>
  <si>
    <t>2025-09-18</t>
  </si>
  <si>
    <t>REF700054</t>
  </si>
  <si>
    <t>RCT-0135</t>
  </si>
  <si>
    <t>PAY-0136</t>
  </si>
  <si>
    <t>2022-09-19</t>
  </si>
  <si>
    <t>REF700055</t>
  </si>
  <si>
    <t>RCT-0136</t>
  </si>
  <si>
    <t>PAY-0137</t>
  </si>
  <si>
    <t>2024-09-20</t>
  </si>
  <si>
    <t>REF700056</t>
  </si>
  <si>
    <t>RCT-0137</t>
  </si>
  <si>
    <t>PAY-0138</t>
  </si>
  <si>
    <t>2022-09-21</t>
  </si>
  <si>
    <t>REF700057</t>
  </si>
  <si>
    <t>Family Contribution — Partial (NSFAS Funding Discontinued)</t>
  </si>
  <si>
    <t>RCT-0138</t>
  </si>
  <si>
    <t>Partial — Balance KES 50,000 (Funding Discontinued)</t>
  </si>
  <si>
    <t>PAY-0139</t>
  </si>
  <si>
    <t>2023-09-22</t>
  </si>
  <si>
    <t>REF700058</t>
  </si>
  <si>
    <t>RCT-0139</t>
  </si>
  <si>
    <t>PAY-0140</t>
  </si>
  <si>
    <t>2025-09-23</t>
  </si>
  <si>
    <t>REF700059</t>
  </si>
  <si>
    <t>RCT-0140</t>
  </si>
  <si>
    <t>Partial — Tuition Pending NSFAS Confirmation KES 75,000</t>
  </si>
  <si>
    <t>PAY-0141</t>
  </si>
  <si>
    <t>2022-09-24</t>
  </si>
  <si>
    <t>REF700060</t>
  </si>
  <si>
    <t>RCT-0141</t>
  </si>
  <si>
    <t>PAY-0142</t>
  </si>
  <si>
    <t>2024-09-25</t>
  </si>
  <si>
    <t>REF700061</t>
  </si>
  <si>
    <t>RCT-0142</t>
  </si>
  <si>
    <t>PAY-0143</t>
  </si>
  <si>
    <t>2023-09-26</t>
  </si>
  <si>
    <t>REF700062</t>
  </si>
  <si>
    <t>RCT-0143</t>
  </si>
  <si>
    <t>PAY-0144</t>
  </si>
  <si>
    <t>2025-09-27</t>
  </si>
  <si>
    <t>No Disbursement — NSFAS Appeal Under Review</t>
  </si>
  <si>
    <t>RCT-0144</t>
  </si>
  <si>
    <t>Pending — Full Balance KES 80,000 Held for Appeal Outcome</t>
  </si>
  <si>
    <t>PAY-0145</t>
  </si>
  <si>
    <t>2024-09-01</t>
  </si>
  <si>
    <t>REF700064</t>
  </si>
  <si>
    <t>RCT-0145</t>
  </si>
  <si>
    <t>PAY-0146</t>
  </si>
  <si>
    <t>REF700065</t>
  </si>
  <si>
    <t>RCT-0146</t>
  </si>
  <si>
    <t>PAY-0147</t>
  </si>
  <si>
    <t>2024-09-03</t>
  </si>
  <si>
    <t>REF700066</t>
  </si>
  <si>
    <t>RCT-0147</t>
  </si>
  <si>
    <t>PAY-0148</t>
  </si>
  <si>
    <t>REF700067</t>
  </si>
  <si>
    <t>RCT-0148</t>
  </si>
  <si>
    <t>PAY-0149</t>
  </si>
  <si>
    <t>REF700068</t>
  </si>
  <si>
    <t>RCT-0149</t>
  </si>
  <si>
    <t>PAY-0150</t>
  </si>
  <si>
    <t>RCT-0150</t>
  </si>
  <si>
    <t>PAY-0151</t>
  </si>
  <si>
    <t>2024-09-07</t>
  </si>
  <si>
    <t>REF700070</t>
  </si>
  <si>
    <t>RCT-0151</t>
  </si>
  <si>
    <t>PAY-0152</t>
  </si>
  <si>
    <t>2024-09-08</t>
  </si>
  <si>
    <t>RCT-0152</t>
  </si>
  <si>
    <t>TOTAL PAYMENTS RECEIVED</t>
  </si>
  <si>
    <t>Templumis University — Scholarship Programmes</t>
  </si>
  <si>
    <t>Active &amp; Available Scholarships · Academic Year 2023/24</t>
  </si>
  <si>
    <t>Scholarship ID</t>
  </si>
  <si>
    <t>Scholarship Name</t>
  </si>
  <si>
    <t>Type</t>
  </si>
  <si>
    <t>Criteria</t>
  </si>
  <si>
    <t>Value (KES)</t>
  </si>
  <si>
    <t>Coverage</t>
  </si>
  <si>
    <t>Slots Available</t>
  </si>
  <si>
    <t>Slots Filled</t>
  </si>
  <si>
    <t>SCH-001</t>
  </si>
  <si>
    <t>Vice Chancellor's Merit Award</t>
  </si>
  <si>
    <t>Merit</t>
  </si>
  <si>
    <t>Top 5% GPA; minimum GPA 3.80</t>
  </si>
  <si>
    <t>Full Tuition</t>
  </si>
  <si>
    <t>SCH-002</t>
  </si>
  <si>
    <t>Dean's Excellence Bursary</t>
  </si>
  <si>
    <t>GPA 3.50–3.79; Good Standing</t>
  </si>
  <si>
    <t>50% Tuition</t>
  </si>
  <si>
    <t>SCH-003</t>
  </si>
  <si>
    <t>STEM Advancement Fund</t>
  </si>
  <si>
    <t>Merit + Need</t>
  </si>
  <si>
    <t>BSc/MSc programmes; GPA ≥ 3.20</t>
  </si>
  <si>
    <t>40% Tuition</t>
  </si>
  <si>
    <t>SCH-004</t>
  </si>
  <si>
    <t>Pan-African Diversity Grant</t>
  </si>
  <si>
    <t>Diversity</t>
  </si>
  <si>
    <t>Non-Kenyan international students</t>
  </si>
  <si>
    <t>SCH-005</t>
  </si>
  <si>
    <t>Women in Science Scholarship</t>
  </si>
  <si>
    <t>Equity</t>
  </si>
  <si>
    <t>Female students in Science/Engineering</t>
  </si>
  <si>
    <t>SCH-006</t>
  </si>
  <si>
    <t>Bursary for Needy Students</t>
  </si>
  <si>
    <t>Need-Based</t>
  </si>
  <si>
    <t>Demonstrated financial hardship; GPA ≥ 2.50</t>
  </si>
  <si>
    <t>SCH-007</t>
  </si>
  <si>
    <t>Postgraduate Research Fellowship</t>
  </si>
  <si>
    <t>Research</t>
  </si>
  <si>
    <t>MSc/MA by Research students; supervisor endorsement</t>
  </si>
  <si>
    <t>Full Tuition + Stipend</t>
  </si>
  <si>
    <t>SCH-008</t>
  </si>
  <si>
    <t>Community Leaders Award</t>
  </si>
  <si>
    <t>Leadership</t>
  </si>
  <si>
    <t>Community engagement evidence; essay required</t>
  </si>
  <si>
    <t>Flat Grant</t>
  </si>
  <si>
    <t>SCH-009</t>
  </si>
  <si>
    <t>Health Sciences Sponsorship</t>
  </si>
  <si>
    <t>Sectoral</t>
  </si>
  <si>
    <t>BSc Nursing / BPharm / BSc Nutrition students</t>
  </si>
  <si>
    <t>SCH-010</t>
  </si>
  <si>
    <t>Law &amp; Justice Fund</t>
  </si>
  <si>
    <t>LLB students; moot court participation</t>
  </si>
  <si>
    <t>SCH-011</t>
  </si>
  <si>
    <t>Financial Hardship Emergency Bursary</t>
  </si>
  <si>
    <t>Documented fee arrears; household income statement; GPA ≥ 2.50; active enrolment</t>
  </si>
  <si>
    <t>Outstanding Tuition Balance (up to KES 75,000)</t>
  </si>
  <si>
    <t>SCH-012</t>
  </si>
  <si>
    <t>Founder's Merit Scholarship</t>
  </si>
  <si>
    <t>SCH-013</t>
  </si>
  <si>
    <t>SCH-014</t>
  </si>
  <si>
    <t>BSc/MSc tech programmes; GPA ≥ 3.20</t>
  </si>
  <si>
    <t>SCH-015</t>
  </si>
  <si>
    <t>GCC Regional Diversity Grant</t>
  </si>
  <si>
    <t>Non-home-country GCC/MENA students</t>
  </si>
  <si>
    <t>SCH-016</t>
  </si>
  <si>
    <t>Women in Tech Scholarship</t>
  </si>
  <si>
    <t>Female students in Computing/Engineering</t>
  </si>
  <si>
    <t>SCH-017</t>
  </si>
  <si>
    <t>SCH-018</t>
  </si>
  <si>
    <t>SCH-019</t>
  </si>
  <si>
    <t>SCH-020</t>
  </si>
  <si>
    <t>Cybersecurity Sector Sponsorship</t>
  </si>
  <si>
    <t>BSc/MSc Cybersecurity students</t>
  </si>
  <si>
    <t>SCH-021</t>
  </si>
  <si>
    <t>FinTech Innovation Fund</t>
  </si>
  <si>
    <t>FinTech/Financial Technology students; project pitch required</t>
  </si>
  <si>
    <t>SCH-022</t>
  </si>
  <si>
    <t>SCH-023</t>
  </si>
  <si>
    <t>SCH-024</t>
  </si>
  <si>
    <t>SCH-025</t>
  </si>
  <si>
    <t>HELB-Linked Needy Students Bursary</t>
  </si>
  <si>
    <t>SCH-026</t>
  </si>
  <si>
    <t>County Government Sponsorship (Migori/Homa Bay)</t>
  </si>
  <si>
    <t>Sponsorship</t>
  </si>
  <si>
    <t>County-resident students; bonding agreement</t>
  </si>
  <si>
    <t>SCH-027</t>
  </si>
  <si>
    <t>Women in STEM Scholarship</t>
  </si>
  <si>
    <t>Female students in Science/Engineering/Agriculture</t>
  </si>
  <si>
    <t>SCH-028</t>
  </si>
  <si>
    <t>Agricultural Research Fellowship</t>
  </si>
  <si>
    <t>MSc/PhD Agriculture &amp; Environmental students; supervisor endorsement</t>
  </si>
  <si>
    <t>SCH-029</t>
  </si>
  <si>
    <t>SCH-030</t>
  </si>
  <si>
    <t>Education Sector Sponsorship (TSC-linked)</t>
  </si>
  <si>
    <t>BEd/MEd students; teaching bond required</t>
  </si>
  <si>
    <t>SCH-031</t>
  </si>
  <si>
    <t>BSc/MSc STE programmes; GPA ≥ 3.20</t>
  </si>
  <si>
    <t>SCH-032</t>
  </si>
  <si>
    <t>Media &amp; Communication Bursary</t>
  </si>
  <si>
    <t>BA/MA Communication &amp; Media Studies students</t>
  </si>
  <si>
    <t>30% Tuition</t>
  </si>
  <si>
    <t>SCH-033</t>
  </si>
  <si>
    <t>SCH-034</t>
  </si>
  <si>
    <t>NSFAS Bursary Programme (National Student Financial Aid Scheme)</t>
  </si>
  <si>
    <t>Need-Based (Government)</t>
  </si>
  <si>
    <t>South African-model means-tested aid, adapted for Templumis University; household income threshold and full academic-progress rules apply — see 'NSFAS Student Tracking' sheet</t>
  </si>
  <si>
    <t>Varies by allowance category (Tuition, Accommodation/Transport, Living, Learning Materials, Disability Top-up)</t>
  </si>
  <si>
    <t>Full Tuition + Allowances</t>
  </si>
  <si>
    <t>Multi-Institution LMS &amp; SIS Dashboard</t>
  </si>
  <si>
    <t>Academic Year 2023/24 · Semester 1</t>
  </si>
  <si>
    <t>Templumis University — Institution Detail (below)   |   See "All Institutions — Comparative Overview" further down for Kitaptech University &amp; Rongo University</t>
  </si>
  <si>
    <t>Students</t>
  </si>
  <si>
    <t>Courses &amp; Enrolments</t>
  </si>
  <si>
    <t>Total Students</t>
  </si>
  <si>
    <t>Total Courses</t>
  </si>
  <si>
    <t>Active Courses</t>
  </si>
  <si>
    <t>On Probation</t>
  </si>
  <si>
    <t>Total Enrolments</t>
  </si>
  <si>
    <t>Currently Enrolled</t>
  </si>
  <si>
    <t>Average GPA</t>
  </si>
  <si>
    <t>Avg Current Grade</t>
  </si>
  <si>
    <t>Total Credit Hours</t>
  </si>
  <si>
    <t>Grade A Count</t>
  </si>
  <si>
    <t>── Postgraduate Summary ──</t>
  </si>
  <si>
    <t>Student Lookup</t>
  </si>
  <si>
    <t>PG Students</t>
  </si>
  <si>
    <t>Enter Student ID →</t>
  </si>
  <si>
    <t>MSc Coursework</t>
  </si>
  <si>
    <t>Name</t>
  </si>
  <si>
    <t>Program</t>
  </si>
  <si>
    <t>GPA</t>
  </si>
  <si>
    <t>Avg Attendance %</t>
  </si>
  <si>
    <t>ALL INSTITUTIONS — COMPARATIVE OVERVIEW</t>
  </si>
  <si>
    <t>UG</t>
  </si>
  <si>
    <t>PG (Masters)</t>
  </si>
  <si>
    <t>Avg GPA</t>
  </si>
  <si>
    <t>ALL INSTITUTIONS</t>
  </si>
  <si>
    <t>A. STUDENT PROFILE</t>
  </si>
  <si>
    <t>B. ACADEMIC PROGRESSION</t>
  </si>
  <si>
    <t>C. ACADEMIC STANDING</t>
  </si>
  <si>
    <t>D. FINANCIAL CLEARANCE</t>
  </si>
  <si>
    <t>E. RESEARCH / THESIS</t>
  </si>
  <si>
    <t>F. GRADUATION</t>
  </si>
  <si>
    <t>Full Name</t>
  </si>
  <si>
    <t>Enrolment Date</t>
  </si>
  <si>
    <t>Current Year/Sem</t>
  </si>
  <si>
    <t>Sem 1 Status</t>
  </si>
  <si>
    <t>Sem 2 Status</t>
  </si>
  <si>
    <t>Year 2 Progression</t>
  </si>
  <si>
    <t>Year 3+ Progression</t>
  </si>
  <si>
    <t>Last Review Date</t>
  </si>
  <si>
    <t>Fees — Sem 1</t>
  </si>
  <si>
    <t>Fees — Sem 2</t>
  </si>
  <si>
    <t>Proposal Status</t>
  </si>
  <si>
    <t>Data/Coursework Phase</t>
  </si>
  <si>
    <t>Thesis Submission</t>
  </si>
  <si>
    <t>Thesis Defence</t>
  </si>
  <si>
    <t>Clearance Date</t>
  </si>
  <si>
    <t>Graduation Date</t>
  </si>
  <si>
    <t>Complete</t>
  </si>
  <si>
    <t>Sem Year 3</t>
  </si>
  <si>
    <t>Sem Year 2</t>
  </si>
  <si>
    <t>Sem Year 4</t>
  </si>
  <si>
    <t>Sem Year 1</t>
  </si>
  <si>
    <t>Paid (Reg. Only)</t>
  </si>
  <si>
    <t>Arrears — KES 75,000</t>
  </si>
  <si>
    <t>Submitted</t>
  </si>
  <si>
    <t>Passed</t>
  </si>
  <si>
    <t>Complete ✓</t>
  </si>
  <si>
    <t>Proposal Defended ✓ — Candidacy Confirmed</t>
  </si>
  <si>
    <t>Data Collection Active (Year 3)</t>
  </si>
  <si>
    <t>Data Collection Complete ✓</t>
  </si>
  <si>
    <t>In Progress — Writing</t>
  </si>
  <si>
    <t>In Progress — Draft Proposal Stage</t>
  </si>
  <si>
    <t>Foundation Coursework (Year 1)</t>
  </si>
  <si>
    <t>Submitted — Awaiting Proposal Defense</t>
  </si>
  <si>
    <t>Pre-Candidacy Phase (Year 2)</t>
  </si>
  <si>
    <t>TemplumIS University — Global Ranking Indicators Dashboard (Templumis University Deep-Dive)</t>
  </si>
  <si>
    <t>Academic Year 2023/24 · Semester 1  |  Data sourced from LMS/SIS institutional records</t>
  </si>
  <si>
    <t>INSTITUTIONAL SUMMARY</t>
  </si>
  <si>
    <t>37</t>
  </si>
  <si>
    <t>3.32 / 4.0</t>
  </si>
  <si>
    <t>International Students</t>
  </si>
  <si>
    <t>35.1%</t>
  </si>
  <si>
    <t>Female Ratio</t>
  </si>
  <si>
    <t>48.6%</t>
  </si>
  <si>
    <t>UG Students</t>
  </si>
  <si>
    <t>25</t>
  </si>
  <si>
    <t>Active Students</t>
  </si>
  <si>
    <t>Research Students</t>
  </si>
  <si>
    <t>6</t>
  </si>
  <si>
    <t>Nationalities</t>
  </si>
  <si>
    <t>10</t>
  </si>
  <si>
    <t>12</t>
  </si>
  <si>
    <t>Graduates</t>
  </si>
  <si>
    <t>5</t>
  </si>
  <si>
    <t>Student:Faculty Ratio</t>
  </si>
  <si>
    <t>2.5 : 1</t>
  </si>
  <si>
    <t>Schools / Faculties</t>
  </si>
  <si>
    <t>9</t>
  </si>
  <si>
    <t>Faculty (Instructors)</t>
  </si>
  <si>
    <t>15</t>
  </si>
  <si>
    <t>19</t>
  </si>
  <si>
    <t>Avg Attendance</t>
  </si>
  <si>
    <t>83%</t>
  </si>
  <si>
    <t>Avg Grade</t>
  </si>
  <si>
    <t>77.6%</t>
  </si>
  <si>
    <t>WEBOMETRICS Ranking of World Universities</t>
  </si>
  <si>
    <t>Focus: Web presence, openness &amp; academic output</t>
  </si>
  <si>
    <t>Indicator</t>
  </si>
  <si>
    <t>Weight</t>
  </si>
  <si>
    <t>Score Estimate</t>
  </si>
  <si>
    <t>Notes / TemplumIS Evidence</t>
  </si>
  <si>
    <t>Visibility / Impact (Web links)</t>
  </si>
  <si>
    <t>50%</t>
  </si>
  <si>
    <t>~20%</t>
  </si>
  <si>
    <t>Institutional website not indexed in dataset; no inlink data available</t>
  </si>
  <si>
    <t>⚠</t>
  </si>
  <si>
    <t>Openness / Transparency (OA repos)</t>
  </si>
  <si>
    <t>10%</t>
  </si>
  <si>
    <t>~25%</t>
  </si>
  <si>
    <t>6 research dissertations in progress; no open access repository evidenced</t>
  </si>
  <si>
    <t>Excellence (Google Scholar output)</t>
  </si>
  <si>
    <t>~15%</t>
  </si>
  <si>
    <t>Research topics active (malaria, AI, NLP) but publications not yet confirmed</t>
  </si>
  <si>
    <t>✗</t>
  </si>
  <si>
    <t>Presence (indexed web pages)</t>
  </si>
  <si>
    <t>5%</t>
  </si>
  <si>
    <t>~30%</t>
  </si>
  <si>
    <t>Domain @templumis.ac confirmed; web footprint/page count unknown</t>
  </si>
  <si>
    <t>OVERALL DATA READINESS</t>
  </si>
  <si>
    <t>~22%</t>
  </si>
  <si>
    <t>Weighted estimate based on available institutional data</t>
  </si>
  <si>
    <t>THE World University Rankings</t>
  </si>
  <si>
    <t>Focus: Teaching, research, citations &amp; international outlook</t>
  </si>
  <si>
    <t>Teaching — Learning Environment</t>
  </si>
  <si>
    <t>29.5%</t>
  </si>
  <si>
    <t>~62%</t>
  </si>
  <si>
    <t>SFR 2.5:1 (excellent); avg GPA 3.32; 9 schools; 20 active courses; reputation survey data N/A</t>
  </si>
  <si>
    <t>✓</t>
  </si>
  <si>
    <t>Research — Environment &amp; Productivity</t>
  </si>
  <si>
    <t>29%</t>
  </si>
  <si>
    <t>~18%</t>
  </si>
  <si>
    <t>6 research students; dissertations in health, CS, engineering; research income data unavailable</t>
  </si>
  <si>
    <t>Citations — Research Influence (Scopus)</t>
  </si>
  <si>
    <t>30%</t>
  </si>
  <si>
    <t>~5%</t>
  </si>
  <si>
    <t>No citation records in institutional data; requires Scopus indexing</t>
  </si>
  <si>
    <t>International Outlook</t>
  </si>
  <si>
    <t>7.5%</t>
  </si>
  <si>
    <t>~58%</t>
  </si>
  <si>
    <t>35.1% international students; 10 nationalities; strong Pan-African diversity</t>
  </si>
  <si>
    <t>Industry Income per Academic</t>
  </si>
  <si>
    <t>4%</t>
  </si>
  <si>
    <t>No industry partnership or income data recorded in dataset</t>
  </si>
  <si>
    <t>~26%</t>
  </si>
  <si>
    <t>THE Sub-Saharan Africa Rankings (SSA)</t>
  </si>
  <si>
    <t>Focus: Regionally adapted THE criteria for African universities</t>
  </si>
  <si>
    <t>Teaching &amp; Learning</t>
  </si>
  <si>
    <t>25%</t>
  </si>
  <si>
    <t>~70%</t>
  </si>
  <si>
    <t>SFR 2.5:1; 20 courses; 5 graduates; avg grade 77.6%; strong student support systems</t>
  </si>
  <si>
    <t>~35%</t>
  </si>
  <si>
    <t>6 active research students (16.2%); applied African topics; no citation data</t>
  </si>
  <si>
    <t>Knowledge Transfer to Society</t>
  </si>
  <si>
    <t>20%</t>
  </si>
  <si>
    <t>~40%</t>
  </si>
  <si>
    <t>Dissertations on maternal health, Swahili NLP, solar desalination — locally relevant</t>
  </si>
  <si>
    <t>15%</t>
  </si>
  <si>
    <t>~65%</t>
  </si>
  <si>
    <t>10 nationalities; 35.1% international; Pan-African student mix across 10 countries</t>
  </si>
  <si>
    <t>Access &amp; Inclusion</t>
  </si>
  <si>
    <t>~68%</t>
  </si>
  <si>
    <t>48.6% female; academic support processes (probation, standing review) evidenced</t>
  </si>
  <si>
    <t>~50%</t>
  </si>
  <si>
    <t>Shanghai ARWU (Academic Ranking of World Universities)</t>
  </si>
  <si>
    <t>Focus: Research output, Nobel laureates &amp; high-impact publications</t>
  </si>
  <si>
    <t>Alumni — Nobel / Fields Medal winners</t>
  </si>
  <si>
    <t>~0%</t>
  </si>
  <si>
    <t>5 graduates confirmed; no Nobel/Fields alumni data applicable at this stage</t>
  </si>
  <si>
    <t>Staff — Nobel / Fields Medal winners</t>
  </si>
  <si>
    <t>No data on faculty international awards of this calibre</t>
  </si>
  <si>
    <t>Highly Cited Researchers (Clarivate HiCi)</t>
  </si>
  <si>
    <t>No citation records; Clarivate HiCi designation not evidenced</t>
  </si>
  <si>
    <t>Papers in Nature &amp; Science</t>
  </si>
  <si>
    <t>Research in dissertation phase; no Nature/Science publications confirmed</t>
  </si>
  <si>
    <t>Papers in SCI / SSCI (Web of Science)</t>
  </si>
  <si>
    <t>6 research dissertations underway; journal publishing pipeline not recorded</t>
  </si>
  <si>
    <t>Per capita academic performance (PCP)</t>
  </si>
  <si>
    <t>~8%</t>
  </si>
  <si>
    <t>15 faculty; small institution could score relatively if output begins</t>
  </si>
  <si>
    <t>QS World University Rankings</t>
  </si>
  <si>
    <t>Focus: Reputation, faculty ratio, citations &amp; international diversity</t>
  </si>
  <si>
    <t>Academic Reputation (survey)</t>
  </si>
  <si>
    <t>~10%</t>
  </si>
  <si>
    <t>No global survey presence; institution not yet globally known</t>
  </si>
  <si>
    <t>Employer Reputation (survey)</t>
  </si>
  <si>
    <t>5 graduates; no employment tracking or employer survey data available</t>
  </si>
  <si>
    <t>Faculty/Student Ratio</t>
  </si>
  <si>
    <t>~88%</t>
  </si>
  <si>
    <t>2.5:1 ratio — exceptional; well within global top-tier benchmarks (&lt;10:1)</t>
  </si>
  <si>
    <t>Citations per Faculty (Scopus)</t>
  </si>
  <si>
    <t>No Scopus citation records in dataset; requires active publication base</t>
  </si>
  <si>
    <t>International Faculty Ratio</t>
  </si>
  <si>
    <t>All 15 instructors appear local; international faculty not distinguishable from data</t>
  </si>
  <si>
    <t>International Student Ratio</t>
  </si>
  <si>
    <t>~72%</t>
  </si>
  <si>
    <t>35.1% international students — strong; 13 students from 9 non-Kenyan countries</t>
  </si>
  <si>
    <t>Sustainability (ESG metrics)</t>
  </si>
  <si>
    <t>Community-focused research topics noted; formal sustainability reporting not evidenced</t>
  </si>
  <si>
    <t>Employment Outcomes</t>
  </si>
  <si>
    <t>5 confirmed graduates; no employment rate or alumni outcomes tracking data</t>
  </si>
  <si>
    <t>~32%</t>
  </si>
  <si>
    <t>CWTS Leiden Ranking</t>
  </si>
  <si>
    <t>Focus: Bibliometric research performance (Web of Science)</t>
  </si>
  <si>
    <t>P — Scientific output (WoS papers)</t>
  </si>
  <si>
    <t>6 research theses in progress; malaria, AI/UAV, NLP topics; none confirmed indexed</t>
  </si>
  <si>
    <t>PP(top 10%) — Citation impact</t>
  </si>
  <si>
    <t>~3%</t>
  </si>
  <si>
    <t>No Web of Science citation records available; requires published indexed output</t>
  </si>
  <si>
    <t>MCS — Mean citation score (normalised)</t>
  </si>
  <si>
    <t>Citation tracking requires published and indexed output in WoS</t>
  </si>
  <si>
    <t>PP(collab) — International co-authorship</t>
  </si>
  <si>
    <t>Multi-national student body; potential for collaboration; no co-authorship data recorded</t>
  </si>
  <si>
    <t>PP(gender) — Female authorship</t>
  </si>
  <si>
    <t>Supplementary</t>
  </si>
  <si>
    <t>~45%</t>
  </si>
  <si>
    <t>48.6% female students; 3 of 6 research students are female — strong potential</t>
  </si>
  <si>
    <t>PP(OA) — Open Access publications</t>
  </si>
  <si>
    <t>No open access repository or infrastructure evidenced in institutional data</t>
  </si>
  <si>
    <t>METHODOLOGY NOTE</t>
  </si>
  <si>
    <t>Score estimates are proxies derived from institutional LMS/SIS data available in the TemplumIS dataset. Indicators requiring external data (Scopus, Web of Science, employer surveys, academic reputation surveys, Clarivate HiCi lists) cannot be fully evaluated from internal records alone. Status symbols: ✓ = Performing well, ⚠ = Limited/partial data, ✗ = No data or not applicable. Scores represent current data readiness relative to each ranking's criteria, not projected global ranking positions.</t>
  </si>
  <si>
    <t>ALL INSTITUTIONS — INSTITUTIONAL SUMMARY COMPARISON</t>
  </si>
  <si>
    <t>Snapshot across Templumis University, Kitaptech University &amp; Rongo University — sourced from current LMS/SIS institutional records</t>
  </si>
  <si>
    <t>Metric</t>
  </si>
  <si>
    <t>41</t>
  </si>
  <si>
    <t>29</t>
  </si>
  <si>
    <t>30</t>
  </si>
  <si>
    <t>Graduates (to date)</t>
  </si>
  <si>
    <t>4</t>
  </si>
  <si>
    <t>UG / PG (Masters) / PhD</t>
  </si>
  <si>
    <t>25 / 12 / 4</t>
  </si>
  <si>
    <t>Research Students (MSc/MA/PhD by Research)</t>
  </si>
  <si>
    <t>48.8%</t>
  </si>
  <si>
    <t>Nationalities Represented</t>
  </si>
  <si>
    <t>11</t>
  </si>
  <si>
    <t>16 (Pan-Regional GCC/MENA)</t>
  </si>
  <si>
    <t>3 (predominantly Kenyan)</t>
  </si>
  <si>
    <t>3.35</t>
  </si>
  <si>
    <t>3.33</t>
  </si>
  <si>
    <t>3.29</t>
  </si>
  <si>
    <t>88%</t>
  </si>
  <si>
    <t>96%</t>
  </si>
  <si>
    <t>5 (tech-focused)</t>
  </si>
  <si>
    <t>6 (per rongovarsity.ac.ke)</t>
  </si>
  <si>
    <t>16</t>
  </si>
  <si>
    <t>7</t>
  </si>
  <si>
    <t>Student : Faculty Ratio</t>
  </si>
  <si>
    <t>2.6 : 1</t>
  </si>
  <si>
    <t>5.9 : 1</t>
  </si>
  <si>
    <t>3.4 : 1</t>
  </si>
  <si>
    <t>31</t>
  </si>
  <si>
    <t>22</t>
  </si>
  <si>
    <t>23</t>
  </si>
  <si>
    <t>Domain</t>
  </si>
  <si>
    <t>templumis.ac</t>
  </si>
  <si>
    <t>kitaptech.com</t>
  </si>
  <si>
    <t>rongovarsity.ac.ke</t>
  </si>
  <si>
    <t>Note: Kitaptech University's student body spans the GCC/MENA region with no single dominant home nationality, so "international %" is not a meaningful metric there — diversity is instead expressed as the count of nationalities represented. Rongo University figures are grounded in its real academic structure (rongovarsity.ac.ke); Kitaptech University's tech-focused schools and Templumis University's general catalogue are both illustrative. All other ranking-framework tables above (WEBOMETRICS, THE, THE SSA, ARWU, QS, CWTS Leiden) remain Templumis University-specific deep dives.</t>
  </si>
  <si>
    <t>Templumis University — Postgraduate Research Tracker</t>
  </si>
  <si>
    <t>Academic Years 2023/24–2025/26  |  All Active &amp; Graduated Postgraduate Students  |  SIS — Research Management Module</t>
  </si>
  <si>
    <t>Supervisor</t>
  </si>
  <si>
    <t>Research / Capstone Title</t>
  </si>
  <si>
    <t>Research Area / Specialisation</t>
  </si>
  <si>
    <t>Programme Status</t>
  </si>
  <si>
    <t>Current Stage</t>
  </si>
  <si>
    <t>Stage Reference</t>
  </si>
  <si>
    <t>M1: Enrolment &amp; Orientation</t>
  </si>
  <si>
    <t>M2: Proposal / Yr 1 Coursework</t>
  </si>
  <si>
    <t>M3: Lit Review / Yr 2 Coursework</t>
  </si>
  <si>
    <t>M4: Data Collection / Capstone</t>
  </si>
  <si>
    <t>M5: Analysis &amp; Writing</t>
  </si>
  <si>
    <t>M6: Thesis / Report Submission</t>
  </si>
  <si>
    <t>M7: Defence / Viva / Presentation</t>
  </si>
  <si>
    <t>Overall Progress (%)</t>
  </si>
  <si>
    <t>Expected Completion</t>
  </si>
  <si>
    <t>Next Review Date</t>
  </si>
  <si>
    <t>Stage Notes</t>
  </si>
  <si>
    <t>Predictive Modeling for Urban Traffic Flow Optimization in Nairobi</t>
  </si>
  <si>
    <t>Capstone Writing Phase</t>
  </si>
  <si>
    <t>N/A (Coursework)</t>
  </si>
  <si>
    <t>On track for June 2024 graduation; data analysis complete; capstone writing in progress</t>
  </si>
  <si>
    <t>TBD — Capstone topic selection due Semester 3</t>
  </si>
  <si>
    <t>Business Administration — Marketing Analytics &amp; Consumer Strategy</t>
  </si>
  <si>
    <t>Coursework Phase — Semester 2</t>
  </si>
  <si>
    <t>GPA 3.41 in Sem 1; performing well in Sem 2; capstone topic selection due Sem 3</t>
  </si>
  <si>
    <t>Kenya's Export Diversification: The Role of Regional Trade Agreements in the EAC</t>
  </si>
  <si>
    <t>Economics — International Trade, Regional Integration &amp; Development Policy</t>
  </si>
  <si>
    <t>Graduated ✓</t>
  </si>
  <si>
    <t>Graduated Good Standing; GPA 3.55; capstone commended by panel; alumni network active</t>
  </si>
  <si>
    <t>N/A — Academic Review; Capstone phase not yet reached</t>
  </si>
  <si>
    <t>Environmental Science — Climate Change Adaptation &amp; Sustainability</t>
  </si>
  <si>
    <t>Academic Review — Probation</t>
  </si>
  <si>
    <t>In Progress (Below Standard)</t>
  </si>
  <si>
    <t>N/A — Academic Review</t>
  </si>
  <si>
    <t>GPA 2.81 — must attain ≥ 3.00 in Sem 2; academic support plan &amp; counselling in place</t>
  </si>
  <si>
    <t>Social Media Influence on Political Participation Among Youth in East Africa</t>
  </si>
  <si>
    <t>Communication Studies — Digital Media, Civic Engagement &amp; Political Discourse</t>
  </si>
  <si>
    <t>On track for June 2024; survey data (n=650 youth, 6 countries) collected &amp; analysed; draft introduction submitted</t>
  </si>
  <si>
    <t>Business Administration — Strategic Management &amp; Organisational Leadership</t>
  </si>
  <si>
    <t>GPA 3.22; Pan-African Diversity Grant awarded; strong Sem 1; capstone topic selection due Sem 3</t>
  </si>
  <si>
    <t>Biochemistry — Antimalarial Drug Discovery, Enzyme Kinetics &amp; Parasitology</t>
  </si>
  <si>
    <t>⚠ Thesis Writing — CHALLENGE: Ch.3 Major Revision Required</t>
  </si>
  <si>
    <t>⚠ Revision Required — Kinetic Model Error Identified</t>
  </si>
  <si>
    <t>Conference Paper: East Africa Biochem Symposium 2024</t>
  </si>
  <si>
    <t>⚠ CASE-PG-001 ACTIVE | Supervisor returned Ch.3 (48pp): enzyme kinetics must use Hill equation not Michaelis-Menten for cooperative binding system. All QA reanalysis needed (8–10 wks). Co-supervisor Dr. Njomo on WHO field duty until Apr 2024 — Dr. Ouma appointed interim. LC-MS/MS booked March 4–8 2024. Viva rescheduled: Oct 2024.</t>
  </si>
  <si>
    <t>Computer Science — Computer Vision, Deep Learning &amp; Precision Agriculture</t>
  </si>
  <si>
    <t>⚠ Data Collection — CHALLENGE: Dataset Crisis + Paper Revisions</t>
  </si>
  <si>
    <t>⚠ Dataset Rebuild Required (31% images unusable — ethics amendment filed)</t>
  </si>
  <si>
    <t>Paper submitted — AAAI Africa 2025 Workshop on AI for Agriculture</t>
  </si>
  <si>
    <t>⚠ CASE-PG-002 ACTIVE | Dataset audit: 155/500 UAV images unusable (motion blur, overexposure, obstruction). Ethics amendment for 2 new counties filed (6–8 wk approval). AAAI paper: Major Revisions — add 3 baselines, ablation study, significance tests. Supervisor on sabbatical Jan–Feb 2024. Revised completion: Nov 2025.</t>
  </si>
  <si>
    <t>Education Studies — EdTech, Instructional Design &amp; Learning Outcomes in SSA</t>
  </si>
  <si>
    <t>Thesis Writing Phase — Research Year 3</t>
  </si>
  <si>
    <t>Fieldwork: 12 secondary schools, n=480 students surveyed; full analysis complete; Chapters 1–4 approved; Ch 5 in progress</t>
  </si>
  <si>
    <t>Mechanical Engineering — Renewable Energy Systems &amp; Rural Water Security</t>
  </si>
  <si>
    <t>On Leave — Proposal Approved (Research Year 2)</t>
  </si>
  <si>
    <t>Pending — On Leave</t>
  </si>
  <si>
    <t>Proposal approved with commendation; prototype design ready; fieldwork paused; expected return: Sem 1 2024/25</t>
  </si>
  <si>
    <t>Public Health — Maternal &amp; Child Health, Community Medicine &amp; Health Systems</t>
  </si>
  <si>
    <t>Graduated ✓ (Research)</t>
  </si>
  <si>
    <t>Graduated highest distinction; thesis commended by external examiners; publication peer-reviewed &amp; indexed in Scopus; Postgraduate Research Fellowship holder</t>
  </si>
  <si>
    <t>Computer Science — Natural Language Processing &amp; African Language AI</t>
  </si>
  <si>
    <t>Research Proposal Phase — Research Year 1</t>
  </si>
  <si>
    <t>Proposal submitted to dept committee; ethics clearance pending; background literature review in progress; dataset scoping begun</t>
  </si>
  <si>
    <t>Computer Science — Federated Learning, Privacy-Preserving ML &amp; mHealth</t>
  </si>
  <si>
    <t>Data Collection Phase — Research Year 3</t>
  </si>
  <si>
    <t>5. Candidacy Confirmed — Data Collection</t>
  </si>
  <si>
    <t>FL model architecture designed; 4 hospital sites IRB-approved; 2 hospitals onboarded; data collection ongoing</t>
  </si>
  <si>
    <t>Public Health — Community Health Systems, Child Survival &amp; Health Systems Strengthening</t>
  </si>
  <si>
    <t>Thesis Writing Phase — Research Year 4</t>
  </si>
  <si>
    <t>14 counties fieldwork complete; n=2,400 CHW interviews analysed; Chapters 1–4 approved; writing Chapter 5</t>
  </si>
  <si>
    <t>Research Proposal Writing — Year 1</t>
  </si>
  <si>
    <t>N/A — Foundation Phase Year 1</t>
  </si>
  <si>
    <t>Foundation CW complete; lit review 60% done; World Bank/UNCTAD panel dataset identified; proposal draft 40% written</t>
  </si>
  <si>
    <t>Environmental Science — Carbon Cycling, Forest Ecology &amp; Climate Change Mitigation</t>
  </si>
  <si>
    <t>Proposal Defense — Pre-Candidacy Phase — Year 2</t>
  </si>
  <si>
    <t>3. Proposal Defense — Pre-Candidacy</t>
  </si>
  <si>
    <t>N/A — Pre-Candidacy Phase</t>
  </si>
  <si>
    <t>Systematic lit review complete; pilot site confirmed (Aberdares Forest, 500ha); proposal submitted to dept; UNEP partnership confirmed; awaiting defense date</t>
  </si>
  <si>
    <t>Thesis Writing Phase</t>
  </si>
  <si>
    <t>Data Collection &amp; Analysis Phase</t>
  </si>
  <si>
    <t>On Leave — Data Collection &amp; Analysis Phase (Research Year 2)</t>
  </si>
  <si>
    <t>Research Proposal Phase</t>
  </si>
  <si>
    <t>Proposal Defense — Pre-Candidacy Phase</t>
  </si>
  <si>
    <t>Templumis University — PG Academic Support &amp; Challenge Log</t>
  </si>
  <si>
    <t>Active cases: challenges, bottlenecks and interventions for currently enrolled PG students  |  SIS — Student Support Module  |  Updated: January 2024</t>
  </si>
  <si>
    <t>Case ID</t>
  </si>
  <si>
    <t>Year</t>
  </si>
  <si>
    <t>Challenge Type</t>
  </si>
  <si>
    <t>Challenge Category</t>
  </si>
  <si>
    <t>Challenge Title</t>
  </si>
  <si>
    <t>Detailed Description</t>
  </si>
  <si>
    <t>Date Identified</t>
  </si>
  <si>
    <t>Severity</t>
  </si>
  <si>
    <t>Timeline Impact</t>
  </si>
  <si>
    <t>Original Completion</t>
  </si>
  <si>
    <t>Revised Completion</t>
  </si>
  <si>
    <t>Intervention 1</t>
  </si>
  <si>
    <t>Intervention 2</t>
  </si>
  <si>
    <t>Intervention 3</t>
  </si>
  <si>
    <t>Resources Assigned</t>
  </si>
  <si>
    <t>Support Officer</t>
  </si>
  <si>
    <t>Next Review</t>
  </si>
  <si>
    <t>Resolution Notes</t>
  </si>
  <si>
    <t>CASE-PG-001a</t>
  </si>
  <si>
    <t>Research Methodology</t>
  </si>
  <si>
    <t>Data Analysis / Statistical Modelling</t>
  </si>
  <si>
    <t>Chapter 3 Major Revision: Incorrect Kinetic Model Applied</t>
  </si>
  <si>
    <t>Supervisor returned Chapter 3 (Results &amp; Analysis, 48pp) marked "Major Revision Required". Enzyme inhibition kinetics was modelled using Michaelis-Menten equation; however the system exhibits cooperative binding behaviour requiring the Hill equation for accurate IC50 determination and cooperative binding coefficient (nH) analysis. All 48 pages of quantitative analysis must be re-run using the corrected model in GraphPad Prism 10.</t>
  </si>
  <si>
    <t>High</t>
  </si>
  <si>
    <t>8–10 weeks</t>
  </si>
  <si>
    <t>Enrol: Enzyme Kinetics Computational Analysis Workshop (School of Science, Feb 2024)</t>
  </si>
  <si>
    <t>4 one-on-one methodology sessions with Dr. Mwangi Kiarie (Biochem Dept) for model remediation</t>
  </si>
  <si>
    <t>Re-run all kinetic experiments using Hill equation in GraphPad Prism 10; submit revised Ch.3 draft to supervisor by 15 March 2024</t>
  </si>
  <si>
    <t>GraphPad Prism 10 license (IT Dept) | Motulsky "Intuitive Biostatistics" (Library LIB-021) | Cornish-Bowden "Enzyme Kinetics" (Library)</t>
  </si>
  <si>
    <t>Dr. Susan Wangari (PG Coordinator)</t>
  </si>
  <si>
    <t>Open</t>
  </si>
  <si>
    <t>Remediation plan confirmed; workshop scheduled Feb 8 2024; Dr. Kiarie sessions booked Tuesdays 2–4pm</t>
  </si>
  <si>
    <t>CASE-PG-001b</t>
  </si>
  <si>
    <t>Supervisory</t>
  </si>
  <si>
    <t>Supervisory Continuity / Administrative</t>
  </si>
  <si>
    <t>Co-Supervisor Unavailability — WHO Field Assignment (DRC)</t>
  </si>
  <si>
    <t>Co-Supervisor Dr. Daniel Njomo (KEMRI) deployed on WHO field assignment in the DRC Republic until April 2024. All feedback on Chapters 2 and 4 delayed 6–8 weeks; standard 2-supervisor review requirement cannot be met. Risk of further delay if WHO assignment is extended.</t>
  </si>
  <si>
    <t>Medium</t>
  </si>
  <si>
    <t>6–8 weeks</t>
  </si>
  <si>
    <t>Formal request to HoD Science for interim co-supervisor: Dr. Atieno Ouma — approved 2024-01-20</t>
  </si>
  <si>
    <t>Asynchronous feedback protocol with Dr. Njomo via email — bi-weekly summary progress reports</t>
  </si>
  <si>
    <t>All major thesis decisions to be made by Principal Supervisor (Prof. Wangari) until Dr. Njomo returns April 2024</t>
  </si>
  <si>
    <t>N/A — Administrative resolution</t>
  </si>
  <si>
    <t>Prof. Margaret Wangari (Principal Supervisor)</t>
  </si>
  <si>
    <t>Dr. Ouma confirmed as interim co-supervisor from Jan 2024; email update cadence agreed with Dr. Njomo</t>
  </si>
  <si>
    <t>CASE-PG-001c</t>
  </si>
  <si>
    <t>Resource Access</t>
  </si>
  <si>
    <t>Laboratory / Equipment Availability</t>
  </si>
  <si>
    <t>LC-MS/MS Facility Fully Booked — Confirmatory Proteomics Analysis Blocked</t>
  </si>
  <si>
    <t>Mass spectrometry facility (LC-MS/MS unit, shared across Biochemistry, Chemistry, Pharmacy) fully booked Jan–Feb 2024 by two other research groups. Helen's planned confirmatory proteomics analysis for Chapter 3 validation is blocked for 2 months. Without this data, the chapter cannot be considered complete even after kinetic model correction.</t>
  </si>
  <si>
    <t>8 weeks</t>
  </si>
  <si>
    <t>Priority booking granted: March 4–8, 2024 (5 consecutive days — approved by HoD Science 2024-01-15)</t>
  </si>
  <si>
    <t>Exploratory MS analysis at University of Nairobi (MOU in place) — booked Feb 14 2024 for interim partial progress</t>
  </si>
  <si>
    <t>In the interim: complete remaining Ch.3 statistical corrections and begin Ch.4 discussion writing to optimise timeline</t>
  </si>
  <si>
    <t>UoN Chemistry Dept contact letter (PG Coordinator) | Priority LC-MS/MS access code issued</t>
  </si>
  <si>
    <t>Lab Manager, School of Science</t>
  </si>
  <si>
    <t>UoN session confirmed Feb 14; Templumis LC-MS/MS booking confirmed March 4–8; Ch.4 writing commenced</t>
  </si>
  <si>
    <t>CASE-PG-002a</t>
  </si>
  <si>
    <t>Research Output</t>
  </si>
  <si>
    <t>Academic Writing / Publication Strategy</t>
  </si>
  <si>
    <t>AAAI Africa 2025 Paper: Major Revisions Required (Near-Rejection)</t>
  </si>
  <si>
    <t>Paper "AI-Based Crop Disease Detection Using UAV Imagery" received Major Revisions Required. Reviewer issues: (1) Only ResNet-50 baseline — must compare YOLOv8, EfficientDet &amp; ViT; (2) 345 images insufficient for generalisability — reviewers recommend ≥1,000; (3) No ablation study to validate model component contributions; (4) Statistical significance tests absent from accuracy comparisons.</t>
  </si>
  <si>
    <t>12–16 weeks</t>
  </si>
  <si>
    <t>Supervisor-led session to identify and implement YOLOv8, EfficientDet, ViT baselines — scheduled Feb 2024</t>
  </si>
  <si>
    <t>Enrol: Academic Research Writing for CS Workshop (Graduate School, March 2024)</t>
  </si>
  <si>
    <t>Design ablation study with Prof. Mwema; add significance framework; resubmit to CVPR Africa 2025 or IEEE Access after full revision</t>
  </si>
  <si>
    <t>"Deep Learning" Goodfellow et al. (Library LIB-015) | "AI: A Modern Approach" (LIB-016) | Overleaf IEEE LaTeX template</t>
  </si>
  <si>
    <t>Supervisor revision plan review scheduled Jan 30 2024; Writing workshop registration confirmed March 2024</t>
  </si>
  <si>
    <t>CASE-PG-002b</t>
  </si>
  <si>
    <t>Dataset Quality / Research Methodology</t>
  </si>
  <si>
    <t>UAV Imagery Dataset Quality Crisis — 31% of Images Unusable</t>
  </si>
  <si>
    <t>Quality audit of UAV imagery dataset (500 images) revealed 155 images (31%) unusable: motion blur — 82 images (high wind during collection); overexposure — 43 images (mid-day collection, no ND filter); obstructed crop rows — 30 images. Effective dataset: 345 images, below the 400-image minimum in the methodology. Current CNN model training is invalid; sample size justification fails.</t>
  </si>
  <si>
    <t>Critical</t>
  </si>
  <si>
    <t>12–14 weeks</t>
  </si>
  <si>
    <t>Submit Ethics Amendment to Research Ethics Committee — expand data collection to Kakamega &amp; Meru counties (6–8 wk approval timeline)</t>
  </si>
  <si>
    <t>Develop revised UAV collection protocol: ND4 filter mandatory; optimal windows 8–10am &amp; 3–5pm; wind abort threshold 25 km/h; GPS-tagged systematic grid; on-site QC workflow</t>
  </si>
  <si>
    <t>Collaborate with School of Engineering Drone Lab (Prof. Mwema, co-supervisor) for supervised collection; target ≥1,000 validated images across 5 counties</t>
  </si>
  <si>
    <t>UAV Operations Manual (Eng Drone Lab) | Ethics amendment forms (Research Office) | Field data SOP template | Power analysis guide (LIB-008)</t>
  </si>
  <si>
    <t>Ethics amendment submitted Jan 25 2024; Prof. Mwema Drone Lab collaboration confirmed; new collection protocol approved by supervisors</t>
  </si>
  <si>
    <t>CASE-PG-002c</t>
  </si>
  <si>
    <t>Principal Supervisor on Research Sabbatical — Supervision Reduced to 1hr/week</t>
  </si>
  <si>
    <t>Dr. Kamande Njoroge on 2-month research sabbatical (Jan–Feb 2024). Supervision reduced from standard 3hrs/week to 1hr/week. This coincides with the critical decision-making period following paper rejection and dataset quality crisis. Delayed decisions on ethics amendment strategy, paper revision approach, and UAV protocol risk compounding the existing timeline challenges.</t>
  </si>
  <si>
    <t>Interim supervision: Dr. Cynthia Aluoch (co-supervisor) takes lead — confirmed at 2hrs/week Jan–Feb 2024</t>
  </si>
  <si>
    <t>Structured bi-weekly email progress reports to Dr. Njoroge during sabbatical; strict agenda for 1hr weekly sessions</t>
  </si>
  <si>
    <t>Pre-approved decision framework: Dr. Aluoch authorised to approve ethics amendment and collection protocol without waiting for Dr. Njoroge</t>
  </si>
  <si>
    <t>Dr. Aluoch confirmed as interim lead Jan 2024; reporting schedule agreed; Dr. Njoroge returns March 2024</t>
  </si>
  <si>
    <t>CASE-PG-KT01a</t>
  </si>
  <si>
    <t>Data Access</t>
  </si>
  <si>
    <t>Partner Data Governance / Compliance</t>
  </si>
  <si>
    <t>Bank Partner Suspends Transaction Data Feed — Compliance Review Triggered</t>
  </si>
  <si>
    <t>Partner bank's compliance team suspended the anonymised mobile-payment transaction feed (90,000 records) pending an internal data-sharing review, after a routine audit flagged the original MoU as not explicitly covering academic research use. Model validation on live transaction patterns is blocked until a revised data-sharing agreement is signed.</t>
  </si>
  <si>
    <t>2024-01-11</t>
  </si>
  <si>
    <t>6–9 weeks</t>
  </si>
  <si>
    <t>2025-05-15</t>
  </si>
  <si>
    <t>2025-09-30</t>
  </si>
  <si>
    <t>Research Office drafting revised data-sharing MoU explicitly scoping academic/non-commercial research use — submitted to bank compliance 2024-01-22</t>
  </si>
  <si>
    <t>Interim work on a synthetic transaction dataset (same schema, statistically matched distributions) to keep model development moving</t>
  </si>
  <si>
    <t>Escalation meeting requested with bank's Head of Data Governance via Research Office — targeted for February 2024</t>
  </si>
  <si>
    <t>Synthetic data generation toolkit (Dept licence) | Revised MoU template (Research Office)</t>
  </si>
  <si>
    <t>Dr. Huda Ibrahim (PG Coordinator)</t>
  </si>
  <si>
    <t>2024-02-20</t>
  </si>
  <si>
    <t>Revised MoU drafted and submitted; synthetic dataset generation underway as interim measure; escalation meeting pending bank response</t>
  </si>
  <si>
    <t>CASE-PG-KT01b</t>
  </si>
  <si>
    <t>Co-Supervisor Unreachable — Conference Travel Extended</t>
  </si>
  <si>
    <t>External co-supervisor Dr. Rafiq Qadri (MBZUAI) extended conference/research travel by 5 weeks with limited connectivity, delaying sign-off on the revised experimental design needed before the bank-data review clears.</t>
  </si>
  <si>
    <t>Low</t>
  </si>
  <si>
    <t>3–4 weeks</t>
  </si>
  <si>
    <t>Principal supervisor Dr. Badawi authorised to approve interim design decisions in Dr. Qadri's absence</t>
  </si>
  <si>
    <t>Async review via shared document with comments; Dr. Qadri to confirm on return</t>
  </si>
  <si>
    <t>N/A — administrative workaround, no formal intervention required</t>
  </si>
  <si>
    <t>Dr. Karim Badawi (Principal Supervisor)</t>
  </si>
  <si>
    <t>2024-02-10</t>
  </si>
  <si>
    <t>Dr. Badawi proceeding with interim approvals; Dr. Qadri expected back early February 2024</t>
  </si>
  <si>
    <t>CASE-PG-RU01a</t>
  </si>
  <si>
    <t>Fieldwork / Equipment</t>
  </si>
  <si>
    <t>Field Equipment / Environmental Damage</t>
  </si>
  <si>
    <t>IoT Sensor Array Damaged by Seasonal Flooding — Data Gap in Migori River Basin</t>
  </si>
  <si>
    <t>Seven of twelve low-cost water-level/flood sensors deployed along the Migori River basin were submerged and damaged during unseasonal early flooding, creating a 6-week data gap exactly during the early-warning validation window the study depends on.</t>
  </si>
  <si>
    <t>2024-01-09</t>
  </si>
  <si>
    <t>Emergency procurement of 7 replacement sensor units via Dept petty cash + School of STE equipment fund — approved 2024-01-18</t>
  </si>
  <si>
    <t>Redeploy replacements to waterproof, elevated mounts (above 2024 flood line) co-designed with County Disaster Management Unit</t>
  </si>
  <si>
    <t>Use County Meteorological Dept's rainfall records to statistically interpolate the 6-week gap for the affected reach</t>
  </si>
  <si>
    <t>Replacement sensor units (School of STE fund) | County Meteorological Dept data-sharing letter</t>
  </si>
  <si>
    <t>Dr. Benard Osero (PG Coordinator, School of ANR)</t>
  </si>
  <si>
    <t>2024-03-01</t>
  </si>
  <si>
    <t>Replacement units procured and redeployed on elevated mounts; interpolation approach agreed with supervisor; County MoU for rainfall data signed</t>
  </si>
  <si>
    <t>CASE-PG-RU01b</t>
  </si>
  <si>
    <t>Connectivity / Field Infrastructure</t>
  </si>
  <si>
    <t>Unreliable Mobile Network Coverage Delays Real-Time Sensor Data Transmission</t>
  </si>
  <si>
    <t>Two of the five sensor sites have intermittent 2G-only coverage, causing transmission delays of up to 18 hours for flood-alert data — undermining the 'real-time' early-warning claim central to the research design.</t>
  </si>
  <si>
    <t>2024-01-20</t>
  </si>
  <si>
    <t>4–6 weeks</t>
  </si>
  <si>
    <t>Switched affected sites to store-and-forward SMS-based transmission as a fallback, reducing effective delay to under 2 hours</t>
  </si>
  <si>
    <t>Requested signal-boosting antenna loan from Dept of Engineering's telecom lab for the two weakest sites</t>
  </si>
  <si>
    <t>Reframed thesis methodology section to explicitly report store-and-forward latency as a finding rather than a limitation</t>
  </si>
  <si>
    <t>SMS gateway module (Dept IT) | Signal antenna loan (Engineering Telecom Lab)</t>
  </si>
  <si>
    <t>Dr. Felix Odongo (Principal Supervisor)</t>
  </si>
  <si>
    <t>2024-02-25</t>
  </si>
  <si>
    <t>SMS fallback live on both affected sites; antenna loan approved for installation in February 2024</t>
  </si>
  <si>
    <t>Templumis University — Postgraduate Library &amp; Learning Resources</t>
  </si>
  <si>
    <t>🔎  Search Guide: Filter column B (Type) | column D (Discipline) | column E (Best For: your programme) | column F (Stage: your current phase) | column G (Access: Free/Open/Subscription)  —  Use Excel AutoFilter (Data → Filter) to find your resources instantly</t>
  </si>
  <si>
    <t>ID</t>
  </si>
  <si>
    <t>Title</t>
  </si>
  <si>
    <t>Discipline(s)</t>
  </si>
  <si>
    <t>Best For</t>
  </si>
  <si>
    <t>Research Stage</t>
  </si>
  <si>
    <t>Access</t>
  </si>
  <si>
    <t>Author(s) / Publisher</t>
  </si>
  <si>
    <t>URL / DOI / Location</t>
  </si>
  <si>
    <t>⭐ Rating</t>
  </si>
  <si>
    <t>Format</t>
  </si>
  <si>
    <t>Description / Key Topics</t>
  </si>
  <si>
    <t>Recommended By</t>
  </si>
  <si>
    <t>LIB-001</t>
  </si>
  <si>
    <t>Book</t>
  </si>
  <si>
    <t>Research Design: Qualitative, Quantitative &amp; Mixed Methods (7th ed.)</t>
  </si>
  <si>
    <t>All Disciplines</t>
  </si>
  <si>
    <t>All PG</t>
  </si>
  <si>
    <t>Proposal | All Stages</t>
  </si>
  <si>
    <t>Library Sub</t>
  </si>
  <si>
    <t>Creswell J.W. &amp; Creswell J.D. | SAGE</t>
  </si>
  <si>
    <t>ISBN 978-1071817940</t>
  </si>
  <si>
    <t>Physical/eBook</t>
  </si>
  <si>
    <t>Foundational text on research paradigms; covers design strategies, data collection and analysis for all methodological approaches</t>
  </si>
  <si>
    <t>PG Coordinator</t>
  </si>
  <si>
    <t>All Institutions</t>
  </si>
  <si>
    <t>LIB-002</t>
  </si>
  <si>
    <t>Research Methods for Business Students (9th ed.)</t>
  </si>
  <si>
    <t>Business | Economics</t>
  </si>
  <si>
    <t>MBA | PhD Economics | MA</t>
  </si>
  <si>
    <t>Proposal | Analysis | All</t>
  </si>
  <si>
    <t>Saunders M., Lewis P. &amp; Thornhill A. | Pearson</t>
  </si>
  <si>
    <t>ISBN 978-1292402727</t>
  </si>
  <si>
    <t>Comprehensive guide for business research; excellent for MBA capstone and management PhD students; strong on philosophy and strategy</t>
  </si>
  <si>
    <t>LIB-003</t>
  </si>
  <si>
    <t>Social Research Methods (6th ed.)</t>
  </si>
  <si>
    <t>Social Sciences | Education</t>
  </si>
  <si>
    <t>MA Research | PhD</t>
  </si>
  <si>
    <t>All Stages</t>
  </si>
  <si>
    <t>Bryman A. | Oxford University Press</t>
  </si>
  <si>
    <t>ISBN 978-0199689453</t>
  </si>
  <si>
    <t>Authoritative text for social science research; surveys, interviews, ethnography, content analysis; strong ethics chapter</t>
  </si>
  <si>
    <t>LIB-004</t>
  </si>
  <si>
    <t>Research Methodology: A Step-by-Step Guide (6th ed.)</t>
  </si>
  <si>
    <t>Proposal | Data Collection</t>
  </si>
  <si>
    <t>Kumar R. | SAGE Publications</t>
  </si>
  <si>
    <t>ISBN 978-1529609769</t>
  </si>
  <si>
    <t>Beginner-friendly step-by-step guide; useful for Year 1 PhD and MSc students structuring their first research proposal</t>
  </si>
  <si>
    <t>LIB-005</t>
  </si>
  <si>
    <t>Qualitative Data Analysis: A Methods Sourcebook (4th ed.)</t>
  </si>
  <si>
    <t>Analysis | Writing</t>
  </si>
  <si>
    <t>Miles M.B., Huberman A.M. &amp; Saldaña J. | SAGE</t>
  </si>
  <si>
    <t>ISBN 978-1544372228</t>
  </si>
  <si>
    <t>Definitive resource for qualitative analysis; coding, matrices, displays and interpretation; essential for education and social science research</t>
  </si>
  <si>
    <t>LIB-006</t>
  </si>
  <si>
    <t>Discovering Statistics Using IBM SPSS (6th ed.)</t>
  </si>
  <si>
    <t>Analysis</t>
  </si>
  <si>
    <t>Field A. | SAGE Publications</t>
  </si>
  <si>
    <t>ISBN 978-1529672138</t>
  </si>
  <si>
    <t>Engaging, humorous guide to statistics; from basic to advanced; covers ANOVA, regression, factor analysis; includes SPSS and R outputs</t>
  </si>
  <si>
    <t>LIB-007</t>
  </si>
  <si>
    <t>Introductory Econometrics: A Modern Approach (7th ed.)</t>
  </si>
  <si>
    <t>Economics | Business</t>
  </si>
  <si>
    <t>PhD Economics | MBA</t>
  </si>
  <si>
    <t>Wooldridge J.M. | Cengage Learning</t>
  </si>
  <si>
    <t>ISBN 978-1337558860</t>
  </si>
  <si>
    <t>Gold standard for econometrics; cross-sectional, time series and panel data; essential for economics PhD and development studies research</t>
  </si>
  <si>
    <t>LIB-008</t>
  </si>
  <si>
    <t>An Introduction to Statistical Learning with R (3rd ed.)</t>
  </si>
  <si>
    <t>CS | Data Science | All</t>
  </si>
  <si>
    <t>MSc CS | PhD | All PG</t>
  </si>
  <si>
    <t>Free Online</t>
  </si>
  <si>
    <t>James G. et al. | Springer</t>
  </si>
  <si>
    <t>https://www.statlearning.com</t>
  </si>
  <si>
    <t>Free PDF/eBook</t>
  </si>
  <si>
    <t>Accessible machine learning textbook; regression, classification, clustering, tree methods; free PDF at statlearning.com; R code included</t>
  </si>
  <si>
    <t>LIB-009</t>
  </si>
  <si>
    <t>Multivariate Data Analysis (9th ed.)</t>
  </si>
  <si>
    <t>PhD | MSc Research</t>
  </si>
  <si>
    <t>Hair J.F. et al. | Cengage</t>
  </si>
  <si>
    <t>ISBN 978-1473756540</t>
  </si>
  <si>
    <t>Comprehensive multivariate methods: SEM, CFA, cluster, discriminant analysis; widely cited in business, health and social science research</t>
  </si>
  <si>
    <t>LIB-010</t>
  </si>
  <si>
    <t>How to Write a Thesis (5th ed.)</t>
  </si>
  <si>
    <t>Murray R. | Open University Press</t>
  </si>
  <si>
    <t>ISBN 978-0335250691</t>
  </si>
  <si>
    <t>Practical, structured guide for thesis writing; covers structure, argument development, writer's block, supervision; relevant across all disciplines</t>
  </si>
  <si>
    <t>LIB-011</t>
  </si>
  <si>
    <t>Authoring a PhD: Plan, Draft, Write &amp; Finish a Doctoral Thesis</t>
  </si>
  <si>
    <t>Proposal | Writing</t>
  </si>
  <si>
    <t>Dunleavy P. | Palgrave Macmillan</t>
  </si>
  <si>
    <t>ISBN 978-0230576049</t>
  </si>
  <si>
    <t>Essential reading for PhD students; covers intellectual structure, argument, framing, and navigating the doctoral process to completion</t>
  </si>
  <si>
    <t>LIB-012</t>
  </si>
  <si>
    <t>Academic Writing for Graduate Students (4th ed.)</t>
  </si>
  <si>
    <t>Swales J.M. &amp; Feak C.B. | Univ. of Michigan</t>
  </si>
  <si>
    <t>ISBN 978-0472036950</t>
  </si>
  <si>
    <t>Discipline-specific academic writing tasks; literature reviews, methods sections, hedging language; especially useful for international students</t>
  </si>
  <si>
    <t>LIB-013</t>
  </si>
  <si>
    <t>Online Guide</t>
  </si>
  <si>
    <t>Purdue OWL: Online Writing Lab</t>
  </si>
  <si>
    <t>Writing | Proposal</t>
  </si>
  <si>
    <t>Purdue University</t>
  </si>
  <si>
    <t>https://owl.purdue.edu</t>
  </si>
  <si>
    <t>Website</t>
  </si>
  <si>
    <t>Comprehensive free guide to academic writing, citation styles (APA, MLA, Chicago), grammar, and research writing; use for citation formatting</t>
  </si>
  <si>
    <t>LIB-014</t>
  </si>
  <si>
    <t>Scribbr: Academic Writing &amp; Citation Guide</t>
  </si>
  <si>
    <t>Scribbr</t>
  </si>
  <si>
    <t>https://www.scribbr.com</t>
  </si>
  <si>
    <t>Clear guides on paraphrasing, plagiarism, thesis structure, APA/Harvard referencing, and proofreading; also offers citation generator</t>
  </si>
  <si>
    <t>LIB-015</t>
  </si>
  <si>
    <t>Deep Learning</t>
  </si>
  <si>
    <t>CS | AI | Data Science</t>
  </si>
  <si>
    <t>MSc CS | PhD CS</t>
  </si>
  <si>
    <t>Lit Review | Analysis</t>
  </si>
  <si>
    <t>Goodfellow I., Bengio Y. &amp; Courville A. | MIT Press</t>
  </si>
  <si>
    <t>https://www.deeplearningbook.org</t>
  </si>
  <si>
    <t>Free PDF</t>
  </si>
  <si>
    <t>Definitive deep learning reference; neural networks, CNNs, RNNs, generative models; free at deeplearningbook.org; essential for Ibrahim and Amina</t>
  </si>
  <si>
    <t>LIB-016</t>
  </si>
  <si>
    <t>Artificial Intelligence: A Modern Approach (4th ed.)</t>
  </si>
  <si>
    <t>CS | AI</t>
  </si>
  <si>
    <t>Lit Review | Proposal</t>
  </si>
  <si>
    <t>Russell S. &amp; Norvig P. | Pearson</t>
  </si>
  <si>
    <t>ISBN 978-0134610993</t>
  </si>
  <si>
    <t>Authoritative AI textbook; search, logic, probabilistic reasoning, ML, NLP, robotics; required reading for any AI/CS research proposal</t>
  </si>
  <si>
    <t>LIB-017</t>
  </si>
  <si>
    <t>Pattern Recognition and Machine Learning</t>
  </si>
  <si>
    <t>CS | Data Science | Statistics</t>
  </si>
  <si>
    <t>Bishop C.M. | Springer</t>
  </si>
  <si>
    <t>ISBN 978-0387310732</t>
  </si>
  <si>
    <t>Advanced ML reference; Bayesian methods, graphical models, EM algorithm; recommended for students doing model-based ML research</t>
  </si>
  <si>
    <t>LIB-018</t>
  </si>
  <si>
    <t>Journal</t>
  </si>
  <si>
    <t>IEEE Transactions on Medical Informatics</t>
  </si>
  <si>
    <t>CS | Health | AI</t>
  </si>
  <si>
    <t>PhD CS | MSc CS | PhD Health</t>
  </si>
  <si>
    <t>IEEE | IEEE Xplore</t>
  </si>
  <si>
    <t>https://ieeexplore.ieee.org/xpl/RecentIssue.jsp?punumber=4233</t>
  </si>
  <si>
    <t>Online Journal</t>
  </si>
  <si>
    <t>Premier journal for health informatics, medical AI, and clinical data systems; highly relevant for Amina's federated learning research</t>
  </si>
  <si>
    <t>LIB-019</t>
  </si>
  <si>
    <t>Database</t>
  </si>
  <si>
    <t>IEEE Xplore Digital Library</t>
  </si>
  <si>
    <t>CS | Engineering | IT</t>
  </si>
  <si>
    <t>MSc CS | PhD CS | MSc Eng</t>
  </si>
  <si>
    <t>Lit Review | All</t>
  </si>
  <si>
    <t>IEEE | https://ieeexplore.ieee.org</t>
  </si>
  <si>
    <t>https://ieeexplore.ieee.org</t>
  </si>
  <si>
    <t>Access to IEEE journals, conference papers and standards; essential for CS, engineering, and AI research; covers UAV, embedded systems, ML papers</t>
  </si>
  <si>
    <t>LIB-020</t>
  </si>
  <si>
    <t>Biochemistry (10th ed.)</t>
  </si>
  <si>
    <t>Biochemistry | Health</t>
  </si>
  <si>
    <t>MSc Biochem | PhD</t>
  </si>
  <si>
    <t>Lit Review</t>
  </si>
  <si>
    <t>Berg J.M., Tymoczko J.L. &amp; Stryer L. | W.H. Freeman</t>
  </si>
  <si>
    <t>ISBN 978-1319245795</t>
  </si>
  <si>
    <t>Comprehensive biochemistry textbook; enzyme kinetics, metabolism, molecular biology; essential reference for Helen's enzyme inhibition research</t>
  </si>
  <si>
    <t>LIB-021</t>
  </si>
  <si>
    <t>Intuitive Biostatistics (4th ed.)</t>
  </si>
  <si>
    <t>Biochemistry | Health | Biomedical</t>
  </si>
  <si>
    <t>MSc Research | PhD Health</t>
  </si>
  <si>
    <t>Motulsky H. | Oxford University Press</t>
  </si>
  <si>
    <t>ISBN 978-0190643560</t>
  </si>
  <si>
    <t>Non-intimidating biostatistics guide; curve fitting, kinetic models, t-tests, ANOVA, survival analysis; essential for Helen's kinetic model correction</t>
  </si>
  <si>
    <t>LIB-022</t>
  </si>
  <si>
    <t>Enzyme Kinetics: An Introduction</t>
  </si>
  <si>
    <t>MSc Biochem</t>
  </si>
  <si>
    <t>Data Collection | Analysis</t>
  </si>
  <si>
    <t>Bisswanger H. | Wiley-VCH</t>
  </si>
  <si>
    <t>ISBN 978-3527345472</t>
  </si>
  <si>
    <t>Dedicated enzyme kinetics reference; Michaelis-Menten, Hill equation, inhibition models, GraphPad usage; critical for Helen's Chapter 3 revision</t>
  </si>
  <si>
    <t>LIB-023</t>
  </si>
  <si>
    <t>East African Medical Journal (EAMJ)</t>
  </si>
  <si>
    <t>Health Sciences | Public Health</t>
  </si>
  <si>
    <t>MSc Health | PhD | MA</t>
  </si>
  <si>
    <t>Open Access</t>
  </si>
  <si>
    <t>EAMJ Editorial Board</t>
  </si>
  <si>
    <t>https://eamj.or.ke</t>
  </si>
  <si>
    <t>Open Access Journal</t>
  </si>
  <si>
    <t>Long-established peer-reviewed journal for East African health sciences; open access; good for contextualising Kenya/East Africa health research</t>
  </si>
  <si>
    <t>LIB-024</t>
  </si>
  <si>
    <t>PubMed / MEDLINE</t>
  </si>
  <si>
    <t>Biomedical | Health | Biochemistry</t>
  </si>
  <si>
    <t>MSc Biochem | PhD Health | MSc PH</t>
  </si>
  <si>
    <t>Free</t>
  </si>
  <si>
    <t>NIH / NLM | https://pubmed.ncbi.nlm.nih.gov</t>
  </si>
  <si>
    <t>https://pubmed.ncbi.nlm.nih.gov</t>
  </si>
  <si>
    <t>Free Database</t>
  </si>
  <si>
    <t>Premier free biomedical literature database; 35+ million citations; use MeSH terms for precise searches; essential starting point for all health/biomedical literature reviews</t>
  </si>
  <si>
    <t>LIB-025</t>
  </si>
  <si>
    <t>Environmental Science: Earth as a Living Planet (11th ed.)</t>
  </si>
  <si>
    <t>MSc Env | PhD Env</t>
  </si>
  <si>
    <t>Botkin D.B. &amp; Keller E.A. | Wiley</t>
  </si>
  <si>
    <t>ISBN 978-1119784210</t>
  </si>
  <si>
    <t>Comprehensive environmental science textbook; ecosystems, climate, carbon cycles, biodiversity; good foundation text for Derrick and Peter</t>
  </si>
  <si>
    <t>LIB-026</t>
  </si>
  <si>
    <t>Principles of Terrestrial Ecosystem Ecology (3rd ed.)</t>
  </si>
  <si>
    <t>Environmental Science | Carbon Science</t>
  </si>
  <si>
    <t>PhD Env | MSc Env</t>
  </si>
  <si>
    <t>Chapin F.S. et al. | Springer</t>
  </si>
  <si>
    <t>ISBN 978-3030433512</t>
  </si>
  <si>
    <t>Advanced ecosystem ecology; carbon and nutrient cycling, net ecosystem production, land-atmosphere exchange; essential for Peter's carbon sequestration PhD</t>
  </si>
  <si>
    <t>LIB-027</t>
  </si>
  <si>
    <t>IPCC Sixth Assessment Report (AR6) — Working Group I-III</t>
  </si>
  <si>
    <t>Environmental Science | Climate</t>
  </si>
  <si>
    <t>PhD Env | MSc Env | All PG</t>
  </si>
  <si>
    <t>IPCC</t>
  </si>
  <si>
    <t>https://www.ipcc.ch/assessment-report/ar6/</t>
  </si>
  <si>
    <t>Free PDF/Online</t>
  </si>
  <si>
    <t>Definitive global climate science report; carbon budgets, sequestration, mitigation pathways; essential reference for Peter's carbon research and Derrick's environmental studies</t>
  </si>
  <si>
    <t>LIB-028</t>
  </si>
  <si>
    <t>Environmental Science &amp; Technology (ACS)</t>
  </si>
  <si>
    <t>ACS Publications | American Chemical Society</t>
  </si>
  <si>
    <t>https://pubs.acs.org/journal/esthag</t>
  </si>
  <si>
    <t>Top-ranked ES&amp;T journal; environmental analysis, remediation, climate science, carbon quantification; high impact, peer-reviewed; relevant for Peter</t>
  </si>
  <si>
    <t>LIB-029</t>
  </si>
  <si>
    <t>Research Methods in Education (9th ed.)</t>
  </si>
  <si>
    <t>MA Research | PhD Edu</t>
  </si>
  <si>
    <t>Cohen L., Manion L. &amp; Morrison K. | Routledge</t>
  </si>
  <si>
    <t>ISBN 978-1032122380</t>
  </si>
  <si>
    <t>Standard text for educational research; covers case study, survey, ethnography, interviews, triangulation; essential for Janet and any education research student</t>
  </si>
  <si>
    <t>LIB-030</t>
  </si>
  <si>
    <t>Education and Technology: Key Issues and Debates (4th ed.)</t>
  </si>
  <si>
    <t>Education | EdTech</t>
  </si>
  <si>
    <t>Selwyn N. | Bloomsbury Academic</t>
  </si>
  <si>
    <t>ISBN 978-1350261723</t>
  </si>
  <si>
    <t>Critical analysis of EdTech; digital pedagogy, e-learning, equity; directly relevant to Janet's research on digital pedagogy in Kenyan schools</t>
  </si>
  <si>
    <t>LIB-031</t>
  </si>
  <si>
    <t>British Journal of Educational Technology (BJET)</t>
  </si>
  <si>
    <t>MA Edu | PhD Edu</t>
  </si>
  <si>
    <t>Wiley | British Educational Research Association</t>
  </si>
  <si>
    <t>https://bera-journals.onlinelibrary.wiley.com/journal/14678535</t>
  </si>
  <si>
    <t>Premier EdTech journal; learning technologies, digital pedagogy, e-learning outcomes; highly relevant for Janet's PhD scope; good citation source</t>
  </si>
  <si>
    <t>LIB-032</t>
  </si>
  <si>
    <t>Marketing Management (17th ed.)</t>
  </si>
  <si>
    <t>Marketing | Business</t>
  </si>
  <si>
    <t>MBA | MA</t>
  </si>
  <si>
    <t>Kotler P. &amp; Keller K.L. | Pearson</t>
  </si>
  <si>
    <t>ISBN 978-0138240530</t>
  </si>
  <si>
    <t>Standard MBA marketing text; consumer behaviour, digital marketing, brand strategy; core reading for Benjamin's MBA marketing analytics specialisation</t>
  </si>
  <si>
    <t>LIB-033</t>
  </si>
  <si>
    <t>Competitive Strategy</t>
  </si>
  <si>
    <t>MBA | PhD Business</t>
  </si>
  <si>
    <t>Porter M.E. | Free Press</t>
  </si>
  <si>
    <t>ISBN 978-0684841489</t>
  </si>
  <si>
    <t>Classic strategic management text; Five Forces, value chain, competitive positioning; essential foundation reading for MBA strategic management track</t>
  </si>
  <si>
    <t>LIB-034</t>
  </si>
  <si>
    <t>Advanced Microeconomic Theory (3rd ed.)</t>
  </si>
  <si>
    <t>PhD Economics | MA Economics</t>
  </si>
  <si>
    <t>Jehle G.A. &amp; Reny P.J. | Pearson</t>
  </si>
  <si>
    <t>ISBN 978-1292087023</t>
  </si>
  <si>
    <t>Graduate-level microeconomics; utility, production, game theory, general equilibrium; essential for Fatima's PhD in international economics</t>
  </si>
  <si>
    <t>LIB-035</t>
  </si>
  <si>
    <t>African Development Review</t>
  </si>
  <si>
    <t>Economics | Development</t>
  </si>
  <si>
    <t>PhD Economics | MA</t>
  </si>
  <si>
    <t>Wiley / African Development Bank</t>
  </si>
  <si>
    <t>https://onlinelibrary.wiley.com/journal/14678268</t>
  </si>
  <si>
    <t>AfDB-affiliated journal; Africa-specific economics, FDI, trade, structural transformation; highly relevant for Fatima's panel data analysis research</t>
  </si>
  <si>
    <t>Dr. Emmanuel Kiprotich</t>
  </si>
  <si>
    <t>LIB-036</t>
  </si>
  <si>
    <t>Business Source Complete (EBSCOhost)</t>
  </si>
  <si>
    <t>Business | Economics | Management</t>
  </si>
  <si>
    <t>MBA | PhD Business | MA</t>
  </si>
  <si>
    <t>EBSCO | https://www.ebsco.com</t>
  </si>
  <si>
    <t>Library portal → EBSCOhost</t>
  </si>
  <si>
    <t>Comprehensive business database; journals, case studies, company profiles, industry reports; essential for MBA capstone and business PhD literature reviews</t>
  </si>
  <si>
    <t>LIB-037</t>
  </si>
  <si>
    <t>Epidemiology (6th ed.)</t>
  </si>
  <si>
    <t>Public Health | Health Sciences</t>
  </si>
  <si>
    <t>PhD PH | MSc PH</t>
  </si>
  <si>
    <t>Gordis L. &amp; Celentano D.D. | Elsevier</t>
  </si>
  <si>
    <t>ISBN 978-0323547338</t>
  </si>
  <si>
    <t>Standard epidemiology textbook; study design, bias, confounding, causality, outbreak investigation; essential for Samuel's community health research</t>
  </si>
  <si>
    <t>LIB-038</t>
  </si>
  <si>
    <t>Global Health: Disease, Programs, Systems &amp; Policies (5th ed.)</t>
  </si>
  <si>
    <t>Public Health | Global Health</t>
  </si>
  <si>
    <t>Merson M.H. et al. | Jones &amp; Bartlett</t>
  </si>
  <si>
    <t>ISBN 978-1284145045</t>
  </si>
  <si>
    <t>Comprehensive global health text; health systems, CHW programs, maternal health, under-5 mortality; directly relevant for Samuel's PhD research context</t>
  </si>
  <si>
    <t>LIB-039</t>
  </si>
  <si>
    <t>PLOS Global Health</t>
  </si>
  <si>
    <t>Public Health | Global Health | All</t>
  </si>
  <si>
    <t>PhD | MSc Health</t>
  </si>
  <si>
    <t>PLOS | Public Library of Science</t>
  </si>
  <si>
    <t>https://journals.plos.org/globalpublichealth/</t>
  </si>
  <si>
    <t>New open-access flagship for global health; peer-reviewed, indexed in PubMed; no access barriers; relevant for Samuel's CHW integration research</t>
  </si>
  <si>
    <t>LIB-040</t>
  </si>
  <si>
    <t>Thermodynamics: An Engineering Approach (10th ed.)</t>
  </si>
  <si>
    <t>Engineering</t>
  </si>
  <si>
    <t>MSc Eng | PhD Eng</t>
  </si>
  <si>
    <t>Cengel Y.A. &amp; Boles M.A. | McGraw-Hill</t>
  </si>
  <si>
    <t>ISBN 978-1259822674</t>
  </si>
  <si>
    <t>Standard engineering thermodynamics; energy systems, heat transfer, exergy; relevant for Kenneth's solar desalination PhD research</t>
  </si>
  <si>
    <t>LIB-041</t>
  </si>
  <si>
    <t>Renewable Energy Resources (4th ed.)</t>
  </si>
  <si>
    <t>Engineering | Environmental</t>
  </si>
  <si>
    <t>MSc Eng | PhD Env</t>
  </si>
  <si>
    <t>Twidell J. &amp; Weir T. | Routledge</t>
  </si>
  <si>
    <t>ISBN 978-1032055749</t>
  </si>
  <si>
    <t>Comprehensive renewable energy text; solar thermal, photovoltaics, desalination, wind, biomass; essential for Kenneth's low-cost solar desalination work</t>
  </si>
  <si>
    <t>LIB-042</t>
  </si>
  <si>
    <t>Energy (Elsevier)</t>
  </si>
  <si>
    <t>Elsevier | ScienceDirect</t>
  </si>
  <si>
    <t>https://www.sciencedirect.com/journal/energy</t>
  </si>
  <si>
    <t>High-impact energy journal; solar, desalination, renewables for development; relevant for Kenneth's rural water security research</t>
  </si>
  <si>
    <t>LIB-043</t>
  </si>
  <si>
    <t>Scopus</t>
  </si>
  <si>
    <t>All PG | PhD</t>
  </si>
  <si>
    <t>Elsevier | https://www.scopus.com</t>
  </si>
  <si>
    <t>https://www.scopus.com</t>
  </si>
  <si>
    <t>World's largest abstract and citation database; 88 million records; use for systematic literature reviews, citation analysis, author metrics; essential for PhD students</t>
  </si>
  <si>
    <t>LIB-044</t>
  </si>
  <si>
    <t>Web of Science (WoS)</t>
  </si>
  <si>
    <t>Clarivate | https://www.webofscience.com</t>
  </si>
  <si>
    <t>https://www.webofscience.com</t>
  </si>
  <si>
    <t>Leading citation index; Journal Citation Reports (JCR) impact factors; essential for identifying high-quality journals and cited reference searching</t>
  </si>
  <si>
    <t>LIB-045</t>
  </si>
  <si>
    <t>JSTOR</t>
  </si>
  <si>
    <t>Social Sciences | Humanities | Education</t>
  </si>
  <si>
    <t>JSTOR | https://www.jstor.org</t>
  </si>
  <si>
    <t>https://www.jstor.org</t>
  </si>
  <si>
    <t>Extensive archive of academic journals, books, and primary sources; strong in social sciences, humanities, education; older articles especially well covered</t>
  </si>
  <si>
    <t>LIB-046</t>
  </si>
  <si>
    <t>Google Scholar</t>
  </si>
  <si>
    <t>Google | https://scholar.google.com</t>
  </si>
  <si>
    <t>https://scholar.google.com</t>
  </si>
  <si>
    <t>Free broad academic search; useful for grey literature, thesis discovery, and citation tracking; use alongside Scopus/WoS for systematic reviews</t>
  </si>
  <si>
    <t>LIB-047</t>
  </si>
  <si>
    <t>ScienceDirect (Elsevier)</t>
  </si>
  <si>
    <t>Science | Health | Engineering | CS</t>
  </si>
  <si>
    <t>Elsevier | https://www.sciencedirect.com</t>
  </si>
  <si>
    <t>https://www.sciencedirect.com</t>
  </si>
  <si>
    <t>Access to 2,500+ Elsevier journals and 40,000+ ebooks; excellent for science, health, engineering disciplines; search full-text articles directly</t>
  </si>
  <si>
    <t>LIB-048</t>
  </si>
  <si>
    <t>African Journals Online (AJOL)</t>
  </si>
  <si>
    <t>All Disciplines — Africa Focus</t>
  </si>
  <si>
    <t>Free (Registered)</t>
  </si>
  <si>
    <t>AJOL | https://www.ajol.info</t>
  </si>
  <si>
    <t>https://www.ajol.info</t>
  </si>
  <si>
    <t>Pan-African journal aggregator; 500+ African peer-reviewed journals; essential for Africa-contextualised literature across all disciplines; register free</t>
  </si>
  <si>
    <t>LIB-049</t>
  </si>
  <si>
    <t>Research4Life (Hinari/AGORA/OARE/GOALI)</t>
  </si>
  <si>
    <t>Health | Agriculture | Environment | Law</t>
  </si>
  <si>
    <t>Free (Institutional)</t>
  </si>
  <si>
    <t>WHO / FAO / UNEP | https://www.research4life.org</t>
  </si>
  <si>
    <t>https://www.research4life.org</t>
  </si>
  <si>
    <t>Free access to thousands of journals for eligible institutions in low-income countries; register via institutional email; covers health (Hinari), environment (OARE), agriculture (AGORA)</t>
  </si>
  <si>
    <t>LIB-050</t>
  </si>
  <si>
    <t>Dataset</t>
  </si>
  <si>
    <t>World Bank Open Data</t>
  </si>
  <si>
    <t>Economics | Development | All</t>
  </si>
  <si>
    <t>PhD Economics | MA | All PG</t>
  </si>
  <si>
    <t>World Bank | https://data.worldbank.org</t>
  </si>
  <si>
    <t>https://data.worldbank.org</t>
  </si>
  <si>
    <t>Online Dataset</t>
  </si>
  <si>
    <t>Free access to development indicators, GDP, FDI, trade, health, education data for 200+ countries; essential for Fatima's FDI panel data analysis</t>
  </si>
  <si>
    <t>LIB-051</t>
  </si>
  <si>
    <t>WHO Global Health Observatory (GHO)</t>
  </si>
  <si>
    <t>WHO | https://www.who.int/data/gho</t>
  </si>
  <si>
    <t>https://www.who.int/data/gho</t>
  </si>
  <si>
    <t>WHO health statistics database; mortality, morbidity, health systems, CHW data by country; useful for Samuel's under-5 mortality research</t>
  </si>
  <si>
    <t>LIB-052</t>
  </si>
  <si>
    <t>Kenya National Bureau of Statistics (KNBS)</t>
  </si>
  <si>
    <t>Kenya Studies | Economics | Health</t>
  </si>
  <si>
    <t>All PG — Kenya</t>
  </si>
  <si>
    <t>KNBS | https://www.knbs.or.ke</t>
  </si>
  <si>
    <t>https://www.knbs.or.ke</t>
  </si>
  <si>
    <t>Official Kenya statistical data; census, KDHS, economic surveys, county-level data; essential for any Kenya-specific research including Janet, Samuel, Peter</t>
  </si>
  <si>
    <t>LIB-053</t>
  </si>
  <si>
    <t>Course</t>
  </si>
  <si>
    <t>Research Methods: Quantitative &amp; Qualitative (Coursera)</t>
  </si>
  <si>
    <t>Proposal | Methods | All</t>
  </si>
  <si>
    <t>Free (Audit)</t>
  </si>
  <si>
    <t>Duke University / Coursera | https://www.coursera.org</t>
  </si>
  <si>
    <t>https://www.coursera.org/learn/research-methods</t>
  </si>
  <si>
    <t>Online Video + Quiz</t>
  </si>
  <si>
    <t>8-week course covering experimental, survey, and qualitative research design; free to audit; useful for Year 1 PhD and MSc students building research foundations</t>
  </si>
  <si>
    <t>LIB-054</t>
  </si>
  <si>
    <t>Machine Learning Specialization (Coursera)</t>
  </si>
  <si>
    <t>Stanford University (Andrew Ng) / Coursera</t>
  </si>
  <si>
    <t>https://www.coursera.org/specializations/machine-learning-introduction</t>
  </si>
  <si>
    <t>Online Video + Assignment</t>
  </si>
  <si>
    <t>3-course specialization; supervised/unsupervised learning, neural networks; free to audit; essential supplementary learning for Ibrahim and Amina's ML research</t>
  </si>
  <si>
    <t>LIB-055</t>
  </si>
  <si>
    <t>Data Analysis for Life Sciences (edX/HarvardX)</t>
  </si>
  <si>
    <t>Health | Biomedical | Statistics</t>
  </si>
  <si>
    <t>MSc Biochem | PhD Health</t>
  </si>
  <si>
    <t>Harvard University / edX | https://www.edx.org</t>
  </si>
  <si>
    <t>https://www.edx.org/learn/data-analysis</t>
  </si>
  <si>
    <t>R-based biostatistics for life sciences; hypothesis testing, regression, high-dimensional data; directly supports Helen's and Samuel's quantitative analysis work</t>
  </si>
  <si>
    <t>LIB-056</t>
  </si>
  <si>
    <t>MIT OpenCourseWare — Free STEM Courses</t>
  </si>
  <si>
    <t>CS | Engineering | Science | Maths</t>
  </si>
  <si>
    <t>MSc CS | PhD | MSc Eng</t>
  </si>
  <si>
    <t>Massachusetts Institute of Technology | https://ocw.mit.edu</t>
  </si>
  <si>
    <t>https://ocw.mit.edu</t>
  </si>
  <si>
    <t>Free Lecture Notes + Assignments</t>
  </si>
  <si>
    <t>Free access to MIT course materials; thermodynamics, algorithms, ML, biology, economics; no registration required; use as supplementary depth material</t>
  </si>
  <si>
    <t>LIB-057</t>
  </si>
  <si>
    <t>Zotero Reference Manager (Free)</t>
  </si>
  <si>
    <t>Writing | Lit Review</t>
  </si>
  <si>
    <t>Zotero | https://www.zotero.org</t>
  </si>
  <si>
    <t>https://www.zotero.org</t>
  </si>
  <si>
    <t>Free Software</t>
  </si>
  <si>
    <t>Free reference manager; browser plugin for one-click citation saving; auto-generates bibliographies in any style; essential tool for all PG students managing large literature reviews</t>
  </si>
  <si>
    <t>COLOUR KEY:  🟢 Book   🔵 Journal   🟣 Database   🟡 Course   🟠 Dataset   🟩 Online Guide     |     ACCESS:  Open Access = free with account  |  Free Online = no login  |  Library Sub = access via library portal</t>
  </si>
  <si>
    <t>Templumis University — PhD Student Journey Tracker</t>
  </si>
  <si>
    <t>▪ Green = Complete ✓   ▪ Blue = In Progress   ▪ Grey = Not Yet   ▪ Orange = ⚠ Active Challenge   |   Doctoral milestone progression — tracked from Enrolment to Graduation   |   Updated: January 2024</t>
  </si>
  <si>
    <t>● STUDENT PROFILE</t>
  </si>
  <si>
    <t>● PROGRAMME</t>
  </si>
  <si>
    <t>● DOCTORAL MILESTONE TRACKING  M1 → M12</t>
  </si>
  <si>
    <t>● KEY DATES</t>
  </si>
  <si>
    <t>● ACADEMIC STANDING</t>
  </si>
  <si>
    <t>● SUPERVISION &amp; PROGRESS NOTES</t>
  </si>
  <si>
    <t>School / Department</t>
  </si>
  <si>
    <t>Research Title</t>
  </si>
  <si>
    <t>Principal Supervisor</t>
  </si>
  <si>
    <t>Co-Supervisor / External Partner</t>
  </si>
  <si>
    <t>Research Year</t>
  </si>
  <si>
    <t>Overall
Progress (%)</t>
  </si>
  <si>
    <t>M1
Enrolment &amp;
Orientation</t>
  </si>
  <si>
    <t>M2
Foundation
Coursework</t>
  </si>
  <si>
    <t>M3
Systematic
Lit Review</t>
  </si>
  <si>
    <t>M4
Research
Proposal
Written</t>
  </si>
  <si>
    <t>M5
Proposal
Defense</t>
  </si>
  <si>
    <t>M6
Candidacy
Confirmed</t>
  </si>
  <si>
    <t>M7
Data
Collection</t>
  </si>
  <si>
    <t>M8
Data Analysis
&amp; Chapter
Writing</t>
  </si>
  <si>
    <t>M9
Pre-Submission
Seminar</t>
  </si>
  <si>
    <t>M10
Thesis
Submission</t>
  </si>
  <si>
    <t>M11
Viva Voce /
External Exam</t>
  </si>
  <si>
    <t>M12
Final Approval
&amp; Graduation</t>
  </si>
  <si>
    <t>Expected
Thesis
Submission</t>
  </si>
  <si>
    <t>Expected
Viva Date</t>
  </si>
  <si>
    <t>Expected
Graduation</t>
  </si>
  <si>
    <t>Extensions /
Deferrals</t>
  </si>
  <si>
    <t>Current
GPA</t>
  </si>
  <si>
    <t>Academic
Standing</t>
  </si>
  <si>
    <t>Fees
Status</t>
  </si>
  <si>
    <t>Last Progress
Review Date</t>
  </si>
  <si>
    <t>Stage Notes &amp; Active Flags</t>
  </si>
  <si>
    <t>Prof. Ruth Mutua (Strathmore University)</t>
  </si>
  <si>
    <t>55%</t>
  </si>
  <si>
    <t>FL architecture designed; IRBs approved at all 4 hospital sites; 2 sites data collection active. Next: complete remaining 2 sites + begin federated model training. Working paper submitted to IEEE Trans. Medical Informatics (under review).</t>
  </si>
  <si>
    <t>Dr. Rebecca Adero (WHO Kenya)</t>
  </si>
  <si>
    <t>78%</t>
  </si>
  <si>
    <t>Fieldwork complete (14 counties, n=2,400 CHW interviews). Data fully analysed. Chapters 1–4 approved by supervisor. Currently writing Chapter 5 (Conclusions &amp; Policy Recommendations). 2 publications: African J. Primary Health Care (published 2024) + PLOS Global Health (under review).</t>
  </si>
  <si>
    <t>Dr. Emmanuel Kiprotich (IMF Africa Division)</t>
  </si>
  <si>
    <t>Foundation coursework ongoing (PHD701 complete ✓, PHD702/703 in progress). Systematic lit review 60% done. World Bank WDI + UNCTAD FDI panel dataset identified. Proposal draft 40% written. Target: full proposal to Dept Committee April 2024.</t>
  </si>
  <si>
    <t>Dr. Osei Kwame (UNEP Kenya)</t>
  </si>
  <si>
    <t>38%</t>
  </si>
  <si>
    <t>Systematic lit review complete. Proposal submitted to Dept Committee. Awaiting defense date (target: March 2024). Pilot site confirmed: Aberdares Forest Reserve (500ha). UNEP partnership signed. Ethics clearance application in preparation.</t>
  </si>
  <si>
    <t>52%</t>
  </si>
  <si>
    <t>2025-08-31</t>
  </si>
  <si>
    <t>2025-11-30</t>
  </si>
  <si>
    <t>76%</t>
  </si>
  <si>
    <t>2024-08-31</t>
  </si>
  <si>
    <t>2024-11-30</t>
  </si>
  <si>
    <t>18%</t>
  </si>
  <si>
    <t>2027-08-31</t>
  </si>
  <si>
    <t>2027-11-30</t>
  </si>
  <si>
    <t>34%</t>
  </si>
  <si>
    <t>2026-08-31</t>
  </si>
  <si>
    <t>2026-11-30</t>
  </si>
  <si>
    <t>54%</t>
  </si>
  <si>
    <t>80%</t>
  </si>
  <si>
    <t>36%</t>
  </si>
  <si>
    <t>2028-08-31</t>
  </si>
  <si>
    <t>2028-11-30</t>
  </si>
  <si>
    <t>LEGEND:  ■ Complete ✓ (Green) = Milestone achieved &amp; supervisor-verified  │  ■ In Progress (Blue) = Currently active  │  ■ Not Yet (Grey) = Future milestone — not yet started  │  ■ ⚠ Challenge (Orange) = Active bottleneck — see PG Academic Support sheet for case details</t>
  </si>
  <si>
    <t>Templumis University — PhD Student Academic Support Guide</t>
  </si>
  <si>
    <t>A comprehensive reference guide for doctoral students at every stage of their PhD journey  |  Graduate School, Templumis University  |  Academic Year 2023–2024</t>
  </si>
  <si>
    <t>◆  SECTION 1 — DOCTORAL STAGE-BY-STAGE SUPPORT GUIDE  (Stages 1–12)</t>
  </si>
  <si>
    <t>Stage
#</t>
  </si>
  <si>
    <t>Stage Name</t>
  </si>
  <si>
    <t>Typical
Year</t>
  </si>
  <si>
    <t>Duration</t>
  </si>
  <si>
    <t>Key Tasks &amp; Deliverables</t>
  </si>
  <si>
    <t>Academic Support Available</t>
  </si>
  <si>
    <t>Key Library Resources
(see Library Resources sheet)</t>
  </si>
  <si>
    <t>Workshops &amp; Training</t>
  </si>
  <si>
    <t>Key Contacts</t>
  </si>
  <si>
    <t>Common Challenges
&amp; How to Address Them</t>
  </si>
  <si>
    <t>Required Forms /
Submissions</t>
  </si>
  <si>
    <t>Milestone Target</t>
  </si>
  <si>
    <t>Enrolment &amp; Orientation</t>
  </si>
  <si>
    <t>Year 1
(Mths 1–2)</t>
  </si>
  <si>
    <t>1–2 months</t>
  </si>
  <si>
    <t>• Complete official registration &amp; ID
• Attend PhD orientation programme
• First supervisor meeting — agree on supervision schedule
• Sign Supervision Agreement
• Set up research tools: Zotero, Overleaf, NVivo/SPSS
• Access all library databases
• Join PhD student community/WhatsApp group
• Identify first reading list with supervisor</t>
  </si>
  <si>
    <t>• Graduate School orientation (3-day induction)
• Library Research Induction (2-hr session)
• IT tools setup support
• PG peer buddy system (connect with Year 2+ PhD student)
• Writing Centre introduction session</t>
  </si>
  <si>
    <t>LIB-010: How to Write a Thesis
LIB-011: Authoring a PhD
LIB-057: Zotero (Reference Manager)
LIB-013: Purdue OWL Writing Guide</t>
  </si>
  <si>
    <t>• PhD Orientation Workshop (Graduate School)
• Library Database Induction
• Research Ethics Overview (1hr)
• Zotero Reference Manager Setup Workshop</t>
  </si>
  <si>
    <t>Graduate School: Dr. Susan Wangari
s.wangari@templumis.ac
Room 201, Admin Block
Library Services: library.pg@templumis.ac
IT Helpdesk: helpdesk@templumis.ac</t>
  </si>
  <si>
    <t>CHALLENGE: Admin delays in system access
→ Contact IT and Registry immediately; escalate via PG Coordinator if unresolved in 5 days
CHALLENGE: Unclear expectations from supervisor
→ Agree on written Supervision Agreement in Week 2</t>
  </si>
  <si>
    <t>• PhD Registration Form
• Supervision Agreement (signed by supervisor + HoD)
• Ethics Awareness Declaration
• Library Access Form</t>
  </si>
  <si>
    <t>✓ Fully registered, tools set up, Supervision Agreement signed, first supervisor meeting completed</t>
  </si>
  <si>
    <t>Foundation Coursework</t>
  </si>
  <si>
    <t>Year 1
(Mths 2–8)</t>
  </si>
  <si>
    <t>6–8 months</t>
  </si>
  <si>
    <t>• Complete all PhD foundation modules:
  – PHD701: Advanced Research Design &amp; Epistemology
  – PHD702: Doctoral Seminar Series
  – PHD703: Comprehensive Exam Preparation
• Attend departmental research seminars (monthly)
• Begin broad literature reading in research area
• Form initial research question and focus
• Write reading reflections/weekly notes</t>
  </si>
  <si>
    <t>• Academic Writing Centre: free weekly drop-ins
• Statistics Support Unit: drop-in Mondays 2–4pm
• Peer PhD writing group (Thursdays 2–5pm)
• Course instructors: office hours for 1-on-1 support
• Online Coursera/edX supplementary courses (free audit)</t>
  </si>
  <si>
    <t>LIB-001: Research Design (Creswell)
LIB-004: Research Methodology (Kumar)
LIB-006: Statistics (Field)
LIB-053: Coursera Research Methods</t>
  </si>
  <si>
    <t>• Academic Writing for Doctoral Students (Wk 4)
• Introduction to Statistical Software: R/SPSS/NVivo
• Research Philosophy &amp; Paradigms Workshop
• Doctoral Seminar (PHD702) — monthly presentations</t>
  </si>
  <si>
    <t>Course Instructors: Dr. Susan Wangari
Academic Writing: writing.centre@templumis.ac
Stats Support: stats.support@templumis.ac
Peer Writing Group: via Graduate School</t>
  </si>
  <si>
    <t>CHALLENGE: Balancing coursework &amp; early research
→ Block 2hrs/day for independent research reading; discuss priority with supervisor
CHALLENGE: Grade below B in foundation course
→ Immediate academic support; may need to repeat module</t>
  </si>
  <si>
    <t>• Course Registration Confirmation
• Coursework completion with minimum grade B
• PhD Training Log (updated each semester)</t>
  </si>
  <si>
    <t>✓ All PhD foundation courses completed with minimum B grade average</t>
  </si>
  <si>
    <t>Systematic Literature Review</t>
  </si>
  <si>
    <t>Year 1
(Mths 6–12)</t>
  </si>
  <si>
    <t>4–6 months
(overlaps with CW)</t>
  </si>
  <si>
    <t>• Define inclusion/exclusion criteria for systematic review
• Search all major databases systematically (Scopus, WoS, PubMed, JSTOR, AJOL)
• Screen &amp; select 80–150+ relevant sources
• Read critically — note research gaps, theoretical debates
• Develop theoretical/conceptual framework
• Write first full draft of Literature Review chapter
• Submit draft to supervisor for feedback
• Revise based on feedback</t>
  </si>
  <si>
    <t>• Subject Librarian for discipline-specific database training (book via library portal)
• Systematic Review Support Sessions (Library, quarterly)
• Supervisor chapter feedback meetings (bi-weekly)
• PG Writing Group — lit review chapter critique sessions
• Reference management workshop (Zotero)</t>
  </si>
  <si>
    <t>LIB-043: Scopus
LIB-044: Web of Science
LIB-046: Google Scholar
LIB-048: AJOL (African journals)
LIB-049: Research4Life/Hinari (free access)
LIB-057: Zotero</t>
  </si>
  <si>
    <t>• Database Search Strategies Training (Library)
• Systematic Review Methods Workshop
• Critical Reading &amp; Annotation Workshop
• Zotero Advanced Features Workshop</t>
  </si>
  <si>
    <t>Subject Librarian: library.pg@templumis.ac
Supervisor: scheduled bi-weekly meetings
PG Writing Group: Thursdays 2–5pm
Grad School: Dr. Susan Wangari</t>
  </si>
  <si>
    <t>CHALLENGE: Too broad — can't manage 1,000+ papers
→ Apply PICO/SPIDER framework; set strict inclusion criteria with supervisor
CHALLENGE: Finding Africa-specific literature
→ Use AJOL + Research4Life; also Google Scholar for grey lit and conference papers</t>
  </si>
  <si>
    <t>• Literature Search Log (databases searched, dates, terms)
• Reference list in Zotero (exported to supervisor)
• Literature Review Draft Chapter
• Research Gap Identification Summary</t>
  </si>
  <si>
    <t>✓ Comprehensive lit review draft approved by supervisor with research gaps clearly identified</t>
  </si>
  <si>
    <t>Research Proposal Writing</t>
  </si>
  <si>
    <t>Year 1
(Mths 9–14)</t>
  </si>
  <si>
    <t>3–5 months</t>
  </si>
  <si>
    <t>• Write full research proposal (15–25 pages):
  – Title, Abstract, Background
  – Research Problem, Questions &amp; Objectives
  – Theoretical Framework
  – Research Methodology (design, sample, tools)
  – Timeline &amp; Budget
  – References (50+ minimum)
• Prepare ethics application
• Multiple rounds of supervisor review &amp; revision
• Peer review by PhD cohort
• Final polish before departmental submission</t>
  </si>
  <si>
    <t>• Proposal Writing Workshop (Graduate School — twice yearly)
• Supervisor review: minimum 3 draft rounds
• Writing Centre — 1-on-1 proposal consultation
• Ethics Office — pre-application guidance session
• IMRaD &amp; proposal structure templates (available from Graduate School)</t>
  </si>
  <si>
    <t>LIB-001: Research Design
LIB-010: How to Write a Thesis
LIB-011: Authoring a PhD
LIB-012: Academic Writing for Grad Students
LIB-002/003: Methods for your discipline</t>
  </si>
  <si>
    <t>• Research Proposal Writing Workshop (Grad School)
• Ethics Application Writing Training
• Academic Argument &amp; Structure Workshop
• Budget Planning for PhD Research (Finance Office)</t>
  </si>
  <si>
    <t>PG Coordinator: Dr. Susan Wangari
Research Ethics: ethics@templumis.ac
Writing Centre: writing.centre@templumis.ac
Your supervisor &amp; co-supervisor</t>
  </si>
  <si>
    <t>CHALLENGE: Scope too broad — supervisor says "do less"
→ Focus on 1–2 clear research questions; depth &gt; breadth for PhD
CHALLENGE: Methodology not aligned to research questions
→ Re-read Creswell Ch. 3–5; discuss paradigm fit with supervisor in dedicated session</t>
  </si>
  <si>
    <t>• Research Proposal Submission Form
• Ethics Application (if involving human subjects, animals, or fieldwork)
• Budget Justification Form
• Plagiarism Check (Turnitin &lt;20% similarity)</t>
  </si>
  <si>
    <t>✓ Full research proposal submitted to Departmental PhD Committee</t>
  </si>
  <si>
    <t>Proposal Defense (Pre-Candidacy)</t>
  </si>
  <si>
    <t>Year 1–2
(Mths 12–18)</t>
  </si>
  <si>
    <t>1–2 months
preparation</t>
  </si>
  <si>
    <t>• Prepare 20-min defense presentation + 15-min Q&amp;A
• Review all feedback from supervisor on proposal
• Anticipate panel questions (methodology, scope, lit gaps)
• Submit final proposal to panel (2 weeks before defense)
• Attend proposal defense before 3-member faculty panel
• Respond to panel questions confidently
• Receive outcome: Pass / Pass with revisions / Fail
• Complete any required post-defense revisions within 4 weeks</t>
  </si>
  <si>
    <t>• Mock defense practice (Graduate School — 2 sessions)
• One-on-one presentation coaching with supervisor
• Peer feedback: present to PhD cohort beforehand
• Previous defense recordings available (Graduate School library)
• Presentation slides template (Templumis branded)</t>
  </si>
  <si>
    <t>LIB-010: How to Write a Thesis
LIB-011: Authoring a PhD
LIB-012: Academic Writing
LIB-014: Scribbr — argument clarity</t>
  </si>
  <si>
    <t>• Academic Presentation Skills Workshop (Grad School)
• Mock Proposal Defense Practice Sessions
• Q&amp;A Handling &amp; Academic Argumentation Workshop</t>
  </si>
  <si>
    <t>PG Coordinator: Dr. Susan Wangari
Dept PhD Committee: via supervisor
Grad School Admin: for defense scheduling
Supervisor: pre-defense coaching sessions</t>
  </si>
  <si>
    <t>CHALLENGE: Panel challenges your methodology
→ Prepare detailed rationale for every methodological choice; cite published studies using same approach in similar contexts
CHALLENGE: Outcome = Pass with Major Revisions
→ Do not panic — very common; create a structured revision plan with supervisor within 1 week</t>
  </si>
  <si>
    <t>• Proposal Defense Application Form
• Final Proposal (submitted to panel 2 weeks prior)
• Presentation Slides (submitted to Graduate School)
• Post-Defense Revision Plan (if revisions required)</t>
  </si>
  <si>
    <t>✓ Proposal defense passed — advance to formal PhD candidacy</t>
  </si>
  <si>
    <t>Candidacy Confirmation</t>
  </si>
  <si>
    <t>Year 2
(Mths 15–18)</t>
  </si>
  <si>
    <t>1 month</t>
  </si>
  <si>
    <t>• Submit revised proposal incorporating panel feedback
• Sign Candidacy Declaration Form
• Apply for formal ethics clearance (if not yet approved)
• Finalise data collection plan and site access agreements
• Meet co-supervisor to align on research plan
• Submit Year 1 Annual Progress Report
• Update Supervision Log
• Confirm research timeline with supervisor</t>
  </si>
  <si>
    <t>• Research Ethics Office: pre-application support session
• Co-supervisor collaboration meeting (arrange via supervisor)
• Research Data Management guidance (Library, 2nd Floor)
• Graduate School: annual review support</t>
  </si>
  <si>
    <t>LIB-004: Research Methodology
LIB-001: Research Design
Ethics guidelines: research.ethics@templumis.ac
Data Management Plan template: Graduate School</t>
  </si>
  <si>
    <t>• Research Ethics Compliance Workshop
• Data Management &amp; Storage Best Practices (IT + Library)
• Fieldwork Safety &amp; Logistics (for field-based research)</t>
  </si>
  <si>
    <t>Research Ethics Committee: ethics@templumis.ac
Research Data Officer: datamanagement@templumis.ac
Supervisor &amp; Co-supervisor
Grad School: Dr. Susan Wangari</t>
  </si>
  <si>
    <t>CHALLENGE: Ethics clearance delayed (6–8 weeks)
→ Submit early; use waiting period for finalising instruments, piloting tools, and writing Methodology chapter draft
CHALLENGE: Site access issues
→ Engage co-supervisor / external partner early; consider alternative sites</t>
  </si>
  <si>
    <t>• Candidacy Declaration Form (signed by student + supervisor)
• Ethics Clearance Certificate (from Ethics Committee)
• Data Management Plan
• Year 1 Annual Progress Report</t>
  </si>
  <si>
    <t>✓ Candidacy confirmed — student is now a formal PhD Candidate</t>
  </si>
  <si>
    <t>Year 2–3
(Mths 18–30)</t>
  </si>
  <si>
    <t>6–18 months
(varies by discipline)</t>
  </si>
  <si>
    <t>• Execute data collection per approved ethics protocol
• Maintain detailed field notes / lab notebooks
• Back up data daily (cloud + local copy minimum)
• Regular progress updates to supervisor (bi-weekly)
• Monitor data quality as you go — fix issues immediately
• Flag any scope changes to Ethics Committee (amendment required)
• Document all deviations from original protocol
• Engage co-supervisor and field partners regularly</t>
  </si>
  <si>
    <t>• Supervisor bi-weekly check-ins: mandatory
• Co-supervisor / field partner coordination meetings
• Research Data Management support (Library)
• Lab Manager / Field Research Coordinator assistance
• Ethics Office: for amendment applications if needed
• IT: secure data storage and backup systems</t>
  </si>
  <si>
    <t>Relevant to your discipline:
CS/AI: LIB-015 (Deep Learning), LIB-016 (AI Modern Approach)
Health: LIB-024 (PubMed), LIB-037/38 (Public Health)
Economics: LIB-050 (World Bank Data), LIB-051 (WHO GHO)
Environmental: LIB-026 (Ecosystem Ecology), LIB-027 (IPCC AR6)
General: LIB-043 (Scopus), LIB-008 (Statistical Learning)</t>
  </si>
  <si>
    <t>• Research Data Management Workshop (Library)
• Field/Lab Research Methods (by discipline)
• Qualitative Coding: NVivo Workshop
• Quantitative Analysis: R/SPSS/Stata Workshop
• Academic Integrity &amp; Data Ethics Refresher</t>
  </si>
  <si>
    <t>Supervisor: bi-weekly progress meetings
Co-supervisor / External Partner
Lab Manager / Field Coordinator
Ethics Office: ethics@templumis.ac
Data Officer: datamanagement@templumis.ac</t>
  </si>
  <si>
    <t>CHALLENGE: Low response rate / poor sample
→ Notify supervisor immediately; explore ethics amendment for expanded sample; do not hide the issue
CHALLENGE: Equipment failure / weather disruption
→ Activate contingency plan (discuss with supervisor); document all disruptions formally
CHALLENGE: Supervisor not responsive
→ Escalate to PG Coordinator (Dr. Wangari); maintain supervision log as evidence</t>
  </si>
  <si>
    <t>• Data Collection Log (weekly)
• Supervision Meeting Log (mandatory — 8+ per year)
• Mid-Year Progress Report (Year 2/3)
• Ethics Amendment Form (if scope changes)
• Data Storage Declaration</t>
  </si>
  <si>
    <t>✓ Target dataset fully collected and quality-validated against methodology benchmarks</t>
  </si>
  <si>
    <t>Data Analysis &amp; Chapter Writing</t>
  </si>
  <si>
    <t>Year 3
(Mths 28–42)</t>
  </si>
  <si>
    <t>8–18 months</t>
  </si>
  <si>
    <t>• Systematic analysis of collected dataset
• Write Results &amp; Analysis chapters (typically Ch.3–4)
• Submit each chapter to supervisor for approval before moving on
• Attend monthly PhD seminars — present progress
• Link analysis back to Literature Review (Ch.2)
• Explore publication of 1–2 papers (peer-reviewed journals)
• Begin writing Introduction and Conclusion outlines
• Keep Supervision Log current</t>
  </si>
  <si>
    <t>• Statistics Support Unit: analysis consults (Mon 2–4pm + by appointment)
• Writing Centre: chapter structure and argument reviews
• Supervisor chapter feedback: minimum 2 revision rounds per chapter
• PhD writing group: chapter peer review sessions
• PhD Writing Retreats (February and August — 2 days each)</t>
  </si>
  <si>
    <t>By discipline — check Library Resources sheet:
LIB-006: SPSS Statistics, LIB-007: Econometrics
LIB-008: Statistical Learning (R)
LIB-009: Multivariate Data Analysis
LIB-015/16: Deep Learning / AI (CS students)
LIB-053/54/55: Online courses for method support</t>
  </si>
  <si>
    <t>• Advanced Statistical Analysis Workshop
• Academic Paper Writing Workshop (incl. journal selection)
• Data Visualisation for Research (R/Python/Excel)
• PhD Annual Seminar Presentation (required)</t>
  </si>
  <si>
    <t>Statistics Support: stats.support@templumis.ac
Writing Centre: writing.centre@templumis.ac
Supervisor: chapter review meetings
Journal editor guidance via supervisor
Grad School: annual review coordination</t>
  </si>
  <si>
    <t>CHALLENGE: Writer's block on thesis chapters
→ Use the "shitty first draft" technique — write fast, edit later; join writing group; PhD retreats very effective
CHALLENGE: Negative or unexpected results
→ Null results are publishable; re-examine theoretical framework; consult supervisor — do NOT hide unexpected findings
CHALLENGE: Supervisor keeps requesting major revisions
→ Request explicit, written criteria for chapter approval at start of each chapter</t>
  </si>
  <si>
    <t>• Chapter Approval Form (signed by supervisor per chapter)
• Year 3 Annual Progress Report
• Seminar Presentation (Grad School requirement)
• Research Output Summary (papers, presentations)</t>
  </si>
  <si>
    <t>✓ All analysis/results chapters approved by supervisor in writing</t>
  </si>
  <si>
    <t>Pre-Submission Seminar</t>
  </si>
  <si>
    <t>Year 3–4
(Mths 36–48)</t>
  </si>
  <si>
    <t>• Prepare full thesis presentation (30–45 min + 20 min Q&amp;A)
• Submit complete or near-complete thesis draft to supervisor
• Present to departmental faculty panel (broader audience than proposal)
• Receive comprehensive feedback — this is your last internal safety net
• Create structured plan to address all feedback
• Complete Introduction (Ch.1) and Conclusion (Ch.5/6) writing
• Begin final thesis formatting</t>
  </si>
  <si>
    <t>• Graduate School: Pre-Submission Seminar scheduling and support
• Supervisor: pre-seminar coaching on full thesis coherence
• Writing Centre: Introduction and Conclusion chapters review
• Thesis formatting guide and template (Graduate School website)
• PhD peer support: run a mock pre-submission seminar</t>
  </si>
  <si>
    <t>LIB-010: How to Write a Thesis
LIB-011: Authoring a PhD
LIB-012: Academic Writing for Grad Students
LIB-014: Scribbr (for final proofread &amp; citations)</t>
  </si>
  <si>
    <t>• Pre-Submission Seminar Preparation Coaching
• Thesis Formatting &amp; Submission Workshop
• Turnitin &amp; Academic Integrity Final Session
• Academic Presentation: Advanced Workshop</t>
  </si>
  <si>
    <t>PG Coordinator: Dr. Susan Wangari
Dept PhD Committee: via supervisor
Writing Centre: writing.centre@templumis.ac
Grad School Admin: for seminar scheduling</t>
  </si>
  <si>
    <t>CHALLENGE: Feedback reveals major structural gaps
→ Do not panic; create a chapter-by-chapter revision plan; agree timeline with supervisor; supervisor must explicitly re-approve each revised section
CHALLENGE: Time pressure before seminar
→ Submit to Grad School minimum 3 weeks in advance; do not rush — delay if necessary</t>
  </si>
  <si>
    <t>• Pre-Submission Seminar Application Form
• Full or Near-Complete Thesis Draft
• Presentation Slides
• Post-Seminar Revision Plan (within 2 weeks of seminar)</t>
  </si>
  <si>
    <t>✓ Pre-submission seminar passed — thesis approved for final editing and submission</t>
  </si>
  <si>
    <t>Year 4
(Mths 42–54)</t>
  </si>
  <si>
    <t>3–6 months
final writing</t>
  </si>
  <si>
    <t>• Complete and polish all chapters
• Ensure all supervisor approvals documented
• Format thesis strictly per Templumis PhD guidelines
• Full proofreading (self + Writing Centre)
• Run Turnitin check (must be &lt;30% similarity)
• Get supervisor Declaration of Completion signed
• Submit digitally + 3 bound hardcopies to Graduate School
• Nominate external examiner (via supervisor + Graduate School)</t>
  </si>
  <si>
    <t>• Writing Centre: final thesis proofreading service (book 4 weeks in advance)
• Library: thesis formatting compliance check
• Graduate School: submission checklist walkthrough
• IT: secure digital submission portal support
• Finance: confirm no outstanding fees before submission</t>
  </si>
  <si>
    <t>LIB-010: How to Write a Thesis
LIB-013: Purdue OWL (citation formatting)
LIB-014: Scribbr (reference check)
LIB-046: Google Scholar (citation verification)</t>
  </si>
  <si>
    <t>• Thesis Formatting &amp; Submission Workshop
• Turnitin Academic Integrity Final Check
• Soft-binding &amp; Hard-binding Guidance (Library)</t>
  </si>
  <si>
    <t>Grad School Office: Dr. Susan Wangari
Library (binding/format): library.pg@templumis.ac
IT Portal Support: helpdesk@templumis.ac
Finance: finance.pg@templumis.ac
Supervisor: final Declaration sign-off</t>
  </si>
  <si>
    <t>CHALLENGE: Turnitin similarity &gt;30%
→ Review highlighted sections; rewrite/paraphrase; self-plagiarism from published papers requires proper citation; do not submit until below 30%
CHALLENGE: Last-minute supervisor feedback after Declaration signed
→ Graduate School must be notified; supervisor must amend Declaration; do not submit without resolution</t>
  </si>
  <si>
    <t>• Thesis Submission Form
• Supervisor Declaration of Completion (signed)
• Turnitin Similarity Report (must be &lt;30%)
• External Examiner Nomination Form
• Library Copy Deposit Form
• Outstanding Fees Clearance Certificate</t>
  </si>
  <si>
    <t>✓ Thesis submitted to Graduate School — under external examination</t>
  </si>
  <si>
    <t>Viva Voce / External Examination</t>
  </si>
  <si>
    <t>Year 4–5</t>
  </si>
  <si>
    <t>1–3 months
post-submission</t>
  </si>
  <si>
    <t>• Receive external examiner report (4–8 weeks after submission)
• Prepare intensively: re-read entire thesis + know it deeply
• Rehearse key arguments, methodological decisions, and limitations
• Anticipate common viva questions (list from Grad School)
• Attend viva (typically 2–4 hours): examination panel + supervisor as observer
• Respond to questions with confidence and academic precision
• Receive outcome: Pass / Minor Corrections / Major Corrections / Resubmission
• If corrections required: receive written list within 2 weeks</t>
  </si>
  <si>
    <t>• Graduate School: mock viva sessions (2 × 90 min; book 3 weeks before viva)
• Supervisor: intensive pre-viva coaching (3–5 sessions)
• Peer support: recent PhD graduates as mock examiners
• Graduate School: viva preparation guide + common questions list
• Wellbeing support: counselling available pre- and post-viva</t>
  </si>
  <si>
    <t>LIB-011: Authoring a PhD — viva preparation chapter
Recent Templumis PhD theses (Library archive)
Common viva question lists (Graduate School)</t>
  </si>
  <si>
    <t>• Viva Preparation Workshop (Graduate School)
• Mock Viva Practice Sessions (2 sessions)
• Post-Viva Coping &amp; Corrections Planning (Grad School)</t>
  </si>
  <si>
    <t>Grad School: Dr. Susan Wangari
Supervisor: pre-viva coaching
External Examiner: via Grad School only
Wellbeing: wellbeing@templumis.ac</t>
  </si>
  <si>
    <t>CHALLENGE: Outcome = Major Corrections
→ This is not failure — it is very common; create corrections plan within 1 week; agree timeline with supervisor; corrections must be completed within 12 months
CHALLENGE: Examination anxiety
→ Access counselling; practice with mock vivas; remember: you know your research better than anyone in that room</t>
  </si>
  <si>
    <t>• Viva Application Form
• Post-Viva Outcome Form (signed by panel)
• Corrections Plan (if required — within 2 weeks)
• Post-Viva Progress Report</t>
  </si>
  <si>
    <t>✓ Viva passed (with or without corrections) — PhD award pending final clearance</t>
  </si>
  <si>
    <t>Corrections, Final Approval &amp; Graduation</t>
  </si>
  <si>
    <t>1–6 months
(by corrections type)</t>
  </si>
  <si>
    <t>• Complete all examiner-required corrections precisely
• Resubmit corrected thesis to supervisor for review
• Supervisor confirms corrections completed → submit to Graduate School
• Graduate School confirms to external examiner
• Receive final approval certificate
• Pay graduation fee (Finance Office)
• Attend graduation ceremony
• Submit 3 final bound hardcopies + digital copy to Library
• Update ORCID, academic CV, LinkedIn
• Apply for post-PhD opportunities (Careers Centre)</t>
  </si>
  <si>
    <t>• Graduate School: corrections submission and tracking support
• Supervisor: corrections review and sign-off
• Library: final binding, digital repository submission
• Finance: graduation fee payment + clearance
• Careers Centre: post-PhD career planning services
• Wellbeing: celebration and transition support</t>
  </si>
  <si>
    <t>LIB-057: Zotero (final reference sweep)
Graduation portal: grad.templumis.ac
Careers resources: careers.templumis.ac</t>
  </si>
  <si>
    <t>• Post-PhD Career Planning Workshop (Careers Centre)
• Knowledge Translation &amp; Policy Brief Writing
• Academic Job Market Preparation (if applicable)
• Graduation Ceremony Preparation Briefing</t>
  </si>
  <si>
    <t>Grad School Office: Dr. Susan Wangari
Finance: finance.pg@templumis.ac
Library: library.pg@templumis.ac
Careers Centre: careers@templumis.ac
Supervisor: reference letter + final sign-off</t>
  </si>
  <si>
    <t>CHALLENGE: Corrections take longer than expected
→ Communicate proactively with supervisor and Grad School; request extension if needed (minor = 3 months; major = 12 months max)
CHALLENGE: Re-examination required (for major corrections)
→ Treat as second viva; extensive supervisor coaching; Grad School tracks timeline</t>
  </si>
  <si>
    <t>• Corrections Submission Form
• Supervisor Corrections Approval Declaration
• Final Examiner Approval Certificate
• Graduation Application Form
• Library Deposit Form (3 bound + 1 digital copy)
• Outstanding Fees Clearance</t>
  </si>
  <si>
    <t>🎓 PhD AWARDED — Doctor of Philosophy, Templumis University</t>
  </si>
  <si>
    <t>◆  SECTION 2 — ESSENTIAL CONTACTS &amp; SUPPORT SERVICES</t>
  </si>
  <si>
    <t>Role</t>
  </si>
  <si>
    <t>Name / Office</t>
  </si>
  <si>
    <t>Email</t>
  </si>
  <si>
    <t>Location</t>
  </si>
  <si>
    <t>Office Hours</t>
  </si>
  <si>
    <t>When to Contact</t>
  </si>
  <si>
    <t>(Additional details / notes)</t>
  </si>
  <si>
    <t>PhD Coordinator / Graduate School</t>
  </si>
  <si>
    <t>s.wangari@templumis.ac</t>
  </si>
  <si>
    <t>Room 201, Admin Block</t>
  </si>
  <si>
    <t>Mon–Fri  8am–5pm</t>
  </si>
  <si>
    <t>Any PhD issue: enrollment, supervision, milestone forms, annual reviews, academic concerns</t>
  </si>
  <si>
    <t>Research Ethics Committee (REC)</t>
  </si>
  <si>
    <t>Dr. Otieno Simiyu (Chair)</t>
  </si>
  <si>
    <t>ethics@templumis.ac</t>
  </si>
  <si>
    <t>Room 105, Research Centre</t>
  </si>
  <si>
    <t>Tuesdays 9am–12pm (drop-in)</t>
  </si>
  <si>
    <t>Ethics applications, amendments, clearance certificates, ethical concerns during research</t>
  </si>
  <si>
    <t>Library — PG Research Services</t>
  </si>
  <si>
    <t>Postgrad Research Librarian</t>
  </si>
  <si>
    <t>library.pg@templumis.ac</t>
  </si>
  <si>
    <t>Main Library, 1st Floor</t>
  </si>
  <si>
    <t>Mon–Fri  8am–6pm</t>
  </si>
  <si>
    <t>Database access, systematic review support, interlibrary loans, thesis formatting, AJOL/Hinari</t>
  </si>
  <si>
    <t>Statistics &amp; Data Analysis Support</t>
  </si>
  <si>
    <t>Dr. Cynthia Aluoch</t>
  </si>
  <si>
    <t>stats.support@templumis.ac</t>
  </si>
  <si>
    <t>Room 312, Computing Block</t>
  </si>
  <si>
    <t>Mondays 2–4pm; by appointment</t>
  </si>
  <si>
    <t>Statistical design, data analysis support, R/SPSS/Stata, power analysis, model selection</t>
  </si>
  <si>
    <t>Academic Writing Centre</t>
  </si>
  <si>
    <t>Mr. Barasa Wekesa (Lead Tutor)</t>
  </si>
  <si>
    <t>writing.centre@templumis.ac</t>
  </si>
  <si>
    <t>Room 114, Humanities Block</t>
  </si>
  <si>
    <t>Tue + Thu  10am–4pm; book 48hrs in advance</t>
  </si>
  <si>
    <t>Thesis writing, chapter structure, academic argument, citation, proposal review, proofreading</t>
  </si>
  <si>
    <t>Student Wellbeing &amp; Counselling</t>
  </si>
  <si>
    <t>Dr. Njambi Karanja</t>
  </si>
  <si>
    <t>wellbeing@templumis.ac</t>
  </si>
  <si>
    <t>Room 003, Student Services</t>
  </si>
  <si>
    <t>Mon–Fri  9am–4pm (walk-in &amp; booked)</t>
  </si>
  <si>
    <t>PhD-related stress, anxiety, isolation, personal difficulties, mental health support — CONFIDENTIAL</t>
  </si>
  <si>
    <t>Research Data Management</t>
  </si>
  <si>
    <t>Data Management Officer</t>
  </si>
  <si>
    <t>datamanagement@templumis.ac</t>
  </si>
  <si>
    <t>Library, 2nd Floor</t>
  </si>
  <si>
    <t>Wednesdays 10am–12pm</t>
  </si>
  <si>
    <t>Data management plans, secure storage, backups, data sharing, archiving, FAIR data principles</t>
  </si>
  <si>
    <t>Finance Office — PG / Scholarships</t>
  </si>
  <si>
    <t>Ms. Wanjiku Mwangi</t>
  </si>
  <si>
    <t>finance.pg@templumis.ac</t>
  </si>
  <si>
    <t>Finance Block, Ground Floor</t>
  </si>
  <si>
    <t>Mon–Fri  8:30am–4:30pm</t>
  </si>
  <si>
    <t>Fee payments, scholarship applications, conference bursaries (up to KES 80,000), outstanding balances</t>
  </si>
  <si>
    <t>IT Helpdesk &amp; Research Computing</t>
  </si>
  <si>
    <t>IT Support Team</t>
  </si>
  <si>
    <t>helpdesk@templumis.ac</t>
  </si>
  <si>
    <t>IT Block, Ground Floor (also online portal)</t>
  </si>
  <si>
    <t>Mon–Fri  7:30am–6pm</t>
  </si>
  <si>
    <t>Software licenses (Zotero, SPSS, NVivo, Overleaf), server access, data backup, VPN, system access</t>
  </si>
  <si>
    <t>Careers Centre (Post-PhD)</t>
  </si>
  <si>
    <t>Mr. Tony Omondi</t>
  </si>
  <si>
    <t>careers@templumis.ac</t>
  </si>
  <si>
    <t>Student Centre, Room 22</t>
  </si>
  <si>
    <t>Mon/Wed/Fri  10am–3pm</t>
  </si>
  <si>
    <t>Post-PhD job search, academic CVs, LinkedIn, postdoc applications, networking, career coaching</t>
  </si>
  <si>
    <t>◆  SECTION 3 — MANDATORY ANNUAL PROGRESS REVIEW SCHEDULE</t>
  </si>
  <si>
    <t>Review Name</t>
  </si>
  <si>
    <t>Typical Year</t>
  </si>
  <si>
    <t>Period</t>
  </si>
  <si>
    <t>Purpose</t>
  </si>
  <si>
    <t>Required Documents</t>
  </si>
  <si>
    <t>Outcome / Next Step</t>
  </si>
  <si>
    <t>Year 1 Foundation Review (FRev1)</t>
  </si>
  <si>
    <t>Months 8–10</t>
  </si>
  <si>
    <t>Assess foundation coursework progress, supervision quality, research focus, and proposal readiness</t>
  </si>
  <si>
    <t>1. Self-assessment form (Grad School template)
2. Foundation coursework grade certificates
3. Supervision meeting log (min 8 sessions)
4. Proposed research question &amp; preliminary lit review outline</t>
  </si>
  <si>
    <t>Outcome: Pass → proceed to proposal writing | Conditional Pass → specific targets within 3 months | Fail → academic probation; restart review in 3 months</t>
  </si>
  <si>
    <t>Year 2 Candidacy Review (CRev)</t>
  </si>
  <si>
    <t>Year 1–2</t>
  </si>
  <si>
    <t>Months 16–20</t>
  </si>
  <si>
    <t>Confirm PhD candidacy after proposal defense; verify ethics clearance, data collection readiness, and supervision continuity</t>
  </si>
  <si>
    <t>1. Candidacy Declaration Form (signed)
2. Ethics Clearance Certificate (or pending application status)
3. Approved research proposal
4. Supervision log (Year 1 complete)
5. Detailed data collection timeline</t>
  </si>
  <si>
    <t>Outcome: Candidacy Confirmed ✓ → formal PhD researcher status | Deferred → specific targets required before candidacy granted</t>
  </si>
  <si>
    <t>Year 3 Interim Research Review (IRRev)</t>
  </si>
  <si>
    <t>Months 30–34</t>
  </si>
  <si>
    <t>Assess data collection completion / progress, early analysis, chapter drafts, and publication outputs</t>
  </si>
  <si>
    <t>1. Self-assessment form
2. Data collection completion evidence (datasets, field logs)
3. Min 1 chapter draft (approved by supervisor)
4. Research output summary (conference papers, journal submissions)
5. Updated timeline to completion</t>
  </si>
  <si>
    <t>Outcome: Good Progress → continue | Requires Action → specific support plan + 3-month targets | At Risk → formal intervention plan with PG Coordinator</t>
  </si>
  <si>
    <t>Year 4 Pre-Submission Review (PSRev)</t>
  </si>
  <si>
    <t>Year 3–4</t>
  </si>
  <si>
    <t>Months 40–46</t>
  </si>
  <si>
    <t>Verify thesis is on track for submission; confirm all chapters approved; assess pre-submission seminar completion; confirm thesis quality</t>
  </si>
  <si>
    <t>1. All chapter drafts (supervisor-approved)
2. Pre-submission seminar completion certificate
3. Turnitin similarity report (draft)
4. Year 4 supervision log
5. Confirmed submission and viva timeline</t>
  </si>
  <si>
    <t>Outcome: Cleared for Submission → proceed to thesis preparation | Revisions Required → 3-month targeted review | Not Cleared → escalated support with PG Coordinator</t>
  </si>
  <si>
    <t>◆  SECTION 4 — WRITING SUPPORT, WELLBEING &amp; PROFESSIONAL DEVELOPMENT</t>
  </si>
  <si>
    <t>Support Area</t>
  </si>
  <si>
    <t>Category</t>
  </si>
  <si>
    <t>Description &amp; How to Access</t>
  </si>
  <si>
    <t>PhD Writing Group</t>
  </si>
  <si>
    <t>Academic support</t>
  </si>
  <si>
    <t>Peer writing sessions every Thursday 2–5pm | Rotating chapter review + accountability system | Open to all PhD students at any stage | Facilitator: Mr. Barasa Wekesa | Sign up: writing.centre@templumis.ac</t>
  </si>
  <si>
    <t>PhD Writing Retreats</t>
  </si>
  <si>
    <t>2-day intensive residential writing retreats held twice yearly (February &amp; August) | Structured 8hrs/day of supervised writing | Accommodation + meals included | Apply via Graduate School | Limited to 12 students per retreat | Highly recommended for Year 3–4 students</t>
  </si>
  <si>
    <t>Conference Travel Bursary</t>
  </si>
  <si>
    <t>Financial support</t>
  </si>
  <si>
    <t>Up to KES 80,000 per year for presenting research at accredited conferences | Apply minimum 6 weeks before conference | Requires abstract acceptance + supervisor endorsement | Submit via Finance: finance.pg@templumis.ac | Both national and international conferences eligible</t>
  </si>
  <si>
    <t>Publication Support Grant</t>
  </si>
  <si>
    <t>Graduate School covers Article Processing Charges (APC) for Open Access publishing | Maximum KES 50,000 per publication | Must be submitted jointly with supervisor | Apply via Graduate School before submission | Encourages AJOL, PLOS, and IEEE Open Access journals</t>
  </si>
  <si>
    <t>Monthly PhD Coffee Mornings</t>
  </si>
  <si>
    <t>Community &amp; wellbeing</t>
  </si>
  <si>
    <t>First Friday of every month, 10–11am | Student Centre, Common Room 2 | Informal networking + updates from Grad School | Guest speakers: recent PhD graduates, external researchers | All PhD students welcome | Attendance recorded as professional development</t>
  </si>
  <si>
    <t>PhD Peer Support WhatsApp Group</t>
  </si>
  <si>
    <t>Active peer support group managed by PhD Student Rep | Share resources, celebrate milestones, discuss challenges | Join via QR code on Graduate School noticeboard | Policy: professional conduct expected; no complaints about supervisors publicly</t>
  </si>
  <si>
    <t>Student Counselling &amp; Mental Health</t>
  </si>
  <si>
    <t>Wellbeing</t>
  </si>
  <si>
    <t>Free confidential counselling for all students | Walk-in: Mon–Fri 9am–4pm | Booked appointments available same-week | PhD-specific group therapy sessions (monthly) | Crisis support: 24/7 helpline +254 700 HELP (4357) | Contact: wellbeing@templumis.ac | Research shows 30–40% of PhD students experience significant anxiety/depression — seeking support is a sign of strength</t>
  </si>
  <si>
    <t>Turnitin &amp; Overleaf Institutional Licenses</t>
  </si>
  <si>
    <t>Tools &amp; software</t>
  </si>
  <si>
    <t>Institutional Turnitin license: &lt;30% similarity threshold for PhD thesis submission | Overleaf Professional: free institutional access for all registered students | SPSS, NVivo, MATLAB, R Studio server licenses available via IT | Request access: helpdesk@templumis.ac with your student ID</t>
  </si>
  <si>
    <t>PhD Doctoral Seminar Series</t>
  </si>
  <si>
    <t>Professional development</t>
  </si>
  <si>
    <t>Monthly PHD702 seminar — all PhD students present once per year | External speakers: 6 per year (industry + academia) | Journal club: quarterly deep-dive sessions | Build academic presentation confidence and receive structured feedback | Certificate of attendance counts toward professional development log</t>
  </si>
  <si>
    <t>Post-PhD Career Pathways</t>
  </si>
  <si>
    <t>Careers Centre: academic and non-academic PhD career guidance | Academic job market preparation: CV, cover letter, teaching portfolio | Industry pathways: research, consulting, policy, development sector | Postdoctoral fellowship search support (national and international) | Annual PhD Career Fair (November) | Contact: careers@templumis.ac</t>
  </si>
  <si>
    <t>📌  Templumis University Graduate School  |  PhD Academic Support Guide  |  For updates or corrections contact Dr. Susan Wangari: s.wangari@templumis.ac  |  This guide is reviewed annually each September.</t>
  </si>
  <si>
    <t>Multi-Institution Demo Accounts — Quick Reference</t>
  </si>
  <si>
    <t>One predictable login identity per role per institution, for demos and walkthroughs. Student emails (student-ug / student-pg / student-phd) and a supervisor account (supervisor@&lt;domain&gt;) are provided for each of the three institutions below. Account creation &amp; passwords are managed separately in the application.</t>
  </si>
  <si>
    <t>Account Email</t>
  </si>
  <si>
    <t>Programme / Department</t>
  </si>
  <si>
    <t>Linked Student ID(s)</t>
  </si>
  <si>
    <t>Suggested App Role / Category</t>
  </si>
  <si>
    <t>Notes</t>
  </si>
  <si>
    <t>Undergraduate Student</t>
  </si>
  <si>
    <t>role=student, account_category=student</t>
  </si>
  <si>
    <t>Postgraduate Student (Masters)</t>
  </si>
  <si>
    <t>PhD Student</t>
  </si>
  <si>
    <t>Supervisor / Advisor (Demo)</t>
  </si>
  <si>
    <t>supervisor@templumis.ac</t>
  </si>
  <si>
    <t>TU-DEMO-PG, TU-DEMO-PHD</t>
  </si>
  <si>
    <t>role=research_office (or similar staff role), account_category=advisor</t>
  </si>
  <si>
    <t>Assigned as Advisor on the demo PG &amp; PhD student records above</t>
  </si>
  <si>
    <t>supervisor@kitaptech.com</t>
  </si>
  <si>
    <t>KT-DEMO-PG, KT-DEMO-PHD</t>
  </si>
  <si>
    <t>supervisor@rongovarsity.ac.ke</t>
  </si>
  <si>
    <t>RU-DEMO-PG, RU-DEMO-PHD</t>
  </si>
  <si>
    <t>Templumis University — NSFAS Student Tracking</t>
  </si>
  <si>
    <t>Academic Year 2025/26  |  All Active NSFAS Beneficiaries at Templumis University  |  Figures are illustrative — modelled on real NSFAS (South Africa) allowance categories and rules (https://www.nsfas.org.za/content/), converted to a fictional KES scale for this case-study workbook. Not actual NSFAS disbursements.</t>
  </si>
  <si>
    <t>Year of Study</t>
  </si>
  <si>
    <t>Award Status</t>
  </si>
  <si>
    <t>Household Income Bracket (Illustrative)</t>
  </si>
  <si>
    <t>Tuition Allowance (KES)</t>
  </si>
  <si>
    <t>Accommodation Allowance (KES)</t>
  </si>
  <si>
    <t>Transport Allowance (KES)</t>
  </si>
  <si>
    <t>Living / Meals Allowance (KES)</t>
  </si>
  <si>
    <t>Learning Materials Allowance (KES)</t>
  </si>
  <si>
    <t>Disability Support Top-Up (KES)</t>
  </si>
  <si>
    <t>Total Annual NSFAS Support (KES)</t>
  </si>
  <si>
    <t>Amount Disbursed to Date (KES)</t>
  </si>
  <si>
    <t>Outstanding Fees Balance (KES)</t>
  </si>
  <si>
    <t>Credit Hours Earned</t>
  </si>
  <si>
    <t>Attendance % (Avg)</t>
  </si>
  <si>
    <t>Years Funded So Far</t>
  </si>
  <si>
    <t>Max Fundable Years (N+2 Rule)</t>
  </si>
  <si>
    <t>Funding Years Remaining</t>
  </si>
  <si>
    <t>Continuation Risk</t>
  </si>
  <si>
    <t>Case Notes / Appeal Status</t>
  </si>
  <si>
    <t>Fully Funded</t>
  </si>
  <si>
    <t>≤ KES 700,000 (Standard Threshold)</t>
  </si>
  <si>
    <t>Funding confirmed for current academic year; no outstanding action.</t>
  </si>
  <si>
    <t>Provisionally Funded</t>
  </si>
  <si>
    <t>Pending Verification (Declared ≤ KES 700,000)</t>
  </si>
  <si>
    <t>Household income declaration under NSFAS means-test verification; registration portion disbursed pending confirmation.</t>
  </si>
  <si>
    <t>≤ KES 1,200,000 (Disability Threshold)</t>
  </si>
  <si>
    <t>Funding Discontinued</t>
  </si>
  <si>
    <t>Academic progress fell below NSFAS continuation requirements (N+2 rule exceeded); funding discontinued, family covering partial balance.</t>
  </si>
  <si>
    <t>Appeal Pending</t>
  </si>
  <si>
    <t>Initial application declined on eligibility grounds; appeal lodged and awaiting outcome (NSFAS allows appeal within 30 days of decision).</t>
  </si>
  <si>
    <t>Household income declaration under NSFAS means-test verification; registration portion disbursed pending confirmation. Student is on an approved leave of absence; NSFAS disbursement is suspended and will resume on confirmed return.</t>
  </si>
  <si>
    <t>Assumptions &amp; Methodology</t>
  </si>
  <si>
    <t>Standard programme duration (years)</t>
  </si>
  <si>
    <t>NSFAS continuation allowance — extra years (N+2 rule)</t>
  </si>
  <si>
    <t>Accommodation Allowance, metro-equivalent (KES/year)</t>
  </si>
  <si>
    <t>Transport Allowance, day scholar (KES/year)</t>
  </si>
  <si>
    <t>Living / Meals Allowance, standard (KES/year)</t>
  </si>
  <si>
    <t>Living / Meals Allowance, disability uplift (KES/year)</t>
  </si>
  <si>
    <t>Learning Materials Allowance, standard (KES/year)</t>
  </si>
  <si>
    <t>Learning Materials Allowance, disability uplift (KES/year)</t>
  </si>
  <si>
    <t>Disability Support Top-Up — human/assistive support (KES/year)</t>
  </si>
  <si>
    <t>Standard household income threshold (KES/year, illustrative)</t>
  </si>
  <si>
    <t>Disability household income threshold (KES/year, illustrative)</t>
  </si>
  <si>
    <t>Source / inspiration: National Student Financial Aid Scheme (NSFAS), South Africa — https://www.nsfas.org.za/content/ . Allowance categories mirror NSFAS structure; KES amounts are illustrative estimates for this fictional case study, not official conversions or real disbursements.</t>
  </si>
  <si>
    <t>Templumis University — NSFAS Reports &amp; Decision Support Dashboard</t>
  </si>
  <si>
    <t>Prepared for institutional leadership and for sharing with NSFAS  |  Academic Year 2025/26  |  Source: 'NSFAS Student Tracking' sheet  |  All KES figures are illustrative (see Assumptions on that sheet)</t>
  </si>
  <si>
    <t>A. Headline KPIs</t>
  </si>
  <si>
    <t>Total NSFAS Beneficiaries</t>
  </si>
  <si>
    <t>Total Annual Support Awarded (KES)</t>
  </si>
  <si>
    <t>Total Disbursed to Date (KES)</t>
  </si>
  <si>
    <t>Average Attendance (%)</t>
  </si>
  <si>
    <t>Beneficiaries with a Disability</t>
  </si>
  <si>
    <t>High Risk / Critical Cases</t>
  </si>
  <si>
    <t>B. Beneficiaries by NSFAS Award Status</t>
  </si>
  <si>
    <t># Students</t>
  </si>
  <si>
    <t>Total Support Awarded (KES)</t>
  </si>
  <si>
    <t>Total Disbursed (KES)</t>
  </si>
  <si>
    <t>C. Academic Standing Among NSFAS Beneficiaries</t>
  </si>
  <si>
    <t>D. Funding Continuation Risk (vs. N+2 Rule)</t>
  </si>
  <si>
    <t>Low Risk</t>
  </si>
  <si>
    <t>Medium Risk</t>
  </si>
  <si>
    <t>High Risk</t>
  </si>
  <si>
    <t>Critical — Funding Discontinued</t>
  </si>
  <si>
    <t>E. Disability Status &amp; Support</t>
  </si>
  <si>
    <t>Disability Status</t>
  </si>
  <si>
    <t>Disability Top-Up Disbursed (KES)</t>
  </si>
  <si>
    <t>With Disability</t>
  </si>
  <si>
    <t>No Disability</t>
  </si>
  <si>
    <t>F. Total Annual Support by Allowance Category (KES)</t>
  </si>
  <si>
    <t>Allowance Category</t>
  </si>
  <si>
    <t>Total (KES)</t>
  </si>
  <si>
    <t>Tuition</t>
  </si>
  <si>
    <t>Accommodation</t>
  </si>
  <si>
    <t>Transport</t>
  </si>
  <si>
    <t>Living / Meals</t>
  </si>
  <si>
    <t>Learning Materials</t>
  </si>
  <si>
    <t>Disability Support Top-Up</t>
  </si>
  <si>
    <t>G. Beneficiaries by Department</t>
  </si>
  <si>
    <t>H. Student Support vs Academic Performance — Per-Beneficiary Report (for NSFAS / Leadership)</t>
  </si>
  <si>
    <t>Total Support (KES)</t>
  </si>
  <si>
    <t>Disbursed (KES)</t>
  </si>
  <si>
    <t>Outstanding Balance (KES)</t>
  </si>
  <si>
    <t>Attendance %</t>
  </si>
  <si>
    <t>Report generated from live workbook formulas — refresh by recalculating the workbook (Excel: Ctrl+Alt+F9). Figures are illustrative (see Assumptions on the NSFAS Student Tracking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</si>
</sst>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
  </numFmts>
  <fonts count="65" x14ac:knownFonts="1">
    <font>
      <sz val="11"/>
      <color theme="1"/>
      <name val="Calibri"/>
      <family val="2"/>
      <charset val="1"/>
    </font>
    <font>
      <b/>
      <sz val="10"/>
      <color rgb="FFFFFFFF"/>
      <name val="Arial"/>
      <charset val="1"/>
    </font>
    <font>
      <b/>
      <sz val="11"/>
      <name val="Calibri"/>
      <charset val="1"/>
    </font>
    <font>
      <sz val="9"/>
      <color rgb="FF212121"/>
      <name val="Arial"/>
      <charset val="1"/>
    </font>
    <font>
      <b/>
      <sz val="9"/>
      <color rgb="FFC00000"/>
      <name val="Arial"/>
      <charset val="1"/>
    </font>
    <font>
      <b/>
      <sz val="11"/>
      <color rgb="FFFFFFFF"/>
      <name val="Arial"/>
      <charset val="1"/>
    </font>
    <font>
      <sz val="10"/>
      <name val="Arial"/>
      <charset val="1"/>
    </font>
    <font>
      <b/>
      <sz val="13"/>
      <color rgb="FF1B3A6B"/>
      <name val="Arial"/>
      <charset val="1"/>
    </font>
    <font>
      <i/>
      <sz val="10"/>
      <color rgb="FF666666"/>
      <name val="Arial"/>
      <charset val="1"/>
    </font>
    <font>
      <sz val="10"/>
      <color rgb="FF000000"/>
      <name val="Arial"/>
      <charset val="1"/>
    </font>
    <font>
      <b/>
      <sz val="10"/>
      <color rgb="FF2E7D32"/>
      <name val="Arial"/>
      <charset val="1"/>
    </font>
    <font>
      <b/>
      <sz val="10"/>
      <color rgb="FFE65100"/>
      <name val="Arial"/>
      <charset val="1"/>
    </font>
    <font>
      <b/>
      <sz val="10"/>
      <color rgb="FF4A148C"/>
      <name val="Arial"/>
      <charset val="1"/>
    </font>
    <font>
      <b/>
      <sz val="10"/>
      <color rgb="FFC62828"/>
      <name val="Arial"/>
      <charset val="1"/>
    </font>
    <font>
      <sz val="9"/>
      <name val="Arial"/>
      <charset val="1"/>
    </font>
    <font>
      <b/>
      <sz val="9"/>
      <color rgb="FF843C0C"/>
      <name val="Arial"/>
      <charset val="1"/>
    </font>
    <font>
      <b/>
      <sz val="15"/>
      <color rgb="FFFFFFFF"/>
      <name val="Arial"/>
      <charset val="1"/>
    </font>
    <font>
      <sz val="11"/>
      <color rgb="FF5A6A8A"/>
      <name val="Arial"/>
      <charset val="1"/>
    </font>
    <font>
      <b/>
      <sz val="11"/>
      <color rgb="FF1F3864"/>
      <name val="Arial"/>
      <charset val="1"/>
    </font>
    <font>
      <b/>
      <sz val="12"/>
      <color rgb="FF1F3864"/>
      <name val="Arial"/>
      <charset val="1"/>
    </font>
    <font>
      <b/>
      <sz val="10"/>
      <color rgb="FF212121"/>
      <name val="Arial"/>
      <charset val="1"/>
    </font>
    <font>
      <b/>
      <sz val="9"/>
      <color rgb="FF212121"/>
      <name val="Arial"/>
      <charset val="1"/>
    </font>
    <font>
      <sz val="10"/>
      <color rgb="FF5A6A8A"/>
      <name val="Arial"/>
      <charset val="1"/>
    </font>
    <font>
      <b/>
      <sz val="11"/>
      <name val="Arial"/>
      <charset val="1"/>
    </font>
    <font>
      <b/>
      <sz val="9"/>
      <color rgb="FFFFFFFF"/>
      <name val="Arial"/>
      <charset val="1"/>
    </font>
    <font>
      <b/>
      <sz val="14"/>
      <color rgb="FF1B3A6B"/>
      <name val="Arial"/>
      <charset val="1"/>
    </font>
    <font>
      <sz val="10"/>
      <color rgb="FF555555"/>
      <name val="Arial"/>
      <charset val="1"/>
    </font>
    <font>
      <b/>
      <sz val="11"/>
      <color rgb="FF1B3A6B"/>
      <name val="Arial"/>
      <charset val="1"/>
    </font>
    <font>
      <b/>
      <sz val="12"/>
      <color rgb="FFFFFFFF"/>
      <name val="Arial"/>
      <charset val="1"/>
    </font>
    <font>
      <i/>
      <sz val="10"/>
      <color rgb="FF1565C0"/>
      <name val="Arial"/>
      <charset val="1"/>
    </font>
    <font>
      <b/>
      <sz val="12"/>
      <color rgb="FFE65100"/>
      <name val="Arial"/>
      <charset val="1"/>
    </font>
    <font>
      <b/>
      <sz val="12"/>
      <color rgb="FFC62828"/>
      <name val="Arial"/>
      <charset val="1"/>
    </font>
    <font>
      <b/>
      <sz val="10"/>
      <color rgb="FF1565C0"/>
      <name val="Arial"/>
      <charset val="1"/>
    </font>
    <font>
      <b/>
      <sz val="11"/>
      <color rgb="FF1565C0"/>
      <name val="Arial"/>
      <charset val="1"/>
    </font>
    <font>
      <i/>
      <sz val="10"/>
      <color rgb="FF2E7D32"/>
      <name val="Arial"/>
      <charset val="1"/>
    </font>
    <font>
      <b/>
      <sz val="12"/>
      <color rgb="FF2E7D32"/>
      <name val="Arial"/>
      <charset val="1"/>
    </font>
    <font>
      <b/>
      <sz val="11"/>
      <color rgb="FF2E7D32"/>
      <name val="Arial"/>
      <charset val="1"/>
    </font>
    <font>
      <i/>
      <sz val="10"/>
      <color rgb="FF006064"/>
      <name val="Arial"/>
      <charset val="1"/>
    </font>
    <font>
      <b/>
      <sz val="10"/>
      <color rgb="FF006064"/>
      <name val="Arial"/>
      <charset val="1"/>
    </font>
    <font>
      <b/>
      <sz val="11"/>
      <color rgb="FF006064"/>
      <name val="Arial"/>
      <charset val="1"/>
    </font>
    <font>
      <i/>
      <sz val="10"/>
      <color rgb="FFE65100"/>
      <name val="Arial"/>
      <charset val="1"/>
    </font>
    <font>
      <b/>
      <sz val="11"/>
      <color rgb="FFE65100"/>
      <name val="Arial"/>
      <charset val="1"/>
    </font>
    <font>
      <i/>
      <sz val="10"/>
      <color rgb="FF4A148C"/>
      <name val="Arial"/>
      <charset val="1"/>
    </font>
    <font>
      <b/>
      <sz val="11"/>
      <color rgb="FF4A148C"/>
      <name val="Arial"/>
      <charset val="1"/>
    </font>
    <font>
      <i/>
      <sz val="10"/>
      <color rgb="FF880E4F"/>
      <name val="Arial"/>
      <charset val="1"/>
    </font>
    <font>
      <b/>
      <sz val="10"/>
      <color rgb="FF880E4F"/>
      <name val="Arial"/>
      <charset val="1"/>
    </font>
    <font>
      <b/>
      <sz val="11"/>
      <color rgb="FF880E4F"/>
      <name val="Arial"/>
      <charset val="1"/>
    </font>
    <font>
      <i/>
      <sz val="10"/>
      <color rgb="FF444444"/>
      <name val="Arial"/>
      <charset val="1"/>
    </font>
    <font>
      <b/>
      <sz val="13"/>
      <name val="Arial"/>
      <charset val="1"/>
    </font>
    <font>
      <i/>
      <sz val="10"/>
      <name val="Arial"/>
      <charset val="1"/>
    </font>
    <font>
      <b/>
      <sz val="10"/>
      <color rgb="FF1F3864"/>
      <name val="Arial"/>
      <charset val="1"/>
    </font>
    <font>
      <i/>
      <sz val="9"/>
      <name val="Arial"/>
      <charset val="1"/>
    </font>
    <font>
      <b/>
      <sz val="14"/>
      <color rgb="FFFFFFFF"/>
      <name val="Arial"/>
      <charset val="1"/>
    </font>
    <font>
      <i/>
      <sz val="9"/>
      <color rgb="FFFFFFFF"/>
      <name val="Arial"/>
      <charset val="1"/>
    </font>
    <font>
      <b/>
      <sz val="8"/>
      <color rgb="FFFFFFFF"/>
      <name val="Arial"/>
      <charset val="1"/>
    </font>
    <font>
      <b/>
      <sz val="9"/>
      <name val="Arial"/>
      <charset val="1"/>
    </font>
    <font>
      <b/>
      <sz val="8"/>
      <color rgb="FF375623"/>
      <name val="Arial"/>
      <charset val="1"/>
    </font>
    <font>
      <b/>
      <sz val="8"/>
      <color rgb="FF1F3864"/>
      <name val="Arial"/>
      <charset val="1"/>
    </font>
    <font>
      <sz val="8"/>
      <color rgb="FF595959"/>
      <name val="Arial"/>
      <charset val="1"/>
    </font>
    <font>
      <i/>
      <sz val="8"/>
      <color rgb="FF1F3864"/>
      <name val="Arial"/>
      <charset val="1"/>
    </font>
    <font>
      <i/>
      <sz val="8"/>
      <name val="Arial"/>
      <charset val="1"/>
    </font>
    <font>
      <i/>
      <sz val="9"/>
      <color rgb="FF2E7D32"/>
      <name val="Arial"/>
      <charset val="1"/>
    </font>
    <font>
      <b/>
      <sz val="9"/>
      <color rgb="FF0000FF"/>
      <name val="Arial"/>
      <charset val="1"/>
    </font>
    <font>
      <sz val="9"/>
      <color rgb="FF666666"/>
      <name val="Arial"/>
      <charset val="1"/>
    </font>
    <font>
      <b/>
      <sz val="16"/>
      <color rgb="FF1B3A6B"/>
      <name val="Arial"/>
      <charset val="1"/>
    </font>
  </fonts>
  <fills count="65">
    <fill>
      <patternFill patternType="none"/>
    </fill>
    <fill>
      <patternFill patternType="gray125"/>
    </fill>
    <fill>
      <patternFill patternType="solid">
        <fgColor rgb="FF265392"/>
        <bgColor rgb="FF2A589C"/>
      </patternFill>
    </fill>
    <fill>
      <patternFill patternType="solid">
        <fgColor rgb="FF4A148C"/>
        <bgColor rgb="FF7030A0"/>
      </patternFill>
    </fill>
    <fill>
      <patternFill patternType="solid">
        <fgColor rgb="FFDEEAF1"/>
        <bgColor rgb="FFDDEEFF"/>
      </patternFill>
    </fill>
    <fill>
      <patternFill patternType="solid">
        <fgColor rgb="FFC6EFCE"/>
        <bgColor rgb="FFD7EBD6"/>
      </patternFill>
    </fill>
    <fill>
      <patternFill patternType="solid">
        <fgColor rgb="FFFFF2CC"/>
        <bgColor rgb="FFFFF5D9"/>
      </patternFill>
    </fill>
    <fill>
      <patternFill patternType="solid">
        <fgColor rgb="FFF5F5F5"/>
        <bgColor rgb="FFF0F4F8"/>
      </patternFill>
    </fill>
    <fill>
      <patternFill patternType="solid">
        <fgColor rgb="FFFFCDD2"/>
        <bgColor rgb="FFFFCCCC"/>
      </patternFill>
    </fill>
    <fill>
      <patternFill patternType="solid">
        <fgColor rgb="FFEDE7F6"/>
        <bgColor rgb="FFF3E5F5"/>
      </patternFill>
    </fill>
    <fill>
      <patternFill patternType="solid">
        <fgColor rgb="FFF3E5F5"/>
        <bgColor rgb="FFEDE7F6"/>
      </patternFill>
    </fill>
    <fill>
      <patternFill patternType="solid">
        <fgColor rgb="FF1E3966"/>
        <bgColor rgb="FF1B3A6B"/>
      </patternFill>
    </fill>
    <fill>
      <patternFill patternType="solid">
        <fgColor rgb="FFEBF0FC"/>
        <bgColor rgb="FFEBF3FF"/>
      </patternFill>
    </fill>
    <fill>
      <patternFill patternType="solid">
        <fgColor rgb="FFFFFFFF"/>
        <bgColor rgb="FFF7F9FC"/>
      </patternFill>
    </fill>
    <fill>
      <patternFill patternType="solid">
        <fgColor rgb="FF1B3A6B"/>
        <bgColor rgb="FF1E3966"/>
      </patternFill>
    </fill>
    <fill>
      <patternFill patternType="solid">
        <fgColor rgb="FFE8F5E9"/>
        <bgColor rgb="FFF1F1F1"/>
      </patternFill>
    </fill>
    <fill>
      <patternFill patternType="solid">
        <fgColor rgb="FFF7F9FC"/>
        <bgColor rgb="FFF5F5F5"/>
      </patternFill>
    </fill>
    <fill>
      <patternFill patternType="mediumGray">
        <fgColor rgb="FFFFFDE6"/>
        <bgColor rgb="FFFFF5D9"/>
      </patternFill>
    </fill>
    <fill>
      <patternFill patternType="solid">
        <fgColor rgb="FFFFEBEE"/>
        <bgColor rgb="FFFCE4EC"/>
      </patternFill>
    </fill>
    <fill>
      <patternFill patternType="solid">
        <fgColor rgb="FFFCE4D6"/>
        <bgColor rgb="FFFCE5CD"/>
      </patternFill>
    </fill>
    <fill>
      <patternFill patternType="solid">
        <fgColor rgb="FFFFCCCC"/>
        <bgColor rgb="FFFFCDD2"/>
      </patternFill>
    </fill>
    <fill>
      <patternFill patternType="solid">
        <fgColor rgb="FFFFF9C4"/>
        <bgColor rgb="FFFFF2CC"/>
      </patternFill>
    </fill>
    <fill>
      <patternFill patternType="darkGray">
        <fgColor rgb="FF2F5EA8"/>
        <bgColor rgb="FF2A589C"/>
      </patternFill>
    </fill>
    <fill>
      <patternFill patternType="solid">
        <fgColor rgb="FFFFFDE6"/>
        <bgColor rgb="FFFFF5D9"/>
      </patternFill>
    </fill>
    <fill>
      <patternFill patternType="solid">
        <fgColor rgb="FFE3F2FD"/>
        <bgColor rgb="FFDFF1FB"/>
      </patternFill>
    </fill>
    <fill>
      <patternFill patternType="solid">
        <fgColor rgb="FFFFF5D9"/>
        <bgColor rgb="FFFFF2CC"/>
      </patternFill>
    </fill>
    <fill>
      <patternFill patternType="solid">
        <fgColor rgb="FFFCE4EC"/>
        <bgColor rgb="FFFFEBEE"/>
      </patternFill>
    </fill>
    <fill>
      <patternFill patternType="solid">
        <fgColor rgb="FFDFF1FB"/>
        <bgColor rgb="FFE3F2FD"/>
      </patternFill>
    </fill>
    <fill>
      <patternFill patternType="solid">
        <fgColor rgb="FF3A444A"/>
        <bgColor rgb="FF375623"/>
      </patternFill>
    </fill>
    <fill>
      <patternFill patternType="darkGray">
        <fgColor rgb="FFF1F1F1"/>
        <bgColor rgb="FFEBF0FC"/>
      </patternFill>
    </fill>
    <fill>
      <patternFill patternType="darkGray">
        <fgColor rgb="FFF0F5FF"/>
        <bgColor rgb="FFEBF3FF"/>
      </patternFill>
    </fill>
    <fill>
      <patternFill patternType="solid">
        <fgColor rgb="FF1565C0"/>
        <bgColor rgb="FF2F5EA8"/>
      </patternFill>
    </fill>
    <fill>
      <patternFill patternType="solid">
        <fgColor rgb="FF338235"/>
        <bgColor rgb="FF375623"/>
      </patternFill>
    </fill>
    <fill>
      <patternFill patternType="solid">
        <fgColor rgb="FF006064"/>
        <bgColor rgb="FF265392"/>
      </patternFill>
    </fill>
    <fill>
      <patternFill patternType="solid">
        <fgColor rgb="FFE0F7FA"/>
        <bgColor rgb="FFE3F2FD"/>
      </patternFill>
    </fill>
    <fill>
      <patternFill patternType="darkGray">
        <fgColor rgb="FFE75801"/>
        <bgColor rgb="FF843C0C"/>
      </patternFill>
    </fill>
    <fill>
      <patternFill patternType="solid">
        <fgColor rgb="FF880E4F"/>
        <bgColor rgb="FF7030A0"/>
      </patternFill>
    </fill>
    <fill>
      <patternFill patternType="solid">
        <fgColor rgb="FF2A589C"/>
        <bgColor rgb="FF265392"/>
      </patternFill>
    </fill>
    <fill>
      <patternFill patternType="solid">
        <fgColor rgb="FFD6E6F6"/>
        <bgColor rgb="FFDEEAF1"/>
      </patternFill>
    </fill>
    <fill>
      <patternFill patternType="solid">
        <fgColor rgb="FFEBF3FF"/>
        <bgColor rgb="FFEBF0FC"/>
      </patternFill>
    </fill>
    <fill>
      <patternFill patternType="darkGray">
        <fgColor rgb="FFE75801"/>
        <bgColor rgb="FFE4AC2C"/>
      </patternFill>
    </fill>
    <fill>
      <patternFill patternType="solid">
        <fgColor rgb="FFE4AC2C"/>
        <bgColor rgb="FFBDBDBD"/>
      </patternFill>
    </fill>
    <fill>
      <patternFill patternType="solid">
        <fgColor rgb="FFFF0000"/>
        <bgColor rgb="FFE75801"/>
      </patternFill>
    </fill>
    <fill>
      <patternFill patternType="darkGray">
        <fgColor rgb="FFD6E6F6"/>
        <bgColor rgb="FFDEEAF1"/>
      </patternFill>
    </fill>
    <fill>
      <patternFill patternType="darkGray">
        <fgColor rgb="FFD7EBD6"/>
        <bgColor rgb="FFE2EFDA"/>
      </patternFill>
    </fill>
    <fill>
      <patternFill patternType="darkGray">
        <fgColor rgb="FFD7EBD6"/>
        <bgColor rgb="FFC6EFCE"/>
      </patternFill>
    </fill>
    <fill>
      <patternFill patternType="darkGray">
        <fgColor rgb="FFEAD1F0"/>
        <bgColor rgb="FFFFCDD2"/>
      </patternFill>
    </fill>
    <fill>
      <patternFill patternType="solid">
        <fgColor rgb="FFFCE5CD"/>
        <bgColor rgb="FFFCE4D6"/>
      </patternFill>
    </fill>
    <fill>
      <patternFill patternType="solid">
        <fgColor rgb="FFF1F1F1"/>
        <bgColor rgb="FFF0F4F8"/>
      </patternFill>
    </fill>
    <fill>
      <patternFill patternType="solid">
        <fgColor rgb="FF2F5EA8"/>
        <bgColor rgb="FF2A589C"/>
      </patternFill>
    </fill>
    <fill>
      <patternFill patternType="solid">
        <fgColor rgb="FF00B0C8"/>
        <bgColor rgb="FF1565C0"/>
      </patternFill>
    </fill>
    <fill>
      <patternFill patternType="solid">
        <fgColor rgb="FF375623"/>
        <bgColor rgb="FF3A444A"/>
      </patternFill>
    </fill>
    <fill>
      <patternFill patternType="solid">
        <fgColor rgb="FF7030A0"/>
        <bgColor rgb="FF4A148C"/>
      </patternFill>
    </fill>
    <fill>
      <patternFill patternType="solid">
        <fgColor rgb="FF843C0C"/>
        <bgColor rgb="FF880E4F"/>
      </patternFill>
    </fill>
    <fill>
      <patternFill patternType="solid">
        <fgColor rgb="FFF0F5FF"/>
        <bgColor rgb="FFF0F4F8"/>
      </patternFill>
    </fill>
    <fill>
      <patternFill patternType="solid">
        <fgColor rgb="FFC7D5EC"/>
        <bgColor rgb="FFCCCCCC"/>
      </patternFill>
    </fill>
    <fill>
      <patternFill patternType="solid">
        <fgColor rgb="FFEBF0FC"/>
        <bgColor rgb="FFEBF3FF"/>
      </patternFill>
    </fill>
    <fill>
      <patternFill patternType="darkGray">
        <fgColor rgb="FFDFF1FB"/>
        <bgColor rgb="FFDDEEFF"/>
      </patternFill>
    </fill>
    <fill>
      <patternFill patternType="solid">
        <fgColor rgb="FF338235"/>
        <bgColor rgb="FF5D636D"/>
      </patternFill>
    </fill>
    <fill>
      <patternFill patternType="solid">
        <fgColor rgb="FFE2EFDA"/>
        <bgColor rgb="FFD7EBD6"/>
      </patternFill>
    </fill>
    <fill>
      <patternFill patternType="solid">
        <fgColor rgb="FFDDEEFF"/>
        <bgColor rgb="FFDFF1FB"/>
      </patternFill>
    </fill>
    <fill>
      <patternFill patternType="darkGray">
        <fgColor rgb="FFE4AC2C"/>
        <bgColor rgb="FFBDBDBD"/>
      </patternFill>
    </fill>
    <fill>
      <patternFill patternType="solid">
        <fgColor rgb="FFEAD1F0"/>
        <bgColor rgb="FFF3E5F5"/>
      </patternFill>
    </fill>
    <fill>
      <patternFill patternType="mediumGray">
        <fgColor rgb="FF265392"/>
        <bgColor rgb="FF2A589C"/>
      </patternFill>
    </fill>
    <fill>
      <patternFill patternType="solid">
        <fgColor rgb="FFF0F4F8"/>
        <bgColor rgb="FFF0F5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n">
        <color rgb="FFC7D5EC"/>
      </left>
      <right style="thin">
        <color rgb="FFC7D5EC"/>
      </right>
      <top style="thin">
        <color rgb="FFC7D5EC"/>
      </top>
      <bottom style="thin">
        <color rgb="FFC7D5EC"/>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244">
    <xf numFmtId="0" fontId="0" fillId="0" borderId="0" xfId="0"/>
    <xf numFmtId="0" fontId="8" fillId="0" borderId="0" xfId="0" applyFont="1" applyAlignment="1">
      <alignment horizontal="center" vertical="center" wrapText="1"/>
    </xf>
    <xf numFmtId="0" fontId="25" fillId="0" borderId="0" xfId="0" applyFont="1" applyAlignment="1">
      <alignment horizontal="center" vertical="center" wrapText="1"/>
    </xf>
    <xf numFmtId="0" fontId="20" fillId="27"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20" fillId="26" borderId="1" xfId="0" applyFont="1" applyFill="1" applyBorder="1" applyAlignment="1">
      <alignment horizontal="center" vertical="center" wrapText="1"/>
    </xf>
    <xf numFmtId="0" fontId="20" fillId="25" borderId="1" xfId="0" applyFont="1" applyFill="1" applyBorder="1" applyAlignment="1">
      <alignment horizontal="center" vertical="center" wrapText="1"/>
    </xf>
    <xf numFmtId="0" fontId="20" fillId="15" borderId="1" xfId="0" applyFont="1" applyFill="1" applyBorder="1" applyAlignment="1">
      <alignment horizontal="center" vertical="center" wrapText="1"/>
    </xf>
    <xf numFmtId="0" fontId="20" fillId="24" borderId="1" xfId="0" applyFont="1" applyFill="1" applyBorder="1" applyAlignment="1">
      <alignment horizontal="center" vertical="center" wrapText="1"/>
    </xf>
    <xf numFmtId="0" fontId="20" fillId="22" borderId="0" xfId="0" applyFont="1" applyFill="1" applyAlignment="1">
      <alignment horizontal="center" vertical="center"/>
    </xf>
    <xf numFmtId="0" fontId="5" fillId="22" borderId="0" xfId="0" applyFont="1" applyFill="1" applyAlignment="1">
      <alignment horizontal="center" vertical="center"/>
    </xf>
    <xf numFmtId="0" fontId="17" fillId="0" borderId="0" xfId="0" applyFont="1" applyAlignment="1">
      <alignment horizontal="center"/>
    </xf>
    <xf numFmtId="0" fontId="16" fillId="11" borderId="0" xfId="0" applyFont="1" applyFill="1" applyAlignment="1">
      <alignment horizontal="center" vertical="center"/>
    </xf>
    <xf numFmtId="0" fontId="8" fillId="0" borderId="0" xfId="0" applyFont="1" applyAlignment="1">
      <alignment horizontal="left" vertical="center"/>
    </xf>
    <xf numFmtId="0" fontId="7" fillId="0" borderId="0" xfId="0" applyFont="1" applyAlignment="1">
      <alignment horizontal="left"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2" fillId="0" borderId="0" xfId="0" applyFont="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0" fillId="4" borderId="0" xfId="0" applyFill="1" applyAlignment="1">
      <alignment horizontal="center" vertical="center"/>
    </xf>
    <xf numFmtId="0" fontId="0" fillId="4" borderId="0" xfId="0" applyFill="1" applyAlignment="1">
      <alignment horizontal="left" vertical="center"/>
    </xf>
    <xf numFmtId="0" fontId="3"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0" fillId="5" borderId="0" xfId="0" applyFill="1" applyAlignment="1">
      <alignment horizontal="center" vertical="center"/>
    </xf>
    <xf numFmtId="0" fontId="0" fillId="5" borderId="0" xfId="0" applyFill="1" applyAlignment="1">
      <alignment horizontal="left" vertical="center"/>
    </xf>
    <xf numFmtId="0" fontId="3" fillId="6" borderId="1" xfId="0" applyFont="1" applyFill="1" applyBorder="1" applyAlignment="1">
      <alignment horizontal="center" vertical="center" wrapText="1"/>
    </xf>
    <xf numFmtId="0" fontId="3" fillId="6" borderId="1" xfId="0" applyFont="1" applyFill="1" applyBorder="1" applyAlignment="1">
      <alignment horizontal="left" vertical="center" wrapText="1"/>
    </xf>
    <xf numFmtId="0" fontId="0" fillId="6" borderId="0" xfId="0" applyFill="1" applyAlignment="1">
      <alignment horizontal="center" vertical="center"/>
    </xf>
    <xf numFmtId="0" fontId="0" fillId="6" borderId="0" xfId="0" applyFill="1" applyAlignment="1">
      <alignment horizontal="left" vertical="center"/>
    </xf>
    <xf numFmtId="0" fontId="3" fillId="7"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7" borderId="0" xfId="0" applyFill="1" applyAlignment="1">
      <alignment horizontal="center" vertical="center"/>
    </xf>
    <xf numFmtId="0" fontId="0" fillId="7" borderId="0" xfId="0" applyFill="1" applyAlignment="1">
      <alignment horizontal="left" vertical="center"/>
    </xf>
    <xf numFmtId="0" fontId="3" fillId="8" borderId="1" xfId="0" applyFont="1" applyFill="1" applyBorder="1" applyAlignment="1">
      <alignment horizontal="center" vertical="center" wrapText="1"/>
    </xf>
    <xf numFmtId="0" fontId="3" fillId="8" borderId="1" xfId="0" applyFont="1" applyFill="1" applyBorder="1" applyAlignment="1">
      <alignment horizontal="left" vertical="center" wrapText="1"/>
    </xf>
    <xf numFmtId="0" fontId="0" fillId="8" borderId="0" xfId="0" applyFill="1" applyAlignment="1">
      <alignment horizontal="center" vertical="center"/>
    </xf>
    <xf numFmtId="0" fontId="0" fillId="8" borderId="0" xfId="0" applyFill="1" applyAlignment="1">
      <alignment horizontal="left" vertical="center"/>
    </xf>
    <xf numFmtId="0" fontId="4" fillId="4"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9" borderId="1" xfId="0" applyFont="1" applyFill="1" applyBorder="1" applyAlignment="1">
      <alignment horizontal="left" vertical="center" wrapText="1"/>
    </xf>
    <xf numFmtId="164" fontId="0" fillId="0" borderId="0" xfId="0" applyNumberFormat="1"/>
    <xf numFmtId="0" fontId="3" fillId="10"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0" fontId="3" fillId="4" borderId="1" xfId="0" applyFont="1" applyFill="1" applyBorder="1" applyAlignment="1">
      <alignment horizontal="left" vertical="center"/>
    </xf>
    <xf numFmtId="0" fontId="3" fillId="4" borderId="1" xfId="0" applyFont="1" applyFill="1" applyBorder="1" applyAlignment="1">
      <alignment horizontal="center" vertical="center"/>
    </xf>
    <xf numFmtId="0" fontId="3" fillId="6" borderId="1" xfId="0" applyFont="1" applyFill="1" applyBorder="1" applyAlignment="1">
      <alignment horizontal="left" vertical="center"/>
    </xf>
    <xf numFmtId="0" fontId="3" fillId="6" borderId="1" xfId="0" applyFont="1" applyFill="1" applyBorder="1" applyAlignment="1">
      <alignment horizontal="center" vertical="center"/>
    </xf>
    <xf numFmtId="0" fontId="3" fillId="8" borderId="1" xfId="0" applyFont="1" applyFill="1" applyBorder="1" applyAlignment="1">
      <alignment horizontal="left" vertical="center"/>
    </xf>
    <xf numFmtId="0" fontId="3" fillId="8" borderId="1" xfId="0" applyFont="1" applyFill="1" applyBorder="1" applyAlignment="1">
      <alignment horizontal="center" vertical="center"/>
    </xf>
    <xf numFmtId="0" fontId="3" fillId="5" borderId="1" xfId="0" applyFont="1" applyFill="1" applyBorder="1" applyAlignment="1">
      <alignment horizontal="left" vertical="center"/>
    </xf>
    <xf numFmtId="0" fontId="3" fillId="5" borderId="1" xfId="0" applyFont="1" applyFill="1" applyBorder="1" applyAlignment="1">
      <alignment horizontal="center" vertical="center"/>
    </xf>
    <xf numFmtId="0" fontId="3" fillId="7" borderId="1" xfId="0" applyFont="1" applyFill="1" applyBorder="1" applyAlignment="1">
      <alignment horizontal="left" vertical="center"/>
    </xf>
    <xf numFmtId="0" fontId="3" fillId="7" borderId="1" xfId="0" applyFont="1" applyFill="1" applyBorder="1" applyAlignment="1">
      <alignment horizontal="center" vertical="center"/>
    </xf>
    <xf numFmtId="0" fontId="5" fillId="11" borderId="2" xfId="0" applyFont="1" applyFill="1" applyBorder="1" applyAlignment="1">
      <alignment horizontal="center" vertical="center" wrapText="1"/>
    </xf>
    <xf numFmtId="0" fontId="6" fillId="12" borderId="2" xfId="0" applyFont="1" applyFill="1" applyBorder="1" applyAlignment="1">
      <alignment vertical="center"/>
    </xf>
    <xf numFmtId="0" fontId="6" fillId="13" borderId="2" xfId="0" applyFont="1" applyFill="1" applyBorder="1" applyAlignment="1">
      <alignment vertical="center"/>
    </xf>
    <xf numFmtId="165" fontId="6" fillId="12" borderId="2" xfId="0" applyNumberFormat="1" applyFont="1" applyFill="1" applyBorder="1" applyAlignment="1">
      <alignment vertical="center"/>
    </xf>
    <xf numFmtId="165" fontId="6" fillId="13" borderId="2" xfId="0" applyNumberFormat="1" applyFont="1" applyFill="1" applyBorder="1" applyAlignment="1">
      <alignment vertical="center"/>
    </xf>
    <xf numFmtId="0" fontId="6" fillId="0" borderId="2" xfId="0" applyFont="1" applyBorder="1" applyAlignment="1">
      <alignment horizontal="left" vertical="center"/>
    </xf>
    <xf numFmtId="0" fontId="6" fillId="0" borderId="2" xfId="0" applyFont="1" applyBorder="1" applyAlignment="1">
      <alignment horizontal="center" vertical="center"/>
    </xf>
    <xf numFmtId="0" fontId="1" fillId="14" borderId="3" xfId="0" applyFont="1" applyFill="1" applyBorder="1" applyAlignment="1">
      <alignment horizontal="center" vertical="center"/>
    </xf>
    <xf numFmtId="0" fontId="9" fillId="0" borderId="3" xfId="0" applyFont="1" applyBorder="1" applyAlignment="1">
      <alignment horizontal="center" vertical="center"/>
    </xf>
    <xf numFmtId="0" fontId="9" fillId="0" borderId="3" xfId="0" applyFont="1" applyBorder="1" applyAlignment="1">
      <alignment horizontal="left" vertical="center"/>
    </xf>
    <xf numFmtId="3" fontId="9" fillId="0" borderId="3" xfId="0" applyNumberFormat="1" applyFont="1" applyBorder="1" applyAlignment="1">
      <alignment horizontal="center" vertical="center"/>
    </xf>
    <xf numFmtId="0" fontId="10" fillId="15" borderId="3" xfId="0" applyFont="1" applyFill="1" applyBorder="1" applyAlignment="1">
      <alignment horizontal="center" vertical="center"/>
    </xf>
    <xf numFmtId="0" fontId="9" fillId="16" borderId="3" xfId="0" applyFont="1" applyFill="1" applyBorder="1" applyAlignment="1">
      <alignment horizontal="center" vertical="center"/>
    </xf>
    <xf numFmtId="0" fontId="9" fillId="16" borderId="3" xfId="0" applyFont="1" applyFill="1" applyBorder="1" applyAlignment="1">
      <alignment horizontal="left" vertical="center"/>
    </xf>
    <xf numFmtId="3" fontId="9" fillId="16" borderId="3" xfId="0" applyNumberFormat="1" applyFont="1" applyFill="1" applyBorder="1" applyAlignment="1">
      <alignment horizontal="center" vertical="center"/>
    </xf>
    <xf numFmtId="0" fontId="11" fillId="17" borderId="3" xfId="0" applyFont="1" applyFill="1" applyBorder="1" applyAlignment="1">
      <alignment horizontal="center" vertical="center"/>
    </xf>
    <xf numFmtId="0" fontId="12" fillId="10" borderId="3" xfId="0" applyFont="1" applyFill="1" applyBorder="1" applyAlignment="1">
      <alignment horizontal="center" vertical="center"/>
    </xf>
    <xf numFmtId="0" fontId="13" fillId="18" borderId="3" xfId="0" applyFont="1" applyFill="1" applyBorder="1" applyAlignment="1">
      <alignment horizontal="center" vertical="center"/>
    </xf>
    <xf numFmtId="3" fontId="9" fillId="19" borderId="3" xfId="0" applyNumberFormat="1" applyFont="1" applyFill="1" applyBorder="1" applyAlignment="1">
      <alignment horizontal="center" vertical="center"/>
    </xf>
    <xf numFmtId="0" fontId="4" fillId="20" borderId="3" xfId="0" applyFont="1" applyFill="1" applyBorder="1" applyAlignment="1">
      <alignment horizontal="center" vertical="center"/>
    </xf>
    <xf numFmtId="0" fontId="9" fillId="0" borderId="3" xfId="0" applyFont="1" applyBorder="1" applyAlignment="1">
      <alignment horizontal="left" vertical="center" wrapText="1"/>
    </xf>
    <xf numFmtId="0" fontId="9" fillId="16" borderId="3" xfId="0" applyFont="1" applyFill="1" applyBorder="1" applyAlignment="1">
      <alignment horizontal="left" vertical="center" wrapText="1"/>
    </xf>
    <xf numFmtId="0" fontId="14" fillId="13" borderId="0" xfId="0" applyFont="1" applyFill="1" applyAlignment="1">
      <alignment horizontal="center" vertical="center" wrapText="1"/>
    </xf>
    <xf numFmtId="0" fontId="14" fillId="13" borderId="0" xfId="0" applyFont="1" applyFill="1" applyAlignment="1">
      <alignment horizontal="left" vertical="center" wrapText="1"/>
    </xf>
    <xf numFmtId="0" fontId="15" fillId="21" borderId="0" xfId="0" applyFont="1" applyFill="1" applyAlignment="1">
      <alignment horizontal="left" vertical="center" wrapText="1"/>
    </xf>
    <xf numFmtId="0" fontId="17" fillId="0" borderId="0" xfId="0" applyFont="1" applyAlignment="1">
      <alignment horizontal="center"/>
    </xf>
    <xf numFmtId="0" fontId="18" fillId="12" borderId="2" xfId="0" applyFont="1" applyFill="1" applyBorder="1" applyAlignment="1">
      <alignment horizontal="left" vertical="center"/>
    </xf>
    <xf numFmtId="0" fontId="19" fillId="13" borderId="2" xfId="0" applyFont="1" applyFill="1" applyBorder="1" applyAlignment="1">
      <alignment horizontal="center" vertical="center"/>
    </xf>
    <xf numFmtId="0" fontId="3" fillId="12" borderId="2" xfId="0" applyFont="1" applyFill="1" applyBorder="1" applyAlignment="1">
      <alignment horizontal="left" vertical="center"/>
    </xf>
    <xf numFmtId="0" fontId="21" fillId="13" borderId="2" xfId="0" applyFont="1" applyFill="1" applyBorder="1" applyAlignment="1">
      <alignment horizontal="center" vertical="center"/>
    </xf>
    <xf numFmtId="0" fontId="22" fillId="12" borderId="2" xfId="0" applyFont="1" applyFill="1" applyBorder="1" applyAlignment="1">
      <alignment horizontal="left" vertical="center"/>
    </xf>
    <xf numFmtId="0" fontId="23" fillId="23" borderId="2" xfId="0" applyFont="1" applyFill="1" applyBorder="1"/>
    <xf numFmtId="0" fontId="24" fillId="2" borderId="1" xfId="0" applyFont="1" applyFill="1" applyBorder="1" applyAlignment="1">
      <alignment horizontal="center" vertical="center" wrapText="1"/>
    </xf>
    <xf numFmtId="0" fontId="24" fillId="28"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9" borderId="1" xfId="0" applyFont="1" applyFill="1" applyBorder="1" applyAlignment="1">
      <alignment horizontal="center" vertical="center" wrapText="1"/>
    </xf>
    <xf numFmtId="0" fontId="3" fillId="29" borderId="1" xfId="0" applyFont="1" applyFill="1" applyBorder="1" applyAlignment="1">
      <alignment horizontal="left" vertical="center" wrapText="1"/>
    </xf>
    <xf numFmtId="0" fontId="3" fillId="19" borderId="1" xfId="0" applyFont="1" applyFill="1" applyBorder="1" applyAlignment="1">
      <alignment horizontal="center" vertical="center" wrapText="1"/>
    </xf>
    <xf numFmtId="0" fontId="4"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26" fillId="7" borderId="3" xfId="0" applyFont="1" applyFill="1" applyBorder="1" applyAlignment="1">
      <alignment horizontal="center" vertical="center" wrapText="1"/>
    </xf>
    <xf numFmtId="0" fontId="27" fillId="30" borderId="3" xfId="0" applyFont="1" applyFill="1" applyBorder="1" applyAlignment="1">
      <alignment horizontal="center" vertical="center" wrapText="1"/>
    </xf>
    <xf numFmtId="0" fontId="1" fillId="28" borderId="3" xfId="0" applyFont="1" applyFill="1" applyBorder="1" applyAlignment="1">
      <alignment horizontal="center" vertical="center" wrapText="1"/>
    </xf>
    <xf numFmtId="0" fontId="6" fillId="0" borderId="3" xfId="0" applyFont="1" applyBorder="1" applyAlignment="1">
      <alignment horizontal="left" vertical="center" wrapText="1"/>
    </xf>
    <xf numFmtId="0" fontId="6" fillId="0" borderId="3" xfId="0" applyFont="1" applyBorder="1" applyAlignment="1">
      <alignment horizontal="center" vertical="center" wrapText="1"/>
    </xf>
    <xf numFmtId="0" fontId="30"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32" fillId="24" borderId="3" xfId="0" applyFont="1" applyFill="1" applyBorder="1" applyAlignment="1">
      <alignment horizontal="left" vertical="center" wrapText="1"/>
    </xf>
    <xf numFmtId="0" fontId="0" fillId="0" borderId="3" xfId="0" applyBorder="1" applyAlignment="1">
      <alignment horizontal="center" vertical="center" wrapText="1"/>
    </xf>
    <xf numFmtId="0" fontId="33" fillId="24" borderId="3" xfId="0" applyFont="1" applyFill="1" applyBorder="1" applyAlignment="1">
      <alignment horizontal="center" vertical="center" wrapText="1"/>
    </xf>
    <xf numFmtId="0" fontId="8" fillId="0" borderId="3" xfId="0" applyFont="1" applyBorder="1"/>
    <xf numFmtId="0" fontId="0" fillId="0" borderId="3" xfId="0" applyBorder="1"/>
    <xf numFmtId="0" fontId="35" fillId="0" borderId="3" xfId="0" applyFont="1" applyBorder="1" applyAlignment="1">
      <alignment horizontal="center" vertical="center" wrapText="1"/>
    </xf>
    <xf numFmtId="0" fontId="10" fillId="15" borderId="3" xfId="0" applyFont="1" applyFill="1" applyBorder="1" applyAlignment="1">
      <alignment horizontal="left" vertical="center" wrapText="1"/>
    </xf>
    <xf numFmtId="0" fontId="36" fillId="15" borderId="3" xfId="0" applyFont="1" applyFill="1" applyBorder="1" applyAlignment="1">
      <alignment horizontal="center" vertical="center" wrapText="1"/>
    </xf>
    <xf numFmtId="0" fontId="38" fillId="34" borderId="3" xfId="0" applyFont="1" applyFill="1" applyBorder="1" applyAlignment="1">
      <alignment horizontal="left" vertical="center" wrapText="1"/>
    </xf>
    <xf numFmtId="0" fontId="39" fillId="34" borderId="3" xfId="0" applyFont="1" applyFill="1" applyBorder="1" applyAlignment="1">
      <alignment horizontal="center" vertical="center" wrapText="1"/>
    </xf>
    <xf numFmtId="0" fontId="11" fillId="25" borderId="3" xfId="0" applyFont="1" applyFill="1" applyBorder="1" applyAlignment="1">
      <alignment horizontal="left" vertical="center" wrapText="1"/>
    </xf>
    <xf numFmtId="0" fontId="41" fillId="25" borderId="3" xfId="0" applyFont="1" applyFill="1" applyBorder="1" applyAlignment="1">
      <alignment horizontal="center" vertical="center" wrapText="1"/>
    </xf>
    <xf numFmtId="0" fontId="12" fillId="10" borderId="3" xfId="0" applyFont="1" applyFill="1" applyBorder="1" applyAlignment="1">
      <alignment horizontal="left" vertical="center" wrapText="1"/>
    </xf>
    <xf numFmtId="0" fontId="43" fillId="10" borderId="3" xfId="0" applyFont="1" applyFill="1" applyBorder="1" applyAlignment="1">
      <alignment horizontal="center" vertical="center" wrapText="1"/>
    </xf>
    <xf numFmtId="0" fontId="45" fillId="26" borderId="3" xfId="0" applyFont="1" applyFill="1" applyBorder="1" applyAlignment="1">
      <alignment horizontal="left" vertical="center" wrapText="1"/>
    </xf>
    <xf numFmtId="0" fontId="46" fillId="26" borderId="3" xfId="0" applyFont="1" applyFill="1" applyBorder="1" applyAlignment="1">
      <alignment horizontal="center" vertical="center" wrapText="1"/>
    </xf>
    <xf numFmtId="0" fontId="1" fillId="37" borderId="0" xfId="0" applyFont="1" applyFill="1" applyAlignment="1">
      <alignment horizontal="center" vertical="center" wrapText="1"/>
    </xf>
    <xf numFmtId="0" fontId="6" fillId="13" borderId="0" xfId="0" applyFont="1" applyFill="1" applyAlignment="1">
      <alignment horizontal="center" vertical="center" wrapText="1"/>
    </xf>
    <xf numFmtId="0" fontId="6" fillId="13" borderId="0" xfId="0" applyFont="1" applyFill="1" applyAlignment="1">
      <alignment horizontal="left" vertical="center" wrapText="1"/>
    </xf>
    <xf numFmtId="164" fontId="6" fillId="13" borderId="0" xfId="0" applyNumberFormat="1" applyFont="1" applyFill="1" applyAlignment="1">
      <alignment horizontal="left" vertical="center" wrapText="1"/>
    </xf>
    <xf numFmtId="0" fontId="6" fillId="38" borderId="0" xfId="0" applyFont="1" applyFill="1" applyAlignment="1">
      <alignment horizontal="center" vertical="center" wrapText="1"/>
    </xf>
    <xf numFmtId="0" fontId="6" fillId="38" borderId="0" xfId="0" applyFont="1" applyFill="1" applyAlignment="1">
      <alignment horizontal="left" vertical="center" wrapText="1"/>
    </xf>
    <xf numFmtId="164" fontId="6" fillId="38" borderId="0" xfId="0" applyNumberFormat="1" applyFont="1" applyFill="1" applyAlignment="1">
      <alignment horizontal="left" vertical="center" wrapText="1"/>
    </xf>
    <xf numFmtId="0" fontId="6" fillId="39" borderId="0" xfId="0" applyFont="1" applyFill="1" applyAlignment="1">
      <alignment horizontal="center" vertical="center" wrapText="1"/>
    </xf>
    <xf numFmtId="0" fontId="6" fillId="39" borderId="0" xfId="0" applyFont="1" applyFill="1" applyAlignment="1">
      <alignment horizontal="left" vertical="center" wrapText="1"/>
    </xf>
    <xf numFmtId="164" fontId="6" fillId="39" borderId="0" xfId="0" applyNumberFormat="1" applyFont="1" applyFill="1" applyAlignment="1">
      <alignment horizontal="left" vertical="center" wrapText="1"/>
    </xf>
    <xf numFmtId="0" fontId="6" fillId="21" borderId="0" xfId="0" applyFont="1" applyFill="1" applyAlignment="1">
      <alignment horizontal="center" vertical="center" wrapText="1"/>
    </xf>
    <xf numFmtId="0" fontId="6" fillId="21" borderId="0" xfId="0" applyFont="1" applyFill="1" applyAlignment="1">
      <alignment horizontal="left" vertical="center" wrapText="1"/>
    </xf>
    <xf numFmtId="164" fontId="6" fillId="21" borderId="0" xfId="0" applyNumberFormat="1" applyFont="1" applyFill="1" applyAlignment="1">
      <alignment horizontal="center" vertical="center" wrapText="1"/>
    </xf>
    <xf numFmtId="0" fontId="1" fillId="40" borderId="0" xfId="0" applyFont="1" applyFill="1" applyAlignment="1">
      <alignment horizontal="center" vertical="center" wrapText="1"/>
    </xf>
    <xf numFmtId="0" fontId="1" fillId="41" borderId="0" xfId="0" applyFont="1" applyFill="1" applyAlignment="1">
      <alignment horizontal="center" vertical="center" wrapText="1"/>
    </xf>
    <xf numFmtId="0" fontId="6" fillId="18" borderId="0" xfId="0" applyFont="1" applyFill="1" applyAlignment="1">
      <alignment horizontal="center" vertical="center" wrapText="1"/>
    </xf>
    <xf numFmtId="0" fontId="6" fillId="18" borderId="0" xfId="0" applyFont="1" applyFill="1" applyAlignment="1">
      <alignment horizontal="left" vertical="center" wrapText="1"/>
    </xf>
    <xf numFmtId="164" fontId="6" fillId="18" borderId="0" xfId="0" applyNumberFormat="1" applyFont="1" applyFill="1" applyAlignment="1">
      <alignment horizontal="center" vertical="center" wrapText="1"/>
    </xf>
    <xf numFmtId="0" fontId="1" fillId="42" borderId="0" xfId="0" applyFont="1" applyFill="1" applyAlignment="1">
      <alignment horizontal="center" vertical="center" wrapText="1"/>
    </xf>
    <xf numFmtId="0" fontId="6" fillId="44" borderId="0" xfId="0" applyFont="1" applyFill="1" applyAlignment="1">
      <alignment horizontal="center" vertical="center" wrapText="1"/>
    </xf>
    <xf numFmtId="0" fontId="6" fillId="44" borderId="0" xfId="0" applyFont="1" applyFill="1" applyAlignment="1">
      <alignment horizontal="left" vertical="center" wrapText="1"/>
    </xf>
    <xf numFmtId="0" fontId="6" fillId="45" borderId="0" xfId="0" applyFont="1" applyFill="1" applyAlignment="1">
      <alignment horizontal="center" vertical="center" wrapText="1"/>
    </xf>
    <xf numFmtId="0" fontId="6" fillId="45" borderId="0" xfId="0" applyFont="1" applyFill="1" applyAlignment="1">
      <alignment horizontal="left" vertical="center" wrapText="1"/>
    </xf>
    <xf numFmtId="0" fontId="6" fillId="46" borderId="0" xfId="0" applyFont="1" applyFill="1" applyAlignment="1">
      <alignment horizontal="center" vertical="center" wrapText="1"/>
    </xf>
    <xf numFmtId="0" fontId="6" fillId="46" borderId="0" xfId="0" applyFont="1" applyFill="1" applyAlignment="1">
      <alignment horizontal="left" vertical="center" wrapText="1"/>
    </xf>
    <xf numFmtId="0" fontId="6" fillId="47" borderId="0" xfId="0" applyFont="1" applyFill="1" applyAlignment="1">
      <alignment horizontal="center" vertical="center" wrapText="1"/>
    </xf>
    <xf numFmtId="0" fontId="6" fillId="47" borderId="0" xfId="0" applyFont="1" applyFill="1" applyAlignment="1">
      <alignment horizontal="left" vertical="center" wrapText="1"/>
    </xf>
    <xf numFmtId="0" fontId="6" fillId="6" borderId="0" xfId="0" applyFont="1" applyFill="1" applyAlignment="1">
      <alignment horizontal="center" vertical="center" wrapText="1"/>
    </xf>
    <xf numFmtId="0" fontId="6" fillId="6" borderId="0" xfId="0" applyFont="1" applyFill="1" applyAlignment="1">
      <alignment horizontal="left" vertical="center" wrapText="1"/>
    </xf>
    <xf numFmtId="0" fontId="24" fillId="37" borderId="0" xfId="0" applyFont="1" applyFill="1" applyAlignment="1">
      <alignment horizontal="center" vertical="center" wrapText="1"/>
    </xf>
    <xf numFmtId="0" fontId="54" fillId="11" borderId="0" xfId="0" applyFont="1" applyFill="1" applyAlignment="1">
      <alignment horizontal="center" vertical="center" wrapText="1"/>
    </xf>
    <xf numFmtId="0" fontId="54" fillId="37" borderId="0" xfId="0" applyFont="1" applyFill="1" applyAlignment="1">
      <alignment horizontal="center" vertical="center" wrapText="1"/>
    </xf>
    <xf numFmtId="0" fontId="54" fillId="50" borderId="0" xfId="0" applyFont="1" applyFill="1" applyAlignment="1">
      <alignment horizontal="center" vertical="center" wrapText="1"/>
    </xf>
    <xf numFmtId="0" fontId="54" fillId="51" borderId="0" xfId="0" applyFont="1" applyFill="1" applyAlignment="1">
      <alignment horizontal="center" vertical="center" wrapText="1"/>
    </xf>
    <xf numFmtId="0" fontId="54" fillId="52" borderId="0" xfId="0" applyFont="1" applyFill="1" applyAlignment="1">
      <alignment horizontal="center" vertical="center" wrapText="1"/>
    </xf>
    <xf numFmtId="0" fontId="54" fillId="53" borderId="0" xfId="0" applyFont="1" applyFill="1" applyAlignment="1">
      <alignment horizontal="center" vertical="center" wrapText="1"/>
    </xf>
    <xf numFmtId="0" fontId="55" fillId="54" borderId="0" xfId="0" applyFont="1" applyFill="1" applyAlignment="1">
      <alignment horizontal="center" vertical="center" wrapText="1"/>
    </xf>
    <xf numFmtId="0" fontId="55" fillId="54" borderId="0" xfId="0" applyFont="1" applyFill="1" applyAlignment="1">
      <alignment horizontal="left" vertical="center" wrapText="1"/>
    </xf>
    <xf numFmtId="0" fontId="14" fillId="54" borderId="0" xfId="0" applyFont="1" applyFill="1" applyAlignment="1">
      <alignment horizontal="left" vertical="center" wrapText="1"/>
    </xf>
    <xf numFmtId="164" fontId="14" fillId="54" borderId="0" xfId="0" applyNumberFormat="1" applyFont="1" applyFill="1" applyAlignment="1">
      <alignment horizontal="center" vertical="center" wrapText="1"/>
    </xf>
    <xf numFmtId="0" fontId="55" fillId="55" borderId="0" xfId="0" applyFont="1" applyFill="1" applyAlignment="1">
      <alignment horizontal="center" vertical="center" wrapText="1"/>
    </xf>
    <xf numFmtId="0" fontId="56" fillId="5" borderId="0" xfId="0" applyFont="1" applyFill="1" applyAlignment="1">
      <alignment horizontal="center" vertical="center" wrapText="1"/>
    </xf>
    <xf numFmtId="0" fontId="57" fillId="55" borderId="0" xfId="0" applyFont="1" applyFill="1" applyAlignment="1">
      <alignment horizontal="center" vertical="center" wrapText="1"/>
    </xf>
    <xf numFmtId="0" fontId="58" fillId="48" borderId="0" xfId="0" applyFont="1" applyFill="1" applyAlignment="1">
      <alignment horizontal="center" vertical="center" wrapText="1"/>
    </xf>
    <xf numFmtId="0" fontId="14" fillId="54" borderId="0" xfId="0" applyFont="1" applyFill="1" applyAlignment="1">
      <alignment horizontal="center" vertical="center" wrapText="1"/>
    </xf>
    <xf numFmtId="0" fontId="55" fillId="5" borderId="0" xfId="0" applyFont="1" applyFill="1" applyAlignment="1">
      <alignment horizontal="center" vertical="center" wrapText="1"/>
    </xf>
    <xf numFmtId="0" fontId="14" fillId="54" borderId="0" xfId="0" applyFont="1" applyFill="1" applyAlignment="1">
      <alignment horizontal="left" vertical="top" wrapText="1"/>
    </xf>
    <xf numFmtId="0" fontId="55" fillId="13" borderId="0" xfId="0" applyFont="1" applyFill="1" applyAlignment="1">
      <alignment horizontal="center" vertical="center" wrapText="1"/>
    </xf>
    <xf numFmtId="0" fontId="55" fillId="13" borderId="0" xfId="0" applyFont="1" applyFill="1" applyAlignment="1">
      <alignment horizontal="left" vertical="center" wrapText="1"/>
    </xf>
    <xf numFmtId="164" fontId="14" fillId="13" borderId="0" xfId="0" applyNumberFormat="1" applyFont="1" applyFill="1" applyAlignment="1">
      <alignment horizontal="center" vertical="center" wrapText="1"/>
    </xf>
    <xf numFmtId="0" fontId="14" fillId="13" borderId="0" xfId="0" applyFont="1" applyFill="1" applyAlignment="1">
      <alignment horizontal="left" vertical="top" wrapText="1"/>
    </xf>
    <xf numFmtId="0" fontId="55" fillId="6" borderId="0" xfId="0" applyFont="1" applyFill="1" applyAlignment="1">
      <alignment horizontal="center" vertical="center" wrapText="1"/>
    </xf>
    <xf numFmtId="0" fontId="28" fillId="50" borderId="0" xfId="0" applyFont="1" applyFill="1" applyAlignment="1">
      <alignment horizontal="center" vertical="center" wrapText="1"/>
    </xf>
    <xf numFmtId="0" fontId="55" fillId="50" borderId="0" xfId="0" applyFont="1" applyFill="1" applyAlignment="1">
      <alignment horizontal="left" vertical="center" wrapText="1"/>
    </xf>
    <xf numFmtId="0" fontId="14" fillId="57" borderId="0" xfId="0" applyFont="1" applyFill="1" applyAlignment="1">
      <alignment horizontal="center" vertical="center" wrapText="1"/>
    </xf>
    <xf numFmtId="0" fontId="14" fillId="57" borderId="0" xfId="0" applyFont="1" applyFill="1" applyAlignment="1">
      <alignment horizontal="left" vertical="top" wrapText="1"/>
    </xf>
    <xf numFmtId="0" fontId="28" fillId="58" borderId="0" xfId="0" applyFont="1" applyFill="1" applyAlignment="1">
      <alignment horizontal="center" vertical="center" wrapText="1"/>
    </xf>
    <xf numFmtId="0" fontId="55" fillId="58" borderId="0" xfId="0" applyFont="1" applyFill="1" applyAlignment="1">
      <alignment horizontal="left" vertical="center" wrapText="1"/>
    </xf>
    <xf numFmtId="0" fontId="14" fillId="59" borderId="0" xfId="0" applyFont="1" applyFill="1" applyAlignment="1">
      <alignment horizontal="center" vertical="center" wrapText="1"/>
    </xf>
    <xf numFmtId="0" fontId="14" fillId="59" borderId="0" xfId="0" applyFont="1" applyFill="1" applyAlignment="1">
      <alignment horizontal="left" vertical="top" wrapText="1"/>
    </xf>
    <xf numFmtId="0" fontId="28" fillId="37" borderId="0" xfId="0" applyFont="1" applyFill="1" applyAlignment="1">
      <alignment horizontal="center" vertical="center" wrapText="1"/>
    </xf>
    <xf numFmtId="0" fontId="55" fillId="37" borderId="0" xfId="0" applyFont="1" applyFill="1" applyAlignment="1">
      <alignment horizontal="left" vertical="center" wrapText="1"/>
    </xf>
    <xf numFmtId="0" fontId="14" fillId="60" borderId="0" xfId="0" applyFont="1" applyFill="1" applyAlignment="1">
      <alignment horizontal="center" vertical="center" wrapText="1"/>
    </xf>
    <xf numFmtId="0" fontId="14" fillId="60" borderId="0" xfId="0" applyFont="1" applyFill="1" applyAlignment="1">
      <alignment horizontal="left" vertical="top" wrapText="1"/>
    </xf>
    <xf numFmtId="0" fontId="28" fillId="61" borderId="0" xfId="0" applyFont="1" applyFill="1" applyAlignment="1">
      <alignment horizontal="center" vertical="center" wrapText="1"/>
    </xf>
    <xf numFmtId="0" fontId="55" fillId="61" borderId="0" xfId="0" applyFont="1" applyFill="1" applyAlignment="1">
      <alignment horizontal="left" vertical="center" wrapText="1"/>
    </xf>
    <xf numFmtId="0" fontId="14" fillId="6" borderId="0" xfId="0" applyFont="1" applyFill="1" applyAlignment="1">
      <alignment horizontal="center" vertical="center" wrapText="1"/>
    </xf>
    <xf numFmtId="0" fontId="14" fillId="6" borderId="0" xfId="0" applyFont="1" applyFill="1" applyAlignment="1">
      <alignment horizontal="left" vertical="top" wrapText="1"/>
    </xf>
    <xf numFmtId="0" fontId="28" fillId="52" borderId="0" xfId="0" applyFont="1" applyFill="1" applyAlignment="1">
      <alignment horizontal="center" vertical="center" wrapText="1"/>
    </xf>
    <xf numFmtId="0" fontId="55" fillId="52" borderId="0" xfId="0" applyFont="1" applyFill="1" applyAlignment="1">
      <alignment horizontal="left" vertical="center" wrapText="1"/>
    </xf>
    <xf numFmtId="0" fontId="14" fillId="62" borderId="0" xfId="0" applyFont="1" applyFill="1" applyAlignment="1">
      <alignment horizontal="center" vertical="center" wrapText="1"/>
    </xf>
    <xf numFmtId="0" fontId="14" fillId="62" borderId="0" xfId="0" applyFont="1" applyFill="1" applyAlignment="1">
      <alignment horizontal="left" vertical="top" wrapText="1"/>
    </xf>
    <xf numFmtId="0" fontId="14" fillId="59" borderId="0" xfId="0" applyFont="1" applyFill="1" applyAlignment="1">
      <alignment horizontal="left" vertical="center" wrapText="1"/>
    </xf>
    <xf numFmtId="0" fontId="14" fillId="57" borderId="0" xfId="0" applyFont="1" applyFill="1" applyAlignment="1">
      <alignment horizontal="left" vertical="center" wrapText="1"/>
    </xf>
    <xf numFmtId="0" fontId="1" fillId="14" borderId="3" xfId="0" applyFont="1" applyFill="1" applyBorder="1" applyAlignment="1">
      <alignment horizontal="center" vertical="center" wrapText="1"/>
    </xf>
    <xf numFmtId="0" fontId="9" fillId="0" borderId="3" xfId="0" applyFont="1" applyBorder="1" applyAlignment="1">
      <alignment horizontal="center" vertical="center" wrapText="1"/>
    </xf>
    <xf numFmtId="3" fontId="9" fillId="0" borderId="3" xfId="0" applyNumberFormat="1" applyFont="1" applyBorder="1" applyAlignment="1">
      <alignment horizontal="center" vertical="center" wrapText="1"/>
    </xf>
    <xf numFmtId="2" fontId="9" fillId="0" borderId="3" xfId="0" applyNumberFormat="1" applyFont="1" applyBorder="1" applyAlignment="1">
      <alignment horizontal="center" vertical="center" wrapText="1"/>
    </xf>
    <xf numFmtId="0" fontId="27" fillId="0" borderId="0" xfId="0" applyFont="1"/>
    <xf numFmtId="0" fontId="61" fillId="0" borderId="0" xfId="0" applyFont="1"/>
    <xf numFmtId="3" fontId="62" fillId="0" borderId="0" xfId="0" applyNumberFormat="1" applyFont="1"/>
    <xf numFmtId="0" fontId="8" fillId="0" borderId="0" xfId="0" applyFont="1"/>
    <xf numFmtId="0" fontId="5" fillId="14" borderId="0" xfId="0" applyFont="1" applyFill="1" applyAlignment="1">
      <alignment horizontal="center" vertical="center" wrapText="1"/>
    </xf>
    <xf numFmtId="0" fontId="28" fillId="31" borderId="0" xfId="0" applyFont="1" applyFill="1" applyAlignment="1">
      <alignment horizontal="left" vertical="center" wrapText="1"/>
    </xf>
    <xf numFmtId="0" fontId="29" fillId="24" borderId="0" xfId="0" applyFont="1" applyFill="1" applyAlignment="1">
      <alignment horizontal="left" vertical="center" wrapText="1"/>
    </xf>
    <xf numFmtId="0" fontId="28" fillId="32" borderId="0" xfId="0" applyFont="1" applyFill="1" applyAlignment="1">
      <alignment horizontal="left" vertical="center" wrapText="1"/>
    </xf>
    <xf numFmtId="0" fontId="34" fillId="15" borderId="0" xfId="0" applyFont="1" applyFill="1" applyAlignment="1">
      <alignment horizontal="left" vertical="center" wrapText="1"/>
    </xf>
    <xf numFmtId="0" fontId="28" fillId="33" borderId="0" xfId="0" applyFont="1" applyFill="1" applyAlignment="1">
      <alignment horizontal="left" vertical="center" wrapText="1"/>
    </xf>
    <xf numFmtId="0" fontId="37" fillId="34" borderId="0" xfId="0" applyFont="1" applyFill="1" applyAlignment="1">
      <alignment horizontal="left" vertical="center" wrapText="1"/>
    </xf>
    <xf numFmtId="0" fontId="28" fillId="35" borderId="0" xfId="0" applyFont="1" applyFill="1" applyAlignment="1">
      <alignment horizontal="left" vertical="center" wrapText="1"/>
    </xf>
    <xf numFmtId="0" fontId="40" fillId="25" borderId="0" xfId="0" applyFont="1" applyFill="1" applyAlignment="1">
      <alignment horizontal="left" vertical="center" wrapText="1"/>
    </xf>
    <xf numFmtId="0" fontId="28" fillId="3" borderId="0" xfId="0" applyFont="1" applyFill="1" applyAlignment="1">
      <alignment horizontal="left" vertical="center" wrapText="1"/>
    </xf>
    <xf numFmtId="0" fontId="42" fillId="10" borderId="0" xfId="0" applyFont="1" applyFill="1" applyAlignment="1">
      <alignment horizontal="left" vertical="center" wrapText="1"/>
    </xf>
    <xf numFmtId="0" fontId="28" fillId="36" borderId="0" xfId="0" applyFont="1" applyFill="1" applyAlignment="1">
      <alignment horizontal="left" vertical="center" wrapText="1"/>
    </xf>
    <xf numFmtId="0" fontId="44" fillId="26" borderId="0" xfId="0" applyFont="1" applyFill="1" applyAlignment="1">
      <alignment horizontal="left" vertical="center" wrapText="1"/>
    </xf>
    <xf numFmtId="0" fontId="47" fillId="23" borderId="0" xfId="0" applyFont="1" applyFill="1" applyAlignment="1">
      <alignment horizontal="left" vertical="top" wrapText="1"/>
    </xf>
    <xf numFmtId="0" fontId="0" fillId="0" borderId="0" xfId="0"/>
    <xf numFmtId="0" fontId="48" fillId="0" borderId="0" xfId="0" applyFont="1" applyAlignment="1">
      <alignment horizontal="center" vertical="center" wrapText="1"/>
    </xf>
    <xf numFmtId="0" fontId="49" fillId="0" borderId="0" xfId="0" applyFont="1" applyAlignment="1">
      <alignment horizontal="left" vertical="center"/>
    </xf>
    <xf numFmtId="0" fontId="49" fillId="0" borderId="0" xfId="0" applyFont="1" applyAlignment="1">
      <alignment horizontal="left" vertical="center" wrapText="1"/>
    </xf>
    <xf numFmtId="0" fontId="50" fillId="43" borderId="0" xfId="0" applyFont="1" applyFill="1" applyAlignment="1">
      <alignment horizontal="left" vertical="center" wrapText="1"/>
    </xf>
    <xf numFmtId="0" fontId="51" fillId="48" borderId="0" xfId="0" applyFont="1" applyFill="1" applyAlignment="1">
      <alignment horizontal="left" vertical="center" wrapText="1"/>
    </xf>
    <xf numFmtId="0" fontId="52" fillId="11" borderId="0" xfId="0" applyFont="1" applyFill="1" applyAlignment="1">
      <alignment horizontal="center" vertical="center" wrapText="1"/>
    </xf>
    <xf numFmtId="0" fontId="53" fillId="49" borderId="0" xfId="0" applyFont="1" applyFill="1" applyAlignment="1">
      <alignment horizontal="left" vertical="center" wrapText="1"/>
    </xf>
    <xf numFmtId="0" fontId="24" fillId="11" borderId="0" xfId="0" applyFont="1" applyFill="1" applyAlignment="1">
      <alignment horizontal="center" vertical="center" wrapText="1"/>
    </xf>
    <xf numFmtId="0" fontId="24" fillId="37" borderId="0" xfId="0" applyFont="1" applyFill="1" applyAlignment="1">
      <alignment horizontal="center" vertical="center" wrapText="1"/>
    </xf>
    <xf numFmtId="0" fontId="24" fillId="50" borderId="0" xfId="0" applyFont="1" applyFill="1" applyAlignment="1">
      <alignment horizontal="center" vertical="center" wrapText="1"/>
    </xf>
    <xf numFmtId="0" fontId="24" fillId="51" borderId="0" xfId="0" applyFont="1" applyFill="1" applyAlignment="1">
      <alignment horizontal="center" vertical="center" wrapText="1"/>
    </xf>
    <xf numFmtId="0" fontId="24" fillId="52" borderId="0" xfId="0" applyFont="1" applyFill="1" applyAlignment="1">
      <alignment horizontal="center" vertical="center" wrapText="1"/>
    </xf>
    <xf numFmtId="0" fontId="24" fillId="53" borderId="0" xfId="0" applyFont="1" applyFill="1" applyAlignment="1">
      <alignment horizontal="center" vertical="center" wrapText="1"/>
    </xf>
    <xf numFmtId="0" fontId="59" fillId="56" borderId="0" xfId="0" applyFont="1" applyFill="1" applyAlignment="1">
      <alignment horizontal="left" vertical="center" wrapText="1"/>
    </xf>
    <xf numFmtId="0" fontId="5" fillId="11" borderId="0" xfId="0" applyFont="1" applyFill="1" applyAlignment="1">
      <alignment horizontal="center" vertical="center" wrapText="1"/>
    </xf>
    <xf numFmtId="0" fontId="1" fillId="11" borderId="0" xfId="0" applyFont="1" applyFill="1" applyAlignment="1">
      <alignment horizontal="center" vertical="center" wrapText="1"/>
    </xf>
    <xf numFmtId="0" fontId="60" fillId="48" borderId="0" xfId="0" applyFont="1" applyFill="1" applyAlignment="1">
      <alignment horizontal="left" vertical="center" wrapText="1"/>
    </xf>
    <xf numFmtId="0" fontId="55" fillId="60" borderId="0" xfId="0" applyFont="1" applyFill="1" applyAlignment="1">
      <alignment horizontal="left" vertical="center" wrapText="1"/>
    </xf>
    <xf numFmtId="0" fontId="14" fillId="59" borderId="0" xfId="0" applyFont="1" applyFill="1" applyAlignment="1">
      <alignment horizontal="center" vertical="center" wrapText="1"/>
    </xf>
    <xf numFmtId="0" fontId="14" fillId="60" borderId="0" xfId="0" applyFont="1" applyFill="1" applyAlignment="1">
      <alignment horizontal="left" vertical="top" wrapText="1"/>
    </xf>
    <xf numFmtId="0" fontId="55" fillId="13" borderId="0" xfId="0" applyFont="1" applyFill="1" applyAlignment="1">
      <alignment horizontal="left" vertical="center" wrapText="1"/>
    </xf>
    <xf numFmtId="0" fontId="14" fillId="13" borderId="0" xfId="0" applyFont="1" applyFill="1" applyAlignment="1">
      <alignment horizontal="left" vertical="top" wrapText="1"/>
    </xf>
    <xf numFmtId="0" fontId="7" fillId="0" borderId="0" xfId="0" applyFont="1"/>
    <xf numFmtId="0" fontId="8" fillId="0" borderId="0" xfId="0" applyFont="1"/>
    <xf numFmtId="0" fontId="5" fillId="63" borderId="0" xfId="0" applyFont="1" applyFill="1" applyAlignment="1">
      <alignment horizontal="left" vertical="center" indent="1"/>
    </xf>
    <xf numFmtId="0" fontId="63" fillId="64" borderId="3" xfId="0" applyFont="1" applyFill="1" applyBorder="1" applyAlignment="1">
      <alignment horizontal="left" vertical="center" wrapText="1" indent="1"/>
    </xf>
    <xf numFmtId="1" fontId="64" fillId="64" borderId="3" xfId="0" applyNumberFormat="1" applyFont="1" applyFill="1" applyBorder="1" applyAlignment="1">
      <alignment horizontal="left" vertical="center" indent="1"/>
    </xf>
    <xf numFmtId="3" fontId="64" fillId="64" borderId="3" xfId="0" applyNumberFormat="1" applyFont="1" applyFill="1" applyBorder="1" applyAlignment="1">
      <alignment horizontal="left" vertical="center" indent="1"/>
    </xf>
    <xf numFmtId="2" fontId="64" fillId="64" borderId="3" xfId="0" applyNumberFormat="1" applyFont="1" applyFill="1" applyBorder="1" applyAlignment="1">
      <alignment horizontal="left" vertical="center" indent="1"/>
    </xf>
    <xf numFmtId="1" fontId="25" fillId="64" borderId="3" xfId="0" applyNumberFormat="1" applyFont="1" applyFill="1" applyBorder="1" applyAlignment="1">
      <alignment horizontal="left" vertical="center" indent="1"/>
    </xf>
  </cellXfs>
  <cellStyles count="1">
    <cellStyle name="Normal" xfId="0" builtinId="0"/>
  </cellStyles>
  <dxfs count="2">
    <dxf>
      <fill>
        <patternFill>
          <bgColor rgb="FFFFF2CC"/>
        </patternFill>
      </fill>
    </dxf>
    <dxf>
      <fill>
        <patternFill>
          <bgColor rgb="FFFFCDD2"/>
        </patternFill>
      </fill>
    </dxf>
  </dxfs>
  <tableStyles count="0" defaultTableStyle="TableStyleMedium2" defaultPivotStyle="PivotStyleLight16"/>
  <colors>
    <indexedColors>
      <rgbColor rgb="FF000000"/>
      <rgbColor rgb="FFFFFFFF"/>
      <rgbColor rgb="FFFF0000"/>
      <rgbColor rgb="FFE8F5E9"/>
      <rgbColor rgb="FF0000FF"/>
      <rgbColor rgb="FFFFF5D9"/>
      <rgbColor rgb="FFFFEBEE"/>
      <rgbColor rgb="FFDDEEFF"/>
      <rgbColor rgb="FFF0F4F8"/>
      <rgbColor rgb="FFEBF0FC"/>
      <rgbColor rgb="FFF7F9FC"/>
      <rgbColor rgb="FFEDE7F6"/>
      <rgbColor rgb="FF880E4F"/>
      <rgbColor rgb="FF006064"/>
      <rgbColor rgb="FFBDBDBD"/>
      <rgbColor rgb="FF265392"/>
      <rgbColor rgb="FFD6E6F6"/>
      <rgbColor rgb="FF7030A0"/>
      <rgbColor rgb="FFFFF9C4"/>
      <rgbColor rgb="FFE0F7FA"/>
      <rgbColor rgb="FF4A148C"/>
      <rgbColor rgb="FFFCE4EC"/>
      <rgbColor rgb="FF1565C0"/>
      <rgbColor rgb="FFC7D5EC"/>
      <rgbColor rgb="FFFFFDE6"/>
      <rgbColor rgb="FFF1F1F1"/>
      <rgbColor rgb="FFFCE4D6"/>
      <rgbColor rgb="FFE3F2FD"/>
      <rgbColor rgb="FFEBF3FF"/>
      <rgbColor rgb="FFF5F5F5"/>
      <rgbColor rgb="FF2A589C"/>
      <rgbColor rgb="FFF0F5FF"/>
      <rgbColor rgb="FF00B0C8"/>
      <rgbColor rgb="FFDFF1FB"/>
      <rgbColor rgb="FFC6EFCE"/>
      <rgbColor rgb="FFFFF2CC"/>
      <rgbColor rgb="FFCCCCCC"/>
      <rgbColor rgb="FFFFCDD2"/>
      <rgbColor rgb="FFEAD1F0"/>
      <rgbColor rgb="FFFFCCCC"/>
      <rgbColor rgb="FF2F5EA8"/>
      <rgbColor rgb="FFDEEAF1"/>
      <rgbColor rgb="FFE2EFDA"/>
      <rgbColor rgb="FFFCE5CD"/>
      <rgbColor rgb="FFE4AC2C"/>
      <rgbColor rgb="FFE75801"/>
      <rgbColor rgb="FF5D636D"/>
      <rgbColor rgb="FFD7EBD6"/>
      <rgbColor rgb="FF1B3A6B"/>
      <rgbColor rgb="FF338235"/>
      <rgbColor rgb="FF375623"/>
      <rgbColor rgb="FF3A444A"/>
      <rgbColor rgb="FF843C0C"/>
      <rgbColor rgb="FFF3E5F5"/>
      <rgbColor rgb="FF1E3966"/>
      <rgbColor rgb="FF1F293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53"/>
  <sheetViews>
    <sheetView showGridLines="0" tabSelected="1" zoomScaleNormal="100" workbookViewId="0">
      <pane xSplit="2" ySplit="1" topLeftCell="C2" activePane="bottomRight" state="frozen"/>
      <selection pane="topRight" activeCell="C1" sqref="C1"/>
      <selection pane="bottomLeft" activeCell="A2" sqref="A2"/>
      <selection pane="bottomRight"/>
    </sheetView>
  </sheetViews>
  <sheetFormatPr defaultColWidth="8.7109375" defaultRowHeight="15" x14ac:dyDescent="0.25"/>
  <cols>
    <col min="1" max="1" width="18" customWidth="1"/>
    <col min="2" max="2" width="22" customWidth="1"/>
    <col min="3" max="3" width="9" customWidth="1"/>
    <col min="4" max="4" width="13" customWidth="1"/>
    <col min="5" max="5" width="28" customWidth="1"/>
    <col min="6" max="6" width="16" customWidth="1"/>
    <col min="7" max="7" width="8" customWidth="1"/>
    <col min="8" max="8" width="22" customWidth="1"/>
    <col min="9" max="9" width="24" customWidth="1"/>
    <col min="10" max="10" width="10" customWidth="1"/>
    <col min="11" max="11" width="7" customWidth="1"/>
    <col min="12" max="12" width="8" customWidth="1"/>
    <col min="13" max="13" width="12" customWidth="1"/>
    <col min="14" max="15" width="14" customWidth="1"/>
    <col min="16" max="16" width="16" customWidth="1"/>
    <col min="17" max="17" width="14" customWidth="1"/>
    <col min="18" max="18" width="18" customWidth="1"/>
    <col min="19" max="19" width="32" customWidth="1"/>
    <col min="20" max="20" width="14" customWidth="1"/>
    <col min="21" max="21" width="12" customWidth="1"/>
    <col min="22" max="22" width="16" customWidth="1"/>
    <col min="23" max="23" width="14" customWidth="1"/>
    <col min="24" max="24" width="16" customWidth="1"/>
    <col min="25" max="25" width="40" customWidth="1"/>
    <col min="26" max="26" width="22" customWidth="1"/>
    <col min="27" max="28" width="18" customWidth="1"/>
    <col min="37" max="37" width="18" customWidth="1"/>
    <col min="38" max="38" width="16" customWidth="1"/>
    <col min="39" max="39" width="26" customWidth="1"/>
    <col min="40" max="40" width="42" customWidth="1"/>
  </cols>
  <sheetData>
    <row r="1" spans="1:40" ht="30" customHeight="1" x14ac:dyDescent="0.25">
      <c r="A1" s="15" t="s">
        <v>0</v>
      </c>
      <c r="B1" s="15" t="s">
        <v>1</v>
      </c>
      <c r="C1" s="15" t="s">
        <v>2</v>
      </c>
      <c r="D1" s="15" t="s">
        <v>3</v>
      </c>
      <c r="E1" s="15" t="s">
        <v>4</v>
      </c>
      <c r="F1" s="15" t="s">
        <v>5</v>
      </c>
      <c r="G1" s="15" t="s">
        <v>6</v>
      </c>
      <c r="H1" s="15" t="s">
        <v>7</v>
      </c>
      <c r="I1" s="15" t="s">
        <v>8</v>
      </c>
      <c r="J1" s="15" t="s">
        <v>9</v>
      </c>
      <c r="K1" s="15" t="s">
        <v>10</v>
      </c>
      <c r="L1" s="15" t="s">
        <v>11</v>
      </c>
      <c r="M1" s="15" t="s">
        <v>12</v>
      </c>
      <c r="N1" s="15" t="s">
        <v>13</v>
      </c>
      <c r="O1" s="15" t="s">
        <v>14</v>
      </c>
      <c r="P1" s="15" t="s">
        <v>15</v>
      </c>
      <c r="Q1" s="16" t="s">
        <v>16</v>
      </c>
      <c r="R1" s="16" t="s">
        <v>17</v>
      </c>
      <c r="S1" s="16" t="s">
        <v>18</v>
      </c>
      <c r="T1" s="16" t="s">
        <v>19</v>
      </c>
      <c r="U1" s="16" t="s">
        <v>20</v>
      </c>
      <c r="V1" s="16" t="s">
        <v>21</v>
      </c>
      <c r="W1" s="16" t="s">
        <v>22</v>
      </c>
      <c r="X1" s="16" t="s">
        <v>23</v>
      </c>
      <c r="Y1" s="16" t="s">
        <v>24</v>
      </c>
      <c r="Z1" s="16" t="s">
        <v>25</v>
      </c>
      <c r="AA1" s="16" t="s">
        <v>26</v>
      </c>
      <c r="AB1" s="16" t="s">
        <v>27</v>
      </c>
      <c r="AC1" s="17" t="s">
        <v>28</v>
      </c>
      <c r="AD1" s="17" t="s">
        <v>29</v>
      </c>
      <c r="AE1" s="17" t="s">
        <v>30</v>
      </c>
      <c r="AF1" s="17" t="s">
        <v>31</v>
      </c>
      <c r="AG1" s="17" t="s">
        <v>32</v>
      </c>
      <c r="AH1" s="17" t="s">
        <v>33</v>
      </c>
      <c r="AI1" s="17" t="s">
        <v>34</v>
      </c>
      <c r="AJ1" s="17" t="s">
        <v>35</v>
      </c>
      <c r="AK1" s="17" t="s">
        <v>36</v>
      </c>
      <c r="AL1" s="17" t="s">
        <v>37</v>
      </c>
      <c r="AM1" s="17" t="s">
        <v>38</v>
      </c>
      <c r="AN1" s="17" t="s">
        <v>39</v>
      </c>
    </row>
    <row r="2" spans="1:40" ht="15" customHeight="1" x14ac:dyDescent="0.25">
      <c r="A2" s="18" t="s">
        <v>40</v>
      </c>
      <c r="B2" s="19" t="s">
        <v>41</v>
      </c>
      <c r="C2" s="18" t="s">
        <v>42</v>
      </c>
      <c r="D2" s="18" t="s">
        <v>43</v>
      </c>
      <c r="E2" s="18" t="s">
        <v>44</v>
      </c>
      <c r="F2" s="18" t="s">
        <v>45</v>
      </c>
      <c r="G2" s="18" t="s">
        <v>46</v>
      </c>
      <c r="H2" s="19" t="s">
        <v>47</v>
      </c>
      <c r="I2" s="18" t="s">
        <v>48</v>
      </c>
      <c r="J2" s="18" t="s">
        <v>49</v>
      </c>
      <c r="K2" s="18">
        <v>3.78</v>
      </c>
      <c r="L2" s="18">
        <v>96</v>
      </c>
      <c r="M2" s="18" t="s">
        <v>50</v>
      </c>
      <c r="N2" s="18" t="s">
        <v>51</v>
      </c>
      <c r="O2" s="18" t="s">
        <v>52</v>
      </c>
      <c r="P2" s="18" t="s">
        <v>53</v>
      </c>
      <c r="Q2" s="18" t="s">
        <v>54</v>
      </c>
      <c r="R2" s="18" t="s">
        <v>46</v>
      </c>
      <c r="S2" s="19" t="s">
        <v>55</v>
      </c>
      <c r="T2" s="18" t="s">
        <v>56</v>
      </c>
      <c r="U2" s="18" t="s">
        <v>57</v>
      </c>
      <c r="V2" s="18">
        <v>0</v>
      </c>
      <c r="W2" s="18" t="s">
        <v>58</v>
      </c>
      <c r="X2" s="18" t="s">
        <v>59</v>
      </c>
      <c r="Y2" s="19" t="s">
        <v>60</v>
      </c>
      <c r="Z2" s="19" t="s">
        <v>60</v>
      </c>
      <c r="AA2" s="18" t="s">
        <v>61</v>
      </c>
      <c r="AB2" s="18"/>
      <c r="AJ2" t="s">
        <v>62</v>
      </c>
      <c r="AK2" s="20" t="s">
        <v>63</v>
      </c>
      <c r="AL2" s="20" t="s">
        <v>63</v>
      </c>
      <c r="AM2" s="21" t="s">
        <v>64</v>
      </c>
      <c r="AN2" s="21" t="s">
        <v>64</v>
      </c>
    </row>
    <row r="3" spans="1:40" ht="15" customHeight="1" x14ac:dyDescent="0.25">
      <c r="A3" s="18" t="s">
        <v>65</v>
      </c>
      <c r="B3" s="19" t="s">
        <v>66</v>
      </c>
      <c r="C3" s="18" t="s">
        <v>67</v>
      </c>
      <c r="D3" s="18" t="s">
        <v>68</v>
      </c>
      <c r="E3" s="18" t="s">
        <v>69</v>
      </c>
      <c r="F3" s="18" t="s">
        <v>70</v>
      </c>
      <c r="G3" s="18" t="s">
        <v>71</v>
      </c>
      <c r="H3" s="19" t="s">
        <v>72</v>
      </c>
      <c r="I3" s="18" t="s">
        <v>73</v>
      </c>
      <c r="J3" s="18" t="s">
        <v>74</v>
      </c>
      <c r="K3" s="18">
        <v>3.12</v>
      </c>
      <c r="L3" s="18">
        <v>64</v>
      </c>
      <c r="M3" s="18" t="s">
        <v>50</v>
      </c>
      <c r="N3" s="18" t="s">
        <v>51</v>
      </c>
      <c r="O3" s="18" t="s">
        <v>75</v>
      </c>
      <c r="P3" s="18" t="s">
        <v>76</v>
      </c>
      <c r="Q3" s="18" t="s">
        <v>54</v>
      </c>
      <c r="R3" s="18" t="s">
        <v>71</v>
      </c>
      <c r="S3" s="19" t="s">
        <v>77</v>
      </c>
      <c r="T3" s="18" t="s">
        <v>78</v>
      </c>
      <c r="U3" s="18" t="s">
        <v>57</v>
      </c>
      <c r="V3" s="18">
        <v>0</v>
      </c>
      <c r="W3" s="18" t="s">
        <v>58</v>
      </c>
      <c r="X3" s="18" t="s">
        <v>59</v>
      </c>
      <c r="Y3" s="19" t="s">
        <v>60</v>
      </c>
      <c r="Z3" s="19" t="s">
        <v>60</v>
      </c>
      <c r="AA3" s="18" t="s">
        <v>61</v>
      </c>
      <c r="AB3" s="18"/>
      <c r="AJ3" t="s">
        <v>62</v>
      </c>
      <c r="AK3" s="20" t="s">
        <v>63</v>
      </c>
      <c r="AL3" s="20" t="s">
        <v>63</v>
      </c>
      <c r="AM3" s="21" t="s">
        <v>64</v>
      </c>
      <c r="AN3" s="21" t="s">
        <v>64</v>
      </c>
    </row>
    <row r="4" spans="1:40" ht="15" customHeight="1" x14ac:dyDescent="0.25">
      <c r="A4" s="18" t="s">
        <v>79</v>
      </c>
      <c r="B4" s="19" t="s">
        <v>80</v>
      </c>
      <c r="C4" s="18" t="s">
        <v>42</v>
      </c>
      <c r="D4" s="18" t="s">
        <v>81</v>
      </c>
      <c r="E4" s="18" t="s">
        <v>82</v>
      </c>
      <c r="F4" s="18" t="s">
        <v>83</v>
      </c>
      <c r="G4" s="18" t="s">
        <v>46</v>
      </c>
      <c r="H4" s="19" t="s">
        <v>84</v>
      </c>
      <c r="I4" s="18" t="s">
        <v>85</v>
      </c>
      <c r="J4" s="18" t="s">
        <v>86</v>
      </c>
      <c r="K4" s="18">
        <v>3.55</v>
      </c>
      <c r="L4" s="18">
        <v>128</v>
      </c>
      <c r="M4" s="18" t="s">
        <v>50</v>
      </c>
      <c r="N4" s="18" t="s">
        <v>87</v>
      </c>
      <c r="O4" s="18" t="s">
        <v>88</v>
      </c>
      <c r="P4" s="18" t="s">
        <v>89</v>
      </c>
      <c r="Q4" s="18" t="s">
        <v>54</v>
      </c>
      <c r="R4" s="18" t="s">
        <v>46</v>
      </c>
      <c r="S4" s="19" t="s">
        <v>90</v>
      </c>
      <c r="T4" s="18" t="s">
        <v>91</v>
      </c>
      <c r="U4" s="18" t="s">
        <v>57</v>
      </c>
      <c r="V4" s="18">
        <v>0</v>
      </c>
      <c r="W4" s="18" t="s">
        <v>58</v>
      </c>
      <c r="X4" s="18" t="s">
        <v>59</v>
      </c>
      <c r="Y4" s="19" t="s">
        <v>60</v>
      </c>
      <c r="Z4" s="19" t="s">
        <v>60</v>
      </c>
      <c r="AA4" s="18" t="s">
        <v>92</v>
      </c>
      <c r="AB4" s="18"/>
      <c r="AJ4" t="s">
        <v>62</v>
      </c>
      <c r="AK4" s="20" t="s">
        <v>63</v>
      </c>
      <c r="AL4" s="20" t="s">
        <v>93</v>
      </c>
      <c r="AM4" s="21" t="s">
        <v>94</v>
      </c>
      <c r="AN4" s="21" t="s">
        <v>95</v>
      </c>
    </row>
    <row r="5" spans="1:40" ht="15" customHeight="1" x14ac:dyDescent="0.25">
      <c r="A5" s="22" t="s">
        <v>96</v>
      </c>
      <c r="B5" s="23" t="s">
        <v>97</v>
      </c>
      <c r="C5" s="22" t="s">
        <v>67</v>
      </c>
      <c r="D5" s="22" t="s">
        <v>98</v>
      </c>
      <c r="E5" s="22" t="s">
        <v>99</v>
      </c>
      <c r="F5" s="22" t="s">
        <v>100</v>
      </c>
      <c r="G5" s="22" t="s">
        <v>46</v>
      </c>
      <c r="H5" s="23" t="s">
        <v>101</v>
      </c>
      <c r="I5" s="22" t="s">
        <v>102</v>
      </c>
      <c r="J5" s="22" t="s">
        <v>86</v>
      </c>
      <c r="K5" s="22">
        <v>3.9</v>
      </c>
      <c r="L5" s="22">
        <v>132</v>
      </c>
      <c r="M5" s="22" t="s">
        <v>103</v>
      </c>
      <c r="N5" s="22" t="s">
        <v>104</v>
      </c>
      <c r="O5" s="22" t="s">
        <v>105</v>
      </c>
      <c r="P5" s="22"/>
      <c r="Q5" s="22" t="s">
        <v>54</v>
      </c>
      <c r="R5" s="22" t="s">
        <v>46</v>
      </c>
      <c r="S5" s="23" t="s">
        <v>106</v>
      </c>
      <c r="T5" s="22" t="s">
        <v>107</v>
      </c>
      <c r="U5" s="22" t="s">
        <v>108</v>
      </c>
      <c r="V5" s="22">
        <v>0</v>
      </c>
      <c r="W5" s="22" t="s">
        <v>108</v>
      </c>
      <c r="X5" s="22" t="s">
        <v>59</v>
      </c>
      <c r="Y5" s="23" t="s">
        <v>60</v>
      </c>
      <c r="Z5" s="23" t="s">
        <v>60</v>
      </c>
      <c r="AA5" s="22" t="s">
        <v>109</v>
      </c>
      <c r="AB5" s="22" t="s">
        <v>110</v>
      </c>
      <c r="AJ5" t="s">
        <v>62</v>
      </c>
      <c r="AK5" s="24" t="s">
        <v>63</v>
      </c>
      <c r="AL5" s="24" t="s">
        <v>63</v>
      </c>
      <c r="AM5" s="25" t="s">
        <v>64</v>
      </c>
      <c r="AN5" s="25" t="s">
        <v>64</v>
      </c>
    </row>
    <row r="6" spans="1:40" ht="15" customHeight="1" x14ac:dyDescent="0.25">
      <c r="A6" s="26" t="s">
        <v>111</v>
      </c>
      <c r="B6" s="27" t="s">
        <v>112</v>
      </c>
      <c r="C6" s="26" t="s">
        <v>42</v>
      </c>
      <c r="D6" s="26" t="s">
        <v>113</v>
      </c>
      <c r="E6" s="26" t="s">
        <v>114</v>
      </c>
      <c r="F6" s="26" t="s">
        <v>115</v>
      </c>
      <c r="G6" s="26" t="s">
        <v>46</v>
      </c>
      <c r="H6" s="27" t="s">
        <v>116</v>
      </c>
      <c r="I6" s="26" t="s">
        <v>117</v>
      </c>
      <c r="J6" s="26" t="s">
        <v>118</v>
      </c>
      <c r="K6" s="26">
        <v>2.4500000000000002</v>
      </c>
      <c r="L6" s="26">
        <v>32</v>
      </c>
      <c r="M6" s="26" t="s">
        <v>119</v>
      </c>
      <c r="N6" s="26" t="s">
        <v>51</v>
      </c>
      <c r="O6" s="26" t="s">
        <v>120</v>
      </c>
      <c r="P6" s="26" t="s">
        <v>121</v>
      </c>
      <c r="Q6" s="26" t="s">
        <v>54</v>
      </c>
      <c r="R6" s="26" t="s">
        <v>46</v>
      </c>
      <c r="S6" s="27" t="s">
        <v>122</v>
      </c>
      <c r="T6" s="26" t="s">
        <v>123</v>
      </c>
      <c r="U6" s="26" t="s">
        <v>124</v>
      </c>
      <c r="V6" s="26">
        <v>35000</v>
      </c>
      <c r="W6" s="26" t="s">
        <v>119</v>
      </c>
      <c r="X6" s="26" t="s">
        <v>125</v>
      </c>
      <c r="Y6" s="27" t="s">
        <v>60</v>
      </c>
      <c r="Z6" s="27" t="s">
        <v>60</v>
      </c>
      <c r="AA6" s="26" t="s">
        <v>126</v>
      </c>
      <c r="AB6" s="26"/>
      <c r="AJ6" t="s">
        <v>62</v>
      </c>
      <c r="AK6" s="28" t="s">
        <v>63</v>
      </c>
      <c r="AL6" s="28" t="s">
        <v>63</v>
      </c>
      <c r="AM6" s="29" t="s">
        <v>64</v>
      </c>
      <c r="AN6" s="29" t="s">
        <v>64</v>
      </c>
    </row>
    <row r="7" spans="1:40" ht="15" customHeight="1" x14ac:dyDescent="0.25">
      <c r="A7" s="18" t="s">
        <v>127</v>
      </c>
      <c r="B7" s="19" t="s">
        <v>128</v>
      </c>
      <c r="C7" s="18" t="s">
        <v>67</v>
      </c>
      <c r="D7" s="18" t="s">
        <v>129</v>
      </c>
      <c r="E7" s="18" t="s">
        <v>130</v>
      </c>
      <c r="F7" s="18" t="s">
        <v>131</v>
      </c>
      <c r="G7" s="18" t="s">
        <v>132</v>
      </c>
      <c r="H7" s="19" t="s">
        <v>133</v>
      </c>
      <c r="I7" s="18" t="s">
        <v>134</v>
      </c>
      <c r="J7" s="18" t="s">
        <v>49</v>
      </c>
      <c r="K7" s="18">
        <v>3.22</v>
      </c>
      <c r="L7" s="18">
        <v>98</v>
      </c>
      <c r="M7" s="18" t="s">
        <v>50</v>
      </c>
      <c r="N7" s="18" t="s">
        <v>51</v>
      </c>
      <c r="O7" s="18" t="s">
        <v>52</v>
      </c>
      <c r="P7" s="18" t="s">
        <v>53</v>
      </c>
      <c r="Q7" s="18" t="s">
        <v>54</v>
      </c>
      <c r="R7" s="18" t="s">
        <v>132</v>
      </c>
      <c r="S7" s="19" t="s">
        <v>55</v>
      </c>
      <c r="T7" s="18" t="s">
        <v>56</v>
      </c>
      <c r="U7" s="18" t="s">
        <v>57</v>
      </c>
      <c r="V7" s="18">
        <v>0</v>
      </c>
      <c r="W7" s="18" t="s">
        <v>58</v>
      </c>
      <c r="X7" s="18" t="s">
        <v>59</v>
      </c>
      <c r="Y7" s="19" t="s">
        <v>60</v>
      </c>
      <c r="Z7" s="19" t="s">
        <v>60</v>
      </c>
      <c r="AA7" s="18" t="s">
        <v>61</v>
      </c>
      <c r="AB7" s="18"/>
      <c r="AJ7" t="s">
        <v>62</v>
      </c>
      <c r="AK7" s="20" t="s">
        <v>63</v>
      </c>
      <c r="AL7" s="20" t="s">
        <v>63</v>
      </c>
      <c r="AM7" s="21" t="s">
        <v>64</v>
      </c>
      <c r="AN7" s="21" t="s">
        <v>64</v>
      </c>
    </row>
    <row r="8" spans="1:40" ht="15" customHeight="1" x14ac:dyDescent="0.25">
      <c r="A8" s="18" t="s">
        <v>135</v>
      </c>
      <c r="B8" s="19" t="s">
        <v>136</v>
      </c>
      <c r="C8" s="18" t="s">
        <v>42</v>
      </c>
      <c r="D8" s="18" t="s">
        <v>137</v>
      </c>
      <c r="E8" s="18" t="s">
        <v>138</v>
      </c>
      <c r="F8" s="18" t="s">
        <v>139</v>
      </c>
      <c r="G8" s="18" t="s">
        <v>46</v>
      </c>
      <c r="H8" s="19" t="s">
        <v>140</v>
      </c>
      <c r="I8" s="18" t="s">
        <v>117</v>
      </c>
      <c r="J8" s="18" t="s">
        <v>74</v>
      </c>
      <c r="K8" s="18">
        <v>3.68</v>
      </c>
      <c r="L8" s="18">
        <v>66</v>
      </c>
      <c r="M8" s="18" t="s">
        <v>50</v>
      </c>
      <c r="N8" s="18" t="s">
        <v>51</v>
      </c>
      <c r="O8" s="18" t="s">
        <v>141</v>
      </c>
      <c r="P8" s="18" t="s">
        <v>76</v>
      </c>
      <c r="Q8" s="18" t="s">
        <v>54</v>
      </c>
      <c r="R8" s="18" t="s">
        <v>46</v>
      </c>
      <c r="S8" s="19" t="s">
        <v>77</v>
      </c>
      <c r="T8" s="18" t="s">
        <v>78</v>
      </c>
      <c r="U8" s="18" t="s">
        <v>57</v>
      </c>
      <c r="V8" s="18">
        <v>0</v>
      </c>
      <c r="W8" s="18" t="s">
        <v>58</v>
      </c>
      <c r="X8" s="18" t="s">
        <v>59</v>
      </c>
      <c r="Y8" s="19" t="s">
        <v>60</v>
      </c>
      <c r="Z8" s="19" t="s">
        <v>60</v>
      </c>
      <c r="AA8" s="18" t="s">
        <v>61</v>
      </c>
      <c r="AB8" s="18"/>
      <c r="AJ8" t="s">
        <v>62</v>
      </c>
      <c r="AK8" s="20" t="s">
        <v>63</v>
      </c>
      <c r="AL8" s="20" t="s">
        <v>63</v>
      </c>
      <c r="AM8" s="21" t="s">
        <v>64</v>
      </c>
      <c r="AN8" s="21" t="s">
        <v>64</v>
      </c>
    </row>
    <row r="9" spans="1:40" ht="15" customHeight="1" x14ac:dyDescent="0.25">
      <c r="A9" s="18" t="s">
        <v>142</v>
      </c>
      <c r="B9" s="19" t="s">
        <v>143</v>
      </c>
      <c r="C9" s="18" t="s">
        <v>67</v>
      </c>
      <c r="D9" s="18" t="s">
        <v>144</v>
      </c>
      <c r="E9" s="18" t="s">
        <v>145</v>
      </c>
      <c r="F9" s="18" t="s">
        <v>146</v>
      </c>
      <c r="G9" s="18" t="s">
        <v>147</v>
      </c>
      <c r="H9" s="19" t="s">
        <v>148</v>
      </c>
      <c r="I9" s="18" t="s">
        <v>149</v>
      </c>
      <c r="J9" s="18" t="s">
        <v>86</v>
      </c>
      <c r="K9" s="18">
        <v>3.1</v>
      </c>
      <c r="L9" s="18">
        <v>120</v>
      </c>
      <c r="M9" s="18" t="s">
        <v>50</v>
      </c>
      <c r="N9" s="18" t="s">
        <v>150</v>
      </c>
      <c r="O9" s="18" t="s">
        <v>88</v>
      </c>
      <c r="P9" s="18" t="s">
        <v>89</v>
      </c>
      <c r="Q9" s="18" t="s">
        <v>54</v>
      </c>
      <c r="R9" s="18" t="s">
        <v>147</v>
      </c>
      <c r="S9" s="19" t="s">
        <v>90</v>
      </c>
      <c r="T9" s="18" t="s">
        <v>91</v>
      </c>
      <c r="U9" s="18" t="s">
        <v>57</v>
      </c>
      <c r="V9" s="18">
        <v>0</v>
      </c>
      <c r="W9" s="18" t="s">
        <v>58</v>
      </c>
      <c r="X9" s="18" t="s">
        <v>59</v>
      </c>
      <c r="Y9" s="19" t="s">
        <v>60</v>
      </c>
      <c r="Z9" s="19" t="s">
        <v>60</v>
      </c>
      <c r="AA9" s="18" t="s">
        <v>92</v>
      </c>
      <c r="AB9" s="18"/>
      <c r="AJ9" t="s">
        <v>62</v>
      </c>
      <c r="AK9" s="20" t="s">
        <v>63</v>
      </c>
      <c r="AL9" s="20" t="s">
        <v>63</v>
      </c>
      <c r="AM9" s="21" t="s">
        <v>64</v>
      </c>
      <c r="AN9" s="21" t="s">
        <v>64</v>
      </c>
    </row>
    <row r="10" spans="1:40" ht="15" customHeight="1" x14ac:dyDescent="0.25">
      <c r="A10" s="30" t="s">
        <v>151</v>
      </c>
      <c r="B10" s="31" t="s">
        <v>152</v>
      </c>
      <c r="C10" s="30" t="s">
        <v>42</v>
      </c>
      <c r="D10" s="30" t="s">
        <v>153</v>
      </c>
      <c r="E10" s="30" t="s">
        <v>154</v>
      </c>
      <c r="F10" s="30" t="s">
        <v>155</v>
      </c>
      <c r="G10" s="30" t="s">
        <v>156</v>
      </c>
      <c r="H10" s="31" t="s">
        <v>157</v>
      </c>
      <c r="I10" s="30" t="s">
        <v>73</v>
      </c>
      <c r="J10" s="30" t="s">
        <v>49</v>
      </c>
      <c r="K10" s="30">
        <v>2.8</v>
      </c>
      <c r="L10" s="30">
        <v>90</v>
      </c>
      <c r="M10" s="30" t="s">
        <v>158</v>
      </c>
      <c r="N10" s="30" t="s">
        <v>51</v>
      </c>
      <c r="O10" s="30" t="s">
        <v>52</v>
      </c>
      <c r="P10" s="30" t="s">
        <v>53</v>
      </c>
      <c r="Q10" s="30" t="s">
        <v>54</v>
      </c>
      <c r="R10" s="30" t="s">
        <v>156</v>
      </c>
      <c r="S10" s="31" t="s">
        <v>159</v>
      </c>
      <c r="T10" s="30" t="s">
        <v>56</v>
      </c>
      <c r="U10" s="30" t="s">
        <v>160</v>
      </c>
      <c r="V10" s="30">
        <v>0</v>
      </c>
      <c r="W10" s="30" t="s">
        <v>58</v>
      </c>
      <c r="X10" s="30" t="s">
        <v>59</v>
      </c>
      <c r="Y10" s="31" t="s">
        <v>60</v>
      </c>
      <c r="Z10" s="31" t="s">
        <v>60</v>
      </c>
      <c r="AA10" s="30" t="s">
        <v>61</v>
      </c>
      <c r="AB10" s="30"/>
      <c r="AJ10" t="s">
        <v>62</v>
      </c>
      <c r="AK10" s="32" t="s">
        <v>63</v>
      </c>
      <c r="AL10" s="32" t="s">
        <v>63</v>
      </c>
      <c r="AM10" s="33" t="s">
        <v>64</v>
      </c>
      <c r="AN10" s="33" t="s">
        <v>64</v>
      </c>
    </row>
    <row r="11" spans="1:40" ht="15" customHeight="1" x14ac:dyDescent="0.25">
      <c r="A11" s="18" t="s">
        <v>161</v>
      </c>
      <c r="B11" s="19" t="s">
        <v>162</v>
      </c>
      <c r="C11" s="18" t="s">
        <v>67</v>
      </c>
      <c r="D11" s="18" t="s">
        <v>163</v>
      </c>
      <c r="E11" s="18" t="s">
        <v>164</v>
      </c>
      <c r="F11" s="18" t="s">
        <v>165</v>
      </c>
      <c r="G11" s="18" t="s">
        <v>46</v>
      </c>
      <c r="H11" s="19" t="s">
        <v>166</v>
      </c>
      <c r="I11" s="18" t="s">
        <v>48</v>
      </c>
      <c r="J11" s="18" t="s">
        <v>118</v>
      </c>
      <c r="K11" s="18">
        <v>3.4</v>
      </c>
      <c r="L11" s="18">
        <v>30</v>
      </c>
      <c r="M11" s="18" t="s">
        <v>50</v>
      </c>
      <c r="N11" s="18" t="s">
        <v>51</v>
      </c>
      <c r="O11" s="18" t="s">
        <v>120</v>
      </c>
      <c r="P11" s="18" t="s">
        <v>121</v>
      </c>
      <c r="Q11" s="18" t="s">
        <v>54</v>
      </c>
      <c r="R11" s="18" t="s">
        <v>46</v>
      </c>
      <c r="S11" s="19" t="s">
        <v>167</v>
      </c>
      <c r="T11" s="18" t="s">
        <v>123</v>
      </c>
      <c r="U11" s="18" t="s">
        <v>57</v>
      </c>
      <c r="V11" s="18">
        <v>0</v>
      </c>
      <c r="W11" s="18" t="s">
        <v>58</v>
      </c>
      <c r="X11" s="18" t="s">
        <v>59</v>
      </c>
      <c r="Y11" s="19" t="s">
        <v>60</v>
      </c>
      <c r="Z11" s="19" t="s">
        <v>60</v>
      </c>
      <c r="AA11" s="18" t="s">
        <v>61</v>
      </c>
      <c r="AB11" s="18"/>
      <c r="AJ11" t="s">
        <v>62</v>
      </c>
      <c r="AK11" s="20" t="s">
        <v>63</v>
      </c>
      <c r="AL11" s="20" t="s">
        <v>63</v>
      </c>
      <c r="AM11" s="21" t="s">
        <v>64</v>
      </c>
      <c r="AN11" s="21" t="s">
        <v>64</v>
      </c>
    </row>
    <row r="12" spans="1:40" ht="15" customHeight="1" x14ac:dyDescent="0.25">
      <c r="A12" s="18" t="s">
        <v>168</v>
      </c>
      <c r="B12" s="19" t="s">
        <v>169</v>
      </c>
      <c r="C12" s="18" t="s">
        <v>42</v>
      </c>
      <c r="D12" s="18" t="s">
        <v>170</v>
      </c>
      <c r="E12" s="18" t="s">
        <v>171</v>
      </c>
      <c r="F12" s="18" t="s">
        <v>172</v>
      </c>
      <c r="G12" s="18" t="s">
        <v>46</v>
      </c>
      <c r="H12" s="19" t="s">
        <v>173</v>
      </c>
      <c r="I12" s="18" t="s">
        <v>117</v>
      </c>
      <c r="J12" s="18" t="s">
        <v>74</v>
      </c>
      <c r="K12" s="18">
        <v>3.05</v>
      </c>
      <c r="L12" s="18">
        <v>60</v>
      </c>
      <c r="M12" s="18" t="s">
        <v>50</v>
      </c>
      <c r="N12" s="18" t="s">
        <v>51</v>
      </c>
      <c r="O12" s="18" t="s">
        <v>141</v>
      </c>
      <c r="P12" s="18" t="s">
        <v>76</v>
      </c>
      <c r="Q12" s="18" t="s">
        <v>54</v>
      </c>
      <c r="R12" s="18" t="s">
        <v>46</v>
      </c>
      <c r="S12" s="19" t="s">
        <v>77</v>
      </c>
      <c r="T12" s="18" t="s">
        <v>78</v>
      </c>
      <c r="U12" s="18" t="s">
        <v>57</v>
      </c>
      <c r="V12" s="18">
        <v>0</v>
      </c>
      <c r="W12" s="18" t="s">
        <v>58</v>
      </c>
      <c r="X12" s="18" t="s">
        <v>59</v>
      </c>
      <c r="Y12" s="19" t="s">
        <v>60</v>
      </c>
      <c r="Z12" s="19" t="s">
        <v>60</v>
      </c>
      <c r="AA12" s="18" t="s">
        <v>61</v>
      </c>
      <c r="AB12" s="18"/>
      <c r="AJ12" t="s">
        <v>62</v>
      </c>
      <c r="AK12" s="20" t="s">
        <v>63</v>
      </c>
      <c r="AL12" s="20" t="s">
        <v>63</v>
      </c>
      <c r="AM12" s="21" t="s">
        <v>64</v>
      </c>
      <c r="AN12" s="21" t="s">
        <v>64</v>
      </c>
    </row>
    <row r="13" spans="1:40" ht="15" customHeight="1" x14ac:dyDescent="0.25">
      <c r="A13" s="22" t="s">
        <v>174</v>
      </c>
      <c r="B13" s="23" t="s">
        <v>175</v>
      </c>
      <c r="C13" s="22" t="s">
        <v>67</v>
      </c>
      <c r="D13" s="22" t="s">
        <v>176</v>
      </c>
      <c r="E13" s="22" t="s">
        <v>177</v>
      </c>
      <c r="F13" s="22" t="s">
        <v>178</v>
      </c>
      <c r="G13" s="22" t="s">
        <v>46</v>
      </c>
      <c r="H13" s="23" t="s">
        <v>179</v>
      </c>
      <c r="I13" s="22" t="s">
        <v>85</v>
      </c>
      <c r="J13" s="22" t="s">
        <v>86</v>
      </c>
      <c r="K13" s="22">
        <v>2.6</v>
      </c>
      <c r="L13" s="22">
        <v>124</v>
      </c>
      <c r="M13" s="22" t="s">
        <v>103</v>
      </c>
      <c r="N13" s="22" t="s">
        <v>180</v>
      </c>
      <c r="O13" s="22" t="s">
        <v>105</v>
      </c>
      <c r="P13" s="22"/>
      <c r="Q13" s="22" t="s">
        <v>54</v>
      </c>
      <c r="R13" s="22" t="s">
        <v>46</v>
      </c>
      <c r="S13" s="23" t="s">
        <v>106</v>
      </c>
      <c r="T13" s="22" t="s">
        <v>107</v>
      </c>
      <c r="U13" s="22" t="s">
        <v>108</v>
      </c>
      <c r="V13" s="22">
        <v>0</v>
      </c>
      <c r="W13" s="22" t="s">
        <v>108</v>
      </c>
      <c r="X13" s="22" t="s">
        <v>59</v>
      </c>
      <c r="Y13" s="23" t="s">
        <v>60</v>
      </c>
      <c r="Z13" s="23" t="s">
        <v>60</v>
      </c>
      <c r="AA13" s="22" t="s">
        <v>109</v>
      </c>
      <c r="AB13" s="22" t="s">
        <v>110</v>
      </c>
      <c r="AJ13" t="s">
        <v>62</v>
      </c>
      <c r="AK13" s="24" t="s">
        <v>63</v>
      </c>
      <c r="AL13" s="24" t="s">
        <v>63</v>
      </c>
      <c r="AM13" s="25" t="s">
        <v>64</v>
      </c>
      <c r="AN13" s="25" t="s">
        <v>64</v>
      </c>
    </row>
    <row r="14" spans="1:40" ht="15" customHeight="1" x14ac:dyDescent="0.25">
      <c r="A14" s="18" t="s">
        <v>181</v>
      </c>
      <c r="B14" s="19" t="s">
        <v>182</v>
      </c>
      <c r="C14" s="18" t="s">
        <v>42</v>
      </c>
      <c r="D14" s="18" t="s">
        <v>183</v>
      </c>
      <c r="E14" s="18" t="s">
        <v>184</v>
      </c>
      <c r="F14" s="18" t="s">
        <v>185</v>
      </c>
      <c r="G14" s="18" t="s">
        <v>71</v>
      </c>
      <c r="H14" s="19" t="s">
        <v>186</v>
      </c>
      <c r="I14" s="18" t="s">
        <v>187</v>
      </c>
      <c r="J14" s="18" t="s">
        <v>49</v>
      </c>
      <c r="K14" s="18">
        <v>3.5</v>
      </c>
      <c r="L14" s="18">
        <v>94</v>
      </c>
      <c r="M14" s="18" t="s">
        <v>50</v>
      </c>
      <c r="N14" s="18" t="s">
        <v>51</v>
      </c>
      <c r="O14" s="18" t="s">
        <v>52</v>
      </c>
      <c r="P14" s="18" t="s">
        <v>53</v>
      </c>
      <c r="Q14" s="18" t="s">
        <v>54</v>
      </c>
      <c r="R14" s="18" t="s">
        <v>71</v>
      </c>
      <c r="S14" s="19" t="s">
        <v>55</v>
      </c>
      <c r="T14" s="18" t="s">
        <v>56</v>
      </c>
      <c r="U14" s="18" t="s">
        <v>57</v>
      </c>
      <c r="V14" s="18">
        <v>0</v>
      </c>
      <c r="W14" s="18" t="s">
        <v>58</v>
      </c>
      <c r="X14" s="18" t="s">
        <v>59</v>
      </c>
      <c r="Y14" s="19" t="s">
        <v>60</v>
      </c>
      <c r="Z14" s="19" t="s">
        <v>60</v>
      </c>
      <c r="AA14" s="18" t="s">
        <v>61</v>
      </c>
      <c r="AB14" s="18"/>
      <c r="AJ14" t="s">
        <v>62</v>
      </c>
      <c r="AK14" s="20" t="s">
        <v>63</v>
      </c>
      <c r="AL14" s="20" t="s">
        <v>63</v>
      </c>
      <c r="AM14" s="21" t="s">
        <v>64</v>
      </c>
      <c r="AN14" s="21" t="s">
        <v>64</v>
      </c>
    </row>
    <row r="15" spans="1:40" ht="15" customHeight="1" x14ac:dyDescent="0.25">
      <c r="A15" s="34" t="s">
        <v>188</v>
      </c>
      <c r="B15" s="35" t="s">
        <v>189</v>
      </c>
      <c r="C15" s="34" t="s">
        <v>67</v>
      </c>
      <c r="D15" s="34" t="s">
        <v>190</v>
      </c>
      <c r="E15" s="34" t="s">
        <v>191</v>
      </c>
      <c r="F15" s="34" t="s">
        <v>192</v>
      </c>
      <c r="G15" s="34" t="s">
        <v>193</v>
      </c>
      <c r="H15" s="35" t="s">
        <v>194</v>
      </c>
      <c r="I15" s="34" t="s">
        <v>102</v>
      </c>
      <c r="J15" s="34" t="s">
        <v>86</v>
      </c>
      <c r="K15" s="34">
        <v>1.9</v>
      </c>
      <c r="L15" s="34">
        <v>112</v>
      </c>
      <c r="M15" s="34" t="s">
        <v>195</v>
      </c>
      <c r="N15" s="34" t="s">
        <v>51</v>
      </c>
      <c r="O15" s="34" t="s">
        <v>88</v>
      </c>
      <c r="P15" s="34" t="s">
        <v>89</v>
      </c>
      <c r="Q15" s="34" t="s">
        <v>54</v>
      </c>
      <c r="R15" s="34" t="s">
        <v>193</v>
      </c>
      <c r="S15" s="35" t="s">
        <v>196</v>
      </c>
      <c r="T15" s="34" t="s">
        <v>91</v>
      </c>
      <c r="U15" s="34" t="s">
        <v>197</v>
      </c>
      <c r="V15" s="34">
        <v>75000</v>
      </c>
      <c r="W15" s="34" t="s">
        <v>195</v>
      </c>
      <c r="X15" s="34" t="s">
        <v>125</v>
      </c>
      <c r="Y15" s="35" t="s">
        <v>60</v>
      </c>
      <c r="Z15" s="35" t="s">
        <v>60</v>
      </c>
      <c r="AA15" s="34" t="s">
        <v>126</v>
      </c>
      <c r="AB15" s="34"/>
      <c r="AJ15" t="s">
        <v>62</v>
      </c>
      <c r="AK15" s="36" t="s">
        <v>63</v>
      </c>
      <c r="AL15" s="36" t="s">
        <v>63</v>
      </c>
      <c r="AM15" s="37" t="s">
        <v>64</v>
      </c>
      <c r="AN15" s="37" t="s">
        <v>64</v>
      </c>
    </row>
    <row r="16" spans="1:40" ht="15" customHeight="1" x14ac:dyDescent="0.25">
      <c r="A16" s="18" t="s">
        <v>198</v>
      </c>
      <c r="B16" s="19" t="s">
        <v>199</v>
      </c>
      <c r="C16" s="18" t="s">
        <v>42</v>
      </c>
      <c r="D16" s="18" t="s">
        <v>200</v>
      </c>
      <c r="E16" s="18" t="s">
        <v>201</v>
      </c>
      <c r="F16" s="18" t="s">
        <v>202</v>
      </c>
      <c r="G16" s="18" t="s">
        <v>71</v>
      </c>
      <c r="H16" s="19" t="s">
        <v>203</v>
      </c>
      <c r="I16" s="18" t="s">
        <v>204</v>
      </c>
      <c r="J16" s="18" t="s">
        <v>118</v>
      </c>
      <c r="K16" s="18">
        <v>3.82</v>
      </c>
      <c r="L16" s="18">
        <v>34</v>
      </c>
      <c r="M16" s="18" t="s">
        <v>50</v>
      </c>
      <c r="N16" s="18" t="s">
        <v>51</v>
      </c>
      <c r="O16" s="18" t="s">
        <v>120</v>
      </c>
      <c r="P16" s="18" t="s">
        <v>121</v>
      </c>
      <c r="Q16" s="18" t="s">
        <v>54</v>
      </c>
      <c r="R16" s="18" t="s">
        <v>71</v>
      </c>
      <c r="S16" s="19" t="s">
        <v>167</v>
      </c>
      <c r="T16" s="18" t="s">
        <v>123</v>
      </c>
      <c r="U16" s="18" t="s">
        <v>57</v>
      </c>
      <c r="V16" s="18">
        <v>0</v>
      </c>
      <c r="W16" s="18" t="s">
        <v>58</v>
      </c>
      <c r="X16" s="18" t="s">
        <v>59</v>
      </c>
      <c r="Y16" s="19" t="s">
        <v>60</v>
      </c>
      <c r="Z16" s="19" t="s">
        <v>60</v>
      </c>
      <c r="AA16" s="18" t="s">
        <v>61</v>
      </c>
      <c r="AB16" s="18"/>
      <c r="AJ16" t="s">
        <v>62</v>
      </c>
      <c r="AK16" s="20" t="s">
        <v>63</v>
      </c>
      <c r="AL16" s="20" t="s">
        <v>63</v>
      </c>
      <c r="AM16" s="21" t="s">
        <v>64</v>
      </c>
      <c r="AN16" s="21" t="s">
        <v>64</v>
      </c>
    </row>
    <row r="17" spans="1:40" ht="15" customHeight="1" x14ac:dyDescent="0.25">
      <c r="A17" s="18" t="s">
        <v>205</v>
      </c>
      <c r="B17" s="19" t="s">
        <v>206</v>
      </c>
      <c r="C17" s="18" t="s">
        <v>67</v>
      </c>
      <c r="D17" s="18" t="s">
        <v>207</v>
      </c>
      <c r="E17" s="18" t="s">
        <v>208</v>
      </c>
      <c r="F17" s="18" t="s">
        <v>209</v>
      </c>
      <c r="G17" s="18" t="s">
        <v>46</v>
      </c>
      <c r="H17" s="19" t="s">
        <v>210</v>
      </c>
      <c r="I17" s="18" t="s">
        <v>117</v>
      </c>
      <c r="J17" s="18" t="s">
        <v>74</v>
      </c>
      <c r="K17" s="18">
        <v>2.95</v>
      </c>
      <c r="L17" s="18">
        <v>58</v>
      </c>
      <c r="M17" s="18" t="s">
        <v>50</v>
      </c>
      <c r="N17" s="18" t="s">
        <v>51</v>
      </c>
      <c r="O17" s="18" t="s">
        <v>141</v>
      </c>
      <c r="P17" s="18" t="s">
        <v>76</v>
      </c>
      <c r="Q17" s="18" t="s">
        <v>54</v>
      </c>
      <c r="R17" s="18" t="s">
        <v>46</v>
      </c>
      <c r="S17" s="19" t="s">
        <v>77</v>
      </c>
      <c r="T17" s="18" t="s">
        <v>78</v>
      </c>
      <c r="U17" s="18" t="s">
        <v>57</v>
      </c>
      <c r="V17" s="18">
        <v>0</v>
      </c>
      <c r="W17" s="18" t="s">
        <v>58</v>
      </c>
      <c r="X17" s="18" t="s">
        <v>59</v>
      </c>
      <c r="Y17" s="19" t="s">
        <v>60</v>
      </c>
      <c r="Z17" s="19" t="s">
        <v>60</v>
      </c>
      <c r="AA17" s="18" t="s">
        <v>61</v>
      </c>
      <c r="AB17" s="18"/>
      <c r="AJ17" t="s">
        <v>62</v>
      </c>
      <c r="AK17" s="20" t="s">
        <v>63</v>
      </c>
      <c r="AL17" s="20" t="s">
        <v>93</v>
      </c>
      <c r="AM17" s="21" t="s">
        <v>211</v>
      </c>
      <c r="AN17" s="21" t="s">
        <v>212</v>
      </c>
    </row>
    <row r="18" spans="1:40" ht="15" customHeight="1" x14ac:dyDescent="0.25">
      <c r="A18" s="18" t="s">
        <v>213</v>
      </c>
      <c r="B18" s="19" t="s">
        <v>214</v>
      </c>
      <c r="C18" s="18" t="s">
        <v>42</v>
      </c>
      <c r="D18" s="18" t="s">
        <v>215</v>
      </c>
      <c r="E18" s="18" t="s">
        <v>216</v>
      </c>
      <c r="F18" s="18" t="s">
        <v>217</v>
      </c>
      <c r="G18" s="18" t="s">
        <v>46</v>
      </c>
      <c r="H18" s="19" t="s">
        <v>47</v>
      </c>
      <c r="I18" s="18" t="s">
        <v>48</v>
      </c>
      <c r="J18" s="18" t="s">
        <v>49</v>
      </c>
      <c r="K18" s="18">
        <v>3.95</v>
      </c>
      <c r="L18" s="18">
        <v>100</v>
      </c>
      <c r="M18" s="18" t="s">
        <v>50</v>
      </c>
      <c r="N18" s="18" t="s">
        <v>51</v>
      </c>
      <c r="O18" s="18" t="s">
        <v>52</v>
      </c>
      <c r="P18" s="18" t="s">
        <v>53</v>
      </c>
      <c r="Q18" s="18" t="s">
        <v>54</v>
      </c>
      <c r="R18" s="18" t="s">
        <v>46</v>
      </c>
      <c r="S18" s="19" t="s">
        <v>55</v>
      </c>
      <c r="T18" s="18" t="s">
        <v>56</v>
      </c>
      <c r="U18" s="18" t="s">
        <v>57</v>
      </c>
      <c r="V18" s="18">
        <v>0</v>
      </c>
      <c r="W18" s="18" t="s">
        <v>58</v>
      </c>
      <c r="X18" s="18" t="s">
        <v>59</v>
      </c>
      <c r="Y18" s="19" t="s">
        <v>60</v>
      </c>
      <c r="Z18" s="19" t="s">
        <v>60</v>
      </c>
      <c r="AA18" s="18" t="s">
        <v>61</v>
      </c>
      <c r="AB18" s="18"/>
      <c r="AJ18" t="s">
        <v>62</v>
      </c>
      <c r="AK18" s="20" t="s">
        <v>63</v>
      </c>
      <c r="AL18" s="20" t="s">
        <v>63</v>
      </c>
      <c r="AM18" s="21" t="s">
        <v>64</v>
      </c>
      <c r="AN18" s="21" t="s">
        <v>64</v>
      </c>
    </row>
    <row r="19" spans="1:40" ht="15" customHeight="1" x14ac:dyDescent="0.25">
      <c r="A19" s="18" t="s">
        <v>218</v>
      </c>
      <c r="B19" s="19" t="s">
        <v>219</v>
      </c>
      <c r="C19" s="18" t="s">
        <v>67</v>
      </c>
      <c r="D19" s="18" t="s">
        <v>220</v>
      </c>
      <c r="E19" s="18" t="s">
        <v>221</v>
      </c>
      <c r="F19" s="18" t="s">
        <v>222</v>
      </c>
      <c r="G19" s="18" t="s">
        <v>132</v>
      </c>
      <c r="H19" s="19" t="s">
        <v>223</v>
      </c>
      <c r="I19" s="18" t="s">
        <v>134</v>
      </c>
      <c r="J19" s="18" t="s">
        <v>86</v>
      </c>
      <c r="K19" s="18">
        <v>3.3</v>
      </c>
      <c r="L19" s="18">
        <v>118</v>
      </c>
      <c r="M19" s="18" t="s">
        <v>50</v>
      </c>
      <c r="N19" s="18" t="s">
        <v>224</v>
      </c>
      <c r="O19" s="18" t="s">
        <v>88</v>
      </c>
      <c r="P19" s="18" t="s">
        <v>89</v>
      </c>
      <c r="Q19" s="18" t="s">
        <v>54</v>
      </c>
      <c r="R19" s="18" t="s">
        <v>132</v>
      </c>
      <c r="S19" s="19" t="s">
        <v>90</v>
      </c>
      <c r="T19" s="18" t="s">
        <v>91</v>
      </c>
      <c r="U19" s="18" t="s">
        <v>57</v>
      </c>
      <c r="V19" s="18">
        <v>0</v>
      </c>
      <c r="W19" s="18" t="s">
        <v>58</v>
      </c>
      <c r="X19" s="18" t="s">
        <v>59</v>
      </c>
      <c r="Y19" s="19" t="s">
        <v>60</v>
      </c>
      <c r="Z19" s="19" t="s">
        <v>60</v>
      </c>
      <c r="AA19" s="18" t="s">
        <v>92</v>
      </c>
      <c r="AB19" s="18"/>
      <c r="AJ19" t="s">
        <v>62</v>
      </c>
      <c r="AK19" s="20" t="s">
        <v>63</v>
      </c>
      <c r="AL19" s="20" t="s">
        <v>63</v>
      </c>
      <c r="AM19" s="21" t="s">
        <v>64</v>
      </c>
      <c r="AN19" s="21" t="s">
        <v>64</v>
      </c>
    </row>
    <row r="20" spans="1:40" ht="15" customHeight="1" x14ac:dyDescent="0.25">
      <c r="A20" s="18" t="s">
        <v>225</v>
      </c>
      <c r="B20" s="19" t="s">
        <v>226</v>
      </c>
      <c r="C20" s="18" t="s">
        <v>42</v>
      </c>
      <c r="D20" s="18" t="s">
        <v>227</v>
      </c>
      <c r="E20" s="18" t="s">
        <v>228</v>
      </c>
      <c r="F20" s="18" t="s">
        <v>229</v>
      </c>
      <c r="G20" s="18" t="s">
        <v>46</v>
      </c>
      <c r="H20" s="19" t="s">
        <v>230</v>
      </c>
      <c r="I20" s="18" t="s">
        <v>102</v>
      </c>
      <c r="J20" s="18" t="s">
        <v>118</v>
      </c>
      <c r="K20" s="18">
        <v>3.15</v>
      </c>
      <c r="L20" s="18">
        <v>28</v>
      </c>
      <c r="M20" s="18" t="s">
        <v>50</v>
      </c>
      <c r="N20" s="18" t="s">
        <v>51</v>
      </c>
      <c r="O20" s="18" t="s">
        <v>120</v>
      </c>
      <c r="P20" s="18" t="s">
        <v>121</v>
      </c>
      <c r="Q20" s="18" t="s">
        <v>54</v>
      </c>
      <c r="R20" s="18" t="s">
        <v>46</v>
      </c>
      <c r="S20" s="19" t="s">
        <v>167</v>
      </c>
      <c r="T20" s="18" t="s">
        <v>123</v>
      </c>
      <c r="U20" s="18" t="s">
        <v>57</v>
      </c>
      <c r="V20" s="18">
        <v>0</v>
      </c>
      <c r="W20" s="18" t="s">
        <v>58</v>
      </c>
      <c r="X20" s="18" t="s">
        <v>59</v>
      </c>
      <c r="Y20" s="19" t="s">
        <v>60</v>
      </c>
      <c r="Z20" s="19" t="s">
        <v>60</v>
      </c>
      <c r="AA20" s="18" t="s">
        <v>61</v>
      </c>
      <c r="AB20" s="18"/>
      <c r="AJ20" t="s">
        <v>62</v>
      </c>
      <c r="AK20" s="20" t="s">
        <v>63</v>
      </c>
      <c r="AL20" s="20" t="s">
        <v>63</v>
      </c>
      <c r="AM20" s="21" t="s">
        <v>64</v>
      </c>
      <c r="AN20" s="21" t="s">
        <v>64</v>
      </c>
    </row>
    <row r="21" spans="1:40" ht="15" customHeight="1" x14ac:dyDescent="0.25">
      <c r="A21" s="18" t="s">
        <v>231</v>
      </c>
      <c r="B21" s="19" t="s">
        <v>232</v>
      </c>
      <c r="C21" s="18" t="s">
        <v>67</v>
      </c>
      <c r="D21" s="18" t="s">
        <v>233</v>
      </c>
      <c r="E21" s="18" t="s">
        <v>234</v>
      </c>
      <c r="F21" s="18" t="s">
        <v>235</v>
      </c>
      <c r="G21" s="18" t="s">
        <v>147</v>
      </c>
      <c r="H21" s="19" t="s">
        <v>148</v>
      </c>
      <c r="I21" s="18" t="s">
        <v>149</v>
      </c>
      <c r="J21" s="18" t="s">
        <v>74</v>
      </c>
      <c r="K21" s="18">
        <v>3.6</v>
      </c>
      <c r="L21" s="18">
        <v>62</v>
      </c>
      <c r="M21" s="18" t="s">
        <v>50</v>
      </c>
      <c r="N21" s="18" t="s">
        <v>180</v>
      </c>
      <c r="O21" s="18" t="s">
        <v>141</v>
      </c>
      <c r="P21" s="18" t="s">
        <v>76</v>
      </c>
      <c r="Q21" s="18" t="s">
        <v>54</v>
      </c>
      <c r="R21" s="18" t="s">
        <v>147</v>
      </c>
      <c r="S21" s="19" t="s">
        <v>77</v>
      </c>
      <c r="T21" s="18" t="s">
        <v>78</v>
      </c>
      <c r="U21" s="18" t="s">
        <v>57</v>
      </c>
      <c r="V21" s="18">
        <v>0</v>
      </c>
      <c r="W21" s="18" t="s">
        <v>58</v>
      </c>
      <c r="X21" s="18" t="s">
        <v>59</v>
      </c>
      <c r="Y21" s="19" t="s">
        <v>60</v>
      </c>
      <c r="Z21" s="19" t="s">
        <v>60</v>
      </c>
      <c r="AA21" s="18" t="s">
        <v>61</v>
      </c>
      <c r="AB21" s="18"/>
      <c r="AJ21" t="s">
        <v>62</v>
      </c>
      <c r="AK21" s="20" t="s">
        <v>63</v>
      </c>
      <c r="AL21" s="20" t="s">
        <v>63</v>
      </c>
      <c r="AM21" s="21" t="s">
        <v>64</v>
      </c>
      <c r="AN21" s="21" t="s">
        <v>64</v>
      </c>
    </row>
    <row r="22" spans="1:40" ht="15" customHeight="1" x14ac:dyDescent="0.25">
      <c r="A22" s="30" t="s">
        <v>236</v>
      </c>
      <c r="B22" s="31" t="s">
        <v>237</v>
      </c>
      <c r="C22" s="30" t="s">
        <v>67</v>
      </c>
      <c r="D22" s="30" t="s">
        <v>238</v>
      </c>
      <c r="E22" s="30" t="s">
        <v>239</v>
      </c>
      <c r="F22" s="30" t="s">
        <v>240</v>
      </c>
      <c r="G22" s="30" t="s">
        <v>71</v>
      </c>
      <c r="H22" s="31" t="s">
        <v>241</v>
      </c>
      <c r="I22" s="30" t="s">
        <v>187</v>
      </c>
      <c r="J22" s="30" t="s">
        <v>49</v>
      </c>
      <c r="K22" s="30">
        <v>2.75</v>
      </c>
      <c r="L22" s="30">
        <v>88</v>
      </c>
      <c r="M22" s="30" t="s">
        <v>158</v>
      </c>
      <c r="N22" s="30" t="s">
        <v>180</v>
      </c>
      <c r="O22" s="30" t="s">
        <v>52</v>
      </c>
      <c r="P22" s="30" t="s">
        <v>53</v>
      </c>
      <c r="Q22" s="30" t="s">
        <v>54</v>
      </c>
      <c r="R22" s="30" t="s">
        <v>71</v>
      </c>
      <c r="S22" s="31" t="s">
        <v>159</v>
      </c>
      <c r="T22" s="30" t="s">
        <v>56</v>
      </c>
      <c r="U22" s="30" t="s">
        <v>160</v>
      </c>
      <c r="V22" s="30">
        <v>0</v>
      </c>
      <c r="W22" s="30" t="s">
        <v>58</v>
      </c>
      <c r="X22" s="30" t="s">
        <v>59</v>
      </c>
      <c r="Y22" s="31" t="s">
        <v>60</v>
      </c>
      <c r="Z22" s="31" t="s">
        <v>60</v>
      </c>
      <c r="AA22" s="30" t="s">
        <v>61</v>
      </c>
      <c r="AB22" s="30"/>
      <c r="AJ22" t="s">
        <v>62</v>
      </c>
      <c r="AK22" s="32" t="s">
        <v>63</v>
      </c>
      <c r="AL22" s="32" t="s">
        <v>63</v>
      </c>
      <c r="AM22" s="33" t="s">
        <v>64</v>
      </c>
      <c r="AN22" s="33" t="s">
        <v>64</v>
      </c>
    </row>
    <row r="23" spans="1:40" ht="15" customHeight="1" x14ac:dyDescent="0.25">
      <c r="A23" s="22" t="s">
        <v>242</v>
      </c>
      <c r="B23" s="23" t="s">
        <v>243</v>
      </c>
      <c r="C23" s="22" t="s">
        <v>42</v>
      </c>
      <c r="D23" s="22" t="s">
        <v>244</v>
      </c>
      <c r="E23" s="22" t="s">
        <v>245</v>
      </c>
      <c r="F23" s="22" t="s">
        <v>246</v>
      </c>
      <c r="G23" s="22" t="s">
        <v>46</v>
      </c>
      <c r="H23" s="23" t="s">
        <v>140</v>
      </c>
      <c r="I23" s="22" t="s">
        <v>117</v>
      </c>
      <c r="J23" s="22" t="s">
        <v>86</v>
      </c>
      <c r="K23" s="22">
        <v>3.88</v>
      </c>
      <c r="L23" s="22">
        <v>134</v>
      </c>
      <c r="M23" s="22" t="s">
        <v>103</v>
      </c>
      <c r="N23" s="22" t="s">
        <v>51</v>
      </c>
      <c r="O23" s="22" t="s">
        <v>105</v>
      </c>
      <c r="P23" s="22"/>
      <c r="Q23" s="22" t="s">
        <v>54</v>
      </c>
      <c r="R23" s="22" t="s">
        <v>46</v>
      </c>
      <c r="S23" s="23" t="s">
        <v>106</v>
      </c>
      <c r="T23" s="22" t="s">
        <v>107</v>
      </c>
      <c r="U23" s="22" t="s">
        <v>108</v>
      </c>
      <c r="V23" s="22">
        <v>0</v>
      </c>
      <c r="W23" s="22" t="s">
        <v>108</v>
      </c>
      <c r="X23" s="22" t="s">
        <v>59</v>
      </c>
      <c r="Y23" s="23" t="s">
        <v>60</v>
      </c>
      <c r="Z23" s="23" t="s">
        <v>60</v>
      </c>
      <c r="AA23" s="22" t="s">
        <v>109</v>
      </c>
      <c r="AB23" s="22" t="s">
        <v>110</v>
      </c>
      <c r="AJ23" t="s">
        <v>62</v>
      </c>
      <c r="AK23" s="24" t="s">
        <v>63</v>
      </c>
      <c r="AL23" s="24" t="s">
        <v>63</v>
      </c>
      <c r="AM23" s="25" t="s">
        <v>64</v>
      </c>
      <c r="AN23" s="25" t="s">
        <v>64</v>
      </c>
    </row>
    <row r="24" spans="1:40" ht="15" customHeight="1" x14ac:dyDescent="0.25">
      <c r="A24" s="26" t="s">
        <v>247</v>
      </c>
      <c r="B24" s="27" t="s">
        <v>248</v>
      </c>
      <c r="C24" s="26" t="s">
        <v>67</v>
      </c>
      <c r="D24" s="26" t="s">
        <v>249</v>
      </c>
      <c r="E24" s="26" t="s">
        <v>250</v>
      </c>
      <c r="F24" s="26" t="s">
        <v>251</v>
      </c>
      <c r="G24" s="26" t="s">
        <v>156</v>
      </c>
      <c r="H24" s="27" t="s">
        <v>252</v>
      </c>
      <c r="I24" s="26" t="s">
        <v>73</v>
      </c>
      <c r="J24" s="26" t="s">
        <v>118</v>
      </c>
      <c r="K24" s="26">
        <v>2.2000000000000002</v>
      </c>
      <c r="L24" s="26">
        <v>26</v>
      </c>
      <c r="M24" s="26" t="s">
        <v>119</v>
      </c>
      <c r="N24" s="26" t="s">
        <v>51</v>
      </c>
      <c r="O24" s="26" t="s">
        <v>120</v>
      </c>
      <c r="P24" s="26" t="s">
        <v>121</v>
      </c>
      <c r="Q24" s="26" t="s">
        <v>54</v>
      </c>
      <c r="R24" s="26" t="s">
        <v>156</v>
      </c>
      <c r="S24" s="27" t="s">
        <v>122</v>
      </c>
      <c r="T24" s="26" t="s">
        <v>123</v>
      </c>
      <c r="U24" s="26" t="s">
        <v>124</v>
      </c>
      <c r="V24" s="26">
        <v>35000</v>
      </c>
      <c r="W24" s="26" t="s">
        <v>119</v>
      </c>
      <c r="X24" s="26" t="s">
        <v>125</v>
      </c>
      <c r="Y24" s="27" t="s">
        <v>60</v>
      </c>
      <c r="Z24" s="27" t="s">
        <v>60</v>
      </c>
      <c r="AA24" s="26" t="s">
        <v>126</v>
      </c>
      <c r="AB24" s="26"/>
      <c r="AJ24" t="s">
        <v>62</v>
      </c>
      <c r="AK24" s="28" t="s">
        <v>63</v>
      </c>
      <c r="AL24" s="28" t="s">
        <v>63</v>
      </c>
      <c r="AM24" s="29" t="s">
        <v>64</v>
      </c>
      <c r="AN24" s="29" t="s">
        <v>64</v>
      </c>
    </row>
    <row r="25" spans="1:40" ht="15" customHeight="1" x14ac:dyDescent="0.25">
      <c r="A25" s="18" t="s">
        <v>253</v>
      </c>
      <c r="B25" s="19" t="s">
        <v>254</v>
      </c>
      <c r="C25" s="18" t="s">
        <v>42</v>
      </c>
      <c r="D25" s="18" t="s">
        <v>255</v>
      </c>
      <c r="E25" s="18" t="s">
        <v>256</v>
      </c>
      <c r="F25" s="18" t="s">
        <v>257</v>
      </c>
      <c r="G25" s="18" t="s">
        <v>46</v>
      </c>
      <c r="H25" s="19" t="s">
        <v>166</v>
      </c>
      <c r="I25" s="18" t="s">
        <v>48</v>
      </c>
      <c r="J25" s="18" t="s">
        <v>74</v>
      </c>
      <c r="K25" s="18">
        <v>3.42</v>
      </c>
      <c r="L25" s="18">
        <v>68</v>
      </c>
      <c r="M25" s="18" t="s">
        <v>50</v>
      </c>
      <c r="N25" s="18" t="s">
        <v>51</v>
      </c>
      <c r="O25" s="18" t="s">
        <v>141</v>
      </c>
      <c r="P25" s="18" t="s">
        <v>76</v>
      </c>
      <c r="Q25" s="18" t="s">
        <v>54</v>
      </c>
      <c r="R25" s="18" t="s">
        <v>46</v>
      </c>
      <c r="S25" s="19" t="s">
        <v>77</v>
      </c>
      <c r="T25" s="18" t="s">
        <v>78</v>
      </c>
      <c r="U25" s="18" t="s">
        <v>57</v>
      </c>
      <c r="V25" s="18">
        <v>0</v>
      </c>
      <c r="W25" s="18" t="s">
        <v>58</v>
      </c>
      <c r="X25" s="18" t="s">
        <v>59</v>
      </c>
      <c r="Y25" s="19" t="s">
        <v>60</v>
      </c>
      <c r="Z25" s="19" t="s">
        <v>60</v>
      </c>
      <c r="AA25" s="18" t="s">
        <v>61</v>
      </c>
      <c r="AB25" s="18"/>
      <c r="AJ25" t="s">
        <v>62</v>
      </c>
      <c r="AK25" s="20" t="s">
        <v>63</v>
      </c>
      <c r="AL25" s="20" t="s">
        <v>63</v>
      </c>
      <c r="AM25" s="21" t="s">
        <v>64</v>
      </c>
      <c r="AN25" s="21" t="s">
        <v>64</v>
      </c>
    </row>
    <row r="26" spans="1:40" ht="15" customHeight="1" x14ac:dyDescent="0.25">
      <c r="A26" s="18" t="s">
        <v>258</v>
      </c>
      <c r="B26" s="19" t="s">
        <v>259</v>
      </c>
      <c r="C26" s="18" t="s">
        <v>67</v>
      </c>
      <c r="D26" s="18" t="s">
        <v>260</v>
      </c>
      <c r="E26" s="18" t="s">
        <v>261</v>
      </c>
      <c r="F26" s="18" t="s">
        <v>262</v>
      </c>
      <c r="G26" s="18" t="s">
        <v>46</v>
      </c>
      <c r="H26" s="19" t="s">
        <v>47</v>
      </c>
      <c r="I26" s="18" t="s">
        <v>48</v>
      </c>
      <c r="J26" s="18" t="s">
        <v>118</v>
      </c>
      <c r="K26" s="18">
        <v>3.65</v>
      </c>
      <c r="L26" s="18">
        <v>32</v>
      </c>
      <c r="M26" s="18" t="s">
        <v>50</v>
      </c>
      <c r="N26" s="18" t="s">
        <v>51</v>
      </c>
      <c r="O26" s="18" t="s">
        <v>120</v>
      </c>
      <c r="P26" s="18" t="s">
        <v>121</v>
      </c>
      <c r="Q26" s="18" t="s">
        <v>54</v>
      </c>
      <c r="R26" s="18" t="s">
        <v>46</v>
      </c>
      <c r="S26" s="19" t="s">
        <v>167</v>
      </c>
      <c r="T26" s="18" t="s">
        <v>123</v>
      </c>
      <c r="U26" s="38" t="s">
        <v>263</v>
      </c>
      <c r="V26" s="38">
        <v>75000</v>
      </c>
      <c r="W26" s="18" t="s">
        <v>58</v>
      </c>
      <c r="X26" s="18" t="s">
        <v>59</v>
      </c>
      <c r="Y26" s="19" t="s">
        <v>60</v>
      </c>
      <c r="Z26" s="19" t="s">
        <v>60</v>
      </c>
      <c r="AA26" s="18" t="s">
        <v>61</v>
      </c>
      <c r="AB26" s="18"/>
      <c r="AJ26" t="s">
        <v>62</v>
      </c>
      <c r="AK26" s="20" t="s">
        <v>63</v>
      </c>
      <c r="AL26" s="20" t="s">
        <v>63</v>
      </c>
      <c r="AM26" s="21" t="s">
        <v>64</v>
      </c>
      <c r="AN26" s="21" t="s">
        <v>64</v>
      </c>
    </row>
    <row r="27" spans="1:40" ht="15" customHeight="1" x14ac:dyDescent="0.25">
      <c r="A27" s="39" t="s">
        <v>264</v>
      </c>
      <c r="B27" s="40" t="s">
        <v>265</v>
      </c>
      <c r="C27" s="39" t="s">
        <v>42</v>
      </c>
      <c r="D27" s="39" t="s">
        <v>266</v>
      </c>
      <c r="E27" s="39" t="s">
        <v>267</v>
      </c>
      <c r="F27" s="39" t="s">
        <v>268</v>
      </c>
      <c r="G27" s="39" t="s">
        <v>269</v>
      </c>
      <c r="H27" s="40" t="s">
        <v>270</v>
      </c>
      <c r="I27" s="39" t="s">
        <v>48</v>
      </c>
      <c r="J27" s="39" t="s">
        <v>74</v>
      </c>
      <c r="K27" s="39">
        <v>3.72</v>
      </c>
      <c r="L27" s="39">
        <v>48</v>
      </c>
      <c r="M27" s="39" t="s">
        <v>50</v>
      </c>
      <c r="N27" s="39" t="s">
        <v>271</v>
      </c>
      <c r="O27" s="39" t="s">
        <v>75</v>
      </c>
      <c r="P27" s="39" t="s">
        <v>89</v>
      </c>
      <c r="Q27" s="39" t="s">
        <v>272</v>
      </c>
      <c r="R27" s="40" t="s">
        <v>273</v>
      </c>
      <c r="S27" s="39" t="s">
        <v>274</v>
      </c>
      <c r="T27" s="39" t="s">
        <v>78</v>
      </c>
      <c r="U27" s="39" t="s">
        <v>57</v>
      </c>
      <c r="V27" s="39">
        <v>0</v>
      </c>
      <c r="W27" s="39" t="s">
        <v>58</v>
      </c>
      <c r="X27" s="39" t="s">
        <v>59</v>
      </c>
      <c r="Y27" s="39" t="s">
        <v>60</v>
      </c>
      <c r="Z27" s="40" t="s">
        <v>60</v>
      </c>
      <c r="AA27" s="40" t="s">
        <v>92</v>
      </c>
      <c r="AB27" s="39"/>
      <c r="AC27" t="s">
        <v>275</v>
      </c>
      <c r="AD27" t="s">
        <v>276</v>
      </c>
      <c r="AE27" t="s">
        <v>277</v>
      </c>
      <c r="AF27" s="41">
        <v>45473</v>
      </c>
      <c r="AG27" t="s">
        <v>278</v>
      </c>
      <c r="AH27" t="s">
        <v>279</v>
      </c>
      <c r="AI27" t="s">
        <v>280</v>
      </c>
      <c r="AJ27" t="s">
        <v>62</v>
      </c>
      <c r="AK27" s="20" t="s">
        <v>63</v>
      </c>
      <c r="AL27" s="20" t="s">
        <v>63</v>
      </c>
      <c r="AM27" s="21" t="s">
        <v>64</v>
      </c>
      <c r="AN27" s="21" t="s">
        <v>64</v>
      </c>
    </row>
    <row r="28" spans="1:40" ht="15" customHeight="1" x14ac:dyDescent="0.25">
      <c r="A28" s="39" t="s">
        <v>281</v>
      </c>
      <c r="B28" s="40" t="s">
        <v>282</v>
      </c>
      <c r="C28" s="39" t="s">
        <v>67</v>
      </c>
      <c r="D28" s="39" t="s">
        <v>283</v>
      </c>
      <c r="E28" s="39" t="s">
        <v>284</v>
      </c>
      <c r="F28" s="39" t="s">
        <v>285</v>
      </c>
      <c r="G28" s="39" t="s">
        <v>286</v>
      </c>
      <c r="H28" s="40" t="s">
        <v>287</v>
      </c>
      <c r="I28" s="39" t="s">
        <v>73</v>
      </c>
      <c r="J28" s="39" t="s">
        <v>118</v>
      </c>
      <c r="K28" s="39">
        <v>3.41</v>
      </c>
      <c r="L28" s="39">
        <v>24</v>
      </c>
      <c r="M28" s="39" t="s">
        <v>50</v>
      </c>
      <c r="N28" s="39" t="s">
        <v>288</v>
      </c>
      <c r="O28" s="39" t="s">
        <v>120</v>
      </c>
      <c r="P28" s="39" t="s">
        <v>53</v>
      </c>
      <c r="Q28" s="39" t="s">
        <v>272</v>
      </c>
      <c r="R28" s="40" t="s">
        <v>289</v>
      </c>
      <c r="S28" s="39" t="s">
        <v>290</v>
      </c>
      <c r="T28" s="39" t="s">
        <v>123</v>
      </c>
      <c r="U28" s="39" t="s">
        <v>57</v>
      </c>
      <c r="V28" s="39">
        <v>0</v>
      </c>
      <c r="W28" s="39" t="s">
        <v>58</v>
      </c>
      <c r="X28" s="39" t="s">
        <v>59</v>
      </c>
      <c r="Y28" s="39" t="s">
        <v>60</v>
      </c>
      <c r="Z28" s="40" t="s">
        <v>60</v>
      </c>
      <c r="AA28" s="40" t="s">
        <v>61</v>
      </c>
      <c r="AB28" s="39"/>
      <c r="AC28" t="s">
        <v>291</v>
      </c>
      <c r="AD28" t="s">
        <v>60</v>
      </c>
      <c r="AE28" t="s">
        <v>292</v>
      </c>
      <c r="AF28" s="41">
        <v>45838</v>
      </c>
      <c r="AG28" t="s">
        <v>293</v>
      </c>
      <c r="AH28" t="s">
        <v>294</v>
      </c>
      <c r="AI28" t="s">
        <v>295</v>
      </c>
      <c r="AJ28" t="s">
        <v>62</v>
      </c>
      <c r="AK28" s="20" t="s">
        <v>63</v>
      </c>
      <c r="AL28" s="20" t="s">
        <v>63</v>
      </c>
      <c r="AM28" s="21" t="s">
        <v>64</v>
      </c>
      <c r="AN28" s="21" t="s">
        <v>64</v>
      </c>
    </row>
    <row r="29" spans="1:40" ht="15" customHeight="1" x14ac:dyDescent="0.25">
      <c r="A29" s="22" t="s">
        <v>296</v>
      </c>
      <c r="B29" s="23" t="s">
        <v>297</v>
      </c>
      <c r="C29" s="22" t="s">
        <v>42</v>
      </c>
      <c r="D29" s="22" t="s">
        <v>298</v>
      </c>
      <c r="E29" s="22" t="s">
        <v>299</v>
      </c>
      <c r="F29" s="22" t="s">
        <v>300</v>
      </c>
      <c r="G29" s="22" t="s">
        <v>301</v>
      </c>
      <c r="H29" s="23" t="s">
        <v>72</v>
      </c>
      <c r="I29" s="22" t="s">
        <v>73</v>
      </c>
      <c r="J29" s="22" t="s">
        <v>74</v>
      </c>
      <c r="K29" s="22">
        <v>3.55</v>
      </c>
      <c r="L29" s="22">
        <v>52</v>
      </c>
      <c r="M29" s="22" t="s">
        <v>103</v>
      </c>
      <c r="N29" s="22" t="s">
        <v>51</v>
      </c>
      <c r="O29" s="22" t="s">
        <v>75</v>
      </c>
      <c r="P29" s="22"/>
      <c r="Q29" s="22" t="s">
        <v>272</v>
      </c>
      <c r="R29" s="23" t="s">
        <v>302</v>
      </c>
      <c r="S29" s="22" t="s">
        <v>303</v>
      </c>
      <c r="T29" s="22" t="s">
        <v>107</v>
      </c>
      <c r="U29" s="22" t="s">
        <v>108</v>
      </c>
      <c r="V29" s="22">
        <v>0</v>
      </c>
      <c r="W29" s="22" t="s">
        <v>108</v>
      </c>
      <c r="X29" s="22" t="s">
        <v>304</v>
      </c>
      <c r="Y29" s="22" t="s">
        <v>60</v>
      </c>
      <c r="Z29" s="23" t="s">
        <v>60</v>
      </c>
      <c r="AA29" s="23" t="s">
        <v>109</v>
      </c>
      <c r="AB29" s="22" t="s">
        <v>110</v>
      </c>
      <c r="AC29" t="s">
        <v>291</v>
      </c>
      <c r="AD29" t="s">
        <v>60</v>
      </c>
      <c r="AE29" t="s">
        <v>305</v>
      </c>
      <c r="AF29" s="41">
        <v>45971</v>
      </c>
      <c r="AG29" t="s">
        <v>306</v>
      </c>
      <c r="AH29" t="s">
        <v>307</v>
      </c>
      <c r="AI29" t="s">
        <v>308</v>
      </c>
      <c r="AJ29" t="s">
        <v>62</v>
      </c>
      <c r="AK29" s="24" t="s">
        <v>63</v>
      </c>
      <c r="AL29" s="24" t="s">
        <v>63</v>
      </c>
      <c r="AM29" s="25" t="s">
        <v>64</v>
      </c>
      <c r="AN29" s="25" t="s">
        <v>64</v>
      </c>
    </row>
    <row r="30" spans="1:40" ht="15" customHeight="1" x14ac:dyDescent="0.25">
      <c r="A30" s="26" t="s">
        <v>309</v>
      </c>
      <c r="B30" s="27" t="s">
        <v>310</v>
      </c>
      <c r="C30" s="26" t="s">
        <v>67</v>
      </c>
      <c r="D30" s="26" t="s">
        <v>311</v>
      </c>
      <c r="E30" s="26" t="s">
        <v>312</v>
      </c>
      <c r="F30" s="26" t="s">
        <v>313</v>
      </c>
      <c r="G30" s="26" t="s">
        <v>269</v>
      </c>
      <c r="H30" s="27" t="s">
        <v>173</v>
      </c>
      <c r="I30" s="26" t="s">
        <v>117</v>
      </c>
      <c r="J30" s="26" t="s">
        <v>118</v>
      </c>
      <c r="K30" s="26">
        <v>2.81</v>
      </c>
      <c r="L30" s="26">
        <v>20</v>
      </c>
      <c r="M30" s="26" t="s">
        <v>119</v>
      </c>
      <c r="N30" s="26" t="s">
        <v>87</v>
      </c>
      <c r="O30" s="26" t="s">
        <v>120</v>
      </c>
      <c r="P30" s="26" t="s">
        <v>53</v>
      </c>
      <c r="Q30" s="26" t="s">
        <v>272</v>
      </c>
      <c r="R30" s="27" t="s">
        <v>273</v>
      </c>
      <c r="S30" s="26" t="s">
        <v>122</v>
      </c>
      <c r="T30" s="26" t="s">
        <v>123</v>
      </c>
      <c r="U30" s="26" t="s">
        <v>124</v>
      </c>
      <c r="V30" s="26">
        <v>35000</v>
      </c>
      <c r="W30" s="26" t="s">
        <v>119</v>
      </c>
      <c r="X30" s="26" t="s">
        <v>125</v>
      </c>
      <c r="Y30" s="26" t="s">
        <v>60</v>
      </c>
      <c r="Z30" s="27" t="s">
        <v>60</v>
      </c>
      <c r="AA30" s="27" t="s">
        <v>126</v>
      </c>
      <c r="AB30" s="26"/>
      <c r="AC30" t="s">
        <v>314</v>
      </c>
      <c r="AD30" t="s">
        <v>60</v>
      </c>
      <c r="AE30" t="s">
        <v>315</v>
      </c>
      <c r="AF30" s="41">
        <v>46022</v>
      </c>
      <c r="AG30" t="s">
        <v>316</v>
      </c>
      <c r="AH30" t="s">
        <v>317</v>
      </c>
      <c r="AI30" t="s">
        <v>318</v>
      </c>
      <c r="AJ30" t="s">
        <v>62</v>
      </c>
      <c r="AK30" s="28" t="s">
        <v>63</v>
      </c>
      <c r="AL30" s="28" t="s">
        <v>63</v>
      </c>
      <c r="AM30" s="29" t="s">
        <v>64</v>
      </c>
      <c r="AN30" s="29" t="s">
        <v>64</v>
      </c>
    </row>
    <row r="31" spans="1:40" ht="15" customHeight="1" x14ac:dyDescent="0.25">
      <c r="A31" s="39" t="s">
        <v>319</v>
      </c>
      <c r="B31" s="40" t="s">
        <v>320</v>
      </c>
      <c r="C31" s="39" t="s">
        <v>42</v>
      </c>
      <c r="D31" s="39" t="s">
        <v>321</v>
      </c>
      <c r="E31" s="39" t="s">
        <v>322</v>
      </c>
      <c r="F31" s="39" t="s">
        <v>323</v>
      </c>
      <c r="G31" s="39" t="s">
        <v>301</v>
      </c>
      <c r="H31" s="40" t="s">
        <v>203</v>
      </c>
      <c r="I31" s="39" t="s">
        <v>204</v>
      </c>
      <c r="J31" s="39" t="s">
        <v>74</v>
      </c>
      <c r="K31" s="39">
        <v>3.65</v>
      </c>
      <c r="L31" s="39">
        <v>46</v>
      </c>
      <c r="M31" s="39" t="s">
        <v>50</v>
      </c>
      <c r="N31" s="39" t="s">
        <v>51</v>
      </c>
      <c r="O31" s="39" t="s">
        <v>75</v>
      </c>
      <c r="P31" s="39" t="s">
        <v>89</v>
      </c>
      <c r="Q31" s="39" t="s">
        <v>272</v>
      </c>
      <c r="R31" s="40" t="s">
        <v>302</v>
      </c>
      <c r="S31" s="39" t="s">
        <v>274</v>
      </c>
      <c r="T31" s="39" t="s">
        <v>78</v>
      </c>
      <c r="U31" s="39" t="s">
        <v>57</v>
      </c>
      <c r="V31" s="39">
        <v>0</v>
      </c>
      <c r="W31" s="39" t="s">
        <v>58</v>
      </c>
      <c r="X31" s="39" t="s">
        <v>59</v>
      </c>
      <c r="Y31" s="39" t="s">
        <v>60</v>
      </c>
      <c r="Z31" s="40" t="s">
        <v>60</v>
      </c>
      <c r="AA31" s="40" t="s">
        <v>92</v>
      </c>
      <c r="AB31" s="39"/>
      <c r="AC31" t="s">
        <v>324</v>
      </c>
      <c r="AD31" t="s">
        <v>325</v>
      </c>
      <c r="AE31" t="s">
        <v>326</v>
      </c>
      <c r="AF31" s="41">
        <v>45473</v>
      </c>
      <c r="AG31" t="s">
        <v>327</v>
      </c>
      <c r="AH31" t="s">
        <v>279</v>
      </c>
      <c r="AI31" t="s">
        <v>280</v>
      </c>
      <c r="AJ31" t="s">
        <v>62</v>
      </c>
      <c r="AK31" s="20" t="s">
        <v>63</v>
      </c>
      <c r="AL31" s="20" t="s">
        <v>63</v>
      </c>
      <c r="AM31" s="21" t="s">
        <v>64</v>
      </c>
      <c r="AN31" s="21" t="s">
        <v>64</v>
      </c>
    </row>
    <row r="32" spans="1:40" ht="15" customHeight="1" x14ac:dyDescent="0.25">
      <c r="A32" s="39" t="s">
        <v>328</v>
      </c>
      <c r="B32" s="40" t="s">
        <v>329</v>
      </c>
      <c r="C32" s="39" t="s">
        <v>67</v>
      </c>
      <c r="D32" s="39" t="s">
        <v>330</v>
      </c>
      <c r="E32" s="39" t="s">
        <v>331</v>
      </c>
      <c r="F32" s="39" t="s">
        <v>332</v>
      </c>
      <c r="G32" s="39" t="s">
        <v>286</v>
      </c>
      <c r="H32" s="40" t="s">
        <v>333</v>
      </c>
      <c r="I32" s="39" t="s">
        <v>73</v>
      </c>
      <c r="J32" s="39" t="s">
        <v>118</v>
      </c>
      <c r="K32" s="39">
        <v>3.22</v>
      </c>
      <c r="L32" s="39">
        <v>24</v>
      </c>
      <c r="M32" s="39" t="s">
        <v>50</v>
      </c>
      <c r="N32" s="39" t="s">
        <v>334</v>
      </c>
      <c r="O32" s="39" t="s">
        <v>120</v>
      </c>
      <c r="P32" s="39" t="s">
        <v>53</v>
      </c>
      <c r="Q32" s="39" t="s">
        <v>272</v>
      </c>
      <c r="R32" s="40" t="s">
        <v>289</v>
      </c>
      <c r="S32" s="39" t="s">
        <v>290</v>
      </c>
      <c r="T32" s="39" t="s">
        <v>123</v>
      </c>
      <c r="U32" s="39" t="s">
        <v>57</v>
      </c>
      <c r="V32" s="39">
        <v>0</v>
      </c>
      <c r="W32" s="39" t="s">
        <v>58</v>
      </c>
      <c r="X32" s="39" t="s">
        <v>59</v>
      </c>
      <c r="Y32" s="39" t="s">
        <v>60</v>
      </c>
      <c r="Z32" s="40" t="s">
        <v>60</v>
      </c>
      <c r="AA32" s="40" t="s">
        <v>61</v>
      </c>
      <c r="AB32" s="39"/>
      <c r="AC32" t="s">
        <v>291</v>
      </c>
      <c r="AD32" t="s">
        <v>60</v>
      </c>
      <c r="AE32" t="s">
        <v>335</v>
      </c>
      <c r="AF32" s="41">
        <v>45838</v>
      </c>
      <c r="AG32" t="s">
        <v>293</v>
      </c>
      <c r="AH32" t="s">
        <v>336</v>
      </c>
      <c r="AI32" t="s">
        <v>295</v>
      </c>
      <c r="AJ32" t="s">
        <v>62</v>
      </c>
      <c r="AK32" s="20" t="s">
        <v>63</v>
      </c>
      <c r="AL32" s="20" t="s">
        <v>63</v>
      </c>
      <c r="AM32" s="21" t="s">
        <v>64</v>
      </c>
      <c r="AN32" s="21" t="s">
        <v>64</v>
      </c>
    </row>
    <row r="33" spans="1:40" ht="21.75" customHeight="1" x14ac:dyDescent="0.25">
      <c r="A33" s="42" t="s">
        <v>337</v>
      </c>
      <c r="B33" s="43" t="s">
        <v>338</v>
      </c>
      <c r="C33" s="42" t="s">
        <v>42</v>
      </c>
      <c r="D33" s="42" t="s">
        <v>339</v>
      </c>
      <c r="E33" s="42" t="s">
        <v>340</v>
      </c>
      <c r="F33" s="42" t="s">
        <v>341</v>
      </c>
      <c r="G33" s="42" t="s">
        <v>342</v>
      </c>
      <c r="H33" s="43" t="s">
        <v>140</v>
      </c>
      <c r="I33" s="42" t="s">
        <v>117</v>
      </c>
      <c r="J33" s="42" t="s">
        <v>49</v>
      </c>
      <c r="K33" s="42">
        <v>3.82</v>
      </c>
      <c r="L33" s="42">
        <v>36</v>
      </c>
      <c r="M33" s="42" t="s">
        <v>50</v>
      </c>
      <c r="N33" s="42" t="s">
        <v>51</v>
      </c>
      <c r="O33" s="42" t="s">
        <v>343</v>
      </c>
      <c r="P33" s="42" t="s">
        <v>89</v>
      </c>
      <c r="Q33" s="42" t="s">
        <v>272</v>
      </c>
      <c r="R33" s="43" t="s">
        <v>342</v>
      </c>
      <c r="S33" s="42" t="s">
        <v>344</v>
      </c>
      <c r="T33" s="42" t="s">
        <v>345</v>
      </c>
      <c r="U33" s="42" t="s">
        <v>57</v>
      </c>
      <c r="V33" s="42">
        <v>0</v>
      </c>
      <c r="W33" s="42" t="s">
        <v>58</v>
      </c>
      <c r="X33" s="42" t="s">
        <v>59</v>
      </c>
      <c r="Y33" s="42" t="s">
        <v>346</v>
      </c>
      <c r="Z33" s="43" t="s">
        <v>347</v>
      </c>
      <c r="AA33" s="43" t="s">
        <v>61</v>
      </c>
      <c r="AB33" s="42"/>
      <c r="AC33" t="s">
        <v>348</v>
      </c>
      <c r="AD33" t="s">
        <v>349</v>
      </c>
      <c r="AE33" t="s">
        <v>350</v>
      </c>
      <c r="AF33" s="41">
        <v>45463</v>
      </c>
      <c r="AG33" t="s">
        <v>351</v>
      </c>
      <c r="AH33" t="s">
        <v>352</v>
      </c>
      <c r="AI33" t="s">
        <v>353</v>
      </c>
      <c r="AJ33" t="s">
        <v>62</v>
      </c>
      <c r="AK33" s="20" t="s">
        <v>63</v>
      </c>
      <c r="AL33" s="20" t="s">
        <v>63</v>
      </c>
      <c r="AM33" s="21" t="s">
        <v>64</v>
      </c>
      <c r="AN33" s="21" t="s">
        <v>64</v>
      </c>
    </row>
    <row r="34" spans="1:40" ht="21.75" customHeight="1" x14ac:dyDescent="0.25">
      <c r="A34" s="42" t="s">
        <v>354</v>
      </c>
      <c r="B34" s="43" t="s">
        <v>355</v>
      </c>
      <c r="C34" s="42" t="s">
        <v>67</v>
      </c>
      <c r="D34" s="42" t="s">
        <v>356</v>
      </c>
      <c r="E34" s="42" t="s">
        <v>357</v>
      </c>
      <c r="F34" s="42" t="s">
        <v>358</v>
      </c>
      <c r="G34" s="42" t="s">
        <v>342</v>
      </c>
      <c r="H34" s="43" t="s">
        <v>47</v>
      </c>
      <c r="I34" s="42" t="s">
        <v>48</v>
      </c>
      <c r="J34" s="42" t="s">
        <v>74</v>
      </c>
      <c r="K34" s="42">
        <v>3.61</v>
      </c>
      <c r="L34" s="42">
        <v>24</v>
      </c>
      <c r="M34" s="42" t="s">
        <v>50</v>
      </c>
      <c r="N34" s="42" t="s">
        <v>359</v>
      </c>
      <c r="O34" s="42" t="s">
        <v>75</v>
      </c>
      <c r="P34" s="42" t="s">
        <v>53</v>
      </c>
      <c r="Q34" s="42" t="s">
        <v>272</v>
      </c>
      <c r="R34" s="43" t="s">
        <v>342</v>
      </c>
      <c r="S34" s="42" t="s">
        <v>360</v>
      </c>
      <c r="T34" s="42" t="s">
        <v>361</v>
      </c>
      <c r="U34" s="42" t="s">
        <v>57</v>
      </c>
      <c r="V34" s="42">
        <v>0</v>
      </c>
      <c r="W34" s="42" t="s">
        <v>58</v>
      </c>
      <c r="X34" s="42" t="s">
        <v>59</v>
      </c>
      <c r="Y34" s="42" t="s">
        <v>362</v>
      </c>
      <c r="Z34" s="43" t="s">
        <v>363</v>
      </c>
      <c r="AA34" s="43" t="s">
        <v>61</v>
      </c>
      <c r="AB34" s="42"/>
      <c r="AC34" t="s">
        <v>364</v>
      </c>
      <c r="AD34" t="s">
        <v>365</v>
      </c>
      <c r="AE34" t="s">
        <v>366</v>
      </c>
      <c r="AF34" s="41">
        <v>45792</v>
      </c>
      <c r="AG34" t="s">
        <v>367</v>
      </c>
      <c r="AH34" t="s">
        <v>368</v>
      </c>
      <c r="AI34" t="s">
        <v>369</v>
      </c>
      <c r="AJ34" t="s">
        <v>62</v>
      </c>
      <c r="AK34" s="20" t="s">
        <v>63</v>
      </c>
      <c r="AL34" s="20" t="s">
        <v>63</v>
      </c>
      <c r="AM34" s="21" t="s">
        <v>64</v>
      </c>
      <c r="AN34" s="21" t="s">
        <v>64</v>
      </c>
    </row>
    <row r="35" spans="1:40" ht="21.75" customHeight="1" x14ac:dyDescent="0.25">
      <c r="A35" s="42" t="s">
        <v>370</v>
      </c>
      <c r="B35" s="43" t="s">
        <v>371</v>
      </c>
      <c r="C35" s="42" t="s">
        <v>42</v>
      </c>
      <c r="D35" s="42" t="s">
        <v>372</v>
      </c>
      <c r="E35" s="42" t="s">
        <v>373</v>
      </c>
      <c r="F35" s="42" t="s">
        <v>374</v>
      </c>
      <c r="G35" s="42" t="s">
        <v>375</v>
      </c>
      <c r="H35" s="43" t="s">
        <v>133</v>
      </c>
      <c r="I35" s="42" t="s">
        <v>134</v>
      </c>
      <c r="J35" s="42" t="s">
        <v>49</v>
      </c>
      <c r="K35" s="42">
        <v>3.48</v>
      </c>
      <c r="L35" s="42">
        <v>36</v>
      </c>
      <c r="M35" s="42" t="s">
        <v>50</v>
      </c>
      <c r="N35" s="42" t="s">
        <v>51</v>
      </c>
      <c r="O35" s="42" t="s">
        <v>343</v>
      </c>
      <c r="P35" s="42" t="s">
        <v>89</v>
      </c>
      <c r="Q35" s="42" t="s">
        <v>272</v>
      </c>
      <c r="R35" s="43" t="s">
        <v>375</v>
      </c>
      <c r="S35" s="42" t="s">
        <v>344</v>
      </c>
      <c r="T35" s="42" t="s">
        <v>345</v>
      </c>
      <c r="U35" s="42" t="s">
        <v>57</v>
      </c>
      <c r="V35" s="42">
        <v>0</v>
      </c>
      <c r="W35" s="42" t="s">
        <v>58</v>
      </c>
      <c r="X35" s="42" t="s">
        <v>59</v>
      </c>
      <c r="Y35" s="42" t="s">
        <v>376</v>
      </c>
      <c r="Z35" s="43" t="s">
        <v>347</v>
      </c>
      <c r="AA35" s="43" t="s">
        <v>61</v>
      </c>
      <c r="AB35" s="42"/>
      <c r="AC35" t="s">
        <v>377</v>
      </c>
      <c r="AD35" t="s">
        <v>378</v>
      </c>
      <c r="AE35" t="s">
        <v>379</v>
      </c>
      <c r="AF35" s="41">
        <v>45534</v>
      </c>
      <c r="AG35" t="s">
        <v>380</v>
      </c>
      <c r="AH35" t="s">
        <v>381</v>
      </c>
      <c r="AI35" t="s">
        <v>382</v>
      </c>
      <c r="AJ35" t="s">
        <v>62</v>
      </c>
      <c r="AK35" s="20" t="s">
        <v>63</v>
      </c>
      <c r="AL35" s="20" t="s">
        <v>63</v>
      </c>
      <c r="AM35" s="21" t="s">
        <v>64</v>
      </c>
      <c r="AN35" s="21" t="s">
        <v>64</v>
      </c>
    </row>
    <row r="36" spans="1:40" ht="21.75" customHeight="1" x14ac:dyDescent="0.25">
      <c r="A36" s="30" t="s">
        <v>383</v>
      </c>
      <c r="B36" s="31" t="s">
        <v>384</v>
      </c>
      <c r="C36" s="30" t="s">
        <v>67</v>
      </c>
      <c r="D36" s="30" t="s">
        <v>385</v>
      </c>
      <c r="E36" s="30" t="s">
        <v>386</v>
      </c>
      <c r="F36" s="30" t="s">
        <v>387</v>
      </c>
      <c r="G36" s="30" t="s">
        <v>342</v>
      </c>
      <c r="H36" s="31" t="s">
        <v>388</v>
      </c>
      <c r="I36" s="30" t="s">
        <v>85</v>
      </c>
      <c r="J36" s="30" t="s">
        <v>74</v>
      </c>
      <c r="K36" s="30">
        <v>3.31</v>
      </c>
      <c r="L36" s="30">
        <v>18</v>
      </c>
      <c r="M36" s="30" t="s">
        <v>158</v>
      </c>
      <c r="N36" s="30" t="s">
        <v>104</v>
      </c>
      <c r="O36" s="30" t="s">
        <v>75</v>
      </c>
      <c r="P36" s="30" t="s">
        <v>76</v>
      </c>
      <c r="Q36" s="30" t="s">
        <v>272</v>
      </c>
      <c r="R36" s="31" t="s">
        <v>342</v>
      </c>
      <c r="S36" s="30" t="s">
        <v>389</v>
      </c>
      <c r="T36" s="30" t="s">
        <v>361</v>
      </c>
      <c r="U36" s="30" t="s">
        <v>160</v>
      </c>
      <c r="V36" s="30">
        <v>0</v>
      </c>
      <c r="W36" s="30" t="s">
        <v>58</v>
      </c>
      <c r="X36" s="30" t="s">
        <v>59</v>
      </c>
      <c r="Y36" s="30" t="s">
        <v>390</v>
      </c>
      <c r="Z36" s="31" t="s">
        <v>391</v>
      </c>
      <c r="AA36" s="31" t="s">
        <v>61</v>
      </c>
      <c r="AB36" s="30"/>
      <c r="AC36" t="s">
        <v>392</v>
      </c>
      <c r="AD36" t="s">
        <v>393</v>
      </c>
      <c r="AE36" t="s">
        <v>394</v>
      </c>
      <c r="AF36" s="41">
        <v>46203</v>
      </c>
      <c r="AG36" t="s">
        <v>395</v>
      </c>
      <c r="AH36" t="s">
        <v>396</v>
      </c>
      <c r="AI36" t="s">
        <v>397</v>
      </c>
      <c r="AJ36" t="s">
        <v>62</v>
      </c>
      <c r="AK36" s="32" t="s">
        <v>63</v>
      </c>
      <c r="AL36" s="32" t="s">
        <v>63</v>
      </c>
      <c r="AM36" s="33" t="s">
        <v>64</v>
      </c>
      <c r="AN36" s="33" t="s">
        <v>64</v>
      </c>
    </row>
    <row r="37" spans="1:40" ht="21.75" customHeight="1" x14ac:dyDescent="0.25">
      <c r="A37" s="22" t="s">
        <v>398</v>
      </c>
      <c r="B37" s="23" t="s">
        <v>399</v>
      </c>
      <c r="C37" s="22" t="s">
        <v>42</v>
      </c>
      <c r="D37" s="22" t="s">
        <v>400</v>
      </c>
      <c r="E37" s="22" t="s">
        <v>401</v>
      </c>
      <c r="F37" s="22" t="s">
        <v>402</v>
      </c>
      <c r="G37" s="22" t="s">
        <v>342</v>
      </c>
      <c r="H37" s="23" t="s">
        <v>403</v>
      </c>
      <c r="I37" s="22" t="s">
        <v>102</v>
      </c>
      <c r="J37" s="22" t="s">
        <v>86</v>
      </c>
      <c r="K37" s="22">
        <v>3.91</v>
      </c>
      <c r="L37" s="22">
        <v>48</v>
      </c>
      <c r="M37" s="22" t="s">
        <v>103</v>
      </c>
      <c r="N37" s="22" t="s">
        <v>51</v>
      </c>
      <c r="O37" s="22" t="s">
        <v>88</v>
      </c>
      <c r="P37" s="22"/>
      <c r="Q37" s="22" t="s">
        <v>272</v>
      </c>
      <c r="R37" s="23" t="s">
        <v>342</v>
      </c>
      <c r="S37" s="22" t="s">
        <v>404</v>
      </c>
      <c r="T37" s="22" t="s">
        <v>107</v>
      </c>
      <c r="U37" s="22" t="s">
        <v>108</v>
      </c>
      <c r="V37" s="22">
        <v>0</v>
      </c>
      <c r="W37" s="22" t="s">
        <v>108</v>
      </c>
      <c r="X37" s="22" t="s">
        <v>304</v>
      </c>
      <c r="Y37" s="22" t="s">
        <v>405</v>
      </c>
      <c r="Z37" s="23" t="s">
        <v>406</v>
      </c>
      <c r="AA37" s="23" t="s">
        <v>109</v>
      </c>
      <c r="AB37" s="22" t="s">
        <v>110</v>
      </c>
      <c r="AC37" t="s">
        <v>407</v>
      </c>
      <c r="AD37" t="s">
        <v>408</v>
      </c>
      <c r="AE37" t="s">
        <v>409</v>
      </c>
      <c r="AF37" s="41">
        <v>45915</v>
      </c>
      <c r="AG37" t="s">
        <v>410</v>
      </c>
      <c r="AH37" t="s">
        <v>307</v>
      </c>
      <c r="AI37" t="s">
        <v>411</v>
      </c>
      <c r="AJ37" t="s">
        <v>62</v>
      </c>
      <c r="AK37" s="24" t="s">
        <v>63</v>
      </c>
      <c r="AL37" s="24" t="s">
        <v>63</v>
      </c>
      <c r="AM37" s="25" t="s">
        <v>64</v>
      </c>
      <c r="AN37" s="25" t="s">
        <v>64</v>
      </c>
    </row>
    <row r="38" spans="1:40" ht="21.75" customHeight="1" x14ac:dyDescent="0.25">
      <c r="A38" s="42" t="s">
        <v>412</v>
      </c>
      <c r="B38" s="43" t="s">
        <v>413</v>
      </c>
      <c r="C38" s="42" t="s">
        <v>67</v>
      </c>
      <c r="D38" s="42" t="s">
        <v>414</v>
      </c>
      <c r="E38" s="42" t="s">
        <v>415</v>
      </c>
      <c r="F38" s="42" t="s">
        <v>416</v>
      </c>
      <c r="G38" s="42" t="s">
        <v>342</v>
      </c>
      <c r="H38" s="43" t="s">
        <v>47</v>
      </c>
      <c r="I38" s="42" t="s">
        <v>48</v>
      </c>
      <c r="J38" s="42" t="s">
        <v>118</v>
      </c>
      <c r="K38" s="42">
        <v>3.52</v>
      </c>
      <c r="L38" s="42">
        <v>12</v>
      </c>
      <c r="M38" s="42" t="s">
        <v>50</v>
      </c>
      <c r="N38" s="42" t="s">
        <v>51</v>
      </c>
      <c r="O38" s="42" t="s">
        <v>120</v>
      </c>
      <c r="P38" s="42" t="s">
        <v>76</v>
      </c>
      <c r="Q38" s="42" t="s">
        <v>272</v>
      </c>
      <c r="R38" s="43" t="s">
        <v>342</v>
      </c>
      <c r="S38" s="42" t="s">
        <v>417</v>
      </c>
      <c r="T38" s="42" t="s">
        <v>418</v>
      </c>
      <c r="U38" s="42" t="s">
        <v>57</v>
      </c>
      <c r="V38" s="42">
        <v>0</v>
      </c>
      <c r="W38" s="42" t="s">
        <v>58</v>
      </c>
      <c r="X38" s="42" t="s">
        <v>59</v>
      </c>
      <c r="Y38" s="42" t="s">
        <v>419</v>
      </c>
      <c r="Z38" s="43" t="s">
        <v>420</v>
      </c>
      <c r="AA38" s="43" t="s">
        <v>61</v>
      </c>
      <c r="AB38" s="42"/>
      <c r="AC38" t="s">
        <v>364</v>
      </c>
      <c r="AD38" t="s">
        <v>275</v>
      </c>
      <c r="AE38" t="s">
        <v>421</v>
      </c>
      <c r="AF38" s="41">
        <v>46203</v>
      </c>
      <c r="AG38" t="s">
        <v>422</v>
      </c>
      <c r="AH38" t="s">
        <v>423</v>
      </c>
      <c r="AI38" t="s">
        <v>424</v>
      </c>
      <c r="AJ38" t="s">
        <v>62</v>
      </c>
      <c r="AK38" s="20" t="s">
        <v>63</v>
      </c>
      <c r="AL38" s="20" t="s">
        <v>63</v>
      </c>
      <c r="AM38" s="21" t="s">
        <v>64</v>
      </c>
      <c r="AN38" s="21" t="s">
        <v>64</v>
      </c>
    </row>
    <row r="39" spans="1:40" ht="15" customHeight="1" x14ac:dyDescent="0.25">
      <c r="A39" t="s">
        <v>425</v>
      </c>
      <c r="B39" t="s">
        <v>426</v>
      </c>
      <c r="C39" t="s">
        <v>42</v>
      </c>
      <c r="D39" s="41">
        <v>33465</v>
      </c>
      <c r="E39" t="s">
        <v>427</v>
      </c>
      <c r="F39" t="s">
        <v>428</v>
      </c>
      <c r="G39" t="s">
        <v>429</v>
      </c>
      <c r="H39" t="s">
        <v>47</v>
      </c>
      <c r="I39" t="s">
        <v>48</v>
      </c>
      <c r="J39" t="s">
        <v>49</v>
      </c>
      <c r="K39">
        <v>3.88</v>
      </c>
      <c r="L39">
        <v>36</v>
      </c>
      <c r="M39" t="s">
        <v>50</v>
      </c>
      <c r="N39" t="s">
        <v>104</v>
      </c>
      <c r="O39" s="41">
        <v>45175</v>
      </c>
      <c r="P39" s="41">
        <v>46203</v>
      </c>
      <c r="Q39" t="s">
        <v>272</v>
      </c>
      <c r="R39" t="s">
        <v>430</v>
      </c>
      <c r="S39" t="s">
        <v>431</v>
      </c>
      <c r="T39" t="s">
        <v>345</v>
      </c>
      <c r="U39" t="s">
        <v>57</v>
      </c>
      <c r="V39">
        <v>0</v>
      </c>
      <c r="W39" t="s">
        <v>58</v>
      </c>
      <c r="X39" s="41">
        <v>45306</v>
      </c>
      <c r="Y39" t="s">
        <v>432</v>
      </c>
      <c r="Z39" t="s">
        <v>363</v>
      </c>
      <c r="AA39" t="s">
        <v>61</v>
      </c>
      <c r="AC39" t="s">
        <v>364</v>
      </c>
      <c r="AD39" t="s">
        <v>433</v>
      </c>
      <c r="AE39" t="s">
        <v>434</v>
      </c>
      <c r="AF39" s="41">
        <v>46142</v>
      </c>
      <c r="AG39" t="s">
        <v>435</v>
      </c>
      <c r="AH39" t="s">
        <v>436</v>
      </c>
      <c r="AI39" t="s">
        <v>437</v>
      </c>
      <c r="AJ39" t="s">
        <v>62</v>
      </c>
      <c r="AK39" s="20" t="s">
        <v>63</v>
      </c>
      <c r="AL39" s="20" t="s">
        <v>63</v>
      </c>
      <c r="AM39" s="21" t="s">
        <v>64</v>
      </c>
      <c r="AN39" s="21" t="s">
        <v>64</v>
      </c>
    </row>
    <row r="40" spans="1:40" ht="15" customHeight="1" x14ac:dyDescent="0.25">
      <c r="A40" t="s">
        <v>438</v>
      </c>
      <c r="B40" t="s">
        <v>439</v>
      </c>
      <c r="C40" t="s">
        <v>67</v>
      </c>
      <c r="D40" s="41">
        <v>32954</v>
      </c>
      <c r="E40" t="s">
        <v>440</v>
      </c>
      <c r="F40" t="s">
        <v>441</v>
      </c>
      <c r="G40" t="s">
        <v>429</v>
      </c>
      <c r="H40" t="s">
        <v>403</v>
      </c>
      <c r="I40" t="s">
        <v>102</v>
      </c>
      <c r="J40" t="s">
        <v>86</v>
      </c>
      <c r="K40">
        <v>3.71</v>
      </c>
      <c r="L40">
        <v>48</v>
      </c>
      <c r="M40" t="s">
        <v>50</v>
      </c>
      <c r="N40" t="s">
        <v>51</v>
      </c>
      <c r="O40" s="41">
        <v>45176</v>
      </c>
      <c r="P40" s="41">
        <v>46203</v>
      </c>
      <c r="Q40" t="s">
        <v>272</v>
      </c>
      <c r="R40" t="s">
        <v>430</v>
      </c>
      <c r="S40" t="s">
        <v>442</v>
      </c>
      <c r="T40" t="s">
        <v>443</v>
      </c>
      <c r="U40" t="s">
        <v>57</v>
      </c>
      <c r="V40">
        <v>0</v>
      </c>
      <c r="W40" t="s">
        <v>58</v>
      </c>
      <c r="X40" s="41">
        <v>45306</v>
      </c>
      <c r="Y40" t="s">
        <v>444</v>
      </c>
      <c r="Z40" t="s">
        <v>347</v>
      </c>
      <c r="AA40" t="s">
        <v>445</v>
      </c>
      <c r="AC40" t="s">
        <v>407</v>
      </c>
      <c r="AD40" t="s">
        <v>446</v>
      </c>
      <c r="AE40" t="s">
        <v>447</v>
      </c>
      <c r="AF40" s="41">
        <v>45930</v>
      </c>
      <c r="AG40" t="s">
        <v>448</v>
      </c>
      <c r="AH40" t="s">
        <v>449</v>
      </c>
      <c r="AI40" t="s">
        <v>450</v>
      </c>
      <c r="AJ40" t="s">
        <v>62</v>
      </c>
      <c r="AK40" s="20" t="s">
        <v>63</v>
      </c>
      <c r="AL40" s="20" t="s">
        <v>63</v>
      </c>
      <c r="AM40" s="21" t="s">
        <v>64</v>
      </c>
      <c r="AN40" s="21" t="s">
        <v>64</v>
      </c>
    </row>
    <row r="41" spans="1:40" ht="15" customHeight="1" x14ac:dyDescent="0.25">
      <c r="A41" t="s">
        <v>451</v>
      </c>
      <c r="B41" t="s">
        <v>452</v>
      </c>
      <c r="C41" t="s">
        <v>42</v>
      </c>
      <c r="D41" s="41">
        <v>34303</v>
      </c>
      <c r="E41" t="s">
        <v>453</v>
      </c>
      <c r="F41" t="s">
        <v>454</v>
      </c>
      <c r="G41" t="s">
        <v>429</v>
      </c>
      <c r="H41" t="s">
        <v>72</v>
      </c>
      <c r="I41" t="s">
        <v>73</v>
      </c>
      <c r="J41" t="s">
        <v>118</v>
      </c>
      <c r="K41">
        <v>3.65</v>
      </c>
      <c r="L41">
        <v>12</v>
      </c>
      <c r="M41" t="s">
        <v>50</v>
      </c>
      <c r="N41" t="s">
        <v>455</v>
      </c>
      <c r="O41" s="41">
        <v>45173</v>
      </c>
      <c r="P41" s="41">
        <v>46203</v>
      </c>
      <c r="Q41" t="s">
        <v>272</v>
      </c>
      <c r="R41" t="s">
        <v>430</v>
      </c>
      <c r="S41" t="s">
        <v>456</v>
      </c>
      <c r="T41" t="s">
        <v>418</v>
      </c>
      <c r="U41" t="s">
        <v>57</v>
      </c>
      <c r="V41">
        <v>0</v>
      </c>
      <c r="W41" t="s">
        <v>58</v>
      </c>
      <c r="X41" s="41">
        <v>45306</v>
      </c>
      <c r="Y41" t="s">
        <v>457</v>
      </c>
      <c r="Z41" t="s">
        <v>458</v>
      </c>
      <c r="AA41" t="s">
        <v>61</v>
      </c>
      <c r="AC41" t="s">
        <v>291</v>
      </c>
      <c r="AD41" t="s">
        <v>459</v>
      </c>
      <c r="AE41" t="s">
        <v>460</v>
      </c>
      <c r="AF41" s="41">
        <v>46203</v>
      </c>
      <c r="AG41" t="s">
        <v>461</v>
      </c>
      <c r="AH41" t="s">
        <v>462</v>
      </c>
      <c r="AI41" t="s">
        <v>463</v>
      </c>
      <c r="AJ41" t="s">
        <v>62</v>
      </c>
      <c r="AK41" s="20" t="s">
        <v>63</v>
      </c>
      <c r="AL41" s="20" t="s">
        <v>63</v>
      </c>
      <c r="AM41" s="21" t="s">
        <v>64</v>
      </c>
      <c r="AN41" s="21" t="s">
        <v>64</v>
      </c>
    </row>
    <row r="42" spans="1:40" ht="15" customHeight="1" x14ac:dyDescent="0.25">
      <c r="A42" t="s">
        <v>464</v>
      </c>
      <c r="B42" t="s">
        <v>465</v>
      </c>
      <c r="C42" t="s">
        <v>67</v>
      </c>
      <c r="D42" s="41">
        <v>32646</v>
      </c>
      <c r="E42" t="s">
        <v>466</v>
      </c>
      <c r="F42" t="s">
        <v>467</v>
      </c>
      <c r="G42" t="s">
        <v>429</v>
      </c>
      <c r="H42" t="s">
        <v>173</v>
      </c>
      <c r="I42" t="s">
        <v>117</v>
      </c>
      <c r="J42" t="s">
        <v>74</v>
      </c>
      <c r="K42">
        <v>3.42</v>
      </c>
      <c r="L42">
        <v>24</v>
      </c>
      <c r="M42" t="s">
        <v>50</v>
      </c>
      <c r="N42" t="s">
        <v>51</v>
      </c>
      <c r="O42" s="41">
        <v>45540</v>
      </c>
      <c r="P42" s="41">
        <v>46203</v>
      </c>
      <c r="Q42" t="s">
        <v>272</v>
      </c>
      <c r="R42" t="s">
        <v>430</v>
      </c>
      <c r="S42" t="s">
        <v>468</v>
      </c>
      <c r="T42" t="s">
        <v>361</v>
      </c>
      <c r="U42" t="s">
        <v>57</v>
      </c>
      <c r="V42">
        <v>0</v>
      </c>
      <c r="W42" t="s">
        <v>58</v>
      </c>
      <c r="X42" s="41">
        <v>45306</v>
      </c>
      <c r="Y42" t="s">
        <v>469</v>
      </c>
      <c r="Z42" t="s">
        <v>470</v>
      </c>
      <c r="AA42" t="s">
        <v>61</v>
      </c>
      <c r="AC42" t="s">
        <v>314</v>
      </c>
      <c r="AD42" t="s">
        <v>471</v>
      </c>
      <c r="AE42" t="s">
        <v>472</v>
      </c>
      <c r="AF42" s="41">
        <v>46387</v>
      </c>
      <c r="AG42" t="s">
        <v>473</v>
      </c>
      <c r="AH42" t="s">
        <v>474</v>
      </c>
      <c r="AI42" t="s">
        <v>475</v>
      </c>
      <c r="AJ42" t="s">
        <v>62</v>
      </c>
      <c r="AK42" s="20" t="s">
        <v>63</v>
      </c>
      <c r="AL42" s="20" t="s">
        <v>63</v>
      </c>
      <c r="AM42" s="21" t="s">
        <v>64</v>
      </c>
      <c r="AN42" s="21" t="s">
        <v>64</v>
      </c>
    </row>
    <row r="43" spans="1:40" ht="15" customHeight="1" x14ac:dyDescent="0.25">
      <c r="A43" s="18" t="s">
        <v>476</v>
      </c>
      <c r="B43" s="19" t="s">
        <v>477</v>
      </c>
      <c r="C43" s="18" t="s">
        <v>67</v>
      </c>
      <c r="D43" s="18" t="s">
        <v>478</v>
      </c>
      <c r="E43" s="18" t="s">
        <v>479</v>
      </c>
      <c r="F43" s="18" t="s">
        <v>480</v>
      </c>
      <c r="G43" s="18" t="s">
        <v>46</v>
      </c>
      <c r="H43" s="19" t="s">
        <v>47</v>
      </c>
      <c r="I43" s="18" t="s">
        <v>481</v>
      </c>
      <c r="J43" s="18" t="s">
        <v>49</v>
      </c>
      <c r="K43" s="18">
        <v>3.71</v>
      </c>
      <c r="L43" s="18">
        <v>92</v>
      </c>
      <c r="M43" s="18" t="s">
        <v>50</v>
      </c>
      <c r="N43" s="18" t="s">
        <v>482</v>
      </c>
      <c r="O43" s="18" t="s">
        <v>483</v>
      </c>
      <c r="P43" s="18" t="s">
        <v>53</v>
      </c>
      <c r="Q43" s="18" t="s">
        <v>54</v>
      </c>
      <c r="R43" s="18" t="s">
        <v>46</v>
      </c>
      <c r="S43" s="19" t="s">
        <v>55</v>
      </c>
      <c r="T43" s="18" t="s">
        <v>56</v>
      </c>
      <c r="U43" s="18" t="s">
        <v>57</v>
      </c>
      <c r="V43" s="18">
        <v>0</v>
      </c>
      <c r="W43" s="18" t="s">
        <v>58</v>
      </c>
      <c r="X43" s="18" t="s">
        <v>59</v>
      </c>
      <c r="Y43" s="19" t="s">
        <v>60</v>
      </c>
      <c r="Z43" s="19" t="s">
        <v>60</v>
      </c>
      <c r="AA43" s="18" t="s">
        <v>61</v>
      </c>
      <c r="AB43" s="18"/>
      <c r="AJ43" t="s">
        <v>484</v>
      </c>
      <c r="AK43" s="20" t="s">
        <v>63</v>
      </c>
      <c r="AL43" s="20" t="s">
        <v>63</v>
      </c>
      <c r="AM43" s="21" t="s">
        <v>64</v>
      </c>
      <c r="AN43" s="21" t="s">
        <v>64</v>
      </c>
    </row>
    <row r="44" spans="1:40" ht="15" customHeight="1" x14ac:dyDescent="0.25">
      <c r="A44" s="18" t="s">
        <v>485</v>
      </c>
      <c r="B44" s="19" t="s">
        <v>486</v>
      </c>
      <c r="C44" s="18" t="s">
        <v>42</v>
      </c>
      <c r="D44" s="18" t="s">
        <v>487</v>
      </c>
      <c r="E44" s="18" t="s">
        <v>488</v>
      </c>
      <c r="F44" s="18" t="s">
        <v>489</v>
      </c>
      <c r="G44" s="18" t="s">
        <v>46</v>
      </c>
      <c r="H44" s="19" t="s">
        <v>490</v>
      </c>
      <c r="I44" s="18" t="s">
        <v>491</v>
      </c>
      <c r="J44" s="18" t="s">
        <v>74</v>
      </c>
      <c r="K44" s="18">
        <v>3.18</v>
      </c>
      <c r="L44" s="18">
        <v>67</v>
      </c>
      <c r="M44" s="18" t="s">
        <v>50</v>
      </c>
      <c r="N44" s="18" t="s">
        <v>492</v>
      </c>
      <c r="O44" s="18" t="s">
        <v>493</v>
      </c>
      <c r="P44" s="18" t="s">
        <v>76</v>
      </c>
      <c r="Q44" s="18" t="s">
        <v>54</v>
      </c>
      <c r="R44" s="18" t="s">
        <v>46</v>
      </c>
      <c r="S44" s="19" t="s">
        <v>77</v>
      </c>
      <c r="T44" s="18" t="s">
        <v>78</v>
      </c>
      <c r="U44" s="18" t="s">
        <v>57</v>
      </c>
      <c r="V44" s="18">
        <v>0</v>
      </c>
      <c r="W44" s="18" t="s">
        <v>58</v>
      </c>
      <c r="X44" s="18" t="s">
        <v>59</v>
      </c>
      <c r="Y44" s="19" t="s">
        <v>60</v>
      </c>
      <c r="Z44" s="19" t="s">
        <v>60</v>
      </c>
      <c r="AA44" s="18" t="s">
        <v>61</v>
      </c>
      <c r="AB44" s="18"/>
      <c r="AJ44" t="s">
        <v>484</v>
      </c>
      <c r="AK44" s="20" t="s">
        <v>63</v>
      </c>
      <c r="AL44" s="20" t="s">
        <v>63</v>
      </c>
      <c r="AM44" s="21" t="s">
        <v>64</v>
      </c>
      <c r="AN44" s="21" t="s">
        <v>64</v>
      </c>
    </row>
    <row r="45" spans="1:40" ht="21.75" customHeight="1" x14ac:dyDescent="0.25">
      <c r="A45" s="18" t="s">
        <v>494</v>
      </c>
      <c r="B45" s="19" t="s">
        <v>495</v>
      </c>
      <c r="C45" s="18" t="s">
        <v>67</v>
      </c>
      <c r="D45" s="18" t="s">
        <v>496</v>
      </c>
      <c r="E45" s="18" t="s">
        <v>497</v>
      </c>
      <c r="F45" s="18" t="s">
        <v>498</v>
      </c>
      <c r="G45" s="18" t="s">
        <v>46</v>
      </c>
      <c r="H45" s="19" t="s">
        <v>166</v>
      </c>
      <c r="I45" s="18" t="s">
        <v>499</v>
      </c>
      <c r="J45" s="18" t="s">
        <v>86</v>
      </c>
      <c r="K45" s="18">
        <v>3.49</v>
      </c>
      <c r="L45" s="18">
        <v>129</v>
      </c>
      <c r="M45" s="18" t="s">
        <v>50</v>
      </c>
      <c r="N45" s="18" t="s">
        <v>500</v>
      </c>
      <c r="O45" s="18" t="s">
        <v>501</v>
      </c>
      <c r="P45" s="18" t="s">
        <v>89</v>
      </c>
      <c r="Q45" s="18" t="s">
        <v>54</v>
      </c>
      <c r="R45" s="18" t="s">
        <v>46</v>
      </c>
      <c r="S45" s="19" t="s">
        <v>90</v>
      </c>
      <c r="T45" s="18" t="s">
        <v>91</v>
      </c>
      <c r="U45" s="18" t="s">
        <v>57</v>
      </c>
      <c r="V45" s="18">
        <v>0</v>
      </c>
      <c r="W45" s="18" t="s">
        <v>58</v>
      </c>
      <c r="X45" s="18" t="s">
        <v>59</v>
      </c>
      <c r="Y45" s="19" t="s">
        <v>60</v>
      </c>
      <c r="Z45" s="19" t="s">
        <v>60</v>
      </c>
      <c r="AA45" s="18" t="s">
        <v>92</v>
      </c>
      <c r="AB45" s="18"/>
      <c r="AJ45" t="s">
        <v>484</v>
      </c>
      <c r="AK45" s="20" t="s">
        <v>63</v>
      </c>
      <c r="AL45" s="20" t="s">
        <v>93</v>
      </c>
      <c r="AM45" s="21" t="s">
        <v>502</v>
      </c>
      <c r="AN45" s="21" t="s">
        <v>503</v>
      </c>
    </row>
    <row r="46" spans="1:40" ht="21.75" customHeight="1" x14ac:dyDescent="0.25">
      <c r="A46" s="22" t="s">
        <v>504</v>
      </c>
      <c r="B46" s="23" t="s">
        <v>505</v>
      </c>
      <c r="C46" s="22" t="s">
        <v>42</v>
      </c>
      <c r="D46" s="22" t="s">
        <v>506</v>
      </c>
      <c r="E46" s="22" t="s">
        <v>507</v>
      </c>
      <c r="F46" s="22" t="s">
        <v>508</v>
      </c>
      <c r="G46" s="22" t="s">
        <v>46</v>
      </c>
      <c r="H46" s="23" t="s">
        <v>270</v>
      </c>
      <c r="I46" s="22" t="s">
        <v>509</v>
      </c>
      <c r="J46" s="22" t="s">
        <v>86</v>
      </c>
      <c r="K46" s="22">
        <v>3.92</v>
      </c>
      <c r="L46" s="22">
        <v>127</v>
      </c>
      <c r="M46" s="22" t="s">
        <v>103</v>
      </c>
      <c r="N46" s="22" t="s">
        <v>510</v>
      </c>
      <c r="O46" s="22" t="s">
        <v>511</v>
      </c>
      <c r="P46" s="22"/>
      <c r="Q46" s="22" t="s">
        <v>54</v>
      </c>
      <c r="R46" s="22" t="s">
        <v>46</v>
      </c>
      <c r="S46" s="23" t="s">
        <v>106</v>
      </c>
      <c r="T46" s="22" t="s">
        <v>107</v>
      </c>
      <c r="U46" s="22" t="s">
        <v>108</v>
      </c>
      <c r="V46" s="22">
        <v>0</v>
      </c>
      <c r="W46" s="22" t="s">
        <v>108</v>
      </c>
      <c r="X46" s="22" t="s">
        <v>59</v>
      </c>
      <c r="Y46" s="23" t="s">
        <v>60</v>
      </c>
      <c r="Z46" s="23" t="s">
        <v>60</v>
      </c>
      <c r="AA46" s="22" t="s">
        <v>109</v>
      </c>
      <c r="AB46" s="22" t="s">
        <v>110</v>
      </c>
      <c r="AJ46" t="s">
        <v>484</v>
      </c>
      <c r="AK46" s="24" t="s">
        <v>63</v>
      </c>
      <c r="AL46" s="24" t="s">
        <v>63</v>
      </c>
      <c r="AM46" s="25" t="s">
        <v>64</v>
      </c>
      <c r="AN46" s="25" t="s">
        <v>64</v>
      </c>
    </row>
    <row r="47" spans="1:40" ht="21.75" customHeight="1" x14ac:dyDescent="0.25">
      <c r="A47" s="26" t="s">
        <v>512</v>
      </c>
      <c r="B47" s="27" t="s">
        <v>513</v>
      </c>
      <c r="C47" s="26" t="s">
        <v>67</v>
      </c>
      <c r="D47" s="26" t="s">
        <v>514</v>
      </c>
      <c r="E47" s="26" t="s">
        <v>515</v>
      </c>
      <c r="F47" s="26" t="s">
        <v>516</v>
      </c>
      <c r="G47" s="26" t="s">
        <v>46</v>
      </c>
      <c r="H47" s="27" t="s">
        <v>517</v>
      </c>
      <c r="I47" s="26" t="s">
        <v>499</v>
      </c>
      <c r="J47" s="26" t="s">
        <v>118</v>
      </c>
      <c r="K47" s="26">
        <v>2.38</v>
      </c>
      <c r="L47" s="26">
        <v>23</v>
      </c>
      <c r="M47" s="26" t="s">
        <v>119</v>
      </c>
      <c r="N47" s="26" t="s">
        <v>518</v>
      </c>
      <c r="O47" s="26" t="s">
        <v>519</v>
      </c>
      <c r="P47" s="26" t="s">
        <v>121</v>
      </c>
      <c r="Q47" s="26" t="s">
        <v>54</v>
      </c>
      <c r="R47" s="26" t="s">
        <v>46</v>
      </c>
      <c r="S47" s="27" t="s">
        <v>122</v>
      </c>
      <c r="T47" s="26" t="s">
        <v>123</v>
      </c>
      <c r="U47" s="26" t="s">
        <v>124</v>
      </c>
      <c r="V47" s="26">
        <v>35000</v>
      </c>
      <c r="W47" s="26" t="s">
        <v>119</v>
      </c>
      <c r="X47" s="26" t="s">
        <v>125</v>
      </c>
      <c r="Y47" s="27" t="s">
        <v>60</v>
      </c>
      <c r="Z47" s="27" t="s">
        <v>60</v>
      </c>
      <c r="AA47" s="26" t="s">
        <v>126</v>
      </c>
      <c r="AB47" s="26"/>
      <c r="AJ47" t="s">
        <v>484</v>
      </c>
      <c r="AK47" s="28" t="s">
        <v>63</v>
      </c>
      <c r="AL47" s="28" t="s">
        <v>63</v>
      </c>
      <c r="AM47" s="29" t="s">
        <v>64</v>
      </c>
      <c r="AN47" s="29" t="s">
        <v>64</v>
      </c>
    </row>
    <row r="48" spans="1:40" ht="15" customHeight="1" x14ac:dyDescent="0.25">
      <c r="A48" s="18" t="s">
        <v>520</v>
      </c>
      <c r="B48" s="19" t="s">
        <v>521</v>
      </c>
      <c r="C48" s="18" t="s">
        <v>42</v>
      </c>
      <c r="D48" s="18" t="s">
        <v>522</v>
      </c>
      <c r="E48" s="18" t="s">
        <v>523</v>
      </c>
      <c r="F48" s="18" t="s">
        <v>524</v>
      </c>
      <c r="G48" s="18" t="s">
        <v>46</v>
      </c>
      <c r="H48" s="19" t="s">
        <v>47</v>
      </c>
      <c r="I48" s="18" t="s">
        <v>481</v>
      </c>
      <c r="J48" s="18" t="s">
        <v>49</v>
      </c>
      <c r="K48" s="18">
        <v>3.27</v>
      </c>
      <c r="L48" s="18">
        <v>100</v>
      </c>
      <c r="M48" s="18" t="s">
        <v>50</v>
      </c>
      <c r="N48" s="18" t="s">
        <v>525</v>
      </c>
      <c r="O48" s="18" t="s">
        <v>483</v>
      </c>
      <c r="P48" s="18" t="s">
        <v>53</v>
      </c>
      <c r="Q48" s="18" t="s">
        <v>54</v>
      </c>
      <c r="R48" s="18" t="s">
        <v>46</v>
      </c>
      <c r="S48" s="19" t="s">
        <v>55</v>
      </c>
      <c r="T48" s="18" t="s">
        <v>56</v>
      </c>
      <c r="U48" s="18" t="s">
        <v>57</v>
      </c>
      <c r="V48" s="18">
        <v>0</v>
      </c>
      <c r="W48" s="18" t="s">
        <v>58</v>
      </c>
      <c r="X48" s="18" t="s">
        <v>59</v>
      </c>
      <c r="Y48" s="19" t="s">
        <v>60</v>
      </c>
      <c r="Z48" s="19" t="s">
        <v>60</v>
      </c>
      <c r="AA48" s="18" t="s">
        <v>61</v>
      </c>
      <c r="AB48" s="18"/>
      <c r="AJ48" t="s">
        <v>484</v>
      </c>
      <c r="AK48" s="20" t="s">
        <v>63</v>
      </c>
      <c r="AL48" s="20" t="s">
        <v>63</v>
      </c>
      <c r="AM48" s="21" t="s">
        <v>64</v>
      </c>
      <c r="AN48" s="21" t="s">
        <v>64</v>
      </c>
    </row>
    <row r="49" spans="1:40" ht="21.75" customHeight="1" x14ac:dyDescent="0.25">
      <c r="A49" s="18" t="s">
        <v>526</v>
      </c>
      <c r="B49" s="19" t="s">
        <v>527</v>
      </c>
      <c r="C49" s="18" t="s">
        <v>67</v>
      </c>
      <c r="D49" s="18" t="s">
        <v>528</v>
      </c>
      <c r="E49" s="18" t="s">
        <v>529</v>
      </c>
      <c r="F49" s="18" t="s">
        <v>530</v>
      </c>
      <c r="G49" s="18" t="s">
        <v>46</v>
      </c>
      <c r="H49" s="19" t="s">
        <v>531</v>
      </c>
      <c r="I49" s="18" t="s">
        <v>532</v>
      </c>
      <c r="J49" s="18" t="s">
        <v>74</v>
      </c>
      <c r="K49" s="18">
        <v>3.61</v>
      </c>
      <c r="L49" s="18">
        <v>66</v>
      </c>
      <c r="M49" s="18" t="s">
        <v>50</v>
      </c>
      <c r="N49" s="18" t="s">
        <v>533</v>
      </c>
      <c r="O49" s="18" t="s">
        <v>493</v>
      </c>
      <c r="P49" s="18" t="s">
        <v>76</v>
      </c>
      <c r="Q49" s="18" t="s">
        <v>54</v>
      </c>
      <c r="R49" s="18" t="s">
        <v>46</v>
      </c>
      <c r="S49" s="19" t="s">
        <v>77</v>
      </c>
      <c r="T49" s="18" t="s">
        <v>78</v>
      </c>
      <c r="U49" s="18" t="s">
        <v>57</v>
      </c>
      <c r="V49" s="18">
        <v>0</v>
      </c>
      <c r="W49" s="18" t="s">
        <v>58</v>
      </c>
      <c r="X49" s="18" t="s">
        <v>59</v>
      </c>
      <c r="Y49" s="19" t="s">
        <v>60</v>
      </c>
      <c r="Z49" s="19" t="s">
        <v>60</v>
      </c>
      <c r="AA49" s="18" t="s">
        <v>61</v>
      </c>
      <c r="AB49" s="18"/>
      <c r="AJ49" t="s">
        <v>484</v>
      </c>
      <c r="AK49" s="20" t="s">
        <v>63</v>
      </c>
      <c r="AL49" s="20" t="s">
        <v>63</v>
      </c>
      <c r="AM49" s="21" t="s">
        <v>64</v>
      </c>
      <c r="AN49" s="21" t="s">
        <v>64</v>
      </c>
    </row>
    <row r="50" spans="1:40" ht="15" customHeight="1" x14ac:dyDescent="0.25">
      <c r="A50" s="18" t="s">
        <v>534</v>
      </c>
      <c r="B50" s="19" t="s">
        <v>535</v>
      </c>
      <c r="C50" s="18" t="s">
        <v>42</v>
      </c>
      <c r="D50" s="18" t="s">
        <v>536</v>
      </c>
      <c r="E50" s="18" t="s">
        <v>537</v>
      </c>
      <c r="F50" s="18" t="s">
        <v>538</v>
      </c>
      <c r="G50" s="18" t="s">
        <v>46</v>
      </c>
      <c r="H50" s="19" t="s">
        <v>490</v>
      </c>
      <c r="I50" s="18" t="s">
        <v>491</v>
      </c>
      <c r="J50" s="18" t="s">
        <v>86</v>
      </c>
      <c r="K50" s="18">
        <v>3.15</v>
      </c>
      <c r="L50" s="18">
        <v>128</v>
      </c>
      <c r="M50" s="18" t="s">
        <v>50</v>
      </c>
      <c r="N50" s="18" t="s">
        <v>539</v>
      </c>
      <c r="O50" s="18" t="s">
        <v>501</v>
      </c>
      <c r="P50" s="18" t="s">
        <v>89</v>
      </c>
      <c r="Q50" s="18" t="s">
        <v>54</v>
      </c>
      <c r="R50" s="18" t="s">
        <v>46</v>
      </c>
      <c r="S50" s="19" t="s">
        <v>90</v>
      </c>
      <c r="T50" s="18" t="s">
        <v>91</v>
      </c>
      <c r="U50" s="18" t="s">
        <v>57</v>
      </c>
      <c r="V50" s="18">
        <v>0</v>
      </c>
      <c r="W50" s="18" t="s">
        <v>58</v>
      </c>
      <c r="X50" s="18" t="s">
        <v>59</v>
      </c>
      <c r="Y50" s="19" t="s">
        <v>60</v>
      </c>
      <c r="Z50" s="19" t="s">
        <v>60</v>
      </c>
      <c r="AA50" s="18" t="s">
        <v>92</v>
      </c>
      <c r="AB50" s="18"/>
      <c r="AJ50" t="s">
        <v>484</v>
      </c>
      <c r="AK50" s="20" t="s">
        <v>63</v>
      </c>
      <c r="AL50" s="20" t="s">
        <v>63</v>
      </c>
      <c r="AM50" s="21" t="s">
        <v>64</v>
      </c>
      <c r="AN50" s="21" t="s">
        <v>64</v>
      </c>
    </row>
    <row r="51" spans="1:40" ht="21.75" customHeight="1" x14ac:dyDescent="0.25">
      <c r="A51" s="30" t="s">
        <v>540</v>
      </c>
      <c r="B51" s="31" t="s">
        <v>541</v>
      </c>
      <c r="C51" s="30" t="s">
        <v>67</v>
      </c>
      <c r="D51" s="30" t="s">
        <v>542</v>
      </c>
      <c r="E51" s="30" t="s">
        <v>543</v>
      </c>
      <c r="F51" s="30" t="s">
        <v>544</v>
      </c>
      <c r="G51" s="30" t="s">
        <v>46</v>
      </c>
      <c r="H51" s="31" t="s">
        <v>270</v>
      </c>
      <c r="I51" s="30" t="s">
        <v>509</v>
      </c>
      <c r="J51" s="30" t="s">
        <v>49</v>
      </c>
      <c r="K51" s="30">
        <v>2.73</v>
      </c>
      <c r="L51" s="30">
        <v>90</v>
      </c>
      <c r="M51" s="30" t="s">
        <v>158</v>
      </c>
      <c r="N51" s="30" t="s">
        <v>545</v>
      </c>
      <c r="O51" s="30" t="s">
        <v>343</v>
      </c>
      <c r="P51" s="30" t="s">
        <v>53</v>
      </c>
      <c r="Q51" s="30" t="s">
        <v>54</v>
      </c>
      <c r="R51" s="30" t="s">
        <v>46</v>
      </c>
      <c r="S51" s="31" t="s">
        <v>159</v>
      </c>
      <c r="T51" s="30" t="s">
        <v>56</v>
      </c>
      <c r="U51" s="30" t="s">
        <v>160</v>
      </c>
      <c r="V51" s="30">
        <v>0</v>
      </c>
      <c r="W51" s="30" t="s">
        <v>58</v>
      </c>
      <c r="X51" s="30" t="s">
        <v>59</v>
      </c>
      <c r="Y51" s="31" t="s">
        <v>60</v>
      </c>
      <c r="Z51" s="31" t="s">
        <v>60</v>
      </c>
      <c r="AA51" s="30" t="s">
        <v>61</v>
      </c>
      <c r="AB51" s="30"/>
      <c r="AJ51" t="s">
        <v>484</v>
      </c>
      <c r="AK51" s="32" t="s">
        <v>63</v>
      </c>
      <c r="AL51" s="32" t="s">
        <v>63</v>
      </c>
      <c r="AM51" s="33" t="s">
        <v>64</v>
      </c>
      <c r="AN51" s="33" t="s">
        <v>64</v>
      </c>
    </row>
    <row r="52" spans="1:40" ht="21.75" customHeight="1" x14ac:dyDescent="0.25">
      <c r="A52" s="18" t="s">
        <v>546</v>
      </c>
      <c r="B52" s="19" t="s">
        <v>547</v>
      </c>
      <c r="C52" s="18" t="s">
        <v>67</v>
      </c>
      <c r="D52" s="18" t="s">
        <v>548</v>
      </c>
      <c r="E52" s="18" t="s">
        <v>549</v>
      </c>
      <c r="F52" s="18" t="s">
        <v>550</v>
      </c>
      <c r="G52" s="18" t="s">
        <v>46</v>
      </c>
      <c r="H52" s="19" t="s">
        <v>166</v>
      </c>
      <c r="I52" s="18" t="s">
        <v>499</v>
      </c>
      <c r="J52" s="18" t="s">
        <v>118</v>
      </c>
      <c r="K52" s="18">
        <v>3.38</v>
      </c>
      <c r="L52" s="18">
        <v>28</v>
      </c>
      <c r="M52" s="18" t="s">
        <v>50</v>
      </c>
      <c r="N52" s="18" t="s">
        <v>551</v>
      </c>
      <c r="O52" s="18" t="s">
        <v>519</v>
      </c>
      <c r="P52" s="18" t="s">
        <v>121</v>
      </c>
      <c r="Q52" s="18" t="s">
        <v>54</v>
      </c>
      <c r="R52" s="18" t="s">
        <v>46</v>
      </c>
      <c r="S52" s="19" t="s">
        <v>167</v>
      </c>
      <c r="T52" s="18" t="s">
        <v>123</v>
      </c>
      <c r="U52" s="18" t="s">
        <v>57</v>
      </c>
      <c r="V52" s="18">
        <v>0</v>
      </c>
      <c r="W52" s="18" t="s">
        <v>58</v>
      </c>
      <c r="X52" s="18" t="s">
        <v>59</v>
      </c>
      <c r="Y52" s="19" t="s">
        <v>60</v>
      </c>
      <c r="Z52" s="19" t="s">
        <v>60</v>
      </c>
      <c r="AA52" s="18" t="s">
        <v>61</v>
      </c>
      <c r="AB52" s="18"/>
      <c r="AJ52" t="s">
        <v>484</v>
      </c>
      <c r="AK52" s="20" t="s">
        <v>63</v>
      </c>
      <c r="AL52" s="20" t="s">
        <v>63</v>
      </c>
      <c r="AM52" s="21" t="s">
        <v>64</v>
      </c>
      <c r="AN52" s="21" t="s">
        <v>64</v>
      </c>
    </row>
    <row r="53" spans="1:40" ht="15" customHeight="1" x14ac:dyDescent="0.25">
      <c r="A53" s="18" t="s">
        <v>552</v>
      </c>
      <c r="B53" s="19" t="s">
        <v>553</v>
      </c>
      <c r="C53" s="18" t="s">
        <v>42</v>
      </c>
      <c r="D53" s="18" t="s">
        <v>554</v>
      </c>
      <c r="E53" s="18" t="s">
        <v>555</v>
      </c>
      <c r="F53" s="18" t="s">
        <v>556</v>
      </c>
      <c r="G53" s="18" t="s">
        <v>46</v>
      </c>
      <c r="H53" s="19" t="s">
        <v>47</v>
      </c>
      <c r="I53" s="18" t="s">
        <v>481</v>
      </c>
      <c r="J53" s="18" t="s">
        <v>74</v>
      </c>
      <c r="K53" s="18">
        <v>3.02</v>
      </c>
      <c r="L53" s="18">
        <v>67</v>
      </c>
      <c r="M53" s="18" t="s">
        <v>50</v>
      </c>
      <c r="N53" s="18" t="s">
        <v>557</v>
      </c>
      <c r="O53" s="18" t="s">
        <v>558</v>
      </c>
      <c r="P53" s="18" t="s">
        <v>76</v>
      </c>
      <c r="Q53" s="18" t="s">
        <v>54</v>
      </c>
      <c r="R53" s="18" t="s">
        <v>46</v>
      </c>
      <c r="S53" s="19" t="s">
        <v>77</v>
      </c>
      <c r="T53" s="18" t="s">
        <v>78</v>
      </c>
      <c r="U53" s="18" t="s">
        <v>57</v>
      </c>
      <c r="V53" s="18">
        <v>0</v>
      </c>
      <c r="W53" s="18" t="s">
        <v>58</v>
      </c>
      <c r="X53" s="18" t="s">
        <v>59</v>
      </c>
      <c r="Y53" s="19" t="s">
        <v>60</v>
      </c>
      <c r="Z53" s="19" t="s">
        <v>60</v>
      </c>
      <c r="AA53" s="18" t="s">
        <v>61</v>
      </c>
      <c r="AB53" s="18"/>
      <c r="AJ53" t="s">
        <v>484</v>
      </c>
      <c r="AK53" s="20" t="s">
        <v>63</v>
      </c>
      <c r="AL53" s="20" t="s">
        <v>63</v>
      </c>
      <c r="AM53" s="21" t="s">
        <v>64</v>
      </c>
      <c r="AN53" s="21" t="s">
        <v>64</v>
      </c>
    </row>
    <row r="54" spans="1:40" ht="15" customHeight="1" x14ac:dyDescent="0.25">
      <c r="A54" s="22" t="s">
        <v>559</v>
      </c>
      <c r="B54" s="23" t="s">
        <v>560</v>
      </c>
      <c r="C54" s="22" t="s">
        <v>67</v>
      </c>
      <c r="D54" s="22" t="s">
        <v>561</v>
      </c>
      <c r="E54" s="22" t="s">
        <v>562</v>
      </c>
      <c r="F54" s="22" t="s">
        <v>563</v>
      </c>
      <c r="G54" s="22" t="s">
        <v>46</v>
      </c>
      <c r="H54" s="23" t="s">
        <v>490</v>
      </c>
      <c r="I54" s="22" t="s">
        <v>491</v>
      </c>
      <c r="J54" s="22" t="s">
        <v>86</v>
      </c>
      <c r="K54" s="22">
        <v>2.58</v>
      </c>
      <c r="L54" s="22">
        <v>129</v>
      </c>
      <c r="M54" s="22" t="s">
        <v>103</v>
      </c>
      <c r="N54" s="22" t="s">
        <v>482</v>
      </c>
      <c r="O54" s="22" t="s">
        <v>564</v>
      </c>
      <c r="P54" s="22"/>
      <c r="Q54" s="22" t="s">
        <v>54</v>
      </c>
      <c r="R54" s="22" t="s">
        <v>46</v>
      </c>
      <c r="S54" s="23" t="s">
        <v>106</v>
      </c>
      <c r="T54" s="22" t="s">
        <v>107</v>
      </c>
      <c r="U54" s="22" t="s">
        <v>108</v>
      </c>
      <c r="V54" s="22">
        <v>0</v>
      </c>
      <c r="W54" s="22" t="s">
        <v>108</v>
      </c>
      <c r="X54" s="22" t="s">
        <v>59</v>
      </c>
      <c r="Y54" s="23" t="s">
        <v>60</v>
      </c>
      <c r="Z54" s="23" t="s">
        <v>60</v>
      </c>
      <c r="AA54" s="22" t="s">
        <v>109</v>
      </c>
      <c r="AB54" s="22" t="s">
        <v>110</v>
      </c>
      <c r="AJ54" t="s">
        <v>484</v>
      </c>
      <c r="AK54" s="24" t="s">
        <v>63</v>
      </c>
      <c r="AL54" s="24" t="s">
        <v>63</v>
      </c>
      <c r="AM54" s="25" t="s">
        <v>64</v>
      </c>
      <c r="AN54" s="25" t="s">
        <v>64</v>
      </c>
    </row>
    <row r="55" spans="1:40" ht="21.75" customHeight="1" x14ac:dyDescent="0.25">
      <c r="A55" s="18" t="s">
        <v>565</v>
      </c>
      <c r="B55" s="19" t="s">
        <v>566</v>
      </c>
      <c r="C55" s="18" t="s">
        <v>42</v>
      </c>
      <c r="D55" s="18" t="s">
        <v>567</v>
      </c>
      <c r="E55" s="18" t="s">
        <v>568</v>
      </c>
      <c r="F55" s="18" t="s">
        <v>569</v>
      </c>
      <c r="G55" s="18" t="s">
        <v>46</v>
      </c>
      <c r="H55" s="19" t="s">
        <v>517</v>
      </c>
      <c r="I55" s="18" t="s">
        <v>499</v>
      </c>
      <c r="J55" s="18" t="s">
        <v>49</v>
      </c>
      <c r="K55" s="18">
        <v>3.55</v>
      </c>
      <c r="L55" s="18">
        <v>95</v>
      </c>
      <c r="M55" s="18" t="s">
        <v>50</v>
      </c>
      <c r="N55" s="18" t="s">
        <v>570</v>
      </c>
      <c r="O55" s="18" t="s">
        <v>52</v>
      </c>
      <c r="P55" s="18" t="s">
        <v>53</v>
      </c>
      <c r="Q55" s="18" t="s">
        <v>54</v>
      </c>
      <c r="R55" s="18" t="s">
        <v>46</v>
      </c>
      <c r="S55" s="19" t="s">
        <v>55</v>
      </c>
      <c r="T55" s="18" t="s">
        <v>56</v>
      </c>
      <c r="U55" s="18" t="s">
        <v>57</v>
      </c>
      <c r="V55" s="18">
        <v>0</v>
      </c>
      <c r="W55" s="18" t="s">
        <v>58</v>
      </c>
      <c r="X55" s="18" t="s">
        <v>59</v>
      </c>
      <c r="Y55" s="19" t="s">
        <v>60</v>
      </c>
      <c r="Z55" s="19" t="s">
        <v>60</v>
      </c>
      <c r="AA55" s="18" t="s">
        <v>61</v>
      </c>
      <c r="AB55" s="18"/>
      <c r="AJ55" t="s">
        <v>484</v>
      </c>
      <c r="AK55" s="20" t="s">
        <v>63</v>
      </c>
      <c r="AL55" s="20" t="s">
        <v>63</v>
      </c>
      <c r="AM55" s="21" t="s">
        <v>64</v>
      </c>
      <c r="AN55" s="21" t="s">
        <v>64</v>
      </c>
    </row>
    <row r="56" spans="1:40" ht="21.75" customHeight="1" x14ac:dyDescent="0.25">
      <c r="A56" s="34" t="s">
        <v>571</v>
      </c>
      <c r="B56" s="35" t="s">
        <v>572</v>
      </c>
      <c r="C56" s="34" t="s">
        <v>67</v>
      </c>
      <c r="D56" s="34" t="s">
        <v>573</v>
      </c>
      <c r="E56" s="34" t="s">
        <v>574</v>
      </c>
      <c r="F56" s="34" t="s">
        <v>575</v>
      </c>
      <c r="G56" s="34" t="s">
        <v>46</v>
      </c>
      <c r="H56" s="35" t="s">
        <v>531</v>
      </c>
      <c r="I56" s="34" t="s">
        <v>532</v>
      </c>
      <c r="J56" s="34" t="s">
        <v>86</v>
      </c>
      <c r="K56" s="34">
        <v>1.92</v>
      </c>
      <c r="L56" s="34">
        <v>119</v>
      </c>
      <c r="M56" s="34" t="s">
        <v>195</v>
      </c>
      <c r="N56" s="34" t="s">
        <v>539</v>
      </c>
      <c r="O56" s="34" t="s">
        <v>511</v>
      </c>
      <c r="P56" s="34" t="s">
        <v>89</v>
      </c>
      <c r="Q56" s="34" t="s">
        <v>54</v>
      </c>
      <c r="R56" s="34" t="s">
        <v>46</v>
      </c>
      <c r="S56" s="35" t="s">
        <v>196</v>
      </c>
      <c r="T56" s="34" t="s">
        <v>91</v>
      </c>
      <c r="U56" s="34" t="s">
        <v>197</v>
      </c>
      <c r="V56" s="34">
        <v>75000</v>
      </c>
      <c r="W56" s="34" t="s">
        <v>195</v>
      </c>
      <c r="X56" s="34" t="s">
        <v>125</v>
      </c>
      <c r="Y56" s="35" t="s">
        <v>60</v>
      </c>
      <c r="Z56" s="35" t="s">
        <v>60</v>
      </c>
      <c r="AA56" s="34" t="s">
        <v>126</v>
      </c>
      <c r="AB56" s="34"/>
      <c r="AJ56" t="s">
        <v>484</v>
      </c>
      <c r="AK56" s="36" t="s">
        <v>63</v>
      </c>
      <c r="AL56" s="36" t="s">
        <v>63</v>
      </c>
      <c r="AM56" s="37" t="s">
        <v>64</v>
      </c>
      <c r="AN56" s="37" t="s">
        <v>64</v>
      </c>
    </row>
    <row r="57" spans="1:40" ht="21.75" customHeight="1" x14ac:dyDescent="0.25">
      <c r="A57" s="18" t="s">
        <v>576</v>
      </c>
      <c r="B57" s="19" t="s">
        <v>577</v>
      </c>
      <c r="C57" s="18" t="s">
        <v>42</v>
      </c>
      <c r="D57" s="18" t="s">
        <v>578</v>
      </c>
      <c r="E57" s="18" t="s">
        <v>579</v>
      </c>
      <c r="F57" s="18" t="s">
        <v>580</v>
      </c>
      <c r="G57" s="18" t="s">
        <v>46</v>
      </c>
      <c r="H57" s="19" t="s">
        <v>270</v>
      </c>
      <c r="I57" s="18" t="s">
        <v>509</v>
      </c>
      <c r="J57" s="18" t="s">
        <v>118</v>
      </c>
      <c r="K57" s="18">
        <v>3.79</v>
      </c>
      <c r="L57" s="18">
        <v>36</v>
      </c>
      <c r="M57" s="18" t="s">
        <v>50</v>
      </c>
      <c r="N57" s="18" t="s">
        <v>482</v>
      </c>
      <c r="O57" s="18" t="s">
        <v>519</v>
      </c>
      <c r="P57" s="18" t="s">
        <v>121</v>
      </c>
      <c r="Q57" s="18" t="s">
        <v>54</v>
      </c>
      <c r="R57" s="18" t="s">
        <v>46</v>
      </c>
      <c r="S57" s="19" t="s">
        <v>167</v>
      </c>
      <c r="T57" s="18" t="s">
        <v>123</v>
      </c>
      <c r="U57" s="18" t="s">
        <v>57</v>
      </c>
      <c r="V57" s="18">
        <v>0</v>
      </c>
      <c r="W57" s="18" t="s">
        <v>58</v>
      </c>
      <c r="X57" s="18" t="s">
        <v>59</v>
      </c>
      <c r="Y57" s="19" t="s">
        <v>60</v>
      </c>
      <c r="Z57" s="19" t="s">
        <v>60</v>
      </c>
      <c r="AA57" s="18" t="s">
        <v>61</v>
      </c>
      <c r="AB57" s="18"/>
      <c r="AJ57" t="s">
        <v>484</v>
      </c>
      <c r="AK57" s="20" t="s">
        <v>63</v>
      </c>
      <c r="AL57" s="20" t="s">
        <v>63</v>
      </c>
      <c r="AM57" s="21" t="s">
        <v>64</v>
      </c>
      <c r="AN57" s="21" t="s">
        <v>64</v>
      </c>
    </row>
    <row r="58" spans="1:40" ht="15" customHeight="1" x14ac:dyDescent="0.25">
      <c r="A58" s="18" t="s">
        <v>581</v>
      </c>
      <c r="B58" s="19" t="s">
        <v>582</v>
      </c>
      <c r="C58" s="18" t="s">
        <v>67</v>
      </c>
      <c r="D58" s="18" t="s">
        <v>583</v>
      </c>
      <c r="E58" s="18" t="s">
        <v>584</v>
      </c>
      <c r="F58" s="18" t="s">
        <v>585</v>
      </c>
      <c r="G58" s="18" t="s">
        <v>46</v>
      </c>
      <c r="H58" s="19" t="s">
        <v>47</v>
      </c>
      <c r="I58" s="18" t="s">
        <v>481</v>
      </c>
      <c r="J58" s="18" t="s">
        <v>49</v>
      </c>
      <c r="K58" s="18">
        <v>3.11</v>
      </c>
      <c r="L58" s="18">
        <v>98</v>
      </c>
      <c r="M58" s="18" t="s">
        <v>50</v>
      </c>
      <c r="N58" s="18" t="s">
        <v>525</v>
      </c>
      <c r="O58" s="18" t="s">
        <v>483</v>
      </c>
      <c r="P58" s="18" t="s">
        <v>53</v>
      </c>
      <c r="Q58" s="18" t="s">
        <v>54</v>
      </c>
      <c r="R58" s="18" t="s">
        <v>46</v>
      </c>
      <c r="S58" s="19" t="s">
        <v>55</v>
      </c>
      <c r="T58" s="18" t="s">
        <v>56</v>
      </c>
      <c r="U58" s="18" t="s">
        <v>57</v>
      </c>
      <c r="V58" s="18">
        <v>0</v>
      </c>
      <c r="W58" s="18" t="s">
        <v>58</v>
      </c>
      <c r="X58" s="18" t="s">
        <v>59</v>
      </c>
      <c r="Y58" s="19" t="s">
        <v>60</v>
      </c>
      <c r="Z58" s="19" t="s">
        <v>60</v>
      </c>
      <c r="AA58" s="18" t="s">
        <v>61</v>
      </c>
      <c r="AB58" s="18"/>
      <c r="AJ58" t="s">
        <v>484</v>
      </c>
      <c r="AK58" s="20" t="s">
        <v>63</v>
      </c>
      <c r="AL58" s="20" t="s">
        <v>63</v>
      </c>
      <c r="AM58" s="21" t="s">
        <v>64</v>
      </c>
      <c r="AN58" s="21" t="s">
        <v>64</v>
      </c>
    </row>
    <row r="59" spans="1:40" ht="21.75" customHeight="1" x14ac:dyDescent="0.25">
      <c r="A59" s="18" t="s">
        <v>586</v>
      </c>
      <c r="B59" s="19" t="s">
        <v>587</v>
      </c>
      <c r="C59" s="18" t="s">
        <v>42</v>
      </c>
      <c r="D59" s="18" t="s">
        <v>588</v>
      </c>
      <c r="E59" s="18" t="s">
        <v>589</v>
      </c>
      <c r="F59" s="18" t="s">
        <v>590</v>
      </c>
      <c r="G59" s="18" t="s">
        <v>46</v>
      </c>
      <c r="H59" s="19" t="s">
        <v>166</v>
      </c>
      <c r="I59" s="18" t="s">
        <v>499</v>
      </c>
      <c r="J59" s="18" t="s">
        <v>74</v>
      </c>
      <c r="K59" s="18">
        <v>3.64</v>
      </c>
      <c r="L59" s="18">
        <v>64</v>
      </c>
      <c r="M59" s="18" t="s">
        <v>50</v>
      </c>
      <c r="N59" s="18" t="s">
        <v>500</v>
      </c>
      <c r="O59" s="18" t="s">
        <v>493</v>
      </c>
      <c r="P59" s="18" t="s">
        <v>76</v>
      </c>
      <c r="Q59" s="18" t="s">
        <v>54</v>
      </c>
      <c r="R59" s="18" t="s">
        <v>46</v>
      </c>
      <c r="S59" s="19" t="s">
        <v>77</v>
      </c>
      <c r="T59" s="18" t="s">
        <v>78</v>
      </c>
      <c r="U59" s="18" t="s">
        <v>57</v>
      </c>
      <c r="V59" s="18">
        <v>0</v>
      </c>
      <c r="W59" s="18" t="s">
        <v>58</v>
      </c>
      <c r="X59" s="18" t="s">
        <v>59</v>
      </c>
      <c r="Y59" s="19" t="s">
        <v>60</v>
      </c>
      <c r="Z59" s="19" t="s">
        <v>60</v>
      </c>
      <c r="AA59" s="18" t="s">
        <v>61</v>
      </c>
      <c r="AB59" s="18"/>
      <c r="AJ59" t="s">
        <v>484</v>
      </c>
      <c r="AK59" s="20" t="s">
        <v>63</v>
      </c>
      <c r="AL59" s="20" t="s">
        <v>63</v>
      </c>
      <c r="AM59" s="21" t="s">
        <v>64</v>
      </c>
      <c r="AN59" s="21" t="s">
        <v>64</v>
      </c>
    </row>
    <row r="60" spans="1:40" ht="15" customHeight="1" x14ac:dyDescent="0.25">
      <c r="A60" s="18" t="s">
        <v>591</v>
      </c>
      <c r="B60" s="19" t="s">
        <v>592</v>
      </c>
      <c r="C60" s="18" t="s">
        <v>67</v>
      </c>
      <c r="D60" s="18" t="s">
        <v>593</v>
      </c>
      <c r="E60" s="18" t="s">
        <v>594</v>
      </c>
      <c r="F60" s="18" t="s">
        <v>595</v>
      </c>
      <c r="G60" s="18" t="s">
        <v>46</v>
      </c>
      <c r="H60" s="19" t="s">
        <v>490</v>
      </c>
      <c r="I60" s="18" t="s">
        <v>491</v>
      </c>
      <c r="J60" s="18" t="s">
        <v>86</v>
      </c>
      <c r="K60" s="18">
        <v>3.05</v>
      </c>
      <c r="L60" s="18">
        <v>126</v>
      </c>
      <c r="M60" s="18" t="s">
        <v>50</v>
      </c>
      <c r="N60" s="18" t="s">
        <v>510</v>
      </c>
      <c r="O60" s="18" t="s">
        <v>501</v>
      </c>
      <c r="P60" s="18" t="s">
        <v>89</v>
      </c>
      <c r="Q60" s="18" t="s">
        <v>54</v>
      </c>
      <c r="R60" s="18" t="s">
        <v>46</v>
      </c>
      <c r="S60" s="19" t="s">
        <v>90</v>
      </c>
      <c r="T60" s="18" t="s">
        <v>91</v>
      </c>
      <c r="U60" s="18" t="s">
        <v>57</v>
      </c>
      <c r="V60" s="18">
        <v>0</v>
      </c>
      <c r="W60" s="18" t="s">
        <v>58</v>
      </c>
      <c r="X60" s="18" t="s">
        <v>59</v>
      </c>
      <c r="Y60" s="19" t="s">
        <v>60</v>
      </c>
      <c r="Z60" s="19" t="s">
        <v>60</v>
      </c>
      <c r="AA60" s="18" t="s">
        <v>92</v>
      </c>
      <c r="AB60" s="18"/>
      <c r="AJ60" t="s">
        <v>484</v>
      </c>
      <c r="AK60" s="20" t="s">
        <v>63</v>
      </c>
      <c r="AL60" s="20" t="s">
        <v>93</v>
      </c>
      <c r="AM60" s="21" t="s">
        <v>596</v>
      </c>
      <c r="AN60" s="21" t="s">
        <v>597</v>
      </c>
    </row>
    <row r="61" spans="1:40" ht="21.75" customHeight="1" x14ac:dyDescent="0.25">
      <c r="A61" s="18" t="s">
        <v>598</v>
      </c>
      <c r="B61" s="19" t="s">
        <v>599</v>
      </c>
      <c r="C61" s="18" t="s">
        <v>42</v>
      </c>
      <c r="D61" s="18" t="s">
        <v>600</v>
      </c>
      <c r="E61" s="18" t="s">
        <v>601</v>
      </c>
      <c r="F61" s="18" t="s">
        <v>602</v>
      </c>
      <c r="G61" s="18" t="s">
        <v>46</v>
      </c>
      <c r="H61" s="19" t="s">
        <v>531</v>
      </c>
      <c r="I61" s="18" t="s">
        <v>532</v>
      </c>
      <c r="J61" s="18" t="s">
        <v>49</v>
      </c>
      <c r="K61" s="18">
        <v>3.44</v>
      </c>
      <c r="L61" s="18">
        <v>92</v>
      </c>
      <c r="M61" s="18" t="s">
        <v>50</v>
      </c>
      <c r="N61" s="18" t="s">
        <v>603</v>
      </c>
      <c r="O61" s="18" t="s">
        <v>343</v>
      </c>
      <c r="P61" s="18" t="s">
        <v>53</v>
      </c>
      <c r="Q61" s="18" t="s">
        <v>54</v>
      </c>
      <c r="R61" s="18" t="s">
        <v>46</v>
      </c>
      <c r="S61" s="19" t="s">
        <v>55</v>
      </c>
      <c r="T61" s="18" t="s">
        <v>56</v>
      </c>
      <c r="U61" s="18" t="s">
        <v>57</v>
      </c>
      <c r="V61" s="18">
        <v>0</v>
      </c>
      <c r="W61" s="18" t="s">
        <v>58</v>
      </c>
      <c r="X61" s="18" t="s">
        <v>59</v>
      </c>
      <c r="Y61" s="19" t="s">
        <v>60</v>
      </c>
      <c r="Z61" s="19" t="s">
        <v>60</v>
      </c>
      <c r="AA61" s="18" t="s">
        <v>61</v>
      </c>
      <c r="AB61" s="18"/>
      <c r="AJ61" t="s">
        <v>484</v>
      </c>
      <c r="AK61" s="20" t="s">
        <v>63</v>
      </c>
      <c r="AL61" s="20" t="s">
        <v>63</v>
      </c>
      <c r="AM61" s="21" t="s">
        <v>64</v>
      </c>
      <c r="AN61" s="21" t="s">
        <v>64</v>
      </c>
    </row>
    <row r="62" spans="1:40" ht="15" customHeight="1" x14ac:dyDescent="0.25">
      <c r="A62" s="26" t="s">
        <v>604</v>
      </c>
      <c r="B62" s="27" t="s">
        <v>605</v>
      </c>
      <c r="C62" s="26" t="s">
        <v>67</v>
      </c>
      <c r="D62" s="26" t="s">
        <v>606</v>
      </c>
      <c r="E62" s="26" t="s">
        <v>607</v>
      </c>
      <c r="F62" s="26" t="s">
        <v>608</v>
      </c>
      <c r="G62" s="26" t="s">
        <v>46</v>
      </c>
      <c r="H62" s="27" t="s">
        <v>47</v>
      </c>
      <c r="I62" s="26" t="s">
        <v>481</v>
      </c>
      <c r="J62" s="26" t="s">
        <v>118</v>
      </c>
      <c r="K62" s="26">
        <v>2.21</v>
      </c>
      <c r="L62" s="26">
        <v>29</v>
      </c>
      <c r="M62" s="26" t="s">
        <v>119</v>
      </c>
      <c r="N62" s="26" t="s">
        <v>609</v>
      </c>
      <c r="O62" s="26" t="s">
        <v>519</v>
      </c>
      <c r="P62" s="26" t="s">
        <v>121</v>
      </c>
      <c r="Q62" s="26" t="s">
        <v>54</v>
      </c>
      <c r="R62" s="26" t="s">
        <v>46</v>
      </c>
      <c r="S62" s="27" t="s">
        <v>122</v>
      </c>
      <c r="T62" s="26" t="s">
        <v>123</v>
      </c>
      <c r="U62" s="26" t="s">
        <v>124</v>
      </c>
      <c r="V62" s="26">
        <v>35000</v>
      </c>
      <c r="W62" s="26" t="s">
        <v>119</v>
      </c>
      <c r="X62" s="26" t="s">
        <v>125</v>
      </c>
      <c r="Y62" s="27" t="s">
        <v>60</v>
      </c>
      <c r="Z62" s="27" t="s">
        <v>60</v>
      </c>
      <c r="AA62" s="26" t="s">
        <v>126</v>
      </c>
      <c r="AB62" s="26"/>
      <c r="AJ62" t="s">
        <v>484</v>
      </c>
      <c r="AK62" s="28" t="s">
        <v>63</v>
      </c>
      <c r="AL62" s="28" t="s">
        <v>63</v>
      </c>
      <c r="AM62" s="29" t="s">
        <v>64</v>
      </c>
      <c r="AN62" s="29" t="s">
        <v>64</v>
      </c>
    </row>
    <row r="63" spans="1:40" ht="21.75" customHeight="1" x14ac:dyDescent="0.25">
      <c r="A63" s="18" t="s">
        <v>610</v>
      </c>
      <c r="B63" s="19" t="s">
        <v>611</v>
      </c>
      <c r="C63" s="18" t="s">
        <v>42</v>
      </c>
      <c r="D63" s="18" t="s">
        <v>612</v>
      </c>
      <c r="E63" s="18" t="s">
        <v>613</v>
      </c>
      <c r="F63" s="18" t="s">
        <v>614</v>
      </c>
      <c r="G63" s="18" t="s">
        <v>46</v>
      </c>
      <c r="H63" s="19" t="s">
        <v>517</v>
      </c>
      <c r="I63" s="18" t="s">
        <v>499</v>
      </c>
      <c r="J63" s="18" t="s">
        <v>74</v>
      </c>
      <c r="K63" s="18">
        <v>3.59</v>
      </c>
      <c r="L63" s="18">
        <v>65</v>
      </c>
      <c r="M63" s="18" t="s">
        <v>50</v>
      </c>
      <c r="N63" s="18" t="s">
        <v>615</v>
      </c>
      <c r="O63" s="18" t="s">
        <v>558</v>
      </c>
      <c r="P63" s="18" t="s">
        <v>76</v>
      </c>
      <c r="Q63" s="18" t="s">
        <v>54</v>
      </c>
      <c r="R63" s="18" t="s">
        <v>46</v>
      </c>
      <c r="S63" s="19" t="s">
        <v>77</v>
      </c>
      <c r="T63" s="18" t="s">
        <v>78</v>
      </c>
      <c r="U63" s="18" t="s">
        <v>57</v>
      </c>
      <c r="V63" s="18">
        <v>0</v>
      </c>
      <c r="W63" s="18" t="s">
        <v>58</v>
      </c>
      <c r="X63" s="18" t="s">
        <v>59</v>
      </c>
      <c r="Y63" s="19" t="s">
        <v>60</v>
      </c>
      <c r="Z63" s="19" t="s">
        <v>60</v>
      </c>
      <c r="AA63" s="18" t="s">
        <v>61</v>
      </c>
      <c r="AB63" s="18"/>
      <c r="AJ63" t="s">
        <v>484</v>
      </c>
      <c r="AK63" s="20" t="s">
        <v>63</v>
      </c>
      <c r="AL63" s="20" t="s">
        <v>63</v>
      </c>
      <c r="AM63" s="21" t="s">
        <v>64</v>
      </c>
      <c r="AN63" s="21" t="s">
        <v>64</v>
      </c>
    </row>
    <row r="64" spans="1:40" ht="21.75" customHeight="1" x14ac:dyDescent="0.25">
      <c r="A64" s="18" t="s">
        <v>616</v>
      </c>
      <c r="B64" s="19" t="s">
        <v>617</v>
      </c>
      <c r="C64" s="18" t="s">
        <v>67</v>
      </c>
      <c r="D64" s="18" t="s">
        <v>618</v>
      </c>
      <c r="E64" s="18" t="s">
        <v>619</v>
      </c>
      <c r="F64" s="18" t="s">
        <v>620</v>
      </c>
      <c r="G64" s="18" t="s">
        <v>46</v>
      </c>
      <c r="H64" s="19" t="s">
        <v>270</v>
      </c>
      <c r="I64" s="18" t="s">
        <v>509</v>
      </c>
      <c r="J64" s="18" t="s">
        <v>86</v>
      </c>
      <c r="K64" s="18">
        <v>3.67</v>
      </c>
      <c r="L64" s="18">
        <v>127</v>
      </c>
      <c r="M64" s="18" t="s">
        <v>50</v>
      </c>
      <c r="N64" s="18" t="s">
        <v>621</v>
      </c>
      <c r="O64" s="18" t="s">
        <v>564</v>
      </c>
      <c r="P64" s="18" t="s">
        <v>89</v>
      </c>
      <c r="Q64" s="18" t="s">
        <v>54</v>
      </c>
      <c r="R64" s="18" t="s">
        <v>46</v>
      </c>
      <c r="S64" s="19" t="s">
        <v>90</v>
      </c>
      <c r="T64" s="18" t="s">
        <v>91</v>
      </c>
      <c r="U64" s="18" t="s">
        <v>57</v>
      </c>
      <c r="V64" s="18">
        <v>0</v>
      </c>
      <c r="W64" s="18" t="s">
        <v>58</v>
      </c>
      <c r="X64" s="18" t="s">
        <v>59</v>
      </c>
      <c r="Y64" s="19" t="s">
        <v>60</v>
      </c>
      <c r="Z64" s="19" t="s">
        <v>60</v>
      </c>
      <c r="AA64" s="18" t="s">
        <v>92</v>
      </c>
      <c r="AB64" s="18"/>
      <c r="AJ64" t="s">
        <v>484</v>
      </c>
      <c r="AK64" s="20" t="s">
        <v>63</v>
      </c>
      <c r="AL64" s="20" t="s">
        <v>63</v>
      </c>
      <c r="AM64" s="21" t="s">
        <v>64</v>
      </c>
      <c r="AN64" s="21" t="s">
        <v>64</v>
      </c>
    </row>
    <row r="65" spans="1:40" ht="15" customHeight="1" x14ac:dyDescent="0.25">
      <c r="A65" s="30" t="s">
        <v>622</v>
      </c>
      <c r="B65" s="31" t="s">
        <v>623</v>
      </c>
      <c r="C65" s="30" t="s">
        <v>42</v>
      </c>
      <c r="D65" s="30" t="s">
        <v>624</v>
      </c>
      <c r="E65" s="30" t="s">
        <v>625</v>
      </c>
      <c r="F65" s="30" t="s">
        <v>626</v>
      </c>
      <c r="G65" s="30" t="s">
        <v>46</v>
      </c>
      <c r="H65" s="31" t="s">
        <v>490</v>
      </c>
      <c r="I65" s="30" t="s">
        <v>491</v>
      </c>
      <c r="J65" s="30" t="s">
        <v>49</v>
      </c>
      <c r="K65" s="30">
        <v>2.84</v>
      </c>
      <c r="L65" s="30">
        <v>89</v>
      </c>
      <c r="M65" s="30" t="s">
        <v>158</v>
      </c>
      <c r="N65" s="30" t="s">
        <v>492</v>
      </c>
      <c r="O65" s="30" t="s">
        <v>52</v>
      </c>
      <c r="P65" s="30" t="s">
        <v>53</v>
      </c>
      <c r="Q65" s="30" t="s">
        <v>54</v>
      </c>
      <c r="R65" s="30" t="s">
        <v>46</v>
      </c>
      <c r="S65" s="31" t="s">
        <v>159</v>
      </c>
      <c r="T65" s="30" t="s">
        <v>56</v>
      </c>
      <c r="U65" s="30" t="s">
        <v>160</v>
      </c>
      <c r="V65" s="30">
        <v>0</v>
      </c>
      <c r="W65" s="30" t="s">
        <v>58</v>
      </c>
      <c r="X65" s="30" t="s">
        <v>59</v>
      </c>
      <c r="Y65" s="31" t="s">
        <v>60</v>
      </c>
      <c r="Z65" s="31" t="s">
        <v>60</v>
      </c>
      <c r="AA65" s="30" t="s">
        <v>61</v>
      </c>
      <c r="AB65" s="30"/>
      <c r="AJ65" t="s">
        <v>484</v>
      </c>
      <c r="AK65" s="32" t="s">
        <v>63</v>
      </c>
      <c r="AL65" s="32" t="s">
        <v>63</v>
      </c>
      <c r="AM65" s="33" t="s">
        <v>64</v>
      </c>
      <c r="AN65" s="33" t="s">
        <v>64</v>
      </c>
    </row>
    <row r="66" spans="1:40" ht="21.75" customHeight="1" x14ac:dyDescent="0.25">
      <c r="A66" s="18" t="s">
        <v>627</v>
      </c>
      <c r="B66" s="19" t="s">
        <v>628</v>
      </c>
      <c r="C66" s="18" t="s">
        <v>67</v>
      </c>
      <c r="D66" s="18" t="s">
        <v>629</v>
      </c>
      <c r="E66" s="18" t="s">
        <v>630</v>
      </c>
      <c r="F66" s="18" t="s">
        <v>631</v>
      </c>
      <c r="G66" s="18" t="s">
        <v>46</v>
      </c>
      <c r="H66" s="19" t="s">
        <v>166</v>
      </c>
      <c r="I66" s="18" t="s">
        <v>499</v>
      </c>
      <c r="J66" s="18" t="s">
        <v>74</v>
      </c>
      <c r="K66" s="18">
        <v>3.36</v>
      </c>
      <c r="L66" s="18">
        <v>68</v>
      </c>
      <c r="M66" s="18" t="s">
        <v>50</v>
      </c>
      <c r="N66" s="18" t="s">
        <v>518</v>
      </c>
      <c r="O66" s="18" t="s">
        <v>141</v>
      </c>
      <c r="P66" s="18" t="s">
        <v>76</v>
      </c>
      <c r="Q66" s="18" t="s">
        <v>54</v>
      </c>
      <c r="R66" s="18" t="s">
        <v>46</v>
      </c>
      <c r="S66" s="19" t="s">
        <v>77</v>
      </c>
      <c r="T66" s="18" t="s">
        <v>78</v>
      </c>
      <c r="U66" s="18" t="s">
        <v>57</v>
      </c>
      <c r="V66" s="18">
        <v>0</v>
      </c>
      <c r="W66" s="18" t="s">
        <v>58</v>
      </c>
      <c r="X66" s="18" t="s">
        <v>59</v>
      </c>
      <c r="Y66" s="19" t="s">
        <v>60</v>
      </c>
      <c r="Z66" s="19" t="s">
        <v>60</v>
      </c>
      <c r="AA66" s="18" t="s">
        <v>61</v>
      </c>
      <c r="AB66" s="18"/>
      <c r="AJ66" t="s">
        <v>484</v>
      </c>
      <c r="AK66" s="20" t="s">
        <v>63</v>
      </c>
      <c r="AL66" s="20" t="s">
        <v>63</v>
      </c>
      <c r="AM66" s="21" t="s">
        <v>64</v>
      </c>
      <c r="AN66" s="21" t="s">
        <v>64</v>
      </c>
    </row>
    <row r="67" spans="1:40" ht="15" customHeight="1" x14ac:dyDescent="0.25">
      <c r="A67" s="18" t="s">
        <v>632</v>
      </c>
      <c r="B67" s="19" t="s">
        <v>633</v>
      </c>
      <c r="C67" s="18" t="s">
        <v>42</v>
      </c>
      <c r="D67" s="18" t="s">
        <v>634</v>
      </c>
      <c r="E67" s="18" t="s">
        <v>635</v>
      </c>
      <c r="F67" s="18" t="s">
        <v>636</v>
      </c>
      <c r="G67" s="18" t="s">
        <v>46</v>
      </c>
      <c r="H67" s="19" t="s">
        <v>47</v>
      </c>
      <c r="I67" s="18" t="s">
        <v>481</v>
      </c>
      <c r="J67" s="18" t="s">
        <v>118</v>
      </c>
      <c r="K67" s="18">
        <v>3.58</v>
      </c>
      <c r="L67" s="18">
        <v>34</v>
      </c>
      <c r="M67" s="18" t="s">
        <v>50</v>
      </c>
      <c r="N67" s="18" t="s">
        <v>500</v>
      </c>
      <c r="O67" s="18" t="s">
        <v>519</v>
      </c>
      <c r="P67" s="18" t="s">
        <v>121</v>
      </c>
      <c r="Q67" s="18" t="s">
        <v>54</v>
      </c>
      <c r="R67" s="18" t="s">
        <v>46</v>
      </c>
      <c r="S67" s="19" t="s">
        <v>167</v>
      </c>
      <c r="T67" s="18" t="s">
        <v>123</v>
      </c>
      <c r="U67" s="18" t="s">
        <v>57</v>
      </c>
      <c r="V67" s="18">
        <v>0</v>
      </c>
      <c r="W67" s="18" t="s">
        <v>58</v>
      </c>
      <c r="X67" s="18" t="s">
        <v>59</v>
      </c>
      <c r="Y67" s="19" t="s">
        <v>60</v>
      </c>
      <c r="Z67" s="19" t="s">
        <v>60</v>
      </c>
      <c r="AA67" s="18" t="s">
        <v>61</v>
      </c>
      <c r="AB67" s="18"/>
      <c r="AJ67" t="s">
        <v>484</v>
      </c>
      <c r="AK67" s="20" t="s">
        <v>63</v>
      </c>
      <c r="AL67" s="20" t="s">
        <v>63</v>
      </c>
      <c r="AM67" s="21" t="s">
        <v>64</v>
      </c>
      <c r="AN67" s="21" t="s">
        <v>64</v>
      </c>
    </row>
    <row r="68" spans="1:40" ht="21.75" customHeight="1" x14ac:dyDescent="0.25">
      <c r="A68" s="18" t="s">
        <v>637</v>
      </c>
      <c r="B68" s="19" t="s">
        <v>638</v>
      </c>
      <c r="C68" s="18" t="s">
        <v>42</v>
      </c>
      <c r="D68" s="18" t="s">
        <v>639</v>
      </c>
      <c r="E68" s="18" t="s">
        <v>640</v>
      </c>
      <c r="F68" s="18" t="s">
        <v>641</v>
      </c>
      <c r="G68" s="18" t="s">
        <v>269</v>
      </c>
      <c r="H68" s="19" t="s">
        <v>642</v>
      </c>
      <c r="I68" s="18" t="s">
        <v>509</v>
      </c>
      <c r="J68" s="18" t="s">
        <v>74</v>
      </c>
      <c r="K68" s="18">
        <v>3.69</v>
      </c>
      <c r="L68" s="18">
        <v>48</v>
      </c>
      <c r="M68" s="18" t="s">
        <v>50</v>
      </c>
      <c r="N68" s="18" t="s">
        <v>525</v>
      </c>
      <c r="O68" s="18" t="s">
        <v>558</v>
      </c>
      <c r="P68" s="18" t="s">
        <v>89</v>
      </c>
      <c r="Q68" s="18" t="s">
        <v>272</v>
      </c>
      <c r="R68" s="18" t="s">
        <v>273</v>
      </c>
      <c r="S68" s="19" t="s">
        <v>274</v>
      </c>
      <c r="T68" s="18" t="s">
        <v>78</v>
      </c>
      <c r="U68" s="18" t="s">
        <v>57</v>
      </c>
      <c r="V68" s="18">
        <v>0</v>
      </c>
      <c r="W68" s="18" t="s">
        <v>58</v>
      </c>
      <c r="X68" s="18" t="s">
        <v>59</v>
      </c>
      <c r="Y68" s="19" t="s">
        <v>60</v>
      </c>
      <c r="Z68" s="19" t="s">
        <v>60</v>
      </c>
      <c r="AA68" s="18" t="s">
        <v>92</v>
      </c>
      <c r="AB68" s="18"/>
      <c r="AC68" t="s">
        <v>643</v>
      </c>
      <c r="AD68" t="s">
        <v>60</v>
      </c>
      <c r="AE68" t="s">
        <v>644</v>
      </c>
      <c r="AF68" t="s">
        <v>89</v>
      </c>
      <c r="AG68" t="s">
        <v>327</v>
      </c>
      <c r="AH68" t="s">
        <v>279</v>
      </c>
      <c r="AI68" t="s">
        <v>280</v>
      </c>
      <c r="AJ68" t="s">
        <v>484</v>
      </c>
      <c r="AK68" s="20" t="s">
        <v>63</v>
      </c>
      <c r="AL68" s="20" t="s">
        <v>63</v>
      </c>
      <c r="AM68" s="21" t="s">
        <v>64</v>
      </c>
      <c r="AN68" s="21" t="s">
        <v>64</v>
      </c>
    </row>
    <row r="69" spans="1:40" ht="21.75" customHeight="1" x14ac:dyDescent="0.25">
      <c r="A69" s="18" t="s">
        <v>645</v>
      </c>
      <c r="B69" s="19" t="s">
        <v>646</v>
      </c>
      <c r="C69" s="18" t="s">
        <v>67</v>
      </c>
      <c r="D69" s="18" t="s">
        <v>647</v>
      </c>
      <c r="E69" s="18" t="s">
        <v>648</v>
      </c>
      <c r="F69" s="18" t="s">
        <v>649</v>
      </c>
      <c r="G69" s="18" t="s">
        <v>286</v>
      </c>
      <c r="H69" s="19" t="s">
        <v>650</v>
      </c>
      <c r="I69" s="18" t="s">
        <v>532</v>
      </c>
      <c r="J69" s="18" t="s">
        <v>118</v>
      </c>
      <c r="K69" s="18">
        <v>3.35</v>
      </c>
      <c r="L69" s="18">
        <v>24</v>
      </c>
      <c r="M69" s="18" t="s">
        <v>50</v>
      </c>
      <c r="N69" s="18" t="s">
        <v>482</v>
      </c>
      <c r="O69" s="18" t="s">
        <v>120</v>
      </c>
      <c r="P69" s="18" t="s">
        <v>53</v>
      </c>
      <c r="Q69" s="18" t="s">
        <v>272</v>
      </c>
      <c r="R69" s="18" t="s">
        <v>289</v>
      </c>
      <c r="S69" s="19" t="s">
        <v>290</v>
      </c>
      <c r="T69" s="18" t="s">
        <v>123</v>
      </c>
      <c r="U69" s="18" t="s">
        <v>57</v>
      </c>
      <c r="V69" s="18">
        <v>0</v>
      </c>
      <c r="W69" s="18" t="s">
        <v>58</v>
      </c>
      <c r="X69" s="18" t="s">
        <v>59</v>
      </c>
      <c r="Y69" s="19" t="s">
        <v>60</v>
      </c>
      <c r="Z69" s="19" t="s">
        <v>60</v>
      </c>
      <c r="AA69" s="18" t="s">
        <v>61</v>
      </c>
      <c r="AB69" s="18"/>
      <c r="AC69" t="s">
        <v>651</v>
      </c>
      <c r="AD69" t="s">
        <v>60</v>
      </c>
      <c r="AE69" t="s">
        <v>652</v>
      </c>
      <c r="AF69" t="s">
        <v>53</v>
      </c>
      <c r="AG69" t="s">
        <v>293</v>
      </c>
      <c r="AH69" t="s">
        <v>294</v>
      </c>
      <c r="AI69" t="s">
        <v>295</v>
      </c>
      <c r="AJ69" t="s">
        <v>484</v>
      </c>
      <c r="AK69" s="20" t="s">
        <v>63</v>
      </c>
      <c r="AL69" s="20" t="s">
        <v>63</v>
      </c>
      <c r="AM69" s="21" t="s">
        <v>64</v>
      </c>
      <c r="AN69" s="21" t="s">
        <v>64</v>
      </c>
    </row>
    <row r="70" spans="1:40" ht="21.75" customHeight="1" x14ac:dyDescent="0.25">
      <c r="A70" s="22" t="s">
        <v>653</v>
      </c>
      <c r="B70" s="23" t="s">
        <v>654</v>
      </c>
      <c r="C70" s="22" t="s">
        <v>42</v>
      </c>
      <c r="D70" s="22" t="s">
        <v>655</v>
      </c>
      <c r="E70" s="22" t="s">
        <v>656</v>
      </c>
      <c r="F70" s="22" t="s">
        <v>657</v>
      </c>
      <c r="G70" s="22" t="s">
        <v>269</v>
      </c>
      <c r="H70" s="23" t="s">
        <v>517</v>
      </c>
      <c r="I70" s="22" t="s">
        <v>499</v>
      </c>
      <c r="J70" s="22" t="s">
        <v>74</v>
      </c>
      <c r="K70" s="22">
        <v>3.58</v>
      </c>
      <c r="L70" s="22">
        <v>52</v>
      </c>
      <c r="M70" s="22" t="s">
        <v>103</v>
      </c>
      <c r="N70" s="22" t="s">
        <v>510</v>
      </c>
      <c r="O70" s="22" t="s">
        <v>75</v>
      </c>
      <c r="P70" s="22"/>
      <c r="Q70" s="22" t="s">
        <v>272</v>
      </c>
      <c r="R70" s="22" t="s">
        <v>273</v>
      </c>
      <c r="S70" s="23" t="s">
        <v>303</v>
      </c>
      <c r="T70" s="22" t="s">
        <v>107</v>
      </c>
      <c r="U70" s="22" t="s">
        <v>108</v>
      </c>
      <c r="V70" s="22">
        <v>0</v>
      </c>
      <c r="W70" s="22" t="s">
        <v>108</v>
      </c>
      <c r="X70" s="22" t="s">
        <v>304</v>
      </c>
      <c r="Y70" s="23" t="s">
        <v>60</v>
      </c>
      <c r="Z70" s="23" t="s">
        <v>60</v>
      </c>
      <c r="AA70" s="22" t="s">
        <v>109</v>
      </c>
      <c r="AB70" s="22" t="s">
        <v>110</v>
      </c>
      <c r="AC70" t="s">
        <v>658</v>
      </c>
      <c r="AD70" t="s">
        <v>60</v>
      </c>
      <c r="AE70" t="s">
        <v>659</v>
      </c>
      <c r="AF70" t="s">
        <v>89</v>
      </c>
      <c r="AG70" t="s">
        <v>327</v>
      </c>
      <c r="AH70" t="s">
        <v>307</v>
      </c>
      <c r="AI70" t="s">
        <v>660</v>
      </c>
      <c r="AJ70" t="s">
        <v>484</v>
      </c>
      <c r="AK70" s="24" t="s">
        <v>63</v>
      </c>
      <c r="AL70" s="24" t="s">
        <v>63</v>
      </c>
      <c r="AM70" s="25" t="s">
        <v>64</v>
      </c>
      <c r="AN70" s="25" t="s">
        <v>64</v>
      </c>
    </row>
    <row r="71" spans="1:40" ht="15" customHeight="1" x14ac:dyDescent="0.25">
      <c r="A71" s="26" t="s">
        <v>661</v>
      </c>
      <c r="B71" s="27" t="s">
        <v>662</v>
      </c>
      <c r="C71" s="26" t="s">
        <v>67</v>
      </c>
      <c r="D71" s="26" t="s">
        <v>663</v>
      </c>
      <c r="E71" s="26" t="s">
        <v>664</v>
      </c>
      <c r="F71" s="26" t="s">
        <v>665</v>
      </c>
      <c r="G71" s="26" t="s">
        <v>269</v>
      </c>
      <c r="H71" s="27" t="s">
        <v>490</v>
      </c>
      <c r="I71" s="26" t="s">
        <v>491</v>
      </c>
      <c r="J71" s="26" t="s">
        <v>118</v>
      </c>
      <c r="K71" s="26">
        <v>2.77</v>
      </c>
      <c r="L71" s="26">
        <v>20</v>
      </c>
      <c r="M71" s="26" t="s">
        <v>119</v>
      </c>
      <c r="N71" s="26" t="s">
        <v>500</v>
      </c>
      <c r="O71" s="26" t="s">
        <v>666</v>
      </c>
      <c r="P71" s="26" t="s">
        <v>53</v>
      </c>
      <c r="Q71" s="26" t="s">
        <v>272</v>
      </c>
      <c r="R71" s="26" t="s">
        <v>273</v>
      </c>
      <c r="S71" s="27" t="s">
        <v>122</v>
      </c>
      <c r="T71" s="26" t="s">
        <v>123</v>
      </c>
      <c r="U71" s="26" t="s">
        <v>124</v>
      </c>
      <c r="V71" s="26">
        <v>35000</v>
      </c>
      <c r="W71" s="26" t="s">
        <v>119</v>
      </c>
      <c r="X71" s="26" t="s">
        <v>125</v>
      </c>
      <c r="Y71" s="27" t="s">
        <v>60</v>
      </c>
      <c r="Z71" s="27" t="s">
        <v>60</v>
      </c>
      <c r="AA71" s="26" t="s">
        <v>126</v>
      </c>
      <c r="AB71" s="26"/>
      <c r="AC71" t="s">
        <v>667</v>
      </c>
      <c r="AD71" t="s">
        <v>60</v>
      </c>
      <c r="AE71" t="s">
        <v>668</v>
      </c>
      <c r="AF71" t="s">
        <v>53</v>
      </c>
      <c r="AG71" t="s">
        <v>316</v>
      </c>
      <c r="AH71" t="s">
        <v>669</v>
      </c>
      <c r="AI71" t="s">
        <v>318</v>
      </c>
      <c r="AJ71" t="s">
        <v>484</v>
      </c>
      <c r="AK71" s="28" t="s">
        <v>63</v>
      </c>
      <c r="AL71" s="28" t="s">
        <v>63</v>
      </c>
      <c r="AM71" s="29" t="s">
        <v>64</v>
      </c>
      <c r="AN71" s="29" t="s">
        <v>64</v>
      </c>
    </row>
    <row r="72" spans="1:40" ht="21.75" customHeight="1" x14ac:dyDescent="0.25">
      <c r="A72" s="18" t="s">
        <v>670</v>
      </c>
      <c r="B72" s="19" t="s">
        <v>671</v>
      </c>
      <c r="C72" s="18" t="s">
        <v>42</v>
      </c>
      <c r="D72" s="18" t="s">
        <v>672</v>
      </c>
      <c r="E72" s="18" t="s">
        <v>673</v>
      </c>
      <c r="F72" s="18" t="s">
        <v>674</v>
      </c>
      <c r="G72" s="18" t="s">
        <v>269</v>
      </c>
      <c r="H72" s="19" t="s">
        <v>270</v>
      </c>
      <c r="I72" s="18" t="s">
        <v>509</v>
      </c>
      <c r="J72" s="18" t="s">
        <v>74</v>
      </c>
      <c r="K72" s="18">
        <v>3.62</v>
      </c>
      <c r="L72" s="18">
        <v>48</v>
      </c>
      <c r="M72" s="18" t="s">
        <v>50</v>
      </c>
      <c r="N72" s="18" t="s">
        <v>615</v>
      </c>
      <c r="O72" s="18" t="s">
        <v>675</v>
      </c>
      <c r="P72" s="18" t="s">
        <v>89</v>
      </c>
      <c r="Q72" s="18" t="s">
        <v>272</v>
      </c>
      <c r="R72" s="18" t="s">
        <v>273</v>
      </c>
      <c r="S72" s="19" t="s">
        <v>274</v>
      </c>
      <c r="T72" s="18" t="s">
        <v>78</v>
      </c>
      <c r="U72" s="18" t="s">
        <v>57</v>
      </c>
      <c r="V72" s="18">
        <v>0</v>
      </c>
      <c r="W72" s="18" t="s">
        <v>58</v>
      </c>
      <c r="X72" s="18" t="s">
        <v>59</v>
      </c>
      <c r="Y72" s="19" t="s">
        <v>60</v>
      </c>
      <c r="Z72" s="19" t="s">
        <v>60</v>
      </c>
      <c r="AA72" s="18" t="s">
        <v>92</v>
      </c>
      <c r="AB72" s="18"/>
      <c r="AC72" t="s">
        <v>643</v>
      </c>
      <c r="AD72" t="s">
        <v>676</v>
      </c>
      <c r="AE72" t="s">
        <v>677</v>
      </c>
      <c r="AF72" t="s">
        <v>89</v>
      </c>
      <c r="AG72" t="s">
        <v>327</v>
      </c>
      <c r="AH72" t="s">
        <v>279</v>
      </c>
      <c r="AI72" t="s">
        <v>280</v>
      </c>
      <c r="AJ72" t="s">
        <v>484</v>
      </c>
      <c r="AK72" s="20" t="s">
        <v>63</v>
      </c>
      <c r="AL72" s="20" t="s">
        <v>63</v>
      </c>
      <c r="AM72" s="21" t="s">
        <v>64</v>
      </c>
      <c r="AN72" s="21" t="s">
        <v>64</v>
      </c>
    </row>
    <row r="73" spans="1:40" ht="21.75" customHeight="1" x14ac:dyDescent="0.25">
      <c r="A73" s="18" t="s">
        <v>678</v>
      </c>
      <c r="B73" s="19" t="s">
        <v>679</v>
      </c>
      <c r="C73" s="18" t="s">
        <v>67</v>
      </c>
      <c r="D73" s="18" t="s">
        <v>680</v>
      </c>
      <c r="E73" s="18" t="s">
        <v>681</v>
      </c>
      <c r="F73" s="18" t="s">
        <v>682</v>
      </c>
      <c r="G73" s="18" t="s">
        <v>286</v>
      </c>
      <c r="H73" s="19" t="s">
        <v>650</v>
      </c>
      <c r="I73" s="18" t="s">
        <v>532</v>
      </c>
      <c r="J73" s="18" t="s">
        <v>118</v>
      </c>
      <c r="K73" s="18">
        <v>3.24</v>
      </c>
      <c r="L73" s="18">
        <v>24</v>
      </c>
      <c r="M73" s="18" t="s">
        <v>50</v>
      </c>
      <c r="N73" s="18" t="s">
        <v>539</v>
      </c>
      <c r="O73" s="18" t="s">
        <v>683</v>
      </c>
      <c r="P73" s="18" t="s">
        <v>53</v>
      </c>
      <c r="Q73" s="18" t="s">
        <v>272</v>
      </c>
      <c r="R73" s="18" t="s">
        <v>289</v>
      </c>
      <c r="S73" s="19" t="s">
        <v>290</v>
      </c>
      <c r="T73" s="18" t="s">
        <v>123</v>
      </c>
      <c r="U73" s="18" t="s">
        <v>57</v>
      </c>
      <c r="V73" s="18">
        <v>0</v>
      </c>
      <c r="W73" s="18" t="s">
        <v>58</v>
      </c>
      <c r="X73" s="18" t="s">
        <v>59</v>
      </c>
      <c r="Y73" s="19" t="s">
        <v>60</v>
      </c>
      <c r="Z73" s="19" t="s">
        <v>60</v>
      </c>
      <c r="AA73" s="18" t="s">
        <v>61</v>
      </c>
      <c r="AB73" s="18"/>
      <c r="AC73" t="s">
        <v>651</v>
      </c>
      <c r="AD73" t="s">
        <v>60</v>
      </c>
      <c r="AE73" t="s">
        <v>684</v>
      </c>
      <c r="AF73" t="s">
        <v>53</v>
      </c>
      <c r="AG73" t="s">
        <v>293</v>
      </c>
      <c r="AH73" t="s">
        <v>294</v>
      </c>
      <c r="AI73" t="s">
        <v>295</v>
      </c>
      <c r="AJ73" t="s">
        <v>484</v>
      </c>
      <c r="AK73" s="20" t="s">
        <v>63</v>
      </c>
      <c r="AL73" s="20" t="s">
        <v>63</v>
      </c>
      <c r="AM73" s="21" t="s">
        <v>64</v>
      </c>
      <c r="AN73" s="21" t="s">
        <v>64</v>
      </c>
    </row>
    <row r="74" spans="1:40" ht="21.75" customHeight="1" x14ac:dyDescent="0.25">
      <c r="A74" s="18" t="s">
        <v>685</v>
      </c>
      <c r="B74" s="19" t="s">
        <v>686</v>
      </c>
      <c r="C74" s="18" t="s">
        <v>42</v>
      </c>
      <c r="D74" s="18" t="s">
        <v>687</v>
      </c>
      <c r="E74" s="18" t="s">
        <v>688</v>
      </c>
      <c r="F74" s="18" t="s">
        <v>689</v>
      </c>
      <c r="G74" s="18" t="s">
        <v>269</v>
      </c>
      <c r="H74" s="19" t="s">
        <v>270</v>
      </c>
      <c r="I74" s="18" t="s">
        <v>509</v>
      </c>
      <c r="J74" s="18" t="s">
        <v>49</v>
      </c>
      <c r="K74" s="18">
        <v>3.84</v>
      </c>
      <c r="L74" s="18">
        <v>36</v>
      </c>
      <c r="M74" s="18" t="s">
        <v>50</v>
      </c>
      <c r="N74" s="18" t="s">
        <v>551</v>
      </c>
      <c r="O74" s="18" t="s">
        <v>483</v>
      </c>
      <c r="P74" s="18" t="s">
        <v>89</v>
      </c>
      <c r="Q74" s="18" t="s">
        <v>272</v>
      </c>
      <c r="R74" s="18" t="s">
        <v>342</v>
      </c>
      <c r="S74" s="19" t="s">
        <v>344</v>
      </c>
      <c r="T74" s="18" t="s">
        <v>345</v>
      </c>
      <c r="U74" s="18" t="s">
        <v>57</v>
      </c>
      <c r="V74" s="18">
        <v>0</v>
      </c>
      <c r="W74" s="18" t="s">
        <v>58</v>
      </c>
      <c r="X74" s="18" t="s">
        <v>59</v>
      </c>
      <c r="Y74" s="19" t="s">
        <v>690</v>
      </c>
      <c r="Z74" s="19" t="s">
        <v>347</v>
      </c>
      <c r="AA74" s="18" t="s">
        <v>61</v>
      </c>
      <c r="AB74" s="18"/>
      <c r="AC74" t="s">
        <v>691</v>
      </c>
      <c r="AD74" t="s">
        <v>692</v>
      </c>
      <c r="AE74" t="s">
        <v>693</v>
      </c>
      <c r="AF74" t="s">
        <v>89</v>
      </c>
      <c r="AG74" t="s">
        <v>694</v>
      </c>
      <c r="AH74" t="s">
        <v>695</v>
      </c>
      <c r="AI74" t="s">
        <v>696</v>
      </c>
      <c r="AJ74" t="s">
        <v>484</v>
      </c>
      <c r="AK74" s="20" t="s">
        <v>63</v>
      </c>
      <c r="AL74" s="20" t="s">
        <v>63</v>
      </c>
      <c r="AM74" s="21" t="s">
        <v>64</v>
      </c>
      <c r="AN74" s="21" t="s">
        <v>64</v>
      </c>
    </row>
    <row r="75" spans="1:40" ht="21.75" customHeight="1" x14ac:dyDescent="0.25">
      <c r="A75" s="18" t="s">
        <v>697</v>
      </c>
      <c r="B75" s="19" t="s">
        <v>698</v>
      </c>
      <c r="C75" s="18" t="s">
        <v>67</v>
      </c>
      <c r="D75" s="18" t="s">
        <v>699</v>
      </c>
      <c r="E75" s="18" t="s">
        <v>700</v>
      </c>
      <c r="F75" s="18" t="s">
        <v>701</v>
      </c>
      <c r="G75" s="18" t="s">
        <v>269</v>
      </c>
      <c r="H75" s="19" t="s">
        <v>47</v>
      </c>
      <c r="I75" s="18" t="s">
        <v>481</v>
      </c>
      <c r="J75" s="18" t="s">
        <v>74</v>
      </c>
      <c r="K75" s="18">
        <v>3.47</v>
      </c>
      <c r="L75" s="18">
        <v>24</v>
      </c>
      <c r="M75" s="18" t="s">
        <v>50</v>
      </c>
      <c r="N75" s="18" t="s">
        <v>518</v>
      </c>
      <c r="O75" s="18" t="s">
        <v>493</v>
      </c>
      <c r="P75" s="18" t="s">
        <v>53</v>
      </c>
      <c r="Q75" s="18" t="s">
        <v>272</v>
      </c>
      <c r="R75" s="18" t="s">
        <v>342</v>
      </c>
      <c r="S75" s="19" t="s">
        <v>360</v>
      </c>
      <c r="T75" s="18" t="s">
        <v>361</v>
      </c>
      <c r="U75" s="18" t="s">
        <v>57</v>
      </c>
      <c r="V75" s="18">
        <v>0</v>
      </c>
      <c r="W75" s="18" t="s">
        <v>58</v>
      </c>
      <c r="X75" s="18" t="s">
        <v>59</v>
      </c>
      <c r="Y75" s="19" t="s">
        <v>702</v>
      </c>
      <c r="Z75" s="19" t="s">
        <v>363</v>
      </c>
      <c r="AA75" s="18" t="s">
        <v>61</v>
      </c>
      <c r="AB75" s="18"/>
      <c r="AC75" t="s">
        <v>703</v>
      </c>
      <c r="AD75" t="s">
        <v>704</v>
      </c>
      <c r="AE75" t="s">
        <v>705</v>
      </c>
      <c r="AF75" t="s">
        <v>53</v>
      </c>
      <c r="AG75" t="s">
        <v>395</v>
      </c>
      <c r="AH75" t="s">
        <v>706</v>
      </c>
      <c r="AI75" t="s">
        <v>707</v>
      </c>
      <c r="AJ75" t="s">
        <v>484</v>
      </c>
      <c r="AK75" s="20" t="s">
        <v>63</v>
      </c>
      <c r="AL75" s="20" t="s">
        <v>63</v>
      </c>
      <c r="AM75" s="21" t="s">
        <v>64</v>
      </c>
      <c r="AN75" s="21" t="s">
        <v>64</v>
      </c>
    </row>
    <row r="76" spans="1:40" ht="21.75" customHeight="1" x14ac:dyDescent="0.25">
      <c r="A76" s="18" t="s">
        <v>708</v>
      </c>
      <c r="B76" s="19" t="s">
        <v>709</v>
      </c>
      <c r="C76" s="18" t="s">
        <v>42</v>
      </c>
      <c r="D76" s="18" t="s">
        <v>710</v>
      </c>
      <c r="E76" s="18" t="s">
        <v>711</v>
      </c>
      <c r="F76" s="18" t="s">
        <v>712</v>
      </c>
      <c r="G76" s="18" t="s">
        <v>301</v>
      </c>
      <c r="H76" s="19" t="s">
        <v>713</v>
      </c>
      <c r="I76" s="18" t="s">
        <v>499</v>
      </c>
      <c r="J76" s="18" t="s">
        <v>49</v>
      </c>
      <c r="K76" s="18">
        <v>3.51</v>
      </c>
      <c r="L76" s="18">
        <v>36</v>
      </c>
      <c r="M76" s="18" t="s">
        <v>50</v>
      </c>
      <c r="N76" s="18" t="s">
        <v>545</v>
      </c>
      <c r="O76" s="18" t="s">
        <v>52</v>
      </c>
      <c r="P76" s="18" t="s">
        <v>89</v>
      </c>
      <c r="Q76" s="18" t="s">
        <v>272</v>
      </c>
      <c r="R76" s="18" t="s">
        <v>375</v>
      </c>
      <c r="S76" s="19" t="s">
        <v>344</v>
      </c>
      <c r="T76" s="18" t="s">
        <v>345</v>
      </c>
      <c r="U76" s="18" t="s">
        <v>57</v>
      </c>
      <c r="V76" s="18">
        <v>0</v>
      </c>
      <c r="W76" s="18" t="s">
        <v>58</v>
      </c>
      <c r="X76" s="18" t="s">
        <v>59</v>
      </c>
      <c r="Y76" s="19" t="s">
        <v>714</v>
      </c>
      <c r="Z76" s="19" t="s">
        <v>347</v>
      </c>
      <c r="AA76" s="18" t="s">
        <v>61</v>
      </c>
      <c r="AB76" s="18"/>
      <c r="AC76" t="s">
        <v>658</v>
      </c>
      <c r="AD76" t="s">
        <v>715</v>
      </c>
      <c r="AE76" t="s">
        <v>716</v>
      </c>
      <c r="AF76" t="s">
        <v>89</v>
      </c>
      <c r="AG76" t="s">
        <v>694</v>
      </c>
      <c r="AH76" t="s">
        <v>695</v>
      </c>
      <c r="AI76" t="s">
        <v>717</v>
      </c>
      <c r="AJ76" t="s">
        <v>484</v>
      </c>
      <c r="AK76" s="20" t="s">
        <v>63</v>
      </c>
      <c r="AL76" s="20" t="s">
        <v>63</v>
      </c>
      <c r="AM76" s="21" t="s">
        <v>64</v>
      </c>
      <c r="AN76" s="21" t="s">
        <v>64</v>
      </c>
    </row>
    <row r="77" spans="1:40" ht="21.75" customHeight="1" x14ac:dyDescent="0.25">
      <c r="A77" s="30" t="s">
        <v>718</v>
      </c>
      <c r="B77" s="31" t="s">
        <v>719</v>
      </c>
      <c r="C77" s="30" t="s">
        <v>67</v>
      </c>
      <c r="D77" s="30" t="s">
        <v>385</v>
      </c>
      <c r="E77" s="30" t="s">
        <v>720</v>
      </c>
      <c r="F77" s="30" t="s">
        <v>721</v>
      </c>
      <c r="G77" s="30" t="s">
        <v>269</v>
      </c>
      <c r="H77" s="31" t="s">
        <v>517</v>
      </c>
      <c r="I77" s="30" t="s">
        <v>499</v>
      </c>
      <c r="J77" s="30" t="s">
        <v>74</v>
      </c>
      <c r="K77" s="30">
        <v>3.29</v>
      </c>
      <c r="L77" s="30">
        <v>18</v>
      </c>
      <c r="M77" s="30" t="s">
        <v>158</v>
      </c>
      <c r="N77" s="30" t="s">
        <v>621</v>
      </c>
      <c r="O77" s="30" t="s">
        <v>141</v>
      </c>
      <c r="P77" s="30" t="s">
        <v>53</v>
      </c>
      <c r="Q77" s="30" t="s">
        <v>272</v>
      </c>
      <c r="R77" s="30" t="s">
        <v>342</v>
      </c>
      <c r="S77" s="31" t="s">
        <v>389</v>
      </c>
      <c r="T77" s="30" t="s">
        <v>361</v>
      </c>
      <c r="U77" s="30" t="s">
        <v>160</v>
      </c>
      <c r="V77" s="30">
        <v>0</v>
      </c>
      <c r="W77" s="30" t="s">
        <v>58</v>
      </c>
      <c r="X77" s="30" t="s">
        <v>59</v>
      </c>
      <c r="Y77" s="31" t="s">
        <v>722</v>
      </c>
      <c r="Z77" s="31" t="s">
        <v>363</v>
      </c>
      <c r="AA77" s="30" t="s">
        <v>61</v>
      </c>
      <c r="AB77" s="30"/>
      <c r="AC77" t="s">
        <v>658</v>
      </c>
      <c r="AD77" t="s">
        <v>60</v>
      </c>
      <c r="AE77" t="s">
        <v>723</v>
      </c>
      <c r="AF77" t="s">
        <v>53</v>
      </c>
      <c r="AG77" t="s">
        <v>395</v>
      </c>
      <c r="AH77" t="s">
        <v>724</v>
      </c>
      <c r="AI77" t="s">
        <v>397</v>
      </c>
      <c r="AJ77" t="s">
        <v>484</v>
      </c>
      <c r="AK77" s="32" t="s">
        <v>63</v>
      </c>
      <c r="AL77" s="32" t="s">
        <v>63</v>
      </c>
      <c r="AM77" s="33" t="s">
        <v>64</v>
      </c>
      <c r="AN77" s="33" t="s">
        <v>64</v>
      </c>
    </row>
    <row r="78" spans="1:40" ht="21.75" customHeight="1" x14ac:dyDescent="0.25">
      <c r="A78" s="22" t="s">
        <v>725</v>
      </c>
      <c r="B78" s="23" t="s">
        <v>726</v>
      </c>
      <c r="C78" s="22" t="s">
        <v>42</v>
      </c>
      <c r="D78" s="22" t="s">
        <v>400</v>
      </c>
      <c r="E78" s="22" t="s">
        <v>727</v>
      </c>
      <c r="F78" s="22" t="s">
        <v>728</v>
      </c>
      <c r="G78" s="22" t="s">
        <v>269</v>
      </c>
      <c r="H78" s="23" t="s">
        <v>270</v>
      </c>
      <c r="I78" s="22" t="s">
        <v>509</v>
      </c>
      <c r="J78" s="22" t="s">
        <v>86</v>
      </c>
      <c r="K78" s="22">
        <v>3.88</v>
      </c>
      <c r="L78" s="22">
        <v>48</v>
      </c>
      <c r="M78" s="22" t="s">
        <v>103</v>
      </c>
      <c r="N78" s="22" t="s">
        <v>609</v>
      </c>
      <c r="O78" s="22" t="s">
        <v>88</v>
      </c>
      <c r="P78" s="22"/>
      <c r="Q78" s="22" t="s">
        <v>272</v>
      </c>
      <c r="R78" s="22" t="s">
        <v>342</v>
      </c>
      <c r="S78" s="23" t="s">
        <v>404</v>
      </c>
      <c r="T78" s="22" t="s">
        <v>107</v>
      </c>
      <c r="U78" s="22" t="s">
        <v>108</v>
      </c>
      <c r="V78" s="22">
        <v>0</v>
      </c>
      <c r="W78" s="22" t="s">
        <v>108</v>
      </c>
      <c r="X78" s="22" t="s">
        <v>304</v>
      </c>
      <c r="Y78" s="23" t="s">
        <v>729</v>
      </c>
      <c r="Z78" s="23" t="s">
        <v>406</v>
      </c>
      <c r="AA78" s="22" t="s">
        <v>109</v>
      </c>
      <c r="AB78" s="22" t="s">
        <v>110</v>
      </c>
      <c r="AC78" t="s">
        <v>643</v>
      </c>
      <c r="AD78" t="s">
        <v>730</v>
      </c>
      <c r="AE78" t="s">
        <v>731</v>
      </c>
      <c r="AF78" t="s">
        <v>732</v>
      </c>
      <c r="AG78" t="s">
        <v>410</v>
      </c>
      <c r="AH78" t="s">
        <v>307</v>
      </c>
      <c r="AI78" t="s">
        <v>733</v>
      </c>
      <c r="AJ78" t="s">
        <v>484</v>
      </c>
      <c r="AK78" s="24" t="s">
        <v>63</v>
      </c>
      <c r="AL78" s="24" t="s">
        <v>63</v>
      </c>
      <c r="AM78" s="25" t="s">
        <v>64</v>
      </c>
      <c r="AN78" s="25" t="s">
        <v>64</v>
      </c>
    </row>
    <row r="79" spans="1:40" ht="21.75" customHeight="1" x14ac:dyDescent="0.25">
      <c r="A79" s="18" t="s">
        <v>734</v>
      </c>
      <c r="B79" s="19" t="s">
        <v>735</v>
      </c>
      <c r="C79" s="18" t="s">
        <v>67</v>
      </c>
      <c r="D79" s="18" t="s">
        <v>414</v>
      </c>
      <c r="E79" s="18" t="s">
        <v>736</v>
      </c>
      <c r="F79" s="18" t="s">
        <v>737</v>
      </c>
      <c r="G79" s="18" t="s">
        <v>269</v>
      </c>
      <c r="H79" s="19" t="s">
        <v>47</v>
      </c>
      <c r="I79" s="18" t="s">
        <v>481</v>
      </c>
      <c r="J79" s="18" t="s">
        <v>118</v>
      </c>
      <c r="K79" s="18">
        <v>3.49</v>
      </c>
      <c r="L79" s="18">
        <v>12</v>
      </c>
      <c r="M79" s="18" t="s">
        <v>50</v>
      </c>
      <c r="N79" s="18" t="s">
        <v>603</v>
      </c>
      <c r="O79" s="18" t="s">
        <v>683</v>
      </c>
      <c r="P79" s="18" t="s">
        <v>76</v>
      </c>
      <c r="Q79" s="18" t="s">
        <v>272</v>
      </c>
      <c r="R79" s="18" t="s">
        <v>342</v>
      </c>
      <c r="S79" s="19" t="s">
        <v>417</v>
      </c>
      <c r="T79" s="18" t="s">
        <v>418</v>
      </c>
      <c r="U79" s="18" t="s">
        <v>57</v>
      </c>
      <c r="V79" s="18">
        <v>0</v>
      </c>
      <c r="W79" s="18" t="s">
        <v>58</v>
      </c>
      <c r="X79" s="18" t="s">
        <v>59</v>
      </c>
      <c r="Y79" s="19" t="s">
        <v>738</v>
      </c>
      <c r="Z79" s="19" t="s">
        <v>420</v>
      </c>
      <c r="AA79" s="18" t="s">
        <v>61</v>
      </c>
      <c r="AB79" s="18"/>
      <c r="AC79" t="s">
        <v>703</v>
      </c>
      <c r="AD79" t="s">
        <v>60</v>
      </c>
      <c r="AE79" t="s">
        <v>739</v>
      </c>
      <c r="AF79" t="s">
        <v>76</v>
      </c>
      <c r="AG79" t="s">
        <v>422</v>
      </c>
      <c r="AH79" t="s">
        <v>740</v>
      </c>
      <c r="AI79" t="s">
        <v>741</v>
      </c>
      <c r="AJ79" t="s">
        <v>484</v>
      </c>
      <c r="AK79" s="20" t="s">
        <v>63</v>
      </c>
      <c r="AL79" s="20" t="s">
        <v>63</v>
      </c>
      <c r="AM79" s="21" t="s">
        <v>64</v>
      </c>
      <c r="AN79" s="21" t="s">
        <v>64</v>
      </c>
    </row>
    <row r="80" spans="1:40" ht="21.75" customHeight="1" x14ac:dyDescent="0.25">
      <c r="A80" s="18" t="s">
        <v>742</v>
      </c>
      <c r="B80" s="19" t="s">
        <v>743</v>
      </c>
      <c r="C80" s="18" t="s">
        <v>67</v>
      </c>
      <c r="D80" s="18" t="s">
        <v>744</v>
      </c>
      <c r="E80" s="18" t="s">
        <v>745</v>
      </c>
      <c r="F80" s="18" t="s">
        <v>746</v>
      </c>
      <c r="G80" s="18" t="s">
        <v>429</v>
      </c>
      <c r="H80" s="19" t="s">
        <v>47</v>
      </c>
      <c r="I80" s="18" t="s">
        <v>481</v>
      </c>
      <c r="J80" s="18" t="s">
        <v>49</v>
      </c>
      <c r="K80" s="18">
        <v>3.81</v>
      </c>
      <c r="L80" s="18">
        <v>36</v>
      </c>
      <c r="M80" s="18" t="s">
        <v>50</v>
      </c>
      <c r="N80" s="18" t="s">
        <v>525</v>
      </c>
      <c r="O80" s="18" t="s">
        <v>483</v>
      </c>
      <c r="P80" s="18" t="s">
        <v>53</v>
      </c>
      <c r="Q80" s="18" t="s">
        <v>272</v>
      </c>
      <c r="R80" s="18" t="s">
        <v>430</v>
      </c>
      <c r="S80" s="19" t="s">
        <v>431</v>
      </c>
      <c r="T80" s="18" t="s">
        <v>345</v>
      </c>
      <c r="U80" s="18" t="s">
        <v>57</v>
      </c>
      <c r="V80" s="18">
        <v>0</v>
      </c>
      <c r="W80" s="18" t="s">
        <v>58</v>
      </c>
      <c r="X80" s="18" t="s">
        <v>59</v>
      </c>
      <c r="Y80" s="19" t="s">
        <v>747</v>
      </c>
      <c r="Z80" s="19" t="s">
        <v>363</v>
      </c>
      <c r="AA80" s="18" t="s">
        <v>61</v>
      </c>
      <c r="AB80" s="18"/>
      <c r="AC80" t="s">
        <v>703</v>
      </c>
      <c r="AD80" t="s">
        <v>748</v>
      </c>
      <c r="AE80" t="s">
        <v>749</v>
      </c>
      <c r="AF80" t="s">
        <v>53</v>
      </c>
      <c r="AG80" t="s">
        <v>750</v>
      </c>
      <c r="AH80" t="s">
        <v>751</v>
      </c>
      <c r="AI80" t="s">
        <v>752</v>
      </c>
      <c r="AJ80" t="s">
        <v>484</v>
      </c>
      <c r="AK80" s="20" t="s">
        <v>63</v>
      </c>
      <c r="AL80" s="20" t="s">
        <v>63</v>
      </c>
      <c r="AM80" s="21" t="s">
        <v>64</v>
      </c>
      <c r="AN80" s="21" t="s">
        <v>64</v>
      </c>
    </row>
    <row r="81" spans="1:40" ht="21.75" customHeight="1" x14ac:dyDescent="0.25">
      <c r="A81" s="18" t="s">
        <v>753</v>
      </c>
      <c r="B81" s="19" t="s">
        <v>754</v>
      </c>
      <c r="C81" s="18" t="s">
        <v>42</v>
      </c>
      <c r="D81" s="18" t="s">
        <v>755</v>
      </c>
      <c r="E81" s="18" t="s">
        <v>613</v>
      </c>
      <c r="F81" s="18" t="s">
        <v>756</v>
      </c>
      <c r="G81" s="18" t="s">
        <v>429</v>
      </c>
      <c r="H81" s="19" t="s">
        <v>757</v>
      </c>
      <c r="I81" s="18" t="s">
        <v>509</v>
      </c>
      <c r="J81" s="18" t="s">
        <v>86</v>
      </c>
      <c r="K81" s="18">
        <v>3.73</v>
      </c>
      <c r="L81" s="18">
        <v>48</v>
      </c>
      <c r="M81" s="18" t="s">
        <v>50</v>
      </c>
      <c r="N81" s="18" t="s">
        <v>482</v>
      </c>
      <c r="O81" s="18" t="s">
        <v>564</v>
      </c>
      <c r="P81" s="18" t="s">
        <v>89</v>
      </c>
      <c r="Q81" s="18" t="s">
        <v>272</v>
      </c>
      <c r="R81" s="18" t="s">
        <v>430</v>
      </c>
      <c r="S81" s="19" t="s">
        <v>442</v>
      </c>
      <c r="T81" s="18" t="s">
        <v>443</v>
      </c>
      <c r="U81" s="18" t="s">
        <v>57</v>
      </c>
      <c r="V81" s="18">
        <v>0</v>
      </c>
      <c r="W81" s="18" t="s">
        <v>58</v>
      </c>
      <c r="X81" s="18" t="s">
        <v>59</v>
      </c>
      <c r="Y81" s="19" t="s">
        <v>758</v>
      </c>
      <c r="Z81" s="19" t="s">
        <v>347</v>
      </c>
      <c r="AA81" s="18" t="s">
        <v>61</v>
      </c>
      <c r="AB81" s="18"/>
      <c r="AC81" t="s">
        <v>643</v>
      </c>
      <c r="AD81" t="s">
        <v>692</v>
      </c>
      <c r="AE81" t="s">
        <v>759</v>
      </c>
      <c r="AF81" t="s">
        <v>89</v>
      </c>
      <c r="AG81" t="s">
        <v>760</v>
      </c>
      <c r="AH81" t="s">
        <v>761</v>
      </c>
      <c r="AI81" t="s">
        <v>762</v>
      </c>
      <c r="AJ81" t="s">
        <v>484</v>
      </c>
      <c r="AK81" s="20" t="s">
        <v>63</v>
      </c>
      <c r="AL81" s="20" t="s">
        <v>63</v>
      </c>
      <c r="AM81" s="21" t="s">
        <v>64</v>
      </c>
      <c r="AN81" s="21" t="s">
        <v>64</v>
      </c>
    </row>
    <row r="82" spans="1:40" ht="21.75" customHeight="1" x14ac:dyDescent="0.25">
      <c r="A82" s="18" t="s">
        <v>763</v>
      </c>
      <c r="B82" s="19" t="s">
        <v>764</v>
      </c>
      <c r="C82" s="18" t="s">
        <v>67</v>
      </c>
      <c r="D82" s="18" t="s">
        <v>765</v>
      </c>
      <c r="E82" s="18" t="s">
        <v>766</v>
      </c>
      <c r="F82" s="18" t="s">
        <v>767</v>
      </c>
      <c r="G82" s="18" t="s">
        <v>429</v>
      </c>
      <c r="H82" s="19" t="s">
        <v>713</v>
      </c>
      <c r="I82" s="18" t="s">
        <v>499</v>
      </c>
      <c r="J82" s="18" t="s">
        <v>118</v>
      </c>
      <c r="K82" s="18">
        <v>3.55</v>
      </c>
      <c r="L82" s="18">
        <v>12</v>
      </c>
      <c r="M82" s="18" t="s">
        <v>50</v>
      </c>
      <c r="N82" s="18" t="s">
        <v>500</v>
      </c>
      <c r="O82" s="18" t="s">
        <v>768</v>
      </c>
      <c r="P82" s="18" t="s">
        <v>121</v>
      </c>
      <c r="Q82" s="18" t="s">
        <v>272</v>
      </c>
      <c r="R82" s="18" t="s">
        <v>430</v>
      </c>
      <c r="S82" s="19" t="s">
        <v>456</v>
      </c>
      <c r="T82" s="18" t="s">
        <v>418</v>
      </c>
      <c r="U82" s="18" t="s">
        <v>57</v>
      </c>
      <c r="V82" s="18">
        <v>0</v>
      </c>
      <c r="W82" s="18" t="s">
        <v>58</v>
      </c>
      <c r="X82" s="18" t="s">
        <v>59</v>
      </c>
      <c r="Y82" s="19" t="s">
        <v>769</v>
      </c>
      <c r="Z82" s="19" t="s">
        <v>458</v>
      </c>
      <c r="AA82" s="18" t="s">
        <v>61</v>
      </c>
      <c r="AB82" s="18"/>
      <c r="AC82" t="s">
        <v>658</v>
      </c>
      <c r="AD82" t="s">
        <v>715</v>
      </c>
      <c r="AE82" t="s">
        <v>770</v>
      </c>
      <c r="AF82" t="s">
        <v>121</v>
      </c>
      <c r="AG82" t="s">
        <v>771</v>
      </c>
      <c r="AH82" t="s">
        <v>772</v>
      </c>
      <c r="AI82" t="s">
        <v>463</v>
      </c>
      <c r="AJ82" t="s">
        <v>484</v>
      </c>
      <c r="AK82" s="20" t="s">
        <v>63</v>
      </c>
      <c r="AL82" s="20" t="s">
        <v>63</v>
      </c>
      <c r="AM82" s="21" t="s">
        <v>64</v>
      </c>
      <c r="AN82" s="21" t="s">
        <v>64</v>
      </c>
    </row>
    <row r="83" spans="1:40" ht="21.75" customHeight="1" x14ac:dyDescent="0.25">
      <c r="A83" s="18" t="s">
        <v>773</v>
      </c>
      <c r="B83" s="19" t="s">
        <v>774</v>
      </c>
      <c r="C83" s="18" t="s">
        <v>42</v>
      </c>
      <c r="D83" s="18" t="s">
        <v>775</v>
      </c>
      <c r="E83" s="18" t="s">
        <v>776</v>
      </c>
      <c r="F83" s="18" t="s">
        <v>777</v>
      </c>
      <c r="G83" s="18" t="s">
        <v>429</v>
      </c>
      <c r="H83" s="19" t="s">
        <v>490</v>
      </c>
      <c r="I83" s="18" t="s">
        <v>491</v>
      </c>
      <c r="J83" s="18" t="s">
        <v>74</v>
      </c>
      <c r="K83" s="18">
        <v>3.38</v>
      </c>
      <c r="L83" s="18">
        <v>24</v>
      </c>
      <c r="M83" s="18" t="s">
        <v>50</v>
      </c>
      <c r="N83" s="18" t="s">
        <v>621</v>
      </c>
      <c r="O83" s="18" t="s">
        <v>141</v>
      </c>
      <c r="P83" s="18" t="s">
        <v>76</v>
      </c>
      <c r="Q83" s="18" t="s">
        <v>272</v>
      </c>
      <c r="R83" s="18" t="s">
        <v>430</v>
      </c>
      <c r="S83" s="19" t="s">
        <v>468</v>
      </c>
      <c r="T83" s="18" t="s">
        <v>361</v>
      </c>
      <c r="U83" s="18" t="s">
        <v>57</v>
      </c>
      <c r="V83" s="18">
        <v>0</v>
      </c>
      <c r="W83" s="18" t="s">
        <v>58</v>
      </c>
      <c r="X83" s="18" t="s">
        <v>59</v>
      </c>
      <c r="Y83" s="19" t="s">
        <v>778</v>
      </c>
      <c r="Z83" s="19" t="s">
        <v>470</v>
      </c>
      <c r="AA83" s="18" t="s">
        <v>61</v>
      </c>
      <c r="AB83" s="18"/>
      <c r="AC83" t="s">
        <v>667</v>
      </c>
      <c r="AD83" t="s">
        <v>704</v>
      </c>
      <c r="AE83" t="s">
        <v>779</v>
      </c>
      <c r="AF83" t="s">
        <v>76</v>
      </c>
      <c r="AG83" t="s">
        <v>780</v>
      </c>
      <c r="AH83" t="s">
        <v>740</v>
      </c>
      <c r="AI83" t="s">
        <v>781</v>
      </c>
      <c r="AJ83" t="s">
        <v>484</v>
      </c>
      <c r="AK83" s="20" t="s">
        <v>63</v>
      </c>
      <c r="AL83" s="20" t="s">
        <v>63</v>
      </c>
      <c r="AM83" s="21" t="s">
        <v>64</v>
      </c>
      <c r="AN83" s="21" t="s">
        <v>64</v>
      </c>
    </row>
    <row r="84" spans="1:40" ht="15" customHeight="1" x14ac:dyDescent="0.25">
      <c r="A84" s="18" t="s">
        <v>782</v>
      </c>
      <c r="B84" s="19" t="s">
        <v>783</v>
      </c>
      <c r="C84" s="18" t="s">
        <v>67</v>
      </c>
      <c r="D84" s="18" t="s">
        <v>784</v>
      </c>
      <c r="E84" s="18" t="s">
        <v>785</v>
      </c>
      <c r="F84" s="18" t="s">
        <v>45</v>
      </c>
      <c r="G84" s="18" t="s">
        <v>132</v>
      </c>
      <c r="H84" s="19" t="s">
        <v>133</v>
      </c>
      <c r="I84" s="18" t="s">
        <v>134</v>
      </c>
      <c r="J84" s="18" t="s">
        <v>49</v>
      </c>
      <c r="K84" s="18">
        <v>3.41</v>
      </c>
      <c r="L84" s="18">
        <v>92</v>
      </c>
      <c r="M84" s="18" t="s">
        <v>50</v>
      </c>
      <c r="N84" s="18" t="s">
        <v>51</v>
      </c>
      <c r="O84" s="18" t="s">
        <v>483</v>
      </c>
      <c r="P84" s="18" t="s">
        <v>53</v>
      </c>
      <c r="Q84" s="18" t="s">
        <v>54</v>
      </c>
      <c r="R84" s="18" t="s">
        <v>132</v>
      </c>
      <c r="S84" s="19" t="s">
        <v>55</v>
      </c>
      <c r="T84" s="18" t="s">
        <v>56</v>
      </c>
      <c r="U84" s="18" t="s">
        <v>57</v>
      </c>
      <c r="V84" s="18">
        <v>0</v>
      </c>
      <c r="W84" s="18" t="s">
        <v>58</v>
      </c>
      <c r="X84" s="18" t="s">
        <v>59</v>
      </c>
      <c r="Y84" s="19" t="s">
        <v>60</v>
      </c>
      <c r="Z84" s="19" t="s">
        <v>60</v>
      </c>
      <c r="AA84" s="18" t="s">
        <v>61</v>
      </c>
      <c r="AB84" s="18"/>
      <c r="AJ84" t="s">
        <v>786</v>
      </c>
      <c r="AK84" s="20" t="s">
        <v>63</v>
      </c>
      <c r="AL84" s="20" t="s">
        <v>63</v>
      </c>
      <c r="AM84" s="21" t="s">
        <v>64</v>
      </c>
      <c r="AN84" s="21" t="s">
        <v>64</v>
      </c>
    </row>
    <row r="85" spans="1:40" ht="21.75" customHeight="1" x14ac:dyDescent="0.25">
      <c r="A85" s="18" t="s">
        <v>787</v>
      </c>
      <c r="B85" s="19" t="s">
        <v>788</v>
      </c>
      <c r="C85" s="18" t="s">
        <v>42</v>
      </c>
      <c r="D85" s="18" t="s">
        <v>789</v>
      </c>
      <c r="E85" s="18" t="s">
        <v>790</v>
      </c>
      <c r="F85" s="18" t="s">
        <v>70</v>
      </c>
      <c r="G85" s="18" t="s">
        <v>791</v>
      </c>
      <c r="H85" s="19" t="s">
        <v>792</v>
      </c>
      <c r="I85" s="18" t="s">
        <v>793</v>
      </c>
      <c r="J85" s="18" t="s">
        <v>74</v>
      </c>
      <c r="K85" s="18">
        <v>3.09</v>
      </c>
      <c r="L85" s="18">
        <v>67</v>
      </c>
      <c r="M85" s="18" t="s">
        <v>50</v>
      </c>
      <c r="N85" s="18" t="s">
        <v>51</v>
      </c>
      <c r="O85" s="18" t="s">
        <v>493</v>
      </c>
      <c r="P85" s="18" t="s">
        <v>76</v>
      </c>
      <c r="Q85" s="18" t="s">
        <v>54</v>
      </c>
      <c r="R85" s="18" t="s">
        <v>791</v>
      </c>
      <c r="S85" s="19" t="s">
        <v>77</v>
      </c>
      <c r="T85" s="18" t="s">
        <v>78</v>
      </c>
      <c r="U85" s="18" t="s">
        <v>57</v>
      </c>
      <c r="V85" s="18">
        <v>0</v>
      </c>
      <c r="W85" s="18" t="s">
        <v>58</v>
      </c>
      <c r="X85" s="18" t="s">
        <v>59</v>
      </c>
      <c r="Y85" s="19" t="s">
        <v>60</v>
      </c>
      <c r="Z85" s="19" t="s">
        <v>60</v>
      </c>
      <c r="AA85" s="18" t="s">
        <v>61</v>
      </c>
      <c r="AB85" s="18"/>
      <c r="AJ85" t="s">
        <v>786</v>
      </c>
      <c r="AK85" s="20" t="s">
        <v>63</v>
      </c>
      <c r="AL85" s="20" t="s">
        <v>63</v>
      </c>
      <c r="AM85" s="21" t="s">
        <v>64</v>
      </c>
      <c r="AN85" s="21" t="s">
        <v>64</v>
      </c>
    </row>
    <row r="86" spans="1:40" ht="32.25" customHeight="1" x14ac:dyDescent="0.25">
      <c r="A86" s="18" t="s">
        <v>794</v>
      </c>
      <c r="B86" s="19" t="s">
        <v>795</v>
      </c>
      <c r="C86" s="18" t="s">
        <v>67</v>
      </c>
      <c r="D86" s="18" t="s">
        <v>796</v>
      </c>
      <c r="E86" s="18" t="s">
        <v>797</v>
      </c>
      <c r="F86" s="18" t="s">
        <v>798</v>
      </c>
      <c r="G86" s="18" t="s">
        <v>71</v>
      </c>
      <c r="H86" s="19" t="s">
        <v>799</v>
      </c>
      <c r="I86" s="18" t="s">
        <v>800</v>
      </c>
      <c r="J86" s="18" t="s">
        <v>86</v>
      </c>
      <c r="K86" s="18">
        <v>3.52</v>
      </c>
      <c r="L86" s="18">
        <v>129</v>
      </c>
      <c r="M86" s="18" t="s">
        <v>50</v>
      </c>
      <c r="N86" s="18" t="s">
        <v>51</v>
      </c>
      <c r="O86" s="18" t="s">
        <v>501</v>
      </c>
      <c r="P86" s="18" t="s">
        <v>89</v>
      </c>
      <c r="Q86" s="18" t="s">
        <v>54</v>
      </c>
      <c r="R86" s="18" t="s">
        <v>71</v>
      </c>
      <c r="S86" s="19" t="s">
        <v>90</v>
      </c>
      <c r="T86" s="18" t="s">
        <v>91</v>
      </c>
      <c r="U86" s="18" t="s">
        <v>57</v>
      </c>
      <c r="V86" s="18">
        <v>0</v>
      </c>
      <c r="W86" s="18" t="s">
        <v>58</v>
      </c>
      <c r="X86" s="18" t="s">
        <v>59</v>
      </c>
      <c r="Y86" s="19" t="s">
        <v>60</v>
      </c>
      <c r="Z86" s="19" t="s">
        <v>60</v>
      </c>
      <c r="AA86" s="18" t="s">
        <v>92</v>
      </c>
      <c r="AB86" s="18"/>
      <c r="AJ86" t="s">
        <v>786</v>
      </c>
      <c r="AK86" s="20" t="s">
        <v>63</v>
      </c>
      <c r="AL86" s="20" t="s">
        <v>93</v>
      </c>
      <c r="AM86" s="21" t="s">
        <v>801</v>
      </c>
      <c r="AN86" s="21" t="s">
        <v>802</v>
      </c>
    </row>
    <row r="87" spans="1:40" ht="21.75" customHeight="1" x14ac:dyDescent="0.25">
      <c r="A87" s="22" t="s">
        <v>803</v>
      </c>
      <c r="B87" s="23" t="s">
        <v>804</v>
      </c>
      <c r="C87" s="22" t="s">
        <v>42</v>
      </c>
      <c r="D87" s="22" t="s">
        <v>805</v>
      </c>
      <c r="E87" s="22" t="s">
        <v>806</v>
      </c>
      <c r="F87" s="22" t="s">
        <v>807</v>
      </c>
      <c r="G87" s="22" t="s">
        <v>46</v>
      </c>
      <c r="H87" s="23" t="s">
        <v>47</v>
      </c>
      <c r="I87" s="22" t="s">
        <v>808</v>
      </c>
      <c r="J87" s="22" t="s">
        <v>86</v>
      </c>
      <c r="K87" s="22">
        <v>3.87</v>
      </c>
      <c r="L87" s="22">
        <v>127</v>
      </c>
      <c r="M87" s="22" t="s">
        <v>103</v>
      </c>
      <c r="N87" s="22" t="s">
        <v>51</v>
      </c>
      <c r="O87" s="22" t="s">
        <v>511</v>
      </c>
      <c r="P87" s="22"/>
      <c r="Q87" s="22" t="s">
        <v>54</v>
      </c>
      <c r="R87" s="22" t="s">
        <v>46</v>
      </c>
      <c r="S87" s="23" t="s">
        <v>106</v>
      </c>
      <c r="T87" s="22" t="s">
        <v>107</v>
      </c>
      <c r="U87" s="22" t="s">
        <v>108</v>
      </c>
      <c r="V87" s="22">
        <v>0</v>
      </c>
      <c r="W87" s="22" t="s">
        <v>108</v>
      </c>
      <c r="X87" s="22" t="s">
        <v>59</v>
      </c>
      <c r="Y87" s="23" t="s">
        <v>60</v>
      </c>
      <c r="Z87" s="23" t="s">
        <v>60</v>
      </c>
      <c r="AA87" s="22" t="s">
        <v>109</v>
      </c>
      <c r="AB87" s="22" t="s">
        <v>110</v>
      </c>
      <c r="AJ87" t="s">
        <v>786</v>
      </c>
      <c r="AK87" s="24" t="s">
        <v>63</v>
      </c>
      <c r="AL87" s="24" t="s">
        <v>63</v>
      </c>
      <c r="AM87" s="25" t="s">
        <v>64</v>
      </c>
      <c r="AN87" s="25" t="s">
        <v>64</v>
      </c>
    </row>
    <row r="88" spans="1:40" ht="21.75" customHeight="1" x14ac:dyDescent="0.25">
      <c r="A88" s="26" t="s">
        <v>809</v>
      </c>
      <c r="B88" s="27" t="s">
        <v>810</v>
      </c>
      <c r="C88" s="26" t="s">
        <v>67</v>
      </c>
      <c r="D88" s="26" t="s">
        <v>811</v>
      </c>
      <c r="E88" s="26" t="s">
        <v>812</v>
      </c>
      <c r="F88" s="26" t="s">
        <v>115</v>
      </c>
      <c r="G88" s="26" t="s">
        <v>71</v>
      </c>
      <c r="H88" s="27" t="s">
        <v>186</v>
      </c>
      <c r="I88" s="26" t="s">
        <v>813</v>
      </c>
      <c r="J88" s="26" t="s">
        <v>118</v>
      </c>
      <c r="K88" s="26">
        <v>2.31</v>
      </c>
      <c r="L88" s="26">
        <v>23</v>
      </c>
      <c r="M88" s="26" t="s">
        <v>119</v>
      </c>
      <c r="N88" s="26" t="s">
        <v>51</v>
      </c>
      <c r="O88" s="26" t="s">
        <v>519</v>
      </c>
      <c r="P88" s="26" t="s">
        <v>121</v>
      </c>
      <c r="Q88" s="26" t="s">
        <v>54</v>
      </c>
      <c r="R88" s="26" t="s">
        <v>71</v>
      </c>
      <c r="S88" s="27" t="s">
        <v>122</v>
      </c>
      <c r="T88" s="26" t="s">
        <v>123</v>
      </c>
      <c r="U88" s="26" t="s">
        <v>124</v>
      </c>
      <c r="V88" s="26">
        <v>35000</v>
      </c>
      <c r="W88" s="26" t="s">
        <v>119</v>
      </c>
      <c r="X88" s="26" t="s">
        <v>125</v>
      </c>
      <c r="Y88" s="27" t="s">
        <v>60</v>
      </c>
      <c r="Z88" s="27" t="s">
        <v>60</v>
      </c>
      <c r="AA88" s="26" t="s">
        <v>126</v>
      </c>
      <c r="AB88" s="26"/>
      <c r="AJ88" t="s">
        <v>786</v>
      </c>
      <c r="AK88" s="28" t="s">
        <v>63</v>
      </c>
      <c r="AL88" s="28" t="s">
        <v>63</v>
      </c>
      <c r="AM88" s="29" t="s">
        <v>64</v>
      </c>
      <c r="AN88" s="29" t="s">
        <v>64</v>
      </c>
    </row>
    <row r="89" spans="1:40" ht="32.25" customHeight="1" x14ac:dyDescent="0.25">
      <c r="A89" s="18" t="s">
        <v>814</v>
      </c>
      <c r="B89" s="19" t="s">
        <v>815</v>
      </c>
      <c r="C89" s="18" t="s">
        <v>42</v>
      </c>
      <c r="D89" s="18" t="s">
        <v>816</v>
      </c>
      <c r="E89" s="18" t="s">
        <v>817</v>
      </c>
      <c r="F89" s="18" t="s">
        <v>131</v>
      </c>
      <c r="G89" s="18" t="s">
        <v>46</v>
      </c>
      <c r="H89" s="19" t="s">
        <v>818</v>
      </c>
      <c r="I89" s="18" t="s">
        <v>819</v>
      </c>
      <c r="J89" s="18" t="s">
        <v>49</v>
      </c>
      <c r="K89" s="18">
        <v>3.22</v>
      </c>
      <c r="L89" s="18">
        <v>100</v>
      </c>
      <c r="M89" s="18" t="s">
        <v>50</v>
      </c>
      <c r="N89" s="18" t="s">
        <v>51</v>
      </c>
      <c r="O89" s="18" t="s">
        <v>483</v>
      </c>
      <c r="P89" s="18" t="s">
        <v>53</v>
      </c>
      <c r="Q89" s="18" t="s">
        <v>54</v>
      </c>
      <c r="R89" s="18" t="s">
        <v>46</v>
      </c>
      <c r="S89" s="19" t="s">
        <v>55</v>
      </c>
      <c r="T89" s="18" t="s">
        <v>56</v>
      </c>
      <c r="U89" s="18" t="s">
        <v>57</v>
      </c>
      <c r="V89" s="18">
        <v>0</v>
      </c>
      <c r="W89" s="18" t="s">
        <v>58</v>
      </c>
      <c r="X89" s="18" t="s">
        <v>59</v>
      </c>
      <c r="Y89" s="19" t="s">
        <v>60</v>
      </c>
      <c r="Z89" s="19" t="s">
        <v>60</v>
      </c>
      <c r="AA89" s="18" t="s">
        <v>61</v>
      </c>
      <c r="AB89" s="18"/>
      <c r="AJ89" t="s">
        <v>786</v>
      </c>
      <c r="AK89" s="20" t="s">
        <v>63</v>
      </c>
      <c r="AL89" s="20" t="s">
        <v>63</v>
      </c>
      <c r="AM89" s="21" t="s">
        <v>64</v>
      </c>
      <c r="AN89" s="21" t="s">
        <v>64</v>
      </c>
    </row>
    <row r="90" spans="1:40" ht="21.75" customHeight="1" x14ac:dyDescent="0.25">
      <c r="A90" s="18" t="s">
        <v>820</v>
      </c>
      <c r="B90" s="19" t="s">
        <v>821</v>
      </c>
      <c r="C90" s="18" t="s">
        <v>67</v>
      </c>
      <c r="D90" s="18" t="s">
        <v>822</v>
      </c>
      <c r="E90" s="18" t="s">
        <v>823</v>
      </c>
      <c r="F90" s="18" t="s">
        <v>139</v>
      </c>
      <c r="G90" s="18" t="s">
        <v>791</v>
      </c>
      <c r="H90" s="19" t="s">
        <v>157</v>
      </c>
      <c r="I90" s="18" t="s">
        <v>793</v>
      </c>
      <c r="J90" s="18" t="s">
        <v>74</v>
      </c>
      <c r="K90" s="18">
        <v>3.64</v>
      </c>
      <c r="L90" s="18">
        <v>66</v>
      </c>
      <c r="M90" s="18" t="s">
        <v>50</v>
      </c>
      <c r="N90" s="18" t="s">
        <v>51</v>
      </c>
      <c r="O90" s="18" t="s">
        <v>493</v>
      </c>
      <c r="P90" s="18" t="s">
        <v>76</v>
      </c>
      <c r="Q90" s="18" t="s">
        <v>54</v>
      </c>
      <c r="R90" s="18" t="s">
        <v>791</v>
      </c>
      <c r="S90" s="19" t="s">
        <v>77</v>
      </c>
      <c r="T90" s="18" t="s">
        <v>78</v>
      </c>
      <c r="U90" s="18" t="s">
        <v>57</v>
      </c>
      <c r="V90" s="18">
        <v>0</v>
      </c>
      <c r="W90" s="18" t="s">
        <v>58</v>
      </c>
      <c r="X90" s="18" t="s">
        <v>59</v>
      </c>
      <c r="Y90" s="19" t="s">
        <v>60</v>
      </c>
      <c r="Z90" s="19" t="s">
        <v>60</v>
      </c>
      <c r="AA90" s="18" t="s">
        <v>61</v>
      </c>
      <c r="AB90" s="18"/>
      <c r="AJ90" t="s">
        <v>786</v>
      </c>
      <c r="AK90" s="20" t="s">
        <v>63</v>
      </c>
      <c r="AL90" s="20" t="s">
        <v>63</v>
      </c>
      <c r="AM90" s="21" t="s">
        <v>64</v>
      </c>
      <c r="AN90" s="21" t="s">
        <v>64</v>
      </c>
    </row>
    <row r="91" spans="1:40" ht="15" customHeight="1" x14ac:dyDescent="0.25">
      <c r="A91" s="18" t="s">
        <v>824</v>
      </c>
      <c r="B91" s="19" t="s">
        <v>825</v>
      </c>
      <c r="C91" s="18" t="s">
        <v>42</v>
      </c>
      <c r="D91" s="18" t="s">
        <v>826</v>
      </c>
      <c r="E91" s="18" t="s">
        <v>827</v>
      </c>
      <c r="F91" s="18" t="s">
        <v>828</v>
      </c>
      <c r="G91" s="18" t="s">
        <v>132</v>
      </c>
      <c r="H91" s="19" t="s">
        <v>829</v>
      </c>
      <c r="I91" s="18" t="s">
        <v>134</v>
      </c>
      <c r="J91" s="18" t="s">
        <v>86</v>
      </c>
      <c r="K91" s="18">
        <v>3.17</v>
      </c>
      <c r="L91" s="18">
        <v>128</v>
      </c>
      <c r="M91" s="18" t="s">
        <v>50</v>
      </c>
      <c r="N91" s="18" t="s">
        <v>51</v>
      </c>
      <c r="O91" s="18" t="s">
        <v>501</v>
      </c>
      <c r="P91" s="18" t="s">
        <v>89</v>
      </c>
      <c r="Q91" s="18" t="s">
        <v>54</v>
      </c>
      <c r="R91" s="18" t="s">
        <v>132</v>
      </c>
      <c r="S91" s="19" t="s">
        <v>90</v>
      </c>
      <c r="T91" s="18" t="s">
        <v>91</v>
      </c>
      <c r="U91" s="18" t="s">
        <v>57</v>
      </c>
      <c r="V91" s="18">
        <v>0</v>
      </c>
      <c r="W91" s="18" t="s">
        <v>58</v>
      </c>
      <c r="X91" s="18" t="s">
        <v>59</v>
      </c>
      <c r="Y91" s="19" t="s">
        <v>60</v>
      </c>
      <c r="Z91" s="19" t="s">
        <v>60</v>
      </c>
      <c r="AA91" s="18" t="s">
        <v>92</v>
      </c>
      <c r="AB91" s="18"/>
      <c r="AJ91" t="s">
        <v>786</v>
      </c>
      <c r="AK91" s="20" t="s">
        <v>63</v>
      </c>
      <c r="AL91" s="20" t="s">
        <v>63</v>
      </c>
      <c r="AM91" s="21" t="s">
        <v>64</v>
      </c>
      <c r="AN91" s="21" t="s">
        <v>64</v>
      </c>
    </row>
    <row r="92" spans="1:40" ht="32.25" customHeight="1" x14ac:dyDescent="0.25">
      <c r="A92" s="30" t="s">
        <v>830</v>
      </c>
      <c r="B92" s="31" t="s">
        <v>831</v>
      </c>
      <c r="C92" s="30" t="s">
        <v>67</v>
      </c>
      <c r="D92" s="30" t="s">
        <v>832</v>
      </c>
      <c r="E92" s="30" t="s">
        <v>833</v>
      </c>
      <c r="F92" s="30" t="s">
        <v>155</v>
      </c>
      <c r="G92" s="30" t="s">
        <v>46</v>
      </c>
      <c r="H92" s="31" t="s">
        <v>173</v>
      </c>
      <c r="I92" s="30" t="s">
        <v>819</v>
      </c>
      <c r="J92" s="30" t="s">
        <v>49</v>
      </c>
      <c r="K92" s="30">
        <v>2.78</v>
      </c>
      <c r="L92" s="30">
        <v>90</v>
      </c>
      <c r="M92" s="30" t="s">
        <v>158</v>
      </c>
      <c r="N92" s="30" t="s">
        <v>51</v>
      </c>
      <c r="O92" s="30" t="s">
        <v>343</v>
      </c>
      <c r="P92" s="30" t="s">
        <v>53</v>
      </c>
      <c r="Q92" s="30" t="s">
        <v>54</v>
      </c>
      <c r="R92" s="30" t="s">
        <v>46</v>
      </c>
      <c r="S92" s="31" t="s">
        <v>159</v>
      </c>
      <c r="T92" s="30" t="s">
        <v>56</v>
      </c>
      <c r="U92" s="30" t="s">
        <v>160</v>
      </c>
      <c r="V92" s="30">
        <v>0</v>
      </c>
      <c r="W92" s="30" t="s">
        <v>58</v>
      </c>
      <c r="X92" s="30" t="s">
        <v>59</v>
      </c>
      <c r="Y92" s="31" t="s">
        <v>60</v>
      </c>
      <c r="Z92" s="31" t="s">
        <v>60</v>
      </c>
      <c r="AA92" s="30" t="s">
        <v>61</v>
      </c>
      <c r="AB92" s="30"/>
      <c r="AJ92" t="s">
        <v>786</v>
      </c>
      <c r="AK92" s="32" t="s">
        <v>63</v>
      </c>
      <c r="AL92" s="32" t="s">
        <v>63</v>
      </c>
      <c r="AM92" s="33" t="s">
        <v>64</v>
      </c>
      <c r="AN92" s="33" t="s">
        <v>64</v>
      </c>
    </row>
    <row r="93" spans="1:40" ht="32.25" customHeight="1" x14ac:dyDescent="0.25">
      <c r="A93" s="18" t="s">
        <v>834</v>
      </c>
      <c r="B93" s="19" t="s">
        <v>835</v>
      </c>
      <c r="C93" s="18" t="s">
        <v>42</v>
      </c>
      <c r="D93" s="18" t="s">
        <v>163</v>
      </c>
      <c r="E93" s="18" t="s">
        <v>836</v>
      </c>
      <c r="F93" s="18" t="s">
        <v>165</v>
      </c>
      <c r="G93" s="18" t="s">
        <v>71</v>
      </c>
      <c r="H93" s="19" t="s">
        <v>837</v>
      </c>
      <c r="I93" s="18" t="s">
        <v>800</v>
      </c>
      <c r="J93" s="18" t="s">
        <v>118</v>
      </c>
      <c r="K93" s="18">
        <v>3.45</v>
      </c>
      <c r="L93" s="18">
        <v>28</v>
      </c>
      <c r="M93" s="18" t="s">
        <v>50</v>
      </c>
      <c r="N93" s="18" t="s">
        <v>51</v>
      </c>
      <c r="O93" s="18" t="s">
        <v>519</v>
      </c>
      <c r="P93" s="18" t="s">
        <v>121</v>
      </c>
      <c r="Q93" s="18" t="s">
        <v>54</v>
      </c>
      <c r="R93" s="18" t="s">
        <v>71</v>
      </c>
      <c r="S93" s="19" t="s">
        <v>167</v>
      </c>
      <c r="T93" s="18" t="s">
        <v>123</v>
      </c>
      <c r="U93" s="18" t="s">
        <v>57</v>
      </c>
      <c r="V93" s="18">
        <v>0</v>
      </c>
      <c r="W93" s="18" t="s">
        <v>58</v>
      </c>
      <c r="X93" s="18" t="s">
        <v>59</v>
      </c>
      <c r="Y93" s="19" t="s">
        <v>60</v>
      </c>
      <c r="Z93" s="19" t="s">
        <v>60</v>
      </c>
      <c r="AA93" s="18" t="s">
        <v>61</v>
      </c>
      <c r="AB93" s="18"/>
      <c r="AJ93" t="s">
        <v>786</v>
      </c>
      <c r="AK93" s="20" t="s">
        <v>63</v>
      </c>
      <c r="AL93" s="20" t="s">
        <v>63</v>
      </c>
      <c r="AM93" s="21" t="s">
        <v>64</v>
      </c>
      <c r="AN93" s="21" t="s">
        <v>64</v>
      </c>
    </row>
    <row r="94" spans="1:40" ht="21.75" customHeight="1" x14ac:dyDescent="0.25">
      <c r="A94" s="18" t="s">
        <v>838</v>
      </c>
      <c r="B94" s="19" t="s">
        <v>839</v>
      </c>
      <c r="C94" s="18" t="s">
        <v>67</v>
      </c>
      <c r="D94" s="18" t="s">
        <v>840</v>
      </c>
      <c r="E94" s="18" t="s">
        <v>841</v>
      </c>
      <c r="F94" s="18" t="s">
        <v>172</v>
      </c>
      <c r="G94" s="18" t="s">
        <v>46</v>
      </c>
      <c r="H94" s="19" t="s">
        <v>47</v>
      </c>
      <c r="I94" s="18" t="s">
        <v>808</v>
      </c>
      <c r="J94" s="18" t="s">
        <v>74</v>
      </c>
      <c r="K94" s="18">
        <v>3.06</v>
      </c>
      <c r="L94" s="18">
        <v>67</v>
      </c>
      <c r="M94" s="18" t="s">
        <v>50</v>
      </c>
      <c r="N94" s="18" t="s">
        <v>51</v>
      </c>
      <c r="O94" s="18" t="s">
        <v>558</v>
      </c>
      <c r="P94" s="18" t="s">
        <v>76</v>
      </c>
      <c r="Q94" s="18" t="s">
        <v>54</v>
      </c>
      <c r="R94" s="18" t="s">
        <v>46</v>
      </c>
      <c r="S94" s="19" t="s">
        <v>77</v>
      </c>
      <c r="T94" s="18" t="s">
        <v>78</v>
      </c>
      <c r="U94" s="18" t="s">
        <v>57</v>
      </c>
      <c r="V94" s="18">
        <v>0</v>
      </c>
      <c r="W94" s="18" t="s">
        <v>58</v>
      </c>
      <c r="X94" s="18" t="s">
        <v>59</v>
      </c>
      <c r="Y94" s="19" t="s">
        <v>60</v>
      </c>
      <c r="Z94" s="19" t="s">
        <v>60</v>
      </c>
      <c r="AA94" s="18" t="s">
        <v>61</v>
      </c>
      <c r="AB94" s="18"/>
      <c r="AJ94" t="s">
        <v>786</v>
      </c>
      <c r="AK94" s="20" t="s">
        <v>63</v>
      </c>
      <c r="AL94" s="20" t="s">
        <v>63</v>
      </c>
      <c r="AM94" s="21" t="s">
        <v>64</v>
      </c>
      <c r="AN94" s="21" t="s">
        <v>64</v>
      </c>
    </row>
    <row r="95" spans="1:40" ht="15" customHeight="1" x14ac:dyDescent="0.25">
      <c r="A95" s="22" t="s">
        <v>842</v>
      </c>
      <c r="B95" s="23" t="s">
        <v>843</v>
      </c>
      <c r="C95" s="22" t="s">
        <v>42</v>
      </c>
      <c r="D95" s="22" t="s">
        <v>844</v>
      </c>
      <c r="E95" s="22" t="s">
        <v>845</v>
      </c>
      <c r="F95" s="22" t="s">
        <v>846</v>
      </c>
      <c r="G95" s="22" t="s">
        <v>132</v>
      </c>
      <c r="H95" s="23" t="s">
        <v>847</v>
      </c>
      <c r="I95" s="22" t="s">
        <v>134</v>
      </c>
      <c r="J95" s="22" t="s">
        <v>86</v>
      </c>
      <c r="K95" s="22">
        <v>2.61</v>
      </c>
      <c r="L95" s="22">
        <v>129</v>
      </c>
      <c r="M95" s="22" t="s">
        <v>103</v>
      </c>
      <c r="N95" s="22" t="s">
        <v>51</v>
      </c>
      <c r="O95" s="22" t="s">
        <v>564</v>
      </c>
      <c r="P95" s="22"/>
      <c r="Q95" s="22" t="s">
        <v>54</v>
      </c>
      <c r="R95" s="22" t="s">
        <v>132</v>
      </c>
      <c r="S95" s="23" t="s">
        <v>106</v>
      </c>
      <c r="T95" s="22" t="s">
        <v>107</v>
      </c>
      <c r="U95" s="22" t="s">
        <v>108</v>
      </c>
      <c r="V95" s="22">
        <v>0</v>
      </c>
      <c r="W95" s="22" t="s">
        <v>108</v>
      </c>
      <c r="X95" s="22" t="s">
        <v>59</v>
      </c>
      <c r="Y95" s="23" t="s">
        <v>60</v>
      </c>
      <c r="Z95" s="23" t="s">
        <v>60</v>
      </c>
      <c r="AA95" s="22" t="s">
        <v>109</v>
      </c>
      <c r="AB95" s="22" t="s">
        <v>110</v>
      </c>
      <c r="AJ95" t="s">
        <v>786</v>
      </c>
      <c r="AK95" s="24" t="s">
        <v>63</v>
      </c>
      <c r="AL95" s="24" t="s">
        <v>63</v>
      </c>
      <c r="AM95" s="25" t="s">
        <v>64</v>
      </c>
      <c r="AN95" s="25" t="s">
        <v>64</v>
      </c>
    </row>
    <row r="96" spans="1:40" ht="21.75" customHeight="1" x14ac:dyDescent="0.25">
      <c r="A96" s="18" t="s">
        <v>848</v>
      </c>
      <c r="B96" s="19" t="s">
        <v>849</v>
      </c>
      <c r="C96" s="18" t="s">
        <v>67</v>
      </c>
      <c r="D96" s="18" t="s">
        <v>850</v>
      </c>
      <c r="E96" s="18" t="s">
        <v>851</v>
      </c>
      <c r="F96" s="18" t="s">
        <v>185</v>
      </c>
      <c r="G96" s="18" t="s">
        <v>71</v>
      </c>
      <c r="H96" s="19" t="s">
        <v>241</v>
      </c>
      <c r="I96" s="18" t="s">
        <v>813</v>
      </c>
      <c r="J96" s="18" t="s">
        <v>49</v>
      </c>
      <c r="K96" s="18">
        <v>3.48</v>
      </c>
      <c r="L96" s="18">
        <v>95</v>
      </c>
      <c r="M96" s="18" t="s">
        <v>50</v>
      </c>
      <c r="N96" s="18" t="s">
        <v>51</v>
      </c>
      <c r="O96" s="18" t="s">
        <v>52</v>
      </c>
      <c r="P96" s="18" t="s">
        <v>53</v>
      </c>
      <c r="Q96" s="18" t="s">
        <v>54</v>
      </c>
      <c r="R96" s="18" t="s">
        <v>71</v>
      </c>
      <c r="S96" s="19" t="s">
        <v>55</v>
      </c>
      <c r="T96" s="18" t="s">
        <v>56</v>
      </c>
      <c r="U96" s="18" t="s">
        <v>57</v>
      </c>
      <c r="V96" s="18">
        <v>0</v>
      </c>
      <c r="W96" s="18" t="s">
        <v>58</v>
      </c>
      <c r="X96" s="18" t="s">
        <v>59</v>
      </c>
      <c r="Y96" s="19" t="s">
        <v>60</v>
      </c>
      <c r="Z96" s="19" t="s">
        <v>60</v>
      </c>
      <c r="AA96" s="18" t="s">
        <v>61</v>
      </c>
      <c r="AB96" s="18"/>
      <c r="AJ96" t="s">
        <v>786</v>
      </c>
      <c r="AK96" s="20" t="s">
        <v>63</v>
      </c>
      <c r="AL96" s="20" t="s">
        <v>63</v>
      </c>
      <c r="AM96" s="21" t="s">
        <v>64</v>
      </c>
      <c r="AN96" s="21" t="s">
        <v>64</v>
      </c>
    </row>
    <row r="97" spans="1:40" ht="32.25" customHeight="1" x14ac:dyDescent="0.25">
      <c r="A97" s="34" t="s">
        <v>852</v>
      </c>
      <c r="B97" s="35" t="s">
        <v>853</v>
      </c>
      <c r="C97" s="34" t="s">
        <v>42</v>
      </c>
      <c r="D97" s="34" t="s">
        <v>854</v>
      </c>
      <c r="E97" s="34" t="s">
        <v>855</v>
      </c>
      <c r="F97" s="34" t="s">
        <v>192</v>
      </c>
      <c r="G97" s="34" t="s">
        <v>46</v>
      </c>
      <c r="H97" s="35" t="s">
        <v>856</v>
      </c>
      <c r="I97" s="34" t="s">
        <v>819</v>
      </c>
      <c r="J97" s="34" t="s">
        <v>86</v>
      </c>
      <c r="K97" s="34">
        <v>1.96</v>
      </c>
      <c r="L97" s="34">
        <v>119</v>
      </c>
      <c r="M97" s="34" t="s">
        <v>195</v>
      </c>
      <c r="N97" s="34" t="s">
        <v>51</v>
      </c>
      <c r="O97" s="34" t="s">
        <v>511</v>
      </c>
      <c r="P97" s="34" t="s">
        <v>89</v>
      </c>
      <c r="Q97" s="34" t="s">
        <v>54</v>
      </c>
      <c r="R97" s="34" t="s">
        <v>46</v>
      </c>
      <c r="S97" s="35" t="s">
        <v>196</v>
      </c>
      <c r="T97" s="34" t="s">
        <v>91</v>
      </c>
      <c r="U97" s="34" t="s">
        <v>197</v>
      </c>
      <c r="V97" s="34">
        <v>75000</v>
      </c>
      <c r="W97" s="34" t="s">
        <v>195</v>
      </c>
      <c r="X97" s="34" t="s">
        <v>125</v>
      </c>
      <c r="Y97" s="35" t="s">
        <v>60</v>
      </c>
      <c r="Z97" s="35" t="s">
        <v>60</v>
      </c>
      <c r="AA97" s="34" t="s">
        <v>126</v>
      </c>
      <c r="AB97" s="34"/>
      <c r="AJ97" t="s">
        <v>786</v>
      </c>
      <c r="AK97" s="36" t="s">
        <v>63</v>
      </c>
      <c r="AL97" s="36" t="s">
        <v>63</v>
      </c>
      <c r="AM97" s="37" t="s">
        <v>64</v>
      </c>
      <c r="AN97" s="37" t="s">
        <v>64</v>
      </c>
    </row>
    <row r="98" spans="1:40" ht="21.75" customHeight="1" x14ac:dyDescent="0.25">
      <c r="A98" s="18" t="s">
        <v>857</v>
      </c>
      <c r="B98" s="19" t="s">
        <v>858</v>
      </c>
      <c r="C98" s="18" t="s">
        <v>67</v>
      </c>
      <c r="D98" s="18" t="s">
        <v>859</v>
      </c>
      <c r="E98" s="18" t="s">
        <v>860</v>
      </c>
      <c r="F98" s="18" t="s">
        <v>861</v>
      </c>
      <c r="G98" s="18" t="s">
        <v>46</v>
      </c>
      <c r="H98" s="19" t="s">
        <v>116</v>
      </c>
      <c r="I98" s="18" t="s">
        <v>808</v>
      </c>
      <c r="J98" s="18" t="s">
        <v>118</v>
      </c>
      <c r="K98" s="18">
        <v>3.71</v>
      </c>
      <c r="L98" s="18">
        <v>36</v>
      </c>
      <c r="M98" s="18" t="s">
        <v>50</v>
      </c>
      <c r="N98" s="18" t="s">
        <v>87</v>
      </c>
      <c r="O98" s="18" t="s">
        <v>519</v>
      </c>
      <c r="P98" s="18" t="s">
        <v>121</v>
      </c>
      <c r="Q98" s="18" t="s">
        <v>54</v>
      </c>
      <c r="R98" s="18" t="s">
        <v>46</v>
      </c>
      <c r="S98" s="19" t="s">
        <v>167</v>
      </c>
      <c r="T98" s="18" t="s">
        <v>123</v>
      </c>
      <c r="U98" s="18" t="s">
        <v>57</v>
      </c>
      <c r="V98" s="18">
        <v>0</v>
      </c>
      <c r="W98" s="18" t="s">
        <v>58</v>
      </c>
      <c r="X98" s="18" t="s">
        <v>59</v>
      </c>
      <c r="Y98" s="19" t="s">
        <v>60</v>
      </c>
      <c r="Z98" s="19" t="s">
        <v>60</v>
      </c>
      <c r="AA98" s="18" t="s">
        <v>61</v>
      </c>
      <c r="AB98" s="18"/>
      <c r="AJ98" t="s">
        <v>786</v>
      </c>
      <c r="AK98" s="20" t="s">
        <v>63</v>
      </c>
      <c r="AL98" s="20" t="s">
        <v>63</v>
      </c>
      <c r="AM98" s="21" t="s">
        <v>64</v>
      </c>
      <c r="AN98" s="21" t="s">
        <v>64</v>
      </c>
    </row>
    <row r="99" spans="1:40" ht="21.75" customHeight="1" x14ac:dyDescent="0.25">
      <c r="A99" s="18" t="s">
        <v>862</v>
      </c>
      <c r="B99" s="19" t="s">
        <v>863</v>
      </c>
      <c r="C99" s="18" t="s">
        <v>42</v>
      </c>
      <c r="D99" s="18" t="s">
        <v>864</v>
      </c>
      <c r="E99" s="18" t="s">
        <v>865</v>
      </c>
      <c r="F99" s="18" t="s">
        <v>209</v>
      </c>
      <c r="G99" s="18" t="s">
        <v>791</v>
      </c>
      <c r="H99" s="19" t="s">
        <v>866</v>
      </c>
      <c r="I99" s="18" t="s">
        <v>793</v>
      </c>
      <c r="J99" s="18" t="s">
        <v>49</v>
      </c>
      <c r="K99" s="18">
        <v>3.13</v>
      </c>
      <c r="L99" s="18">
        <v>98</v>
      </c>
      <c r="M99" s="18" t="s">
        <v>50</v>
      </c>
      <c r="N99" s="18" t="s">
        <v>51</v>
      </c>
      <c r="O99" s="18" t="s">
        <v>483</v>
      </c>
      <c r="P99" s="18" t="s">
        <v>53</v>
      </c>
      <c r="Q99" s="18" t="s">
        <v>54</v>
      </c>
      <c r="R99" s="18" t="s">
        <v>791</v>
      </c>
      <c r="S99" s="19" t="s">
        <v>55</v>
      </c>
      <c r="T99" s="18" t="s">
        <v>56</v>
      </c>
      <c r="U99" s="18" t="s">
        <v>57</v>
      </c>
      <c r="V99" s="18">
        <v>0</v>
      </c>
      <c r="W99" s="18" t="s">
        <v>58</v>
      </c>
      <c r="X99" s="18" t="s">
        <v>59</v>
      </c>
      <c r="Y99" s="19" t="s">
        <v>60</v>
      </c>
      <c r="Z99" s="19" t="s">
        <v>60</v>
      </c>
      <c r="AA99" s="18" t="s">
        <v>61</v>
      </c>
      <c r="AB99" s="18"/>
      <c r="AJ99" t="s">
        <v>786</v>
      </c>
      <c r="AK99" s="20" t="s">
        <v>63</v>
      </c>
      <c r="AL99" s="20" t="s">
        <v>63</v>
      </c>
      <c r="AM99" s="21" t="s">
        <v>64</v>
      </c>
      <c r="AN99" s="21" t="s">
        <v>64</v>
      </c>
    </row>
    <row r="100" spans="1:40" ht="21.75" customHeight="1" x14ac:dyDescent="0.25">
      <c r="A100" s="18" t="s">
        <v>867</v>
      </c>
      <c r="B100" s="19" t="s">
        <v>868</v>
      </c>
      <c r="C100" s="18" t="s">
        <v>67</v>
      </c>
      <c r="D100" s="18" t="s">
        <v>869</v>
      </c>
      <c r="E100" s="18" t="s">
        <v>870</v>
      </c>
      <c r="F100" s="18" t="s">
        <v>217</v>
      </c>
      <c r="G100" s="18" t="s">
        <v>46</v>
      </c>
      <c r="H100" s="19" t="s">
        <v>871</v>
      </c>
      <c r="I100" s="18" t="s">
        <v>808</v>
      </c>
      <c r="J100" s="18" t="s">
        <v>74</v>
      </c>
      <c r="K100" s="18">
        <v>3.59</v>
      </c>
      <c r="L100" s="18">
        <v>64</v>
      </c>
      <c r="M100" s="18" t="s">
        <v>50</v>
      </c>
      <c r="N100" s="18" t="s">
        <v>51</v>
      </c>
      <c r="O100" s="18" t="s">
        <v>493</v>
      </c>
      <c r="P100" s="18" t="s">
        <v>76</v>
      </c>
      <c r="Q100" s="18" t="s">
        <v>54</v>
      </c>
      <c r="R100" s="18" t="s">
        <v>46</v>
      </c>
      <c r="S100" s="19" t="s">
        <v>77</v>
      </c>
      <c r="T100" s="18" t="s">
        <v>78</v>
      </c>
      <c r="U100" s="18" t="s">
        <v>57</v>
      </c>
      <c r="V100" s="18">
        <v>0</v>
      </c>
      <c r="W100" s="18" t="s">
        <v>58</v>
      </c>
      <c r="X100" s="18" t="s">
        <v>59</v>
      </c>
      <c r="Y100" s="19" t="s">
        <v>60</v>
      </c>
      <c r="Z100" s="19" t="s">
        <v>60</v>
      </c>
      <c r="AA100" s="18" t="s">
        <v>61</v>
      </c>
      <c r="AB100" s="18"/>
      <c r="AJ100" t="s">
        <v>786</v>
      </c>
      <c r="AK100" s="20" t="s">
        <v>63</v>
      </c>
      <c r="AL100" s="20" t="s">
        <v>93</v>
      </c>
      <c r="AM100" s="21" t="s">
        <v>872</v>
      </c>
      <c r="AN100" s="21" t="s">
        <v>873</v>
      </c>
    </row>
    <row r="101" spans="1:40" ht="21.75" customHeight="1" x14ac:dyDescent="0.25">
      <c r="A101" s="18" t="s">
        <v>874</v>
      </c>
      <c r="B101" s="19" t="s">
        <v>875</v>
      </c>
      <c r="C101" s="18" t="s">
        <v>42</v>
      </c>
      <c r="D101" s="18" t="s">
        <v>876</v>
      </c>
      <c r="E101" s="18" t="s">
        <v>877</v>
      </c>
      <c r="F101" s="18" t="s">
        <v>878</v>
      </c>
      <c r="G101" s="18" t="s">
        <v>71</v>
      </c>
      <c r="H101" s="19" t="s">
        <v>186</v>
      </c>
      <c r="I101" s="18" t="s">
        <v>813</v>
      </c>
      <c r="J101" s="18" t="s">
        <v>86</v>
      </c>
      <c r="K101" s="18">
        <v>2.97</v>
      </c>
      <c r="L101" s="18">
        <v>126</v>
      </c>
      <c r="M101" s="18" t="s">
        <v>50</v>
      </c>
      <c r="N101" s="18" t="s">
        <v>51</v>
      </c>
      <c r="O101" s="18" t="s">
        <v>501</v>
      </c>
      <c r="P101" s="18" t="s">
        <v>89</v>
      </c>
      <c r="Q101" s="18" t="s">
        <v>54</v>
      </c>
      <c r="R101" s="18" t="s">
        <v>71</v>
      </c>
      <c r="S101" s="19" t="s">
        <v>90</v>
      </c>
      <c r="T101" s="18" t="s">
        <v>91</v>
      </c>
      <c r="U101" s="18" t="s">
        <v>57</v>
      </c>
      <c r="V101" s="18">
        <v>0</v>
      </c>
      <c r="W101" s="18" t="s">
        <v>58</v>
      </c>
      <c r="X101" s="18" t="s">
        <v>59</v>
      </c>
      <c r="Y101" s="19" t="s">
        <v>60</v>
      </c>
      <c r="Z101" s="19" t="s">
        <v>60</v>
      </c>
      <c r="AA101" s="18" t="s">
        <v>92</v>
      </c>
      <c r="AB101" s="18"/>
      <c r="AJ101" t="s">
        <v>786</v>
      </c>
      <c r="AK101" s="20" t="s">
        <v>63</v>
      </c>
      <c r="AL101" s="20" t="s">
        <v>63</v>
      </c>
      <c r="AM101" s="21" t="s">
        <v>64</v>
      </c>
      <c r="AN101" s="21" t="s">
        <v>64</v>
      </c>
    </row>
    <row r="102" spans="1:40" ht="15" customHeight="1" x14ac:dyDescent="0.25">
      <c r="A102" s="18" t="s">
        <v>879</v>
      </c>
      <c r="B102" s="19" t="s">
        <v>880</v>
      </c>
      <c r="C102" s="18" t="s">
        <v>67</v>
      </c>
      <c r="D102" s="18" t="s">
        <v>881</v>
      </c>
      <c r="E102" s="18" t="s">
        <v>882</v>
      </c>
      <c r="F102" s="18" t="s">
        <v>229</v>
      </c>
      <c r="G102" s="18" t="s">
        <v>132</v>
      </c>
      <c r="H102" s="19" t="s">
        <v>883</v>
      </c>
      <c r="I102" s="18" t="s">
        <v>134</v>
      </c>
      <c r="J102" s="18" t="s">
        <v>49</v>
      </c>
      <c r="K102" s="18">
        <v>3.34</v>
      </c>
      <c r="L102" s="18">
        <v>92</v>
      </c>
      <c r="M102" s="18" t="s">
        <v>50</v>
      </c>
      <c r="N102" s="18" t="s">
        <v>51</v>
      </c>
      <c r="O102" s="18" t="s">
        <v>343</v>
      </c>
      <c r="P102" s="18" t="s">
        <v>53</v>
      </c>
      <c r="Q102" s="18" t="s">
        <v>54</v>
      </c>
      <c r="R102" s="18" t="s">
        <v>132</v>
      </c>
      <c r="S102" s="19" t="s">
        <v>55</v>
      </c>
      <c r="T102" s="18" t="s">
        <v>56</v>
      </c>
      <c r="U102" s="18" t="s">
        <v>57</v>
      </c>
      <c r="V102" s="18">
        <v>0</v>
      </c>
      <c r="W102" s="18" t="s">
        <v>58</v>
      </c>
      <c r="X102" s="18" t="s">
        <v>59</v>
      </c>
      <c r="Y102" s="19" t="s">
        <v>60</v>
      </c>
      <c r="Z102" s="19" t="s">
        <v>60</v>
      </c>
      <c r="AA102" s="18" t="s">
        <v>61</v>
      </c>
      <c r="AB102" s="18"/>
      <c r="AJ102" t="s">
        <v>786</v>
      </c>
      <c r="AK102" s="20" t="s">
        <v>63</v>
      </c>
      <c r="AL102" s="20" t="s">
        <v>63</v>
      </c>
      <c r="AM102" s="21" t="s">
        <v>64</v>
      </c>
      <c r="AN102" s="21" t="s">
        <v>64</v>
      </c>
    </row>
    <row r="103" spans="1:40" ht="32.25" customHeight="1" x14ac:dyDescent="0.25">
      <c r="A103" s="26" t="s">
        <v>884</v>
      </c>
      <c r="B103" s="27" t="s">
        <v>885</v>
      </c>
      <c r="C103" s="26" t="s">
        <v>42</v>
      </c>
      <c r="D103" s="26" t="s">
        <v>886</v>
      </c>
      <c r="E103" s="26" t="s">
        <v>887</v>
      </c>
      <c r="F103" s="26" t="s">
        <v>888</v>
      </c>
      <c r="G103" s="26" t="s">
        <v>46</v>
      </c>
      <c r="H103" s="27" t="s">
        <v>889</v>
      </c>
      <c r="I103" s="26" t="s">
        <v>819</v>
      </c>
      <c r="J103" s="26" t="s">
        <v>118</v>
      </c>
      <c r="K103" s="26">
        <v>2.2400000000000002</v>
      </c>
      <c r="L103" s="26">
        <v>29</v>
      </c>
      <c r="M103" s="26" t="s">
        <v>119</v>
      </c>
      <c r="N103" s="26" t="s">
        <v>51</v>
      </c>
      <c r="O103" s="26" t="s">
        <v>519</v>
      </c>
      <c r="P103" s="26" t="s">
        <v>121</v>
      </c>
      <c r="Q103" s="26" t="s">
        <v>54</v>
      </c>
      <c r="R103" s="26" t="s">
        <v>46</v>
      </c>
      <c r="S103" s="27" t="s">
        <v>122</v>
      </c>
      <c r="T103" s="26" t="s">
        <v>123</v>
      </c>
      <c r="U103" s="26" t="s">
        <v>124</v>
      </c>
      <c r="V103" s="26">
        <v>35000</v>
      </c>
      <c r="W103" s="26" t="s">
        <v>119</v>
      </c>
      <c r="X103" s="26" t="s">
        <v>125</v>
      </c>
      <c r="Y103" s="27" t="s">
        <v>60</v>
      </c>
      <c r="Z103" s="27" t="s">
        <v>60</v>
      </c>
      <c r="AA103" s="26" t="s">
        <v>126</v>
      </c>
      <c r="AB103" s="26"/>
      <c r="AJ103" t="s">
        <v>786</v>
      </c>
      <c r="AK103" s="28" t="s">
        <v>63</v>
      </c>
      <c r="AL103" s="28" t="s">
        <v>63</v>
      </c>
      <c r="AM103" s="29" t="s">
        <v>64</v>
      </c>
      <c r="AN103" s="29" t="s">
        <v>64</v>
      </c>
    </row>
    <row r="104" spans="1:40" ht="32.25" customHeight="1" x14ac:dyDescent="0.25">
      <c r="A104" s="18" t="s">
        <v>890</v>
      </c>
      <c r="B104" s="19" t="s">
        <v>891</v>
      </c>
      <c r="C104" s="18" t="s">
        <v>67</v>
      </c>
      <c r="D104" s="18" t="s">
        <v>892</v>
      </c>
      <c r="E104" s="18" t="s">
        <v>893</v>
      </c>
      <c r="F104" s="18" t="s">
        <v>894</v>
      </c>
      <c r="G104" s="18" t="s">
        <v>71</v>
      </c>
      <c r="H104" s="19" t="s">
        <v>799</v>
      </c>
      <c r="I104" s="18" t="s">
        <v>800</v>
      </c>
      <c r="J104" s="18" t="s">
        <v>74</v>
      </c>
      <c r="K104" s="18">
        <v>3.37</v>
      </c>
      <c r="L104" s="18">
        <v>65</v>
      </c>
      <c r="M104" s="18" t="s">
        <v>50</v>
      </c>
      <c r="N104" s="18" t="s">
        <v>895</v>
      </c>
      <c r="O104" s="18" t="s">
        <v>558</v>
      </c>
      <c r="P104" s="18" t="s">
        <v>76</v>
      </c>
      <c r="Q104" s="18" t="s">
        <v>54</v>
      </c>
      <c r="R104" s="18" t="s">
        <v>71</v>
      </c>
      <c r="S104" s="19" t="s">
        <v>77</v>
      </c>
      <c r="T104" s="18" t="s">
        <v>78</v>
      </c>
      <c r="U104" s="18" t="s">
        <v>57</v>
      </c>
      <c r="V104" s="18">
        <v>0</v>
      </c>
      <c r="W104" s="18" t="s">
        <v>58</v>
      </c>
      <c r="X104" s="18" t="s">
        <v>59</v>
      </c>
      <c r="Y104" s="19" t="s">
        <v>60</v>
      </c>
      <c r="Z104" s="19" t="s">
        <v>60</v>
      </c>
      <c r="AA104" s="18" t="s">
        <v>61</v>
      </c>
      <c r="AB104" s="18"/>
      <c r="AJ104" t="s">
        <v>786</v>
      </c>
      <c r="AK104" s="20" t="s">
        <v>63</v>
      </c>
      <c r="AL104" s="20" t="s">
        <v>63</v>
      </c>
      <c r="AM104" s="21" t="s">
        <v>64</v>
      </c>
      <c r="AN104" s="21" t="s">
        <v>64</v>
      </c>
    </row>
    <row r="105" spans="1:40" ht="21.75" customHeight="1" x14ac:dyDescent="0.25">
      <c r="A105" s="18" t="s">
        <v>896</v>
      </c>
      <c r="B105" s="19" t="s">
        <v>897</v>
      </c>
      <c r="C105" s="18" t="s">
        <v>42</v>
      </c>
      <c r="D105" s="18" t="s">
        <v>898</v>
      </c>
      <c r="E105" s="18" t="s">
        <v>899</v>
      </c>
      <c r="F105" s="18" t="s">
        <v>246</v>
      </c>
      <c r="G105" s="18" t="s">
        <v>46</v>
      </c>
      <c r="H105" s="19" t="s">
        <v>47</v>
      </c>
      <c r="I105" s="18" t="s">
        <v>808</v>
      </c>
      <c r="J105" s="18" t="s">
        <v>86</v>
      </c>
      <c r="K105" s="18">
        <v>3.63</v>
      </c>
      <c r="L105" s="18">
        <v>127</v>
      </c>
      <c r="M105" s="18" t="s">
        <v>50</v>
      </c>
      <c r="N105" s="18" t="s">
        <v>51</v>
      </c>
      <c r="O105" s="18" t="s">
        <v>564</v>
      </c>
      <c r="P105" s="18" t="s">
        <v>89</v>
      </c>
      <c r="Q105" s="18" t="s">
        <v>54</v>
      </c>
      <c r="R105" s="18" t="s">
        <v>46</v>
      </c>
      <c r="S105" s="19" t="s">
        <v>90</v>
      </c>
      <c r="T105" s="18" t="s">
        <v>91</v>
      </c>
      <c r="U105" s="18" t="s">
        <v>57</v>
      </c>
      <c r="V105" s="18">
        <v>0</v>
      </c>
      <c r="W105" s="18" t="s">
        <v>58</v>
      </c>
      <c r="X105" s="18" t="s">
        <v>59</v>
      </c>
      <c r="Y105" s="19" t="s">
        <v>60</v>
      </c>
      <c r="Z105" s="19" t="s">
        <v>60</v>
      </c>
      <c r="AA105" s="18" t="s">
        <v>92</v>
      </c>
      <c r="AB105" s="18"/>
      <c r="AJ105" t="s">
        <v>786</v>
      </c>
      <c r="AK105" s="20" t="s">
        <v>63</v>
      </c>
      <c r="AL105" s="20" t="s">
        <v>63</v>
      </c>
      <c r="AM105" s="21" t="s">
        <v>64</v>
      </c>
      <c r="AN105" s="21" t="s">
        <v>64</v>
      </c>
    </row>
    <row r="106" spans="1:40" ht="21.75" customHeight="1" x14ac:dyDescent="0.25">
      <c r="A106" s="30" t="s">
        <v>900</v>
      </c>
      <c r="B106" s="31" t="s">
        <v>901</v>
      </c>
      <c r="C106" s="30" t="s">
        <v>67</v>
      </c>
      <c r="D106" s="30" t="s">
        <v>902</v>
      </c>
      <c r="E106" s="30" t="s">
        <v>903</v>
      </c>
      <c r="F106" s="30" t="s">
        <v>251</v>
      </c>
      <c r="G106" s="30" t="s">
        <v>791</v>
      </c>
      <c r="H106" s="31" t="s">
        <v>252</v>
      </c>
      <c r="I106" s="30" t="s">
        <v>793</v>
      </c>
      <c r="J106" s="30" t="s">
        <v>49</v>
      </c>
      <c r="K106" s="30">
        <v>2.85</v>
      </c>
      <c r="L106" s="30">
        <v>89</v>
      </c>
      <c r="M106" s="30" t="s">
        <v>158</v>
      </c>
      <c r="N106" s="30" t="s">
        <v>51</v>
      </c>
      <c r="O106" s="30" t="s">
        <v>52</v>
      </c>
      <c r="P106" s="30" t="s">
        <v>53</v>
      </c>
      <c r="Q106" s="30" t="s">
        <v>54</v>
      </c>
      <c r="R106" s="30" t="s">
        <v>791</v>
      </c>
      <c r="S106" s="31" t="s">
        <v>159</v>
      </c>
      <c r="T106" s="30" t="s">
        <v>56</v>
      </c>
      <c r="U106" s="30" t="s">
        <v>160</v>
      </c>
      <c r="V106" s="30">
        <v>0</v>
      </c>
      <c r="W106" s="30" t="s">
        <v>58</v>
      </c>
      <c r="X106" s="30" t="s">
        <v>59</v>
      </c>
      <c r="Y106" s="31" t="s">
        <v>60</v>
      </c>
      <c r="Z106" s="31" t="s">
        <v>60</v>
      </c>
      <c r="AA106" s="30" t="s">
        <v>61</v>
      </c>
      <c r="AB106" s="30"/>
      <c r="AJ106" t="s">
        <v>786</v>
      </c>
      <c r="AK106" s="32" t="s">
        <v>63</v>
      </c>
      <c r="AL106" s="32" t="s">
        <v>63</v>
      </c>
      <c r="AM106" s="33" t="s">
        <v>64</v>
      </c>
      <c r="AN106" s="33" t="s">
        <v>64</v>
      </c>
    </row>
    <row r="107" spans="1:40" ht="32.25" customHeight="1" x14ac:dyDescent="0.25">
      <c r="A107" s="18" t="s">
        <v>904</v>
      </c>
      <c r="B107" s="19" t="s">
        <v>905</v>
      </c>
      <c r="C107" s="18" t="s">
        <v>42</v>
      </c>
      <c r="D107" s="18" t="s">
        <v>906</v>
      </c>
      <c r="E107" s="18" t="s">
        <v>907</v>
      </c>
      <c r="F107" s="18" t="s">
        <v>257</v>
      </c>
      <c r="G107" s="18" t="s">
        <v>46</v>
      </c>
      <c r="H107" s="19" t="s">
        <v>908</v>
      </c>
      <c r="I107" s="18" t="s">
        <v>819</v>
      </c>
      <c r="J107" s="18" t="s">
        <v>74</v>
      </c>
      <c r="K107" s="18">
        <v>3.41</v>
      </c>
      <c r="L107" s="18">
        <v>68</v>
      </c>
      <c r="M107" s="18" t="s">
        <v>50</v>
      </c>
      <c r="N107" s="18" t="s">
        <v>51</v>
      </c>
      <c r="O107" s="18" t="s">
        <v>141</v>
      </c>
      <c r="P107" s="18" t="s">
        <v>76</v>
      </c>
      <c r="Q107" s="18" t="s">
        <v>54</v>
      </c>
      <c r="R107" s="18" t="s">
        <v>46</v>
      </c>
      <c r="S107" s="19" t="s">
        <v>77</v>
      </c>
      <c r="T107" s="18" t="s">
        <v>78</v>
      </c>
      <c r="U107" s="18" t="s">
        <v>57</v>
      </c>
      <c r="V107" s="18">
        <v>0</v>
      </c>
      <c r="W107" s="18" t="s">
        <v>58</v>
      </c>
      <c r="X107" s="18" t="s">
        <v>59</v>
      </c>
      <c r="Y107" s="19" t="s">
        <v>60</v>
      </c>
      <c r="Z107" s="19" t="s">
        <v>60</v>
      </c>
      <c r="AA107" s="18" t="s">
        <v>61</v>
      </c>
      <c r="AB107" s="18"/>
      <c r="AJ107" t="s">
        <v>786</v>
      </c>
      <c r="AK107" s="20" t="s">
        <v>63</v>
      </c>
      <c r="AL107" s="20" t="s">
        <v>63</v>
      </c>
      <c r="AM107" s="21" t="s">
        <v>64</v>
      </c>
      <c r="AN107" s="21" t="s">
        <v>64</v>
      </c>
    </row>
    <row r="108" spans="1:40" ht="32.25" customHeight="1" x14ac:dyDescent="0.25">
      <c r="A108" s="18" t="s">
        <v>909</v>
      </c>
      <c r="B108" s="19" t="s">
        <v>910</v>
      </c>
      <c r="C108" s="18" t="s">
        <v>67</v>
      </c>
      <c r="D108" s="18" t="s">
        <v>911</v>
      </c>
      <c r="E108" s="18" t="s">
        <v>912</v>
      </c>
      <c r="F108" s="18" t="s">
        <v>262</v>
      </c>
      <c r="G108" s="18" t="s">
        <v>71</v>
      </c>
      <c r="H108" s="19" t="s">
        <v>837</v>
      </c>
      <c r="I108" s="18" t="s">
        <v>800</v>
      </c>
      <c r="J108" s="18" t="s">
        <v>118</v>
      </c>
      <c r="K108" s="18">
        <v>3.56</v>
      </c>
      <c r="L108" s="18">
        <v>34</v>
      </c>
      <c r="M108" s="18" t="s">
        <v>50</v>
      </c>
      <c r="N108" s="18" t="s">
        <v>51</v>
      </c>
      <c r="O108" s="18" t="s">
        <v>519</v>
      </c>
      <c r="P108" s="18" t="s">
        <v>121</v>
      </c>
      <c r="Q108" s="18" t="s">
        <v>54</v>
      </c>
      <c r="R108" s="18" t="s">
        <v>71</v>
      </c>
      <c r="S108" s="19" t="s">
        <v>167</v>
      </c>
      <c r="T108" s="18" t="s">
        <v>123</v>
      </c>
      <c r="U108" s="18" t="s">
        <v>57</v>
      </c>
      <c r="V108" s="18">
        <v>0</v>
      </c>
      <c r="W108" s="18" t="s">
        <v>58</v>
      </c>
      <c r="X108" s="18" t="s">
        <v>59</v>
      </c>
      <c r="Y108" s="19" t="s">
        <v>60</v>
      </c>
      <c r="Z108" s="19" t="s">
        <v>60</v>
      </c>
      <c r="AA108" s="18" t="s">
        <v>61</v>
      </c>
      <c r="AB108" s="18"/>
      <c r="AJ108" t="s">
        <v>786</v>
      </c>
      <c r="AK108" s="20" t="s">
        <v>63</v>
      </c>
      <c r="AL108" s="20" t="s">
        <v>63</v>
      </c>
      <c r="AM108" s="21" t="s">
        <v>64</v>
      </c>
      <c r="AN108" s="21" t="s">
        <v>64</v>
      </c>
    </row>
    <row r="109" spans="1:40" ht="15" customHeight="1" x14ac:dyDescent="0.25">
      <c r="A109" s="18" t="s">
        <v>913</v>
      </c>
      <c r="B109" s="19" t="s">
        <v>914</v>
      </c>
      <c r="C109" s="18" t="s">
        <v>42</v>
      </c>
      <c r="D109" s="18" t="s">
        <v>915</v>
      </c>
      <c r="E109" s="18" t="s">
        <v>916</v>
      </c>
      <c r="F109" s="18" t="s">
        <v>917</v>
      </c>
      <c r="G109" s="18" t="s">
        <v>918</v>
      </c>
      <c r="H109" s="19" t="s">
        <v>919</v>
      </c>
      <c r="I109" s="18" t="s">
        <v>134</v>
      </c>
      <c r="J109" s="18" t="s">
        <v>74</v>
      </c>
      <c r="K109" s="18">
        <v>3.66</v>
      </c>
      <c r="L109" s="18">
        <v>48</v>
      </c>
      <c r="M109" s="18" t="s">
        <v>50</v>
      </c>
      <c r="N109" s="18" t="s">
        <v>51</v>
      </c>
      <c r="O109" s="18" t="s">
        <v>558</v>
      </c>
      <c r="P109" s="18" t="s">
        <v>89</v>
      </c>
      <c r="Q109" s="18" t="s">
        <v>272</v>
      </c>
      <c r="R109" s="18" t="s">
        <v>920</v>
      </c>
      <c r="S109" s="19" t="s">
        <v>274</v>
      </c>
      <c r="T109" s="18" t="s">
        <v>78</v>
      </c>
      <c r="U109" s="18" t="s">
        <v>57</v>
      </c>
      <c r="V109" s="18">
        <v>0</v>
      </c>
      <c r="W109" s="18" t="s">
        <v>58</v>
      </c>
      <c r="X109" s="18" t="s">
        <v>59</v>
      </c>
      <c r="Y109" s="19" t="s">
        <v>60</v>
      </c>
      <c r="Z109" s="19" t="s">
        <v>60</v>
      </c>
      <c r="AA109" s="18" t="s">
        <v>92</v>
      </c>
      <c r="AB109" s="18"/>
      <c r="AC109" t="s">
        <v>921</v>
      </c>
      <c r="AD109" t="s">
        <v>60</v>
      </c>
      <c r="AE109" t="s">
        <v>922</v>
      </c>
      <c r="AF109" t="s">
        <v>89</v>
      </c>
      <c r="AG109" t="s">
        <v>327</v>
      </c>
      <c r="AH109" t="s">
        <v>279</v>
      </c>
      <c r="AI109" t="s">
        <v>280</v>
      </c>
      <c r="AJ109" t="s">
        <v>786</v>
      </c>
      <c r="AK109" s="20" t="s">
        <v>63</v>
      </c>
      <c r="AL109" s="20" t="s">
        <v>63</v>
      </c>
      <c r="AM109" s="21" t="s">
        <v>64</v>
      </c>
      <c r="AN109" s="21" t="s">
        <v>64</v>
      </c>
    </row>
    <row r="110" spans="1:40" ht="21.75" customHeight="1" x14ac:dyDescent="0.25">
      <c r="A110" s="18" t="s">
        <v>923</v>
      </c>
      <c r="B110" s="19" t="s">
        <v>924</v>
      </c>
      <c r="C110" s="18" t="s">
        <v>67</v>
      </c>
      <c r="D110" s="18" t="s">
        <v>925</v>
      </c>
      <c r="E110" s="18" t="s">
        <v>926</v>
      </c>
      <c r="F110" s="18" t="s">
        <v>927</v>
      </c>
      <c r="G110" s="18" t="s">
        <v>286</v>
      </c>
      <c r="H110" s="19" t="s">
        <v>792</v>
      </c>
      <c r="I110" s="18" t="s">
        <v>793</v>
      </c>
      <c r="J110" s="18" t="s">
        <v>118</v>
      </c>
      <c r="K110" s="18">
        <v>3.29</v>
      </c>
      <c r="L110" s="18">
        <v>24</v>
      </c>
      <c r="M110" s="18" t="s">
        <v>50</v>
      </c>
      <c r="N110" s="18" t="s">
        <v>51</v>
      </c>
      <c r="O110" s="18" t="s">
        <v>120</v>
      </c>
      <c r="P110" s="18" t="s">
        <v>53</v>
      </c>
      <c r="Q110" s="18" t="s">
        <v>272</v>
      </c>
      <c r="R110" s="18" t="s">
        <v>289</v>
      </c>
      <c r="S110" s="19" t="s">
        <v>290</v>
      </c>
      <c r="T110" s="18" t="s">
        <v>123</v>
      </c>
      <c r="U110" s="18" t="s">
        <v>57</v>
      </c>
      <c r="V110" s="18">
        <v>0</v>
      </c>
      <c r="W110" s="18" t="s">
        <v>58</v>
      </c>
      <c r="X110" s="18" t="s">
        <v>59</v>
      </c>
      <c r="Y110" s="19" t="s">
        <v>60</v>
      </c>
      <c r="Z110" s="19" t="s">
        <v>60</v>
      </c>
      <c r="AA110" s="18" t="s">
        <v>61</v>
      </c>
      <c r="AB110" s="18"/>
      <c r="AC110" t="s">
        <v>928</v>
      </c>
      <c r="AD110" t="s">
        <v>60</v>
      </c>
      <c r="AE110" t="s">
        <v>929</v>
      </c>
      <c r="AF110" t="s">
        <v>53</v>
      </c>
      <c r="AG110" t="s">
        <v>293</v>
      </c>
      <c r="AH110" t="s">
        <v>294</v>
      </c>
      <c r="AI110" t="s">
        <v>295</v>
      </c>
      <c r="AJ110" t="s">
        <v>786</v>
      </c>
      <c r="AK110" s="20" t="s">
        <v>63</v>
      </c>
      <c r="AL110" s="20" t="s">
        <v>63</v>
      </c>
      <c r="AM110" s="21" t="s">
        <v>64</v>
      </c>
      <c r="AN110" s="21" t="s">
        <v>64</v>
      </c>
    </row>
    <row r="111" spans="1:40" ht="32.25" customHeight="1" x14ac:dyDescent="0.25">
      <c r="A111" s="22" t="s">
        <v>930</v>
      </c>
      <c r="B111" s="23" t="s">
        <v>931</v>
      </c>
      <c r="C111" s="22" t="s">
        <v>42</v>
      </c>
      <c r="D111" s="22" t="s">
        <v>932</v>
      </c>
      <c r="E111" s="22" t="s">
        <v>933</v>
      </c>
      <c r="F111" s="22" t="s">
        <v>300</v>
      </c>
      <c r="G111" s="22" t="s">
        <v>301</v>
      </c>
      <c r="H111" s="23" t="s">
        <v>837</v>
      </c>
      <c r="I111" s="22" t="s">
        <v>800</v>
      </c>
      <c r="J111" s="22" t="s">
        <v>74</v>
      </c>
      <c r="K111" s="22">
        <v>3.57</v>
      </c>
      <c r="L111" s="22">
        <v>52</v>
      </c>
      <c r="M111" s="22" t="s">
        <v>103</v>
      </c>
      <c r="N111" s="22" t="s">
        <v>51</v>
      </c>
      <c r="O111" s="22" t="s">
        <v>75</v>
      </c>
      <c r="P111" s="22"/>
      <c r="Q111" s="22" t="s">
        <v>272</v>
      </c>
      <c r="R111" s="22" t="s">
        <v>302</v>
      </c>
      <c r="S111" s="23" t="s">
        <v>303</v>
      </c>
      <c r="T111" s="22" t="s">
        <v>107</v>
      </c>
      <c r="U111" s="22" t="s">
        <v>108</v>
      </c>
      <c r="V111" s="22">
        <v>0</v>
      </c>
      <c r="W111" s="22" t="s">
        <v>108</v>
      </c>
      <c r="X111" s="22" t="s">
        <v>304</v>
      </c>
      <c r="Y111" s="23" t="s">
        <v>60</v>
      </c>
      <c r="Z111" s="23" t="s">
        <v>60</v>
      </c>
      <c r="AA111" s="22" t="s">
        <v>109</v>
      </c>
      <c r="AB111" s="22" t="s">
        <v>110</v>
      </c>
      <c r="AC111" t="s">
        <v>934</v>
      </c>
      <c r="AD111" t="s">
        <v>60</v>
      </c>
      <c r="AE111" t="s">
        <v>935</v>
      </c>
      <c r="AF111" t="s">
        <v>89</v>
      </c>
      <c r="AG111" t="s">
        <v>327</v>
      </c>
      <c r="AH111" t="s">
        <v>307</v>
      </c>
      <c r="AI111" t="s">
        <v>936</v>
      </c>
      <c r="AJ111" t="s">
        <v>786</v>
      </c>
      <c r="AK111" s="24" t="s">
        <v>63</v>
      </c>
      <c r="AL111" s="24" t="s">
        <v>63</v>
      </c>
      <c r="AM111" s="25" t="s">
        <v>64</v>
      </c>
      <c r="AN111" s="25" t="s">
        <v>64</v>
      </c>
    </row>
    <row r="112" spans="1:40" ht="21.75" customHeight="1" x14ac:dyDescent="0.25">
      <c r="A112" s="26" t="s">
        <v>937</v>
      </c>
      <c r="B112" s="27" t="s">
        <v>938</v>
      </c>
      <c r="C112" s="26" t="s">
        <v>67</v>
      </c>
      <c r="D112" s="26" t="s">
        <v>939</v>
      </c>
      <c r="E112" s="26" t="s">
        <v>940</v>
      </c>
      <c r="F112" s="26" t="s">
        <v>941</v>
      </c>
      <c r="G112" s="26" t="s">
        <v>269</v>
      </c>
      <c r="H112" s="27" t="s">
        <v>47</v>
      </c>
      <c r="I112" s="26" t="s">
        <v>808</v>
      </c>
      <c r="J112" s="26" t="s">
        <v>118</v>
      </c>
      <c r="K112" s="26">
        <v>2.69</v>
      </c>
      <c r="L112" s="26">
        <v>20</v>
      </c>
      <c r="M112" s="26" t="s">
        <v>119</v>
      </c>
      <c r="N112" s="26" t="s">
        <v>51</v>
      </c>
      <c r="O112" s="26" t="s">
        <v>666</v>
      </c>
      <c r="P112" s="26" t="s">
        <v>53</v>
      </c>
      <c r="Q112" s="26" t="s">
        <v>272</v>
      </c>
      <c r="R112" s="26" t="s">
        <v>273</v>
      </c>
      <c r="S112" s="27" t="s">
        <v>122</v>
      </c>
      <c r="T112" s="26" t="s">
        <v>123</v>
      </c>
      <c r="U112" s="26" t="s">
        <v>124</v>
      </c>
      <c r="V112" s="26">
        <v>35000</v>
      </c>
      <c r="W112" s="26" t="s">
        <v>119</v>
      </c>
      <c r="X112" s="26" t="s">
        <v>125</v>
      </c>
      <c r="Y112" s="27" t="s">
        <v>60</v>
      </c>
      <c r="Z112" s="27" t="s">
        <v>60</v>
      </c>
      <c r="AA112" s="26" t="s">
        <v>126</v>
      </c>
      <c r="AB112" s="26"/>
      <c r="AC112" t="s">
        <v>942</v>
      </c>
      <c r="AD112" t="s">
        <v>60</v>
      </c>
      <c r="AE112" t="s">
        <v>943</v>
      </c>
      <c r="AF112" t="s">
        <v>53</v>
      </c>
      <c r="AG112" t="s">
        <v>316</v>
      </c>
      <c r="AH112" t="s">
        <v>944</v>
      </c>
      <c r="AI112" t="s">
        <v>318</v>
      </c>
      <c r="AJ112" t="s">
        <v>786</v>
      </c>
      <c r="AK112" s="28" t="s">
        <v>63</v>
      </c>
      <c r="AL112" s="28" t="s">
        <v>63</v>
      </c>
      <c r="AM112" s="29" t="s">
        <v>64</v>
      </c>
      <c r="AN112" s="29" t="s">
        <v>64</v>
      </c>
    </row>
    <row r="113" spans="1:40" ht="32.25" customHeight="1" x14ac:dyDescent="0.25">
      <c r="A113" s="18" t="s">
        <v>945</v>
      </c>
      <c r="B113" s="19" t="s">
        <v>946</v>
      </c>
      <c r="C113" s="18" t="s">
        <v>42</v>
      </c>
      <c r="D113" s="18" t="s">
        <v>947</v>
      </c>
      <c r="E113" s="18" t="s">
        <v>948</v>
      </c>
      <c r="F113" s="18" t="s">
        <v>323</v>
      </c>
      <c r="G113" s="18" t="s">
        <v>269</v>
      </c>
      <c r="H113" s="19" t="s">
        <v>908</v>
      </c>
      <c r="I113" s="18" t="s">
        <v>819</v>
      </c>
      <c r="J113" s="18" t="s">
        <v>74</v>
      </c>
      <c r="K113" s="18">
        <v>3.48</v>
      </c>
      <c r="L113" s="18">
        <v>48</v>
      </c>
      <c r="M113" s="18" t="s">
        <v>50</v>
      </c>
      <c r="N113" s="18" t="s">
        <v>51</v>
      </c>
      <c r="O113" s="18" t="s">
        <v>675</v>
      </c>
      <c r="P113" s="18" t="s">
        <v>89</v>
      </c>
      <c r="Q113" s="18" t="s">
        <v>272</v>
      </c>
      <c r="R113" s="18" t="s">
        <v>273</v>
      </c>
      <c r="S113" s="19" t="s">
        <v>274</v>
      </c>
      <c r="T113" s="18" t="s">
        <v>78</v>
      </c>
      <c r="U113" s="18" t="s">
        <v>57</v>
      </c>
      <c r="V113" s="18">
        <v>0</v>
      </c>
      <c r="W113" s="18" t="s">
        <v>58</v>
      </c>
      <c r="X113" s="18" t="s">
        <v>59</v>
      </c>
      <c r="Y113" s="19" t="s">
        <v>60</v>
      </c>
      <c r="Z113" s="19" t="s">
        <v>60</v>
      </c>
      <c r="AA113" s="18" t="s">
        <v>92</v>
      </c>
      <c r="AB113" s="18"/>
      <c r="AC113" t="s">
        <v>949</v>
      </c>
      <c r="AD113" t="s">
        <v>950</v>
      </c>
      <c r="AE113" t="s">
        <v>951</v>
      </c>
      <c r="AF113" t="s">
        <v>89</v>
      </c>
      <c r="AG113" t="s">
        <v>327</v>
      </c>
      <c r="AH113" t="s">
        <v>279</v>
      </c>
      <c r="AI113" t="s">
        <v>280</v>
      </c>
      <c r="AJ113" t="s">
        <v>786</v>
      </c>
      <c r="AK113" s="20" t="s">
        <v>63</v>
      </c>
      <c r="AL113" s="20" t="s">
        <v>63</v>
      </c>
      <c r="AM113" s="21" t="s">
        <v>64</v>
      </c>
      <c r="AN113" s="21" t="s">
        <v>64</v>
      </c>
    </row>
    <row r="114" spans="1:40" ht="21.75" customHeight="1" x14ac:dyDescent="0.25">
      <c r="A114" s="18" t="s">
        <v>952</v>
      </c>
      <c r="B114" s="19" t="s">
        <v>953</v>
      </c>
      <c r="C114" s="18" t="s">
        <v>67</v>
      </c>
      <c r="D114" s="18" t="s">
        <v>954</v>
      </c>
      <c r="E114" s="18" t="s">
        <v>955</v>
      </c>
      <c r="F114" s="18" t="s">
        <v>956</v>
      </c>
      <c r="G114" s="18" t="s">
        <v>286</v>
      </c>
      <c r="H114" s="19" t="s">
        <v>333</v>
      </c>
      <c r="I114" s="18" t="s">
        <v>793</v>
      </c>
      <c r="J114" s="18" t="s">
        <v>118</v>
      </c>
      <c r="K114" s="18">
        <v>3.18</v>
      </c>
      <c r="L114" s="18">
        <v>24</v>
      </c>
      <c r="M114" s="18" t="s">
        <v>50</v>
      </c>
      <c r="N114" s="18" t="s">
        <v>51</v>
      </c>
      <c r="O114" s="18" t="s">
        <v>683</v>
      </c>
      <c r="P114" s="18" t="s">
        <v>53</v>
      </c>
      <c r="Q114" s="18" t="s">
        <v>272</v>
      </c>
      <c r="R114" s="18" t="s">
        <v>289</v>
      </c>
      <c r="S114" s="19" t="s">
        <v>290</v>
      </c>
      <c r="T114" s="18" t="s">
        <v>123</v>
      </c>
      <c r="U114" s="18" t="s">
        <v>57</v>
      </c>
      <c r="V114" s="18">
        <v>0</v>
      </c>
      <c r="W114" s="18" t="s">
        <v>58</v>
      </c>
      <c r="X114" s="18" t="s">
        <v>59</v>
      </c>
      <c r="Y114" s="19" t="s">
        <v>60</v>
      </c>
      <c r="Z114" s="19" t="s">
        <v>60</v>
      </c>
      <c r="AA114" s="18" t="s">
        <v>61</v>
      </c>
      <c r="AB114" s="18"/>
      <c r="AC114" t="s">
        <v>928</v>
      </c>
      <c r="AD114" t="s">
        <v>60</v>
      </c>
      <c r="AE114" t="s">
        <v>957</v>
      </c>
      <c r="AF114" t="s">
        <v>53</v>
      </c>
      <c r="AG114" t="s">
        <v>293</v>
      </c>
      <c r="AH114" t="s">
        <v>294</v>
      </c>
      <c r="AI114" t="s">
        <v>295</v>
      </c>
      <c r="AJ114" t="s">
        <v>786</v>
      </c>
      <c r="AK114" s="20" t="s">
        <v>63</v>
      </c>
      <c r="AL114" s="20" t="s">
        <v>63</v>
      </c>
      <c r="AM114" s="21" t="s">
        <v>64</v>
      </c>
      <c r="AN114" s="21" t="s">
        <v>64</v>
      </c>
    </row>
    <row r="115" spans="1:40" ht="32.25" customHeight="1" x14ac:dyDescent="0.25">
      <c r="A115" s="18" t="s">
        <v>958</v>
      </c>
      <c r="B115" s="19" t="s">
        <v>959</v>
      </c>
      <c r="C115" s="18" t="s">
        <v>42</v>
      </c>
      <c r="D115" s="18" t="s">
        <v>960</v>
      </c>
      <c r="E115" s="18" t="s">
        <v>961</v>
      </c>
      <c r="F115" s="18" t="s">
        <v>341</v>
      </c>
      <c r="G115" s="18" t="s">
        <v>269</v>
      </c>
      <c r="H115" s="19" t="s">
        <v>173</v>
      </c>
      <c r="I115" s="18" t="s">
        <v>819</v>
      </c>
      <c r="J115" s="18" t="s">
        <v>49</v>
      </c>
      <c r="K115" s="18">
        <v>3.79</v>
      </c>
      <c r="L115" s="18">
        <v>36</v>
      </c>
      <c r="M115" s="18" t="s">
        <v>50</v>
      </c>
      <c r="N115" s="18" t="s">
        <v>51</v>
      </c>
      <c r="O115" s="18" t="s">
        <v>483</v>
      </c>
      <c r="P115" s="18" t="s">
        <v>89</v>
      </c>
      <c r="Q115" s="18" t="s">
        <v>272</v>
      </c>
      <c r="R115" s="18" t="s">
        <v>342</v>
      </c>
      <c r="S115" s="19" t="s">
        <v>344</v>
      </c>
      <c r="T115" s="18" t="s">
        <v>345</v>
      </c>
      <c r="U115" s="18" t="s">
        <v>57</v>
      </c>
      <c r="V115" s="18">
        <v>0</v>
      </c>
      <c r="W115" s="18" t="s">
        <v>58</v>
      </c>
      <c r="X115" s="18" t="s">
        <v>59</v>
      </c>
      <c r="Y115" s="19" t="s">
        <v>962</v>
      </c>
      <c r="Z115" s="19" t="s">
        <v>347</v>
      </c>
      <c r="AA115" s="18" t="s">
        <v>61</v>
      </c>
      <c r="AB115" s="18"/>
      <c r="AC115" t="s">
        <v>949</v>
      </c>
      <c r="AD115" t="s">
        <v>963</v>
      </c>
      <c r="AE115" t="s">
        <v>964</v>
      </c>
      <c r="AF115" t="s">
        <v>89</v>
      </c>
      <c r="AG115" t="s">
        <v>694</v>
      </c>
      <c r="AH115" t="s">
        <v>695</v>
      </c>
      <c r="AI115" t="s">
        <v>965</v>
      </c>
      <c r="AJ115" t="s">
        <v>786</v>
      </c>
      <c r="AK115" s="20" t="s">
        <v>63</v>
      </c>
      <c r="AL115" s="20" t="s">
        <v>63</v>
      </c>
      <c r="AM115" s="21" t="s">
        <v>64</v>
      </c>
      <c r="AN115" s="21" t="s">
        <v>64</v>
      </c>
    </row>
    <row r="116" spans="1:40" ht="21.75" customHeight="1" x14ac:dyDescent="0.25">
      <c r="A116" s="18" t="s">
        <v>966</v>
      </c>
      <c r="B116" s="19" t="s">
        <v>967</v>
      </c>
      <c r="C116" s="18" t="s">
        <v>67</v>
      </c>
      <c r="D116" s="18" t="s">
        <v>968</v>
      </c>
      <c r="E116" s="18" t="s">
        <v>969</v>
      </c>
      <c r="F116" s="18" t="s">
        <v>970</v>
      </c>
      <c r="G116" s="18" t="s">
        <v>269</v>
      </c>
      <c r="H116" s="19" t="s">
        <v>47</v>
      </c>
      <c r="I116" s="18" t="s">
        <v>808</v>
      </c>
      <c r="J116" s="18" t="s">
        <v>74</v>
      </c>
      <c r="K116" s="18">
        <v>3.44</v>
      </c>
      <c r="L116" s="18">
        <v>24</v>
      </c>
      <c r="M116" s="18" t="s">
        <v>50</v>
      </c>
      <c r="N116" s="18" t="s">
        <v>51</v>
      </c>
      <c r="O116" s="18" t="s">
        <v>493</v>
      </c>
      <c r="P116" s="18" t="s">
        <v>53</v>
      </c>
      <c r="Q116" s="18" t="s">
        <v>272</v>
      </c>
      <c r="R116" s="18" t="s">
        <v>342</v>
      </c>
      <c r="S116" s="19" t="s">
        <v>360</v>
      </c>
      <c r="T116" s="18" t="s">
        <v>361</v>
      </c>
      <c r="U116" s="18" t="s">
        <v>57</v>
      </c>
      <c r="V116" s="18">
        <v>0</v>
      </c>
      <c r="W116" s="18" t="s">
        <v>58</v>
      </c>
      <c r="X116" s="18" t="s">
        <v>59</v>
      </c>
      <c r="Y116" s="19" t="s">
        <v>971</v>
      </c>
      <c r="Z116" s="19" t="s">
        <v>363</v>
      </c>
      <c r="AA116" s="18" t="s">
        <v>61</v>
      </c>
      <c r="AB116" s="18"/>
      <c r="AC116" t="s">
        <v>942</v>
      </c>
      <c r="AD116" t="s">
        <v>972</v>
      </c>
      <c r="AE116" t="s">
        <v>973</v>
      </c>
      <c r="AF116" t="s">
        <v>53</v>
      </c>
      <c r="AG116" t="s">
        <v>395</v>
      </c>
      <c r="AH116" t="s">
        <v>706</v>
      </c>
      <c r="AI116" t="s">
        <v>974</v>
      </c>
      <c r="AJ116" t="s">
        <v>786</v>
      </c>
      <c r="AK116" s="20" t="s">
        <v>63</v>
      </c>
      <c r="AL116" s="20" t="s">
        <v>63</v>
      </c>
      <c r="AM116" s="21" t="s">
        <v>64</v>
      </c>
      <c r="AN116" s="21" t="s">
        <v>64</v>
      </c>
    </row>
    <row r="117" spans="1:40" ht="21.75" customHeight="1" x14ac:dyDescent="0.25">
      <c r="A117" s="18" t="s">
        <v>975</v>
      </c>
      <c r="B117" s="19" t="s">
        <v>976</v>
      </c>
      <c r="C117" s="18" t="s">
        <v>42</v>
      </c>
      <c r="D117" s="18" t="s">
        <v>977</v>
      </c>
      <c r="E117" s="18" t="s">
        <v>978</v>
      </c>
      <c r="F117" s="18" t="s">
        <v>374</v>
      </c>
      <c r="G117" s="18" t="s">
        <v>301</v>
      </c>
      <c r="H117" s="19" t="s">
        <v>133</v>
      </c>
      <c r="I117" s="18" t="s">
        <v>134</v>
      </c>
      <c r="J117" s="18" t="s">
        <v>49</v>
      </c>
      <c r="K117" s="18">
        <v>3.52</v>
      </c>
      <c r="L117" s="18">
        <v>36</v>
      </c>
      <c r="M117" s="18" t="s">
        <v>50</v>
      </c>
      <c r="N117" s="18" t="s">
        <v>51</v>
      </c>
      <c r="O117" s="18" t="s">
        <v>52</v>
      </c>
      <c r="P117" s="18" t="s">
        <v>89</v>
      </c>
      <c r="Q117" s="18" t="s">
        <v>272</v>
      </c>
      <c r="R117" s="18" t="s">
        <v>375</v>
      </c>
      <c r="S117" s="19" t="s">
        <v>344</v>
      </c>
      <c r="T117" s="18" t="s">
        <v>345</v>
      </c>
      <c r="U117" s="18" t="s">
        <v>57</v>
      </c>
      <c r="V117" s="18">
        <v>0</v>
      </c>
      <c r="W117" s="18" t="s">
        <v>58</v>
      </c>
      <c r="X117" s="18" t="s">
        <v>59</v>
      </c>
      <c r="Y117" s="19" t="s">
        <v>979</v>
      </c>
      <c r="Z117" s="19" t="s">
        <v>347</v>
      </c>
      <c r="AA117" s="18" t="s">
        <v>61</v>
      </c>
      <c r="AB117" s="18"/>
      <c r="AC117" t="s">
        <v>921</v>
      </c>
      <c r="AD117" t="s">
        <v>980</v>
      </c>
      <c r="AE117" t="s">
        <v>981</v>
      </c>
      <c r="AF117" t="s">
        <v>89</v>
      </c>
      <c r="AG117" t="s">
        <v>694</v>
      </c>
      <c r="AH117" t="s">
        <v>695</v>
      </c>
      <c r="AI117" t="s">
        <v>982</v>
      </c>
      <c r="AJ117" t="s">
        <v>786</v>
      </c>
      <c r="AK117" s="20" t="s">
        <v>63</v>
      </c>
      <c r="AL117" s="20" t="s">
        <v>63</v>
      </c>
      <c r="AM117" s="21" t="s">
        <v>64</v>
      </c>
      <c r="AN117" s="21" t="s">
        <v>64</v>
      </c>
    </row>
    <row r="118" spans="1:40" ht="32.25" customHeight="1" x14ac:dyDescent="0.25">
      <c r="A118" s="30" t="s">
        <v>983</v>
      </c>
      <c r="B118" s="31" t="s">
        <v>984</v>
      </c>
      <c r="C118" s="30" t="s">
        <v>67</v>
      </c>
      <c r="D118" s="30" t="s">
        <v>985</v>
      </c>
      <c r="E118" s="30" t="s">
        <v>986</v>
      </c>
      <c r="F118" s="30" t="s">
        <v>987</v>
      </c>
      <c r="G118" s="30" t="s">
        <v>269</v>
      </c>
      <c r="H118" s="31" t="s">
        <v>818</v>
      </c>
      <c r="I118" s="30" t="s">
        <v>819</v>
      </c>
      <c r="J118" s="30" t="s">
        <v>74</v>
      </c>
      <c r="K118" s="30">
        <v>3.21</v>
      </c>
      <c r="L118" s="30">
        <v>18</v>
      </c>
      <c r="M118" s="30" t="s">
        <v>158</v>
      </c>
      <c r="N118" s="30" t="s">
        <v>51</v>
      </c>
      <c r="O118" s="30" t="s">
        <v>141</v>
      </c>
      <c r="P118" s="30" t="s">
        <v>53</v>
      </c>
      <c r="Q118" s="30" t="s">
        <v>272</v>
      </c>
      <c r="R118" s="30" t="s">
        <v>342</v>
      </c>
      <c r="S118" s="31" t="s">
        <v>389</v>
      </c>
      <c r="T118" s="30" t="s">
        <v>361</v>
      </c>
      <c r="U118" s="30" t="s">
        <v>160</v>
      </c>
      <c r="V118" s="30">
        <v>0</v>
      </c>
      <c r="W118" s="30" t="s">
        <v>58</v>
      </c>
      <c r="X118" s="30" t="s">
        <v>59</v>
      </c>
      <c r="Y118" s="31" t="s">
        <v>988</v>
      </c>
      <c r="Z118" s="31" t="s">
        <v>363</v>
      </c>
      <c r="AA118" s="30" t="s">
        <v>61</v>
      </c>
      <c r="AB118" s="30"/>
      <c r="AC118" t="s">
        <v>949</v>
      </c>
      <c r="AD118" t="s">
        <v>60</v>
      </c>
      <c r="AE118" t="s">
        <v>989</v>
      </c>
      <c r="AF118" t="s">
        <v>53</v>
      </c>
      <c r="AG118" t="s">
        <v>395</v>
      </c>
      <c r="AH118" t="s">
        <v>724</v>
      </c>
      <c r="AI118" t="s">
        <v>397</v>
      </c>
      <c r="AJ118" t="s">
        <v>786</v>
      </c>
      <c r="AK118" s="32" t="s">
        <v>63</v>
      </c>
      <c r="AL118" s="32" t="s">
        <v>63</v>
      </c>
      <c r="AM118" s="33" t="s">
        <v>64</v>
      </c>
      <c r="AN118" s="33" t="s">
        <v>64</v>
      </c>
    </row>
    <row r="119" spans="1:40" ht="32.25" customHeight="1" x14ac:dyDescent="0.25">
      <c r="A119" s="22" t="s">
        <v>990</v>
      </c>
      <c r="B119" s="23" t="s">
        <v>991</v>
      </c>
      <c r="C119" s="22" t="s">
        <v>42</v>
      </c>
      <c r="D119" s="22" t="s">
        <v>992</v>
      </c>
      <c r="E119" s="22" t="s">
        <v>993</v>
      </c>
      <c r="F119" s="22" t="s">
        <v>402</v>
      </c>
      <c r="G119" s="22" t="s">
        <v>301</v>
      </c>
      <c r="H119" s="23" t="s">
        <v>837</v>
      </c>
      <c r="I119" s="22" t="s">
        <v>800</v>
      </c>
      <c r="J119" s="22" t="s">
        <v>86</v>
      </c>
      <c r="K119" s="22">
        <v>3.86</v>
      </c>
      <c r="L119" s="22">
        <v>48</v>
      </c>
      <c r="M119" s="22" t="s">
        <v>103</v>
      </c>
      <c r="N119" s="22" t="s">
        <v>51</v>
      </c>
      <c r="O119" s="22" t="s">
        <v>88</v>
      </c>
      <c r="P119" s="22"/>
      <c r="Q119" s="22" t="s">
        <v>272</v>
      </c>
      <c r="R119" s="22" t="s">
        <v>375</v>
      </c>
      <c r="S119" s="23" t="s">
        <v>404</v>
      </c>
      <c r="T119" s="22" t="s">
        <v>107</v>
      </c>
      <c r="U119" s="22" t="s">
        <v>108</v>
      </c>
      <c r="V119" s="22">
        <v>0</v>
      </c>
      <c r="W119" s="22" t="s">
        <v>108</v>
      </c>
      <c r="X119" s="22" t="s">
        <v>304</v>
      </c>
      <c r="Y119" s="23" t="s">
        <v>994</v>
      </c>
      <c r="Z119" s="23" t="s">
        <v>406</v>
      </c>
      <c r="AA119" s="22" t="s">
        <v>109</v>
      </c>
      <c r="AB119" s="22" t="s">
        <v>110</v>
      </c>
      <c r="AC119" t="s">
        <v>934</v>
      </c>
      <c r="AD119" t="s">
        <v>972</v>
      </c>
      <c r="AE119" t="s">
        <v>995</v>
      </c>
      <c r="AF119" t="s">
        <v>732</v>
      </c>
      <c r="AG119" t="s">
        <v>410</v>
      </c>
      <c r="AH119" t="s">
        <v>307</v>
      </c>
      <c r="AI119" t="s">
        <v>996</v>
      </c>
      <c r="AJ119" t="s">
        <v>786</v>
      </c>
      <c r="AK119" s="24" t="s">
        <v>63</v>
      </c>
      <c r="AL119" s="24" t="s">
        <v>63</v>
      </c>
      <c r="AM119" s="25" t="s">
        <v>64</v>
      </c>
      <c r="AN119" s="25" t="s">
        <v>64</v>
      </c>
    </row>
    <row r="120" spans="1:40" ht="21.75" customHeight="1" x14ac:dyDescent="0.25">
      <c r="A120" s="18" t="s">
        <v>997</v>
      </c>
      <c r="B120" s="19" t="s">
        <v>998</v>
      </c>
      <c r="C120" s="18" t="s">
        <v>67</v>
      </c>
      <c r="D120" s="18" t="s">
        <v>999</v>
      </c>
      <c r="E120" s="18" t="s">
        <v>1000</v>
      </c>
      <c r="F120" s="18" t="s">
        <v>416</v>
      </c>
      <c r="G120" s="18" t="s">
        <v>269</v>
      </c>
      <c r="H120" s="19" t="s">
        <v>47</v>
      </c>
      <c r="I120" s="18" t="s">
        <v>808</v>
      </c>
      <c r="J120" s="18" t="s">
        <v>118</v>
      </c>
      <c r="K120" s="18">
        <v>3.39</v>
      </c>
      <c r="L120" s="18">
        <v>12</v>
      </c>
      <c r="M120" s="18" t="s">
        <v>50</v>
      </c>
      <c r="N120" s="18" t="s">
        <v>51</v>
      </c>
      <c r="O120" s="18" t="s">
        <v>683</v>
      </c>
      <c r="P120" s="18" t="s">
        <v>76</v>
      </c>
      <c r="Q120" s="18" t="s">
        <v>272</v>
      </c>
      <c r="R120" s="18" t="s">
        <v>342</v>
      </c>
      <c r="S120" s="19" t="s">
        <v>417</v>
      </c>
      <c r="T120" s="18" t="s">
        <v>418</v>
      </c>
      <c r="U120" s="18" t="s">
        <v>57</v>
      </c>
      <c r="V120" s="18">
        <v>0</v>
      </c>
      <c r="W120" s="18" t="s">
        <v>58</v>
      </c>
      <c r="X120" s="18" t="s">
        <v>59</v>
      </c>
      <c r="Y120" s="19" t="s">
        <v>1001</v>
      </c>
      <c r="Z120" s="19" t="s">
        <v>420</v>
      </c>
      <c r="AA120" s="18" t="s">
        <v>61</v>
      </c>
      <c r="AB120" s="18"/>
      <c r="AC120" t="s">
        <v>942</v>
      </c>
      <c r="AD120" t="s">
        <v>60</v>
      </c>
      <c r="AE120" t="s">
        <v>1002</v>
      </c>
      <c r="AF120" t="s">
        <v>76</v>
      </c>
      <c r="AG120" t="s">
        <v>422</v>
      </c>
      <c r="AH120" t="s">
        <v>740</v>
      </c>
      <c r="AI120" t="s">
        <v>741</v>
      </c>
      <c r="AJ120" t="s">
        <v>786</v>
      </c>
      <c r="AK120" s="20" t="s">
        <v>63</v>
      </c>
      <c r="AL120" s="20" t="s">
        <v>63</v>
      </c>
      <c r="AM120" s="21" t="s">
        <v>64</v>
      </c>
      <c r="AN120" s="21" t="s">
        <v>64</v>
      </c>
    </row>
    <row r="121" spans="1:40" ht="21.75" customHeight="1" x14ac:dyDescent="0.25">
      <c r="A121" s="18" t="s">
        <v>1003</v>
      </c>
      <c r="B121" s="19" t="s">
        <v>1004</v>
      </c>
      <c r="C121" s="18" t="s">
        <v>42</v>
      </c>
      <c r="D121" s="18" t="s">
        <v>1005</v>
      </c>
      <c r="E121" s="18" t="s">
        <v>1006</v>
      </c>
      <c r="F121" s="18" t="s">
        <v>1007</v>
      </c>
      <c r="G121" s="18" t="s">
        <v>429</v>
      </c>
      <c r="H121" s="19" t="s">
        <v>133</v>
      </c>
      <c r="I121" s="18" t="s">
        <v>134</v>
      </c>
      <c r="J121" s="18" t="s">
        <v>49</v>
      </c>
      <c r="K121" s="18">
        <v>3.69</v>
      </c>
      <c r="L121" s="18">
        <v>36</v>
      </c>
      <c r="M121" s="18" t="s">
        <v>50</v>
      </c>
      <c r="N121" s="18" t="s">
        <v>51</v>
      </c>
      <c r="O121" s="18" t="s">
        <v>483</v>
      </c>
      <c r="P121" s="18" t="s">
        <v>53</v>
      </c>
      <c r="Q121" s="18" t="s">
        <v>272</v>
      </c>
      <c r="R121" s="18" t="s">
        <v>430</v>
      </c>
      <c r="S121" s="19" t="s">
        <v>431</v>
      </c>
      <c r="T121" s="18" t="s">
        <v>345</v>
      </c>
      <c r="U121" s="18" t="s">
        <v>57</v>
      </c>
      <c r="V121" s="18">
        <v>0</v>
      </c>
      <c r="W121" s="18" t="s">
        <v>58</v>
      </c>
      <c r="X121" s="18" t="s">
        <v>59</v>
      </c>
      <c r="Y121" s="19" t="s">
        <v>1008</v>
      </c>
      <c r="Z121" s="19" t="s">
        <v>363</v>
      </c>
      <c r="AA121" s="18" t="s">
        <v>61</v>
      </c>
      <c r="AB121" s="18"/>
      <c r="AC121" t="s">
        <v>921</v>
      </c>
      <c r="AD121" t="s">
        <v>1009</v>
      </c>
      <c r="AE121" t="s">
        <v>1010</v>
      </c>
      <c r="AF121" t="s">
        <v>53</v>
      </c>
      <c r="AG121" t="s">
        <v>750</v>
      </c>
      <c r="AH121" t="s">
        <v>751</v>
      </c>
      <c r="AI121" t="s">
        <v>1011</v>
      </c>
      <c r="AJ121" t="s">
        <v>786</v>
      </c>
      <c r="AK121" s="20" t="s">
        <v>63</v>
      </c>
      <c r="AL121" s="20" t="s">
        <v>63</v>
      </c>
      <c r="AM121" s="21" t="s">
        <v>64</v>
      </c>
      <c r="AN121" s="21" t="s">
        <v>64</v>
      </c>
    </row>
    <row r="122" spans="1:40" ht="32.25" customHeight="1" x14ac:dyDescent="0.25">
      <c r="A122" s="18" t="s">
        <v>1012</v>
      </c>
      <c r="B122" s="19" t="s">
        <v>1013</v>
      </c>
      <c r="C122" s="18" t="s">
        <v>67</v>
      </c>
      <c r="D122" s="18" t="s">
        <v>1014</v>
      </c>
      <c r="E122" s="18" t="s">
        <v>1015</v>
      </c>
      <c r="F122" s="18" t="s">
        <v>441</v>
      </c>
      <c r="G122" s="18" t="s">
        <v>429</v>
      </c>
      <c r="H122" s="19" t="s">
        <v>1016</v>
      </c>
      <c r="I122" s="18" t="s">
        <v>819</v>
      </c>
      <c r="J122" s="18" t="s">
        <v>86</v>
      </c>
      <c r="K122" s="18">
        <v>3.77</v>
      </c>
      <c r="L122" s="18">
        <v>48</v>
      </c>
      <c r="M122" s="18" t="s">
        <v>50</v>
      </c>
      <c r="N122" s="18" t="s">
        <v>51</v>
      </c>
      <c r="O122" s="18" t="s">
        <v>564</v>
      </c>
      <c r="P122" s="18" t="s">
        <v>89</v>
      </c>
      <c r="Q122" s="18" t="s">
        <v>272</v>
      </c>
      <c r="R122" s="18" t="s">
        <v>430</v>
      </c>
      <c r="S122" s="19" t="s">
        <v>442</v>
      </c>
      <c r="T122" s="18" t="s">
        <v>443</v>
      </c>
      <c r="U122" s="18" t="s">
        <v>57</v>
      </c>
      <c r="V122" s="18">
        <v>0</v>
      </c>
      <c r="W122" s="18" t="s">
        <v>58</v>
      </c>
      <c r="X122" s="18" t="s">
        <v>59</v>
      </c>
      <c r="Y122" s="19" t="s">
        <v>1017</v>
      </c>
      <c r="Z122" s="19" t="s">
        <v>347</v>
      </c>
      <c r="AA122" s="18" t="s">
        <v>61</v>
      </c>
      <c r="AB122" s="18"/>
      <c r="AC122" t="s">
        <v>949</v>
      </c>
      <c r="AD122" t="s">
        <v>963</v>
      </c>
      <c r="AE122" t="s">
        <v>1018</v>
      </c>
      <c r="AF122" t="s">
        <v>89</v>
      </c>
      <c r="AG122" t="s">
        <v>760</v>
      </c>
      <c r="AH122" t="s">
        <v>761</v>
      </c>
      <c r="AI122" t="s">
        <v>1019</v>
      </c>
      <c r="AJ122" t="s">
        <v>786</v>
      </c>
      <c r="AK122" s="20" t="s">
        <v>63</v>
      </c>
      <c r="AL122" s="20" t="s">
        <v>63</v>
      </c>
      <c r="AM122" s="21" t="s">
        <v>64</v>
      </c>
      <c r="AN122" s="21" t="s">
        <v>64</v>
      </c>
    </row>
    <row r="123" spans="1:40" ht="21.75" customHeight="1" x14ac:dyDescent="0.25">
      <c r="A123" s="18" t="s">
        <v>1020</v>
      </c>
      <c r="B123" s="19" t="s">
        <v>1021</v>
      </c>
      <c r="C123" s="18" t="s">
        <v>42</v>
      </c>
      <c r="D123" s="18" t="s">
        <v>1022</v>
      </c>
      <c r="E123" s="18" t="s">
        <v>1023</v>
      </c>
      <c r="F123" s="18" t="s">
        <v>1024</v>
      </c>
      <c r="G123" s="18" t="s">
        <v>429</v>
      </c>
      <c r="H123" s="19" t="s">
        <v>287</v>
      </c>
      <c r="I123" s="18" t="s">
        <v>793</v>
      </c>
      <c r="J123" s="18" t="s">
        <v>118</v>
      </c>
      <c r="K123" s="18">
        <v>3.58</v>
      </c>
      <c r="L123" s="18">
        <v>12</v>
      </c>
      <c r="M123" s="18" t="s">
        <v>50</v>
      </c>
      <c r="N123" s="18" t="s">
        <v>51</v>
      </c>
      <c r="O123" s="18" t="s">
        <v>768</v>
      </c>
      <c r="P123" s="18" t="s">
        <v>121</v>
      </c>
      <c r="Q123" s="18" t="s">
        <v>272</v>
      </c>
      <c r="R123" s="18" t="s">
        <v>430</v>
      </c>
      <c r="S123" s="19" t="s">
        <v>456</v>
      </c>
      <c r="T123" s="18" t="s">
        <v>418</v>
      </c>
      <c r="U123" s="18" t="s">
        <v>57</v>
      </c>
      <c r="V123" s="18">
        <v>0</v>
      </c>
      <c r="W123" s="18" t="s">
        <v>58</v>
      </c>
      <c r="X123" s="18" t="s">
        <v>59</v>
      </c>
      <c r="Y123" s="19" t="s">
        <v>1025</v>
      </c>
      <c r="Z123" s="19" t="s">
        <v>458</v>
      </c>
      <c r="AA123" s="18" t="s">
        <v>61</v>
      </c>
      <c r="AB123" s="18"/>
      <c r="AC123" t="s">
        <v>928</v>
      </c>
      <c r="AD123" t="s">
        <v>1026</v>
      </c>
      <c r="AE123" t="s">
        <v>1027</v>
      </c>
      <c r="AF123" t="s">
        <v>121</v>
      </c>
      <c r="AG123" t="s">
        <v>771</v>
      </c>
      <c r="AH123" t="s">
        <v>772</v>
      </c>
      <c r="AI123" t="s">
        <v>463</v>
      </c>
      <c r="AJ123" t="s">
        <v>786</v>
      </c>
      <c r="AK123" s="20" t="s">
        <v>63</v>
      </c>
      <c r="AL123" s="20" t="s">
        <v>63</v>
      </c>
      <c r="AM123" s="21" t="s">
        <v>64</v>
      </c>
      <c r="AN123" s="21" t="s">
        <v>64</v>
      </c>
    </row>
    <row r="124" spans="1:40" ht="21.75" customHeight="1" x14ac:dyDescent="0.25">
      <c r="A124" s="18" t="s">
        <v>1028</v>
      </c>
      <c r="B124" s="19" t="s">
        <v>1029</v>
      </c>
      <c r="C124" s="18" t="s">
        <v>67</v>
      </c>
      <c r="D124" s="18" t="s">
        <v>1030</v>
      </c>
      <c r="E124" s="18" t="s">
        <v>1031</v>
      </c>
      <c r="F124" s="18" t="s">
        <v>467</v>
      </c>
      <c r="G124" s="18" t="s">
        <v>429</v>
      </c>
      <c r="H124" s="19" t="s">
        <v>47</v>
      </c>
      <c r="I124" s="18" t="s">
        <v>808</v>
      </c>
      <c r="J124" s="18" t="s">
        <v>74</v>
      </c>
      <c r="K124" s="18">
        <v>3.41</v>
      </c>
      <c r="L124" s="18">
        <v>24</v>
      </c>
      <c r="M124" s="18" t="s">
        <v>50</v>
      </c>
      <c r="N124" s="18" t="s">
        <v>51</v>
      </c>
      <c r="O124" s="18" t="s">
        <v>141</v>
      </c>
      <c r="P124" s="18" t="s">
        <v>76</v>
      </c>
      <c r="Q124" s="18" t="s">
        <v>272</v>
      </c>
      <c r="R124" s="18" t="s">
        <v>430</v>
      </c>
      <c r="S124" s="19" t="s">
        <v>468</v>
      </c>
      <c r="T124" s="18" t="s">
        <v>361</v>
      </c>
      <c r="U124" s="18" t="s">
        <v>57</v>
      </c>
      <c r="V124" s="18">
        <v>0</v>
      </c>
      <c r="W124" s="18" t="s">
        <v>58</v>
      </c>
      <c r="X124" s="18" t="s">
        <v>59</v>
      </c>
      <c r="Y124" s="19" t="s">
        <v>1032</v>
      </c>
      <c r="Z124" s="19" t="s">
        <v>470</v>
      </c>
      <c r="AA124" s="18" t="s">
        <v>61</v>
      </c>
      <c r="AB124" s="18"/>
      <c r="AC124" t="s">
        <v>942</v>
      </c>
      <c r="AD124" t="s">
        <v>972</v>
      </c>
      <c r="AE124" t="s">
        <v>1033</v>
      </c>
      <c r="AF124" t="s">
        <v>76</v>
      </c>
      <c r="AG124" t="s">
        <v>780</v>
      </c>
      <c r="AH124" t="s">
        <v>740</v>
      </c>
      <c r="AI124" t="s">
        <v>1034</v>
      </c>
      <c r="AJ124" t="s">
        <v>786</v>
      </c>
      <c r="AK124" s="20" t="s">
        <v>63</v>
      </c>
      <c r="AL124" s="20" t="s">
        <v>63</v>
      </c>
      <c r="AM124" s="21" t="s">
        <v>64</v>
      </c>
      <c r="AN124" s="21" t="s">
        <v>64</v>
      </c>
    </row>
    <row r="125" spans="1:40" ht="15" customHeight="1" x14ac:dyDescent="0.25">
      <c r="A125" s="18" t="s">
        <v>1035</v>
      </c>
      <c r="B125" s="19" t="s">
        <v>1036</v>
      </c>
      <c r="C125" s="18" t="s">
        <v>42</v>
      </c>
      <c r="D125" s="18" t="s">
        <v>1037</v>
      </c>
      <c r="E125" s="18" t="s">
        <v>1038</v>
      </c>
      <c r="F125" s="18" t="s">
        <v>1039</v>
      </c>
      <c r="G125" s="18" t="s">
        <v>46</v>
      </c>
      <c r="H125" s="19" t="s">
        <v>47</v>
      </c>
      <c r="I125" s="18" t="s">
        <v>48</v>
      </c>
      <c r="J125" s="18" t="s">
        <v>74</v>
      </c>
      <c r="K125" s="18">
        <v>3.5</v>
      </c>
      <c r="L125" s="18">
        <v>67</v>
      </c>
      <c r="M125" s="18" t="s">
        <v>50</v>
      </c>
      <c r="N125" s="18" t="s">
        <v>51</v>
      </c>
      <c r="O125" s="18" t="s">
        <v>493</v>
      </c>
      <c r="P125" s="18" t="s">
        <v>76</v>
      </c>
      <c r="Q125" s="18" t="s">
        <v>54</v>
      </c>
      <c r="R125" s="18" t="s">
        <v>46</v>
      </c>
      <c r="S125" s="19" t="s">
        <v>77</v>
      </c>
      <c r="T125" s="18" t="s">
        <v>78</v>
      </c>
      <c r="U125" s="18" t="s">
        <v>57</v>
      </c>
      <c r="V125" s="18">
        <v>0</v>
      </c>
      <c r="W125" s="18" t="s">
        <v>58</v>
      </c>
      <c r="X125" s="18" t="s">
        <v>59</v>
      </c>
      <c r="Y125" s="19" t="s">
        <v>60</v>
      </c>
      <c r="Z125" s="19" t="s">
        <v>60</v>
      </c>
      <c r="AA125" s="18" t="s">
        <v>61</v>
      </c>
      <c r="AB125" s="18"/>
      <c r="AJ125" t="s">
        <v>62</v>
      </c>
      <c r="AK125" s="20" t="s">
        <v>63</v>
      </c>
      <c r="AL125" s="20" t="s">
        <v>63</v>
      </c>
      <c r="AM125" s="21" t="s">
        <v>64</v>
      </c>
      <c r="AN125" s="21" t="s">
        <v>64</v>
      </c>
    </row>
    <row r="126" spans="1:40" ht="15" customHeight="1" x14ac:dyDescent="0.25">
      <c r="A126" s="18" t="s">
        <v>1040</v>
      </c>
      <c r="B126" s="19" t="s">
        <v>1041</v>
      </c>
      <c r="C126" s="18" t="s">
        <v>42</v>
      </c>
      <c r="D126" s="18" t="s">
        <v>1042</v>
      </c>
      <c r="E126" s="18" t="s">
        <v>1043</v>
      </c>
      <c r="F126" s="18" t="s">
        <v>1044</v>
      </c>
      <c r="G126" s="18" t="s">
        <v>269</v>
      </c>
      <c r="H126" s="19" t="s">
        <v>47</v>
      </c>
      <c r="I126" s="18" t="s">
        <v>48</v>
      </c>
      <c r="J126" s="18" t="s">
        <v>118</v>
      </c>
      <c r="K126" s="18">
        <v>3.5</v>
      </c>
      <c r="L126" s="18">
        <v>24</v>
      </c>
      <c r="M126" s="18" t="s">
        <v>50</v>
      </c>
      <c r="N126" s="18" t="s">
        <v>51</v>
      </c>
      <c r="O126" s="18" t="s">
        <v>1045</v>
      </c>
      <c r="P126" s="18" t="s">
        <v>76</v>
      </c>
      <c r="Q126" s="18" t="s">
        <v>272</v>
      </c>
      <c r="R126" s="18" t="s">
        <v>273</v>
      </c>
      <c r="S126" s="19" t="s">
        <v>290</v>
      </c>
      <c r="T126" s="18" t="s">
        <v>123</v>
      </c>
      <c r="U126" s="18" t="s">
        <v>57</v>
      </c>
      <c r="V126" s="18">
        <v>0</v>
      </c>
      <c r="W126" s="18" t="s">
        <v>58</v>
      </c>
      <c r="X126" s="18" t="s">
        <v>59</v>
      </c>
      <c r="Y126" s="19" t="s">
        <v>60</v>
      </c>
      <c r="Z126" s="19" t="s">
        <v>60</v>
      </c>
      <c r="AA126" s="18" t="s">
        <v>61</v>
      </c>
      <c r="AB126" s="18"/>
      <c r="AC126" t="s">
        <v>1046</v>
      </c>
      <c r="AD126" t="s">
        <v>60</v>
      </c>
      <c r="AE126" t="s">
        <v>1047</v>
      </c>
      <c r="AF126" t="s">
        <v>76</v>
      </c>
      <c r="AG126" t="s">
        <v>293</v>
      </c>
      <c r="AH126" t="s">
        <v>294</v>
      </c>
      <c r="AI126" t="s">
        <v>295</v>
      </c>
      <c r="AJ126" t="s">
        <v>62</v>
      </c>
      <c r="AK126" s="20" t="s">
        <v>63</v>
      </c>
      <c r="AL126" s="20" t="s">
        <v>63</v>
      </c>
      <c r="AM126" s="21" t="s">
        <v>64</v>
      </c>
      <c r="AN126" s="21" t="s">
        <v>64</v>
      </c>
    </row>
    <row r="127" spans="1:40" ht="15" customHeight="1" x14ac:dyDescent="0.25">
      <c r="A127" s="18" t="s">
        <v>1048</v>
      </c>
      <c r="B127" s="19" t="s">
        <v>1049</v>
      </c>
      <c r="C127" s="18" t="s">
        <v>42</v>
      </c>
      <c r="D127" s="18" t="s">
        <v>1050</v>
      </c>
      <c r="E127" s="18" t="s">
        <v>1051</v>
      </c>
      <c r="F127" s="18" t="s">
        <v>1052</v>
      </c>
      <c r="G127" s="18" t="s">
        <v>429</v>
      </c>
      <c r="H127" s="19" t="s">
        <v>47</v>
      </c>
      <c r="I127" s="18" t="s">
        <v>48</v>
      </c>
      <c r="J127" s="18" t="s">
        <v>118</v>
      </c>
      <c r="K127" s="18">
        <v>3.5</v>
      </c>
      <c r="L127" s="18">
        <v>12</v>
      </c>
      <c r="M127" s="18" t="s">
        <v>50</v>
      </c>
      <c r="N127" s="18" t="s">
        <v>51</v>
      </c>
      <c r="O127" s="18" t="s">
        <v>1053</v>
      </c>
      <c r="P127" s="18" t="s">
        <v>1054</v>
      </c>
      <c r="Q127" s="18" t="s">
        <v>272</v>
      </c>
      <c r="R127" s="18" t="s">
        <v>430</v>
      </c>
      <c r="S127" s="19" t="s">
        <v>456</v>
      </c>
      <c r="T127" s="18" t="s">
        <v>418</v>
      </c>
      <c r="U127" s="18" t="s">
        <v>57</v>
      </c>
      <c r="V127" s="18">
        <v>0</v>
      </c>
      <c r="W127" s="18" t="s">
        <v>58</v>
      </c>
      <c r="X127" s="18" t="s">
        <v>59</v>
      </c>
      <c r="Y127" s="19" t="s">
        <v>1055</v>
      </c>
      <c r="Z127" s="19" t="s">
        <v>458</v>
      </c>
      <c r="AA127" s="18" t="s">
        <v>61</v>
      </c>
      <c r="AB127" s="18"/>
      <c r="AC127" t="s">
        <v>1046</v>
      </c>
      <c r="AD127" t="s">
        <v>60</v>
      </c>
      <c r="AE127" t="s">
        <v>1056</v>
      </c>
      <c r="AF127" t="s">
        <v>1054</v>
      </c>
      <c r="AG127" t="s">
        <v>771</v>
      </c>
      <c r="AH127" t="s">
        <v>772</v>
      </c>
      <c r="AI127" t="s">
        <v>463</v>
      </c>
      <c r="AJ127" t="s">
        <v>62</v>
      </c>
      <c r="AK127" s="20" t="s">
        <v>63</v>
      </c>
      <c r="AL127" s="20" t="s">
        <v>63</v>
      </c>
      <c r="AM127" s="21" t="s">
        <v>64</v>
      </c>
      <c r="AN127" s="21" t="s">
        <v>64</v>
      </c>
    </row>
    <row r="128" spans="1:40" ht="15" customHeight="1" x14ac:dyDescent="0.25">
      <c r="A128" s="18" t="s">
        <v>1057</v>
      </c>
      <c r="B128" s="19" t="s">
        <v>1036</v>
      </c>
      <c r="C128" s="18" t="s">
        <v>42</v>
      </c>
      <c r="D128" s="18" t="s">
        <v>1037</v>
      </c>
      <c r="E128" s="18" t="s">
        <v>1058</v>
      </c>
      <c r="F128" s="18" t="s">
        <v>1059</v>
      </c>
      <c r="G128" s="18" t="s">
        <v>46</v>
      </c>
      <c r="H128" s="19" t="s">
        <v>47</v>
      </c>
      <c r="I128" s="18" t="s">
        <v>481</v>
      </c>
      <c r="J128" s="18" t="s">
        <v>74</v>
      </c>
      <c r="K128" s="18">
        <v>3.5</v>
      </c>
      <c r="L128" s="18">
        <v>67</v>
      </c>
      <c r="M128" s="18" t="s">
        <v>50</v>
      </c>
      <c r="N128" s="18" t="s">
        <v>482</v>
      </c>
      <c r="O128" s="18" t="s">
        <v>493</v>
      </c>
      <c r="P128" s="18" t="s">
        <v>76</v>
      </c>
      <c r="Q128" s="18" t="s">
        <v>54</v>
      </c>
      <c r="R128" s="18" t="s">
        <v>46</v>
      </c>
      <c r="S128" s="19" t="s">
        <v>77</v>
      </c>
      <c r="T128" s="18" t="s">
        <v>78</v>
      </c>
      <c r="U128" s="18" t="s">
        <v>57</v>
      </c>
      <c r="V128" s="18">
        <v>0</v>
      </c>
      <c r="W128" s="18" t="s">
        <v>58</v>
      </c>
      <c r="X128" s="18" t="s">
        <v>59</v>
      </c>
      <c r="Y128" s="19" t="s">
        <v>60</v>
      </c>
      <c r="Z128" s="19" t="s">
        <v>60</v>
      </c>
      <c r="AA128" s="18" t="s">
        <v>61</v>
      </c>
      <c r="AB128" s="18"/>
      <c r="AJ128" t="s">
        <v>484</v>
      </c>
      <c r="AK128" s="20" t="s">
        <v>63</v>
      </c>
      <c r="AL128" s="20" t="s">
        <v>63</v>
      </c>
      <c r="AM128" s="21" t="s">
        <v>64</v>
      </c>
      <c r="AN128" s="21" t="s">
        <v>64</v>
      </c>
    </row>
    <row r="129" spans="1:40" ht="15" customHeight="1" x14ac:dyDescent="0.25">
      <c r="A129" s="18" t="s">
        <v>1060</v>
      </c>
      <c r="B129" s="19" t="s">
        <v>1041</v>
      </c>
      <c r="C129" s="18" t="s">
        <v>42</v>
      </c>
      <c r="D129" s="18" t="s">
        <v>1042</v>
      </c>
      <c r="E129" s="18" t="s">
        <v>1061</v>
      </c>
      <c r="F129" s="18" t="s">
        <v>1062</v>
      </c>
      <c r="G129" s="18" t="s">
        <v>269</v>
      </c>
      <c r="H129" s="19" t="s">
        <v>47</v>
      </c>
      <c r="I129" s="18" t="s">
        <v>481</v>
      </c>
      <c r="J129" s="18" t="s">
        <v>118</v>
      </c>
      <c r="K129" s="18">
        <v>3.5</v>
      </c>
      <c r="L129" s="18">
        <v>24</v>
      </c>
      <c r="M129" s="18" t="s">
        <v>50</v>
      </c>
      <c r="N129" s="18" t="s">
        <v>482</v>
      </c>
      <c r="O129" s="18" t="s">
        <v>1045</v>
      </c>
      <c r="P129" s="18" t="s">
        <v>76</v>
      </c>
      <c r="Q129" s="18" t="s">
        <v>272</v>
      </c>
      <c r="R129" s="18" t="s">
        <v>273</v>
      </c>
      <c r="S129" s="19" t="s">
        <v>290</v>
      </c>
      <c r="T129" s="18" t="s">
        <v>123</v>
      </c>
      <c r="U129" s="18" t="s">
        <v>57</v>
      </c>
      <c r="V129" s="18">
        <v>0</v>
      </c>
      <c r="W129" s="18" t="s">
        <v>58</v>
      </c>
      <c r="X129" s="18" t="s">
        <v>59</v>
      </c>
      <c r="Y129" s="19" t="s">
        <v>60</v>
      </c>
      <c r="Z129" s="19" t="s">
        <v>60</v>
      </c>
      <c r="AA129" s="18" t="s">
        <v>61</v>
      </c>
      <c r="AB129" s="18"/>
      <c r="AC129" t="s">
        <v>1046</v>
      </c>
      <c r="AD129" t="s">
        <v>60</v>
      </c>
      <c r="AE129" t="s">
        <v>1047</v>
      </c>
      <c r="AF129" t="s">
        <v>76</v>
      </c>
      <c r="AG129" t="s">
        <v>293</v>
      </c>
      <c r="AH129" t="s">
        <v>294</v>
      </c>
      <c r="AI129" t="s">
        <v>295</v>
      </c>
      <c r="AJ129" t="s">
        <v>484</v>
      </c>
      <c r="AK129" s="20" t="s">
        <v>63</v>
      </c>
      <c r="AL129" s="20" t="s">
        <v>63</v>
      </c>
      <c r="AM129" s="21" t="s">
        <v>64</v>
      </c>
      <c r="AN129" s="21" t="s">
        <v>64</v>
      </c>
    </row>
    <row r="130" spans="1:40" ht="15" customHeight="1" x14ac:dyDescent="0.25">
      <c r="A130" s="18" t="s">
        <v>1063</v>
      </c>
      <c r="B130" s="19" t="s">
        <v>1049</v>
      </c>
      <c r="C130" s="18" t="s">
        <v>42</v>
      </c>
      <c r="D130" s="18" t="s">
        <v>1050</v>
      </c>
      <c r="E130" s="18" t="s">
        <v>1064</v>
      </c>
      <c r="F130" s="18" t="s">
        <v>1065</v>
      </c>
      <c r="G130" s="18" t="s">
        <v>429</v>
      </c>
      <c r="H130" s="19" t="s">
        <v>47</v>
      </c>
      <c r="I130" s="18" t="s">
        <v>481</v>
      </c>
      <c r="J130" s="18" t="s">
        <v>118</v>
      </c>
      <c r="K130" s="18">
        <v>3.5</v>
      </c>
      <c r="L130" s="18">
        <v>12</v>
      </c>
      <c r="M130" s="18" t="s">
        <v>50</v>
      </c>
      <c r="N130" s="18" t="s">
        <v>482</v>
      </c>
      <c r="O130" s="18" t="s">
        <v>1053</v>
      </c>
      <c r="P130" s="18" t="s">
        <v>1054</v>
      </c>
      <c r="Q130" s="18" t="s">
        <v>272</v>
      </c>
      <c r="R130" s="18" t="s">
        <v>430</v>
      </c>
      <c r="S130" s="19" t="s">
        <v>456</v>
      </c>
      <c r="T130" s="18" t="s">
        <v>418</v>
      </c>
      <c r="U130" s="18" t="s">
        <v>57</v>
      </c>
      <c r="V130" s="18">
        <v>0</v>
      </c>
      <c r="W130" s="18" t="s">
        <v>58</v>
      </c>
      <c r="X130" s="18" t="s">
        <v>59</v>
      </c>
      <c r="Y130" s="19" t="s">
        <v>1055</v>
      </c>
      <c r="Z130" s="19" t="s">
        <v>458</v>
      </c>
      <c r="AA130" s="18" t="s">
        <v>61</v>
      </c>
      <c r="AB130" s="18"/>
      <c r="AC130" t="s">
        <v>1046</v>
      </c>
      <c r="AD130" t="s">
        <v>60</v>
      </c>
      <c r="AE130" t="s">
        <v>1056</v>
      </c>
      <c r="AF130" t="s">
        <v>1054</v>
      </c>
      <c r="AG130" t="s">
        <v>771</v>
      </c>
      <c r="AH130" t="s">
        <v>772</v>
      </c>
      <c r="AI130" t="s">
        <v>463</v>
      </c>
      <c r="AJ130" t="s">
        <v>484</v>
      </c>
      <c r="AK130" s="20" t="s">
        <v>63</v>
      </c>
      <c r="AL130" s="20" t="s">
        <v>63</v>
      </c>
      <c r="AM130" s="21" t="s">
        <v>64</v>
      </c>
      <c r="AN130" s="21" t="s">
        <v>64</v>
      </c>
    </row>
    <row r="131" spans="1:40" ht="21.75" customHeight="1" x14ac:dyDescent="0.25">
      <c r="A131" s="18" t="s">
        <v>1066</v>
      </c>
      <c r="B131" s="19" t="s">
        <v>1036</v>
      </c>
      <c r="C131" s="18" t="s">
        <v>42</v>
      </c>
      <c r="D131" s="18" t="s">
        <v>1037</v>
      </c>
      <c r="E131" s="18" t="s">
        <v>1067</v>
      </c>
      <c r="F131" s="18" t="s">
        <v>1039</v>
      </c>
      <c r="G131" s="18" t="s">
        <v>46</v>
      </c>
      <c r="H131" s="19" t="s">
        <v>47</v>
      </c>
      <c r="I131" s="18" t="s">
        <v>808</v>
      </c>
      <c r="J131" s="18" t="s">
        <v>74</v>
      </c>
      <c r="K131" s="18">
        <v>3.5</v>
      </c>
      <c r="L131" s="18">
        <v>67</v>
      </c>
      <c r="M131" s="18" t="s">
        <v>50</v>
      </c>
      <c r="N131" s="18" t="s">
        <v>51</v>
      </c>
      <c r="O131" s="18" t="s">
        <v>493</v>
      </c>
      <c r="P131" s="18" t="s">
        <v>76</v>
      </c>
      <c r="Q131" s="18" t="s">
        <v>54</v>
      </c>
      <c r="R131" s="18" t="s">
        <v>46</v>
      </c>
      <c r="S131" s="19" t="s">
        <v>77</v>
      </c>
      <c r="T131" s="18" t="s">
        <v>78</v>
      </c>
      <c r="U131" s="18" t="s">
        <v>57</v>
      </c>
      <c r="V131" s="18">
        <v>0</v>
      </c>
      <c r="W131" s="18" t="s">
        <v>58</v>
      </c>
      <c r="X131" s="18" t="s">
        <v>59</v>
      </c>
      <c r="Y131" s="19" t="s">
        <v>60</v>
      </c>
      <c r="Z131" s="19" t="s">
        <v>60</v>
      </c>
      <c r="AA131" s="18" t="s">
        <v>61</v>
      </c>
      <c r="AB131" s="18"/>
      <c r="AJ131" t="s">
        <v>786</v>
      </c>
      <c r="AK131" s="20" t="s">
        <v>63</v>
      </c>
      <c r="AL131" s="20" t="s">
        <v>63</v>
      </c>
      <c r="AM131" s="21" t="s">
        <v>64</v>
      </c>
      <c r="AN131" s="21" t="s">
        <v>64</v>
      </c>
    </row>
    <row r="132" spans="1:40" ht="21.75" customHeight="1" x14ac:dyDescent="0.25">
      <c r="A132" s="18" t="s">
        <v>1068</v>
      </c>
      <c r="B132" s="19" t="s">
        <v>1041</v>
      </c>
      <c r="C132" s="18" t="s">
        <v>42</v>
      </c>
      <c r="D132" s="18" t="s">
        <v>1042</v>
      </c>
      <c r="E132" s="18" t="s">
        <v>1069</v>
      </c>
      <c r="F132" s="18" t="s">
        <v>1044</v>
      </c>
      <c r="G132" s="18" t="s">
        <v>269</v>
      </c>
      <c r="H132" s="19" t="s">
        <v>47</v>
      </c>
      <c r="I132" s="18" t="s">
        <v>808</v>
      </c>
      <c r="J132" s="18" t="s">
        <v>118</v>
      </c>
      <c r="K132" s="18">
        <v>3.5</v>
      </c>
      <c r="L132" s="18">
        <v>24</v>
      </c>
      <c r="M132" s="18" t="s">
        <v>50</v>
      </c>
      <c r="N132" s="18" t="s">
        <v>51</v>
      </c>
      <c r="O132" s="18" t="s">
        <v>1045</v>
      </c>
      <c r="P132" s="18" t="s">
        <v>76</v>
      </c>
      <c r="Q132" s="18" t="s">
        <v>272</v>
      </c>
      <c r="R132" s="18" t="s">
        <v>273</v>
      </c>
      <c r="S132" s="19" t="s">
        <v>290</v>
      </c>
      <c r="T132" s="18" t="s">
        <v>123</v>
      </c>
      <c r="U132" s="18" t="s">
        <v>57</v>
      </c>
      <c r="V132" s="18">
        <v>0</v>
      </c>
      <c r="W132" s="18" t="s">
        <v>58</v>
      </c>
      <c r="X132" s="18" t="s">
        <v>59</v>
      </c>
      <c r="Y132" s="19" t="s">
        <v>60</v>
      </c>
      <c r="Z132" s="19" t="s">
        <v>60</v>
      </c>
      <c r="AA132" s="18" t="s">
        <v>61</v>
      </c>
      <c r="AB132" s="18"/>
      <c r="AC132" t="s">
        <v>1046</v>
      </c>
      <c r="AD132" t="s">
        <v>60</v>
      </c>
      <c r="AE132" t="s">
        <v>1047</v>
      </c>
      <c r="AF132" t="s">
        <v>76</v>
      </c>
      <c r="AG132" t="s">
        <v>293</v>
      </c>
      <c r="AH132" t="s">
        <v>294</v>
      </c>
      <c r="AI132" t="s">
        <v>295</v>
      </c>
      <c r="AJ132" t="s">
        <v>786</v>
      </c>
      <c r="AK132" s="20" t="s">
        <v>63</v>
      </c>
      <c r="AL132" s="20" t="s">
        <v>63</v>
      </c>
      <c r="AM132" s="21" t="s">
        <v>64</v>
      </c>
      <c r="AN132" s="21" t="s">
        <v>64</v>
      </c>
    </row>
    <row r="133" spans="1:40" ht="21.75" customHeight="1" x14ac:dyDescent="0.25">
      <c r="A133" s="18" t="s">
        <v>1070</v>
      </c>
      <c r="B133" s="19" t="s">
        <v>1049</v>
      </c>
      <c r="C133" s="18" t="s">
        <v>42</v>
      </c>
      <c r="D133" s="18" t="s">
        <v>1050</v>
      </c>
      <c r="E133" s="18" t="s">
        <v>1071</v>
      </c>
      <c r="F133" s="18" t="s">
        <v>1052</v>
      </c>
      <c r="G133" s="18" t="s">
        <v>429</v>
      </c>
      <c r="H133" s="19" t="s">
        <v>47</v>
      </c>
      <c r="I133" s="18" t="s">
        <v>808</v>
      </c>
      <c r="J133" s="18" t="s">
        <v>118</v>
      </c>
      <c r="K133" s="18">
        <v>3.5</v>
      </c>
      <c r="L133" s="18">
        <v>12</v>
      </c>
      <c r="M133" s="18" t="s">
        <v>50</v>
      </c>
      <c r="N133" s="18" t="s">
        <v>51</v>
      </c>
      <c r="O133" s="18" t="s">
        <v>1053</v>
      </c>
      <c r="P133" s="18" t="s">
        <v>1054</v>
      </c>
      <c r="Q133" s="18" t="s">
        <v>272</v>
      </c>
      <c r="R133" s="18" t="s">
        <v>430</v>
      </c>
      <c r="S133" s="19" t="s">
        <v>456</v>
      </c>
      <c r="T133" s="18" t="s">
        <v>418</v>
      </c>
      <c r="U133" s="18" t="s">
        <v>57</v>
      </c>
      <c r="V133" s="18">
        <v>0</v>
      </c>
      <c r="W133" s="18" t="s">
        <v>58</v>
      </c>
      <c r="X133" s="18" t="s">
        <v>59</v>
      </c>
      <c r="Y133" s="19" t="s">
        <v>1055</v>
      </c>
      <c r="Z133" s="19" t="s">
        <v>458</v>
      </c>
      <c r="AA133" s="18" t="s">
        <v>61</v>
      </c>
      <c r="AB133" s="18"/>
      <c r="AC133" t="s">
        <v>1046</v>
      </c>
      <c r="AD133" t="s">
        <v>60</v>
      </c>
      <c r="AE133" t="s">
        <v>1056</v>
      </c>
      <c r="AF133" t="s">
        <v>1054</v>
      </c>
      <c r="AG133" t="s">
        <v>771</v>
      </c>
      <c r="AH133" t="s">
        <v>772</v>
      </c>
      <c r="AI133" t="s">
        <v>463</v>
      </c>
      <c r="AJ133" t="s">
        <v>786</v>
      </c>
      <c r="AK133" s="20" t="s">
        <v>63</v>
      </c>
      <c r="AL133" s="20" t="s">
        <v>63</v>
      </c>
      <c r="AM133" s="21" t="s">
        <v>64</v>
      </c>
      <c r="AN133" s="21" t="s">
        <v>64</v>
      </c>
    </row>
    <row r="134" spans="1:40" ht="15" customHeight="1" x14ac:dyDescent="0.25">
      <c r="A134" s="44" t="s">
        <v>1072</v>
      </c>
      <c r="B134" s="44" t="s">
        <v>1073</v>
      </c>
      <c r="C134" s="45" t="s">
        <v>42</v>
      </c>
      <c r="D134" s="45" t="s">
        <v>1074</v>
      </c>
      <c r="E134" s="44" t="s">
        <v>1075</v>
      </c>
      <c r="F134" s="45" t="s">
        <v>1076</v>
      </c>
      <c r="G134" s="45" t="s">
        <v>46</v>
      </c>
      <c r="H134" s="45" t="s">
        <v>47</v>
      </c>
      <c r="I134" s="44" t="s">
        <v>48</v>
      </c>
      <c r="J134" s="45" t="s">
        <v>74</v>
      </c>
      <c r="K134" s="45">
        <v>3.62</v>
      </c>
      <c r="L134" s="45">
        <v>48</v>
      </c>
      <c r="M134" s="45" t="s">
        <v>50</v>
      </c>
      <c r="N134" s="45" t="s">
        <v>51</v>
      </c>
      <c r="O134" s="45" t="s">
        <v>1045</v>
      </c>
      <c r="P134" s="45" t="s">
        <v>121</v>
      </c>
      <c r="Q134" s="45" t="s">
        <v>54</v>
      </c>
      <c r="R134" s="45" t="s">
        <v>46</v>
      </c>
      <c r="S134" s="45" t="s">
        <v>77</v>
      </c>
      <c r="T134" s="45" t="s">
        <v>78</v>
      </c>
      <c r="U134" s="45" t="s">
        <v>57</v>
      </c>
      <c r="V134" s="45">
        <v>0</v>
      </c>
      <c r="W134" s="45" t="s">
        <v>58</v>
      </c>
      <c r="X134" s="45" t="s">
        <v>1077</v>
      </c>
      <c r="Y134" s="44" t="s">
        <v>60</v>
      </c>
      <c r="Z134" s="45" t="s">
        <v>60</v>
      </c>
      <c r="AA134" s="45" t="s">
        <v>61</v>
      </c>
      <c r="AB134" s="45"/>
      <c r="AC134" s="44"/>
      <c r="AD134" s="44"/>
      <c r="AE134" s="44"/>
      <c r="AF134" s="45"/>
      <c r="AG134" s="44"/>
      <c r="AH134" s="44"/>
      <c r="AI134" s="44"/>
      <c r="AJ134" s="45" t="s">
        <v>62</v>
      </c>
      <c r="AK134" s="45" t="s">
        <v>93</v>
      </c>
      <c r="AL134" s="45" t="s">
        <v>63</v>
      </c>
      <c r="AM134" s="44" t="s">
        <v>64</v>
      </c>
      <c r="AN134" s="44" t="s">
        <v>64</v>
      </c>
    </row>
    <row r="135" spans="1:40" ht="15" customHeight="1" x14ac:dyDescent="0.25">
      <c r="A135" s="46" t="s">
        <v>1078</v>
      </c>
      <c r="B135" s="46" t="s">
        <v>1079</v>
      </c>
      <c r="C135" s="47" t="s">
        <v>67</v>
      </c>
      <c r="D135" s="47" t="s">
        <v>1080</v>
      </c>
      <c r="E135" s="46" t="s">
        <v>1081</v>
      </c>
      <c r="F135" s="47" t="s">
        <v>1039</v>
      </c>
      <c r="G135" s="47" t="s">
        <v>71</v>
      </c>
      <c r="H135" s="47" t="s">
        <v>72</v>
      </c>
      <c r="I135" s="46" t="s">
        <v>73</v>
      </c>
      <c r="J135" s="47" t="s">
        <v>49</v>
      </c>
      <c r="K135" s="47">
        <v>2.35</v>
      </c>
      <c r="L135" s="47">
        <v>80</v>
      </c>
      <c r="M135" s="47" t="s">
        <v>119</v>
      </c>
      <c r="N135" s="47" t="s">
        <v>51</v>
      </c>
      <c r="O135" s="47" t="s">
        <v>768</v>
      </c>
      <c r="P135" s="47" t="s">
        <v>53</v>
      </c>
      <c r="Q135" s="47" t="s">
        <v>54</v>
      </c>
      <c r="R135" s="47" t="s">
        <v>71</v>
      </c>
      <c r="S135" s="47" t="s">
        <v>55</v>
      </c>
      <c r="T135" s="47" t="s">
        <v>56</v>
      </c>
      <c r="U135" s="47" t="s">
        <v>124</v>
      </c>
      <c r="V135" s="47">
        <v>65000</v>
      </c>
      <c r="W135" s="47" t="s">
        <v>119</v>
      </c>
      <c r="X135" s="47" t="s">
        <v>1077</v>
      </c>
      <c r="Y135" s="46" t="s">
        <v>60</v>
      </c>
      <c r="Z135" s="47" t="s">
        <v>60</v>
      </c>
      <c r="AA135" s="47" t="s">
        <v>61</v>
      </c>
      <c r="AB135" s="47"/>
      <c r="AC135" s="46"/>
      <c r="AD135" s="46"/>
      <c r="AE135" s="46"/>
      <c r="AF135" s="47"/>
      <c r="AG135" s="46"/>
      <c r="AH135" s="46"/>
      <c r="AI135" s="46"/>
      <c r="AJ135" s="47" t="s">
        <v>62</v>
      </c>
      <c r="AK135" s="47" t="s">
        <v>93</v>
      </c>
      <c r="AL135" s="47" t="s">
        <v>63</v>
      </c>
      <c r="AM135" s="46" t="s">
        <v>64</v>
      </c>
      <c r="AN135" s="46" t="s">
        <v>64</v>
      </c>
    </row>
    <row r="136" spans="1:40" ht="15" customHeight="1" x14ac:dyDescent="0.25">
      <c r="A136" s="44" t="s">
        <v>1082</v>
      </c>
      <c r="B136" s="44" t="s">
        <v>1083</v>
      </c>
      <c r="C136" s="45" t="s">
        <v>42</v>
      </c>
      <c r="D136" s="45" t="s">
        <v>1084</v>
      </c>
      <c r="E136" s="44" t="s">
        <v>1085</v>
      </c>
      <c r="F136" s="45" t="s">
        <v>1044</v>
      </c>
      <c r="G136" s="45" t="s">
        <v>46</v>
      </c>
      <c r="H136" s="45" t="s">
        <v>101</v>
      </c>
      <c r="I136" s="44" t="s">
        <v>102</v>
      </c>
      <c r="J136" s="45" t="s">
        <v>118</v>
      </c>
      <c r="K136" s="45">
        <v>3.15</v>
      </c>
      <c r="L136" s="45">
        <v>16</v>
      </c>
      <c r="M136" s="45" t="s">
        <v>50</v>
      </c>
      <c r="N136" s="45" t="s">
        <v>51</v>
      </c>
      <c r="O136" s="45" t="s">
        <v>1086</v>
      </c>
      <c r="P136" s="45" t="s">
        <v>1087</v>
      </c>
      <c r="Q136" s="45" t="s">
        <v>54</v>
      </c>
      <c r="R136" s="45" t="s">
        <v>46</v>
      </c>
      <c r="S136" s="45" t="s">
        <v>1088</v>
      </c>
      <c r="T136" s="45" t="s">
        <v>123</v>
      </c>
      <c r="U136" s="45" t="s">
        <v>57</v>
      </c>
      <c r="V136" s="45">
        <v>0</v>
      </c>
      <c r="W136" s="45" t="s">
        <v>58</v>
      </c>
      <c r="X136" s="45" t="s">
        <v>1077</v>
      </c>
      <c r="Y136" s="44" t="s">
        <v>60</v>
      </c>
      <c r="Z136" s="45" t="s">
        <v>60</v>
      </c>
      <c r="AA136" s="45" t="s">
        <v>61</v>
      </c>
      <c r="AB136" s="45"/>
      <c r="AC136" s="44"/>
      <c r="AD136" s="44"/>
      <c r="AE136" s="44"/>
      <c r="AF136" s="45"/>
      <c r="AG136" s="44"/>
      <c r="AH136" s="44"/>
      <c r="AI136" s="44"/>
      <c r="AJ136" s="45" t="s">
        <v>62</v>
      </c>
      <c r="AK136" s="45" t="s">
        <v>93</v>
      </c>
      <c r="AL136" s="45" t="s">
        <v>93</v>
      </c>
      <c r="AM136" s="44" t="s">
        <v>211</v>
      </c>
      <c r="AN136" s="44" t="s">
        <v>212</v>
      </c>
    </row>
    <row r="137" spans="1:40" ht="15" customHeight="1" x14ac:dyDescent="0.25">
      <c r="A137" s="44" t="s">
        <v>1089</v>
      </c>
      <c r="B137" s="44" t="s">
        <v>1090</v>
      </c>
      <c r="C137" s="45" t="s">
        <v>67</v>
      </c>
      <c r="D137" s="45" t="s">
        <v>1091</v>
      </c>
      <c r="E137" s="44" t="s">
        <v>1092</v>
      </c>
      <c r="F137" s="45" t="s">
        <v>1052</v>
      </c>
      <c r="G137" s="45" t="s">
        <v>147</v>
      </c>
      <c r="H137" s="45" t="s">
        <v>148</v>
      </c>
      <c r="I137" s="44" t="s">
        <v>149</v>
      </c>
      <c r="J137" s="45" t="s">
        <v>86</v>
      </c>
      <c r="K137" s="45">
        <v>3.81</v>
      </c>
      <c r="L137" s="45">
        <v>112</v>
      </c>
      <c r="M137" s="45" t="s">
        <v>50</v>
      </c>
      <c r="N137" s="45" t="s">
        <v>51</v>
      </c>
      <c r="O137" s="45" t="s">
        <v>75</v>
      </c>
      <c r="P137" s="45" t="s">
        <v>732</v>
      </c>
      <c r="Q137" s="45" t="s">
        <v>54</v>
      </c>
      <c r="R137" s="45" t="s">
        <v>147</v>
      </c>
      <c r="S137" s="45" t="s">
        <v>1093</v>
      </c>
      <c r="T137" s="45" t="s">
        <v>91</v>
      </c>
      <c r="U137" s="45" t="s">
        <v>57</v>
      </c>
      <c r="V137" s="45">
        <v>0</v>
      </c>
      <c r="W137" s="45" t="s">
        <v>58</v>
      </c>
      <c r="X137" s="45" t="s">
        <v>1077</v>
      </c>
      <c r="Y137" s="44" t="s">
        <v>60</v>
      </c>
      <c r="Z137" s="45" t="s">
        <v>60</v>
      </c>
      <c r="AA137" s="45" t="s">
        <v>61</v>
      </c>
      <c r="AB137" s="45"/>
      <c r="AC137" s="44"/>
      <c r="AD137" s="44"/>
      <c r="AE137" s="44"/>
      <c r="AF137" s="45"/>
      <c r="AG137" s="44"/>
      <c r="AH137" s="44"/>
      <c r="AI137" s="44"/>
      <c r="AJ137" s="45" t="s">
        <v>62</v>
      </c>
      <c r="AK137" s="45" t="s">
        <v>93</v>
      </c>
      <c r="AL137" s="45" t="s">
        <v>63</v>
      </c>
      <c r="AM137" s="44" t="s">
        <v>64</v>
      </c>
      <c r="AN137" s="44" t="s">
        <v>64</v>
      </c>
    </row>
    <row r="138" spans="1:40" ht="15" customHeight="1" x14ac:dyDescent="0.25">
      <c r="A138" s="44" t="s">
        <v>1094</v>
      </c>
      <c r="B138" s="44" t="s">
        <v>1095</v>
      </c>
      <c r="C138" s="45" t="s">
        <v>42</v>
      </c>
      <c r="D138" s="45" t="s">
        <v>1096</v>
      </c>
      <c r="E138" s="44" t="s">
        <v>1097</v>
      </c>
      <c r="F138" s="45" t="s">
        <v>1098</v>
      </c>
      <c r="G138" s="45" t="s">
        <v>132</v>
      </c>
      <c r="H138" s="45" t="s">
        <v>133</v>
      </c>
      <c r="I138" s="44" t="s">
        <v>134</v>
      </c>
      <c r="J138" s="45" t="s">
        <v>74</v>
      </c>
      <c r="K138" s="45">
        <v>2.92</v>
      </c>
      <c r="L138" s="45">
        <v>48</v>
      </c>
      <c r="M138" s="45" t="s">
        <v>50</v>
      </c>
      <c r="N138" s="45" t="s">
        <v>51</v>
      </c>
      <c r="O138" s="45" t="s">
        <v>1045</v>
      </c>
      <c r="P138" s="45" t="s">
        <v>121</v>
      </c>
      <c r="Q138" s="45" t="s">
        <v>54</v>
      </c>
      <c r="R138" s="45" t="s">
        <v>132</v>
      </c>
      <c r="S138" s="45" t="s">
        <v>77</v>
      </c>
      <c r="T138" s="45" t="s">
        <v>78</v>
      </c>
      <c r="U138" s="45" t="s">
        <v>57</v>
      </c>
      <c r="V138" s="45">
        <v>0</v>
      </c>
      <c r="W138" s="45" t="s">
        <v>58</v>
      </c>
      <c r="X138" s="45" t="s">
        <v>1077</v>
      </c>
      <c r="Y138" s="44" t="s">
        <v>60</v>
      </c>
      <c r="Z138" s="45" t="s">
        <v>60</v>
      </c>
      <c r="AA138" s="45" t="s">
        <v>61</v>
      </c>
      <c r="AB138" s="45"/>
      <c r="AC138" s="44"/>
      <c r="AD138" s="44"/>
      <c r="AE138" s="44"/>
      <c r="AF138" s="45"/>
      <c r="AG138" s="44"/>
      <c r="AH138" s="44"/>
      <c r="AI138" s="44"/>
      <c r="AJ138" s="45" t="s">
        <v>62</v>
      </c>
      <c r="AK138" s="45" t="s">
        <v>93</v>
      </c>
      <c r="AL138" s="45" t="s">
        <v>63</v>
      </c>
      <c r="AM138" s="44" t="s">
        <v>64</v>
      </c>
      <c r="AN138" s="44" t="s">
        <v>64</v>
      </c>
    </row>
    <row r="139" spans="1:40" ht="15" customHeight="1" x14ac:dyDescent="0.25">
      <c r="A139" s="48" t="s">
        <v>1099</v>
      </c>
      <c r="B139" s="48" t="s">
        <v>1100</v>
      </c>
      <c r="C139" s="49" t="s">
        <v>67</v>
      </c>
      <c r="D139" s="49" t="s">
        <v>1101</v>
      </c>
      <c r="E139" s="48" t="s">
        <v>1102</v>
      </c>
      <c r="F139" s="49" t="s">
        <v>1103</v>
      </c>
      <c r="G139" s="49" t="s">
        <v>156</v>
      </c>
      <c r="H139" s="49" t="s">
        <v>157</v>
      </c>
      <c r="I139" s="48" t="s">
        <v>73</v>
      </c>
      <c r="J139" s="49" t="s">
        <v>86</v>
      </c>
      <c r="K139" s="49">
        <v>1.95</v>
      </c>
      <c r="L139" s="49">
        <v>112</v>
      </c>
      <c r="M139" s="49" t="s">
        <v>195</v>
      </c>
      <c r="N139" s="49" t="s">
        <v>51</v>
      </c>
      <c r="O139" s="49" t="s">
        <v>75</v>
      </c>
      <c r="P139" s="49" t="s">
        <v>732</v>
      </c>
      <c r="Q139" s="49" t="s">
        <v>54</v>
      </c>
      <c r="R139" s="49" t="s">
        <v>156</v>
      </c>
      <c r="S139" s="49" t="s">
        <v>1093</v>
      </c>
      <c r="T139" s="49" t="s">
        <v>91</v>
      </c>
      <c r="U139" s="49" t="s">
        <v>263</v>
      </c>
      <c r="V139" s="49">
        <v>50000</v>
      </c>
      <c r="W139" s="49" t="s">
        <v>195</v>
      </c>
      <c r="X139" s="49" t="s">
        <v>1077</v>
      </c>
      <c r="Y139" s="48" t="s">
        <v>60</v>
      </c>
      <c r="Z139" s="49" t="s">
        <v>60</v>
      </c>
      <c r="AA139" s="49" t="s">
        <v>61</v>
      </c>
      <c r="AB139" s="49"/>
      <c r="AC139" s="48"/>
      <c r="AD139" s="48"/>
      <c r="AE139" s="48"/>
      <c r="AF139" s="49"/>
      <c r="AG139" s="48"/>
      <c r="AH139" s="48"/>
      <c r="AI139" s="48"/>
      <c r="AJ139" s="49" t="s">
        <v>62</v>
      </c>
      <c r="AK139" s="49" t="s">
        <v>93</v>
      </c>
      <c r="AL139" s="49" t="s">
        <v>63</v>
      </c>
      <c r="AM139" s="48" t="s">
        <v>64</v>
      </c>
      <c r="AN139" s="48" t="s">
        <v>64</v>
      </c>
    </row>
    <row r="140" spans="1:40" ht="15" customHeight="1" x14ac:dyDescent="0.25">
      <c r="A140" s="44" t="s">
        <v>1104</v>
      </c>
      <c r="B140" s="44" t="s">
        <v>1105</v>
      </c>
      <c r="C140" s="45" t="s">
        <v>42</v>
      </c>
      <c r="D140" s="45" t="s">
        <v>1106</v>
      </c>
      <c r="E140" s="44" t="s">
        <v>1107</v>
      </c>
      <c r="F140" s="45" t="s">
        <v>1108</v>
      </c>
      <c r="G140" s="45" t="s">
        <v>46</v>
      </c>
      <c r="H140" s="45" t="s">
        <v>84</v>
      </c>
      <c r="I140" s="44" t="s">
        <v>85</v>
      </c>
      <c r="J140" s="45" t="s">
        <v>49</v>
      </c>
      <c r="K140" s="45">
        <v>3.45</v>
      </c>
      <c r="L140" s="45">
        <v>80</v>
      </c>
      <c r="M140" s="45" t="s">
        <v>50</v>
      </c>
      <c r="N140" s="45" t="s">
        <v>51</v>
      </c>
      <c r="O140" s="45" t="s">
        <v>768</v>
      </c>
      <c r="P140" s="45" t="s">
        <v>53</v>
      </c>
      <c r="Q140" s="45" t="s">
        <v>54</v>
      </c>
      <c r="R140" s="45" t="s">
        <v>46</v>
      </c>
      <c r="S140" s="45" t="s">
        <v>55</v>
      </c>
      <c r="T140" s="45" t="s">
        <v>56</v>
      </c>
      <c r="U140" s="45" t="s">
        <v>57</v>
      </c>
      <c r="V140" s="45">
        <v>0</v>
      </c>
      <c r="W140" s="45" t="s">
        <v>58</v>
      </c>
      <c r="X140" s="45" t="s">
        <v>1077</v>
      </c>
      <c r="Y140" s="44" t="s">
        <v>60</v>
      </c>
      <c r="Z140" s="45" t="s">
        <v>60</v>
      </c>
      <c r="AA140" s="45" t="s">
        <v>61</v>
      </c>
      <c r="AB140" s="45"/>
      <c r="AC140" s="44"/>
      <c r="AD140" s="44"/>
      <c r="AE140" s="44"/>
      <c r="AF140" s="45"/>
      <c r="AG140" s="44"/>
      <c r="AH140" s="44"/>
      <c r="AI140" s="44"/>
      <c r="AJ140" s="45" t="s">
        <v>62</v>
      </c>
      <c r="AK140" s="45" t="s">
        <v>93</v>
      </c>
      <c r="AL140" s="45" t="s">
        <v>93</v>
      </c>
      <c r="AM140" s="44" t="s">
        <v>94</v>
      </c>
      <c r="AN140" s="44" t="s">
        <v>1109</v>
      </c>
    </row>
    <row r="141" spans="1:40" ht="15" customHeight="1" x14ac:dyDescent="0.25">
      <c r="A141" s="44" t="s">
        <v>1110</v>
      </c>
      <c r="B141" s="44" t="s">
        <v>1111</v>
      </c>
      <c r="C141" s="45" t="s">
        <v>67</v>
      </c>
      <c r="D141" s="45" t="s">
        <v>1112</v>
      </c>
      <c r="E141" s="44" t="s">
        <v>1113</v>
      </c>
      <c r="F141" s="45" t="s">
        <v>1114</v>
      </c>
      <c r="G141" s="45" t="s">
        <v>46</v>
      </c>
      <c r="H141" s="45" t="s">
        <v>166</v>
      </c>
      <c r="I141" s="44" t="s">
        <v>48</v>
      </c>
      <c r="J141" s="45" t="s">
        <v>118</v>
      </c>
      <c r="K141" s="45">
        <v>3.05</v>
      </c>
      <c r="L141" s="45">
        <v>16</v>
      </c>
      <c r="M141" s="45" t="s">
        <v>50</v>
      </c>
      <c r="N141" s="45" t="s">
        <v>51</v>
      </c>
      <c r="O141" s="45" t="s">
        <v>1086</v>
      </c>
      <c r="P141" s="45" t="s">
        <v>1087</v>
      </c>
      <c r="Q141" s="45" t="s">
        <v>54</v>
      </c>
      <c r="R141" s="45" t="s">
        <v>46</v>
      </c>
      <c r="S141" s="45" t="s">
        <v>1088</v>
      </c>
      <c r="T141" s="45" t="s">
        <v>123</v>
      </c>
      <c r="U141" s="45" t="s">
        <v>124</v>
      </c>
      <c r="V141" s="45">
        <v>75000</v>
      </c>
      <c r="W141" s="45" t="s">
        <v>58</v>
      </c>
      <c r="X141" s="45" t="s">
        <v>1077</v>
      </c>
      <c r="Y141" s="44" t="s">
        <v>60</v>
      </c>
      <c r="Z141" s="45" t="s">
        <v>60</v>
      </c>
      <c r="AA141" s="45" t="s">
        <v>61</v>
      </c>
      <c r="AB141" s="45"/>
      <c r="AC141" s="44"/>
      <c r="AD141" s="44"/>
      <c r="AE141" s="44"/>
      <c r="AF141" s="45"/>
      <c r="AG141" s="44"/>
      <c r="AH141" s="44"/>
      <c r="AI141" s="44"/>
      <c r="AJ141" s="45" t="s">
        <v>62</v>
      </c>
      <c r="AK141" s="45" t="s">
        <v>93</v>
      </c>
      <c r="AL141" s="45" t="s">
        <v>63</v>
      </c>
      <c r="AM141" s="44" t="s">
        <v>64</v>
      </c>
      <c r="AN141" s="44" t="s">
        <v>64</v>
      </c>
    </row>
    <row r="142" spans="1:40" ht="15" customHeight="1" x14ac:dyDescent="0.25">
      <c r="A142" s="50" t="s">
        <v>1115</v>
      </c>
      <c r="B142" s="50" t="s">
        <v>1116</v>
      </c>
      <c r="C142" s="51" t="s">
        <v>42</v>
      </c>
      <c r="D142" s="51" t="s">
        <v>1117</v>
      </c>
      <c r="E142" s="50" t="s">
        <v>1118</v>
      </c>
      <c r="F142" s="51" t="s">
        <v>1119</v>
      </c>
      <c r="G142" s="51" t="s">
        <v>193</v>
      </c>
      <c r="H142" s="51" t="s">
        <v>194</v>
      </c>
      <c r="I142" s="50" t="s">
        <v>102</v>
      </c>
      <c r="J142" s="51" t="s">
        <v>86</v>
      </c>
      <c r="K142" s="51">
        <v>3.7</v>
      </c>
      <c r="L142" s="51">
        <v>128</v>
      </c>
      <c r="M142" s="51" t="s">
        <v>103</v>
      </c>
      <c r="N142" s="51" t="s">
        <v>51</v>
      </c>
      <c r="O142" s="51" t="s">
        <v>75</v>
      </c>
      <c r="P142" s="51" t="s">
        <v>732</v>
      </c>
      <c r="Q142" s="51" t="s">
        <v>54</v>
      </c>
      <c r="R142" s="51" t="s">
        <v>193</v>
      </c>
      <c r="S142" s="51" t="s">
        <v>107</v>
      </c>
      <c r="T142" s="51" t="s">
        <v>107</v>
      </c>
      <c r="U142" s="51" t="s">
        <v>108</v>
      </c>
      <c r="V142" s="51">
        <v>0</v>
      </c>
      <c r="W142" s="51" t="s">
        <v>108</v>
      </c>
      <c r="X142" s="51" t="s">
        <v>1077</v>
      </c>
      <c r="Y142" s="50" t="s">
        <v>60</v>
      </c>
      <c r="Z142" s="51" t="s">
        <v>60</v>
      </c>
      <c r="AA142" s="51" t="s">
        <v>108</v>
      </c>
      <c r="AB142" s="51" t="s">
        <v>732</v>
      </c>
      <c r="AC142" s="50"/>
      <c r="AD142" s="50"/>
      <c r="AE142" s="50"/>
      <c r="AF142" s="51"/>
      <c r="AG142" s="50"/>
      <c r="AH142" s="50"/>
      <c r="AI142" s="50"/>
      <c r="AJ142" s="51" t="s">
        <v>62</v>
      </c>
      <c r="AK142" s="51" t="s">
        <v>93</v>
      </c>
      <c r="AL142" s="51" t="s">
        <v>63</v>
      </c>
      <c r="AM142" s="50" t="s">
        <v>64</v>
      </c>
      <c r="AN142" s="50" t="s">
        <v>64</v>
      </c>
    </row>
    <row r="143" spans="1:40" ht="15" customHeight="1" x14ac:dyDescent="0.25">
      <c r="A143" s="44" t="s">
        <v>1120</v>
      </c>
      <c r="B143" s="44" t="s">
        <v>1121</v>
      </c>
      <c r="C143" s="45" t="s">
        <v>67</v>
      </c>
      <c r="D143" s="45" t="s">
        <v>1122</v>
      </c>
      <c r="E143" s="44" t="s">
        <v>1123</v>
      </c>
      <c r="F143" s="45" t="s">
        <v>1124</v>
      </c>
      <c r="G143" s="45" t="s">
        <v>46</v>
      </c>
      <c r="H143" s="45" t="s">
        <v>116</v>
      </c>
      <c r="I143" s="44" t="s">
        <v>117</v>
      </c>
      <c r="J143" s="45" t="s">
        <v>74</v>
      </c>
      <c r="K143" s="45">
        <v>2.5499999999999998</v>
      </c>
      <c r="L143" s="45">
        <v>48</v>
      </c>
      <c r="M143" s="45" t="s">
        <v>50</v>
      </c>
      <c r="N143" s="45" t="s">
        <v>51</v>
      </c>
      <c r="O143" s="45" t="s">
        <v>1045</v>
      </c>
      <c r="P143" s="45" t="s">
        <v>121</v>
      </c>
      <c r="Q143" s="45" t="s">
        <v>54</v>
      </c>
      <c r="R143" s="45" t="s">
        <v>46</v>
      </c>
      <c r="S143" s="45" t="s">
        <v>77</v>
      </c>
      <c r="T143" s="45" t="s">
        <v>78</v>
      </c>
      <c r="U143" s="45" t="s">
        <v>57</v>
      </c>
      <c r="V143" s="45">
        <v>0</v>
      </c>
      <c r="W143" s="45" t="s">
        <v>58</v>
      </c>
      <c r="X143" s="45" t="s">
        <v>1077</v>
      </c>
      <c r="Y143" s="44" t="s">
        <v>60</v>
      </c>
      <c r="Z143" s="45" t="s">
        <v>60</v>
      </c>
      <c r="AA143" s="45" t="s">
        <v>61</v>
      </c>
      <c r="AB143" s="45"/>
      <c r="AC143" s="44"/>
      <c r="AD143" s="44"/>
      <c r="AE143" s="44"/>
      <c r="AF143" s="45"/>
      <c r="AG143" s="44"/>
      <c r="AH143" s="44"/>
      <c r="AI143" s="44"/>
      <c r="AJ143" s="45" t="s">
        <v>62</v>
      </c>
      <c r="AK143" s="45" t="s">
        <v>93</v>
      </c>
      <c r="AL143" s="45" t="s">
        <v>63</v>
      </c>
      <c r="AM143" s="44" t="s">
        <v>64</v>
      </c>
      <c r="AN143" s="44" t="s">
        <v>64</v>
      </c>
    </row>
    <row r="144" spans="1:40" ht="15" customHeight="1" x14ac:dyDescent="0.25">
      <c r="A144" s="44" t="s">
        <v>1125</v>
      </c>
      <c r="B144" s="44" t="s">
        <v>1126</v>
      </c>
      <c r="C144" s="45" t="s">
        <v>42</v>
      </c>
      <c r="D144" s="45" t="s">
        <v>1127</v>
      </c>
      <c r="E144" s="44" t="s">
        <v>1128</v>
      </c>
      <c r="F144" s="45" t="s">
        <v>1129</v>
      </c>
      <c r="G144" s="45" t="s">
        <v>71</v>
      </c>
      <c r="H144" s="45" t="s">
        <v>186</v>
      </c>
      <c r="I144" s="44" t="s">
        <v>187</v>
      </c>
      <c r="J144" s="45" t="s">
        <v>49</v>
      </c>
      <c r="K144" s="45">
        <v>3.3</v>
      </c>
      <c r="L144" s="45">
        <v>80</v>
      </c>
      <c r="M144" s="45" t="s">
        <v>50</v>
      </c>
      <c r="N144" s="45" t="s">
        <v>51</v>
      </c>
      <c r="O144" s="45" t="s">
        <v>768</v>
      </c>
      <c r="P144" s="45" t="s">
        <v>53</v>
      </c>
      <c r="Q144" s="45" t="s">
        <v>54</v>
      </c>
      <c r="R144" s="45" t="s">
        <v>71</v>
      </c>
      <c r="S144" s="45" t="s">
        <v>55</v>
      </c>
      <c r="T144" s="45" t="s">
        <v>56</v>
      </c>
      <c r="U144" s="45" t="s">
        <v>57</v>
      </c>
      <c r="V144" s="45">
        <v>0</v>
      </c>
      <c r="W144" s="45" t="s">
        <v>58</v>
      </c>
      <c r="X144" s="45" t="s">
        <v>1077</v>
      </c>
      <c r="Y144" s="44" t="s">
        <v>60</v>
      </c>
      <c r="Z144" s="45" t="s">
        <v>60</v>
      </c>
      <c r="AA144" s="45" t="s">
        <v>61</v>
      </c>
      <c r="AB144" s="45"/>
      <c r="AC144" s="44"/>
      <c r="AD144" s="44"/>
      <c r="AE144" s="44"/>
      <c r="AF144" s="45"/>
      <c r="AG144" s="44"/>
      <c r="AH144" s="44"/>
      <c r="AI144" s="44"/>
      <c r="AJ144" s="45" t="s">
        <v>62</v>
      </c>
      <c r="AK144" s="45" t="s">
        <v>93</v>
      </c>
      <c r="AL144" s="45" t="s">
        <v>93</v>
      </c>
      <c r="AM144" s="44" t="s">
        <v>502</v>
      </c>
      <c r="AN144" s="44" t="s">
        <v>503</v>
      </c>
    </row>
    <row r="145" spans="1:40" ht="15" customHeight="1" x14ac:dyDescent="0.25">
      <c r="A145" s="46" t="s">
        <v>1130</v>
      </c>
      <c r="B145" s="46" t="s">
        <v>1131</v>
      </c>
      <c r="C145" s="47" t="s">
        <v>67</v>
      </c>
      <c r="D145" s="47" t="s">
        <v>1132</v>
      </c>
      <c r="E145" s="46" t="s">
        <v>1133</v>
      </c>
      <c r="F145" s="47" t="s">
        <v>1134</v>
      </c>
      <c r="G145" s="47" t="s">
        <v>46</v>
      </c>
      <c r="H145" s="47" t="s">
        <v>210</v>
      </c>
      <c r="I145" s="46" t="s">
        <v>117</v>
      </c>
      <c r="J145" s="47" t="s">
        <v>118</v>
      </c>
      <c r="K145" s="47">
        <v>2.1</v>
      </c>
      <c r="L145" s="47">
        <v>16</v>
      </c>
      <c r="M145" s="47" t="s">
        <v>119</v>
      </c>
      <c r="N145" s="47" t="s">
        <v>51</v>
      </c>
      <c r="O145" s="47" t="s">
        <v>1086</v>
      </c>
      <c r="P145" s="47" t="s">
        <v>1087</v>
      </c>
      <c r="Q145" s="47" t="s">
        <v>54</v>
      </c>
      <c r="R145" s="47" t="s">
        <v>46</v>
      </c>
      <c r="S145" s="47" t="s">
        <v>1088</v>
      </c>
      <c r="T145" s="47" t="s">
        <v>123</v>
      </c>
      <c r="U145" s="47" t="s">
        <v>197</v>
      </c>
      <c r="V145" s="47">
        <v>80000</v>
      </c>
      <c r="W145" s="47" t="s">
        <v>119</v>
      </c>
      <c r="X145" s="47" t="s">
        <v>1077</v>
      </c>
      <c r="Y145" s="46" t="s">
        <v>60</v>
      </c>
      <c r="Z145" s="47" t="s">
        <v>60</v>
      </c>
      <c r="AA145" s="47" t="s">
        <v>61</v>
      </c>
      <c r="AB145" s="47"/>
      <c r="AC145" s="46"/>
      <c r="AD145" s="46"/>
      <c r="AE145" s="46"/>
      <c r="AF145" s="47"/>
      <c r="AG145" s="46"/>
      <c r="AH145" s="46"/>
      <c r="AI145" s="46"/>
      <c r="AJ145" s="47" t="s">
        <v>62</v>
      </c>
      <c r="AK145" s="47" t="s">
        <v>93</v>
      </c>
      <c r="AL145" s="47" t="s">
        <v>63</v>
      </c>
      <c r="AM145" s="46" t="s">
        <v>64</v>
      </c>
      <c r="AN145" s="46" t="s">
        <v>64</v>
      </c>
    </row>
    <row r="146" spans="1:40" ht="15" customHeight="1" x14ac:dyDescent="0.25">
      <c r="A146" s="44" t="s">
        <v>1135</v>
      </c>
      <c r="B146" s="44" t="s">
        <v>1136</v>
      </c>
      <c r="C146" s="45" t="s">
        <v>42</v>
      </c>
      <c r="D146" s="45" t="s">
        <v>1137</v>
      </c>
      <c r="E146" s="44" t="s">
        <v>1138</v>
      </c>
      <c r="F146" s="45" t="s">
        <v>1139</v>
      </c>
      <c r="G146" s="45" t="s">
        <v>46</v>
      </c>
      <c r="H146" s="45" t="s">
        <v>140</v>
      </c>
      <c r="I146" s="44" t="s">
        <v>117</v>
      </c>
      <c r="J146" s="45" t="s">
        <v>74</v>
      </c>
      <c r="K146" s="45">
        <v>3.88</v>
      </c>
      <c r="L146" s="45">
        <v>48</v>
      </c>
      <c r="M146" s="45" t="s">
        <v>50</v>
      </c>
      <c r="N146" s="45" t="s">
        <v>51</v>
      </c>
      <c r="O146" s="45" t="s">
        <v>1045</v>
      </c>
      <c r="P146" s="45" t="s">
        <v>121</v>
      </c>
      <c r="Q146" s="45" t="s">
        <v>54</v>
      </c>
      <c r="R146" s="45" t="s">
        <v>46</v>
      </c>
      <c r="S146" s="45" t="s">
        <v>77</v>
      </c>
      <c r="T146" s="45" t="s">
        <v>78</v>
      </c>
      <c r="U146" s="45" t="s">
        <v>57</v>
      </c>
      <c r="V146" s="45">
        <v>0</v>
      </c>
      <c r="W146" s="45" t="s">
        <v>58</v>
      </c>
      <c r="X146" s="45" t="s">
        <v>1077</v>
      </c>
      <c r="Y146" s="44" t="s">
        <v>60</v>
      </c>
      <c r="Z146" s="45" t="s">
        <v>60</v>
      </c>
      <c r="AA146" s="45" t="s">
        <v>61</v>
      </c>
      <c r="AB146" s="45"/>
      <c r="AC146" s="44"/>
      <c r="AD146" s="44"/>
      <c r="AE146" s="44"/>
      <c r="AF146" s="45"/>
      <c r="AG146" s="44"/>
      <c r="AH146" s="44"/>
      <c r="AI146" s="44"/>
      <c r="AJ146" s="45" t="s">
        <v>62</v>
      </c>
      <c r="AK146" s="45" t="s">
        <v>93</v>
      </c>
      <c r="AL146" s="45" t="s">
        <v>63</v>
      </c>
      <c r="AM146" s="44" t="s">
        <v>64</v>
      </c>
      <c r="AN146" s="44" t="s">
        <v>64</v>
      </c>
    </row>
    <row r="147" spans="1:40" ht="15" customHeight="1" x14ac:dyDescent="0.25">
      <c r="A147" s="44" t="s">
        <v>1140</v>
      </c>
      <c r="B147" s="44" t="s">
        <v>1141</v>
      </c>
      <c r="C147" s="45" t="s">
        <v>67</v>
      </c>
      <c r="D147" s="45" t="s">
        <v>1142</v>
      </c>
      <c r="E147" s="44" t="s">
        <v>1143</v>
      </c>
      <c r="F147" s="45" t="s">
        <v>1144</v>
      </c>
      <c r="G147" s="45" t="s">
        <v>71</v>
      </c>
      <c r="H147" s="45" t="s">
        <v>241</v>
      </c>
      <c r="I147" s="44" t="s">
        <v>187</v>
      </c>
      <c r="J147" s="45" t="s">
        <v>86</v>
      </c>
      <c r="K147" s="45">
        <v>3</v>
      </c>
      <c r="L147" s="45">
        <v>112</v>
      </c>
      <c r="M147" s="45" t="s">
        <v>50</v>
      </c>
      <c r="N147" s="45" t="s">
        <v>51</v>
      </c>
      <c r="O147" s="45" t="s">
        <v>75</v>
      </c>
      <c r="P147" s="45" t="s">
        <v>732</v>
      </c>
      <c r="Q147" s="45" t="s">
        <v>54</v>
      </c>
      <c r="R147" s="45" t="s">
        <v>71</v>
      </c>
      <c r="S147" s="45" t="s">
        <v>1093</v>
      </c>
      <c r="T147" s="45" t="s">
        <v>91</v>
      </c>
      <c r="U147" s="45" t="s">
        <v>57</v>
      </c>
      <c r="V147" s="45">
        <v>0</v>
      </c>
      <c r="W147" s="45" t="s">
        <v>58</v>
      </c>
      <c r="X147" s="45" t="s">
        <v>1077</v>
      </c>
      <c r="Y147" s="44" t="s">
        <v>60</v>
      </c>
      <c r="Z147" s="45" t="s">
        <v>60</v>
      </c>
      <c r="AA147" s="45" t="s">
        <v>61</v>
      </c>
      <c r="AB147" s="45"/>
      <c r="AC147" s="44"/>
      <c r="AD147" s="44"/>
      <c r="AE147" s="44"/>
      <c r="AF147" s="45"/>
      <c r="AG147" s="44"/>
      <c r="AH147" s="44"/>
      <c r="AI147" s="44"/>
      <c r="AJ147" s="45" t="s">
        <v>62</v>
      </c>
      <c r="AK147" s="45" t="s">
        <v>93</v>
      </c>
      <c r="AL147" s="45" t="s">
        <v>63</v>
      </c>
      <c r="AM147" s="44" t="s">
        <v>64</v>
      </c>
      <c r="AN147" s="44" t="s">
        <v>64</v>
      </c>
    </row>
    <row r="148" spans="1:40" ht="15" customHeight="1" x14ac:dyDescent="0.25">
      <c r="A148" s="44" t="s">
        <v>1145</v>
      </c>
      <c r="B148" s="44" t="s">
        <v>1146</v>
      </c>
      <c r="C148" s="45" t="s">
        <v>42</v>
      </c>
      <c r="D148" s="45" t="s">
        <v>1147</v>
      </c>
      <c r="E148" s="44" t="s">
        <v>1148</v>
      </c>
      <c r="F148" s="45" t="s">
        <v>1149</v>
      </c>
      <c r="G148" s="45" t="s">
        <v>46</v>
      </c>
      <c r="H148" s="45" t="s">
        <v>173</v>
      </c>
      <c r="I148" s="44" t="s">
        <v>117</v>
      </c>
      <c r="J148" s="45" t="s">
        <v>74</v>
      </c>
      <c r="K148" s="45">
        <v>2.7</v>
      </c>
      <c r="L148" s="45">
        <v>48</v>
      </c>
      <c r="M148" s="45" t="s">
        <v>50</v>
      </c>
      <c r="N148" s="45" t="s">
        <v>51</v>
      </c>
      <c r="O148" s="45" t="s">
        <v>1045</v>
      </c>
      <c r="P148" s="45" t="s">
        <v>121</v>
      </c>
      <c r="Q148" s="45" t="s">
        <v>54</v>
      </c>
      <c r="R148" s="45" t="s">
        <v>46</v>
      </c>
      <c r="S148" s="45" t="s">
        <v>77</v>
      </c>
      <c r="T148" s="45" t="s">
        <v>78</v>
      </c>
      <c r="U148" s="45" t="s">
        <v>124</v>
      </c>
      <c r="V148" s="45">
        <v>75000</v>
      </c>
      <c r="W148" s="45" t="s">
        <v>58</v>
      </c>
      <c r="X148" s="45" t="s">
        <v>1077</v>
      </c>
      <c r="Y148" s="44" t="s">
        <v>60</v>
      </c>
      <c r="Z148" s="45" t="s">
        <v>60</v>
      </c>
      <c r="AA148" s="45" t="s">
        <v>61</v>
      </c>
      <c r="AB148" s="45"/>
      <c r="AC148" s="44"/>
      <c r="AD148" s="44"/>
      <c r="AE148" s="44"/>
      <c r="AF148" s="45"/>
      <c r="AG148" s="44"/>
      <c r="AH148" s="44"/>
      <c r="AI148" s="44"/>
      <c r="AJ148" s="45" t="s">
        <v>62</v>
      </c>
      <c r="AK148" s="45" t="s">
        <v>93</v>
      </c>
      <c r="AL148" s="45" t="s">
        <v>63</v>
      </c>
      <c r="AM148" s="44" t="s">
        <v>64</v>
      </c>
      <c r="AN148" s="44" t="s">
        <v>64</v>
      </c>
    </row>
    <row r="149" spans="1:40" ht="15" customHeight="1" x14ac:dyDescent="0.25">
      <c r="A149" s="44" t="s">
        <v>1150</v>
      </c>
      <c r="B149" s="44" t="s">
        <v>1151</v>
      </c>
      <c r="C149" s="45" t="s">
        <v>42</v>
      </c>
      <c r="D149" s="45" t="s">
        <v>1152</v>
      </c>
      <c r="E149" s="44" t="s">
        <v>1153</v>
      </c>
      <c r="F149" s="45" t="s">
        <v>1154</v>
      </c>
      <c r="G149" s="45" t="s">
        <v>156</v>
      </c>
      <c r="H149" s="45" t="s">
        <v>252</v>
      </c>
      <c r="I149" s="44" t="s">
        <v>73</v>
      </c>
      <c r="J149" s="45" t="s">
        <v>49</v>
      </c>
      <c r="K149" s="45">
        <v>3.58</v>
      </c>
      <c r="L149" s="45">
        <v>80</v>
      </c>
      <c r="M149" s="45" t="s">
        <v>50</v>
      </c>
      <c r="N149" s="45" t="s">
        <v>51</v>
      </c>
      <c r="O149" s="45" t="s">
        <v>768</v>
      </c>
      <c r="P149" s="45" t="s">
        <v>53</v>
      </c>
      <c r="Q149" s="45" t="s">
        <v>54</v>
      </c>
      <c r="R149" s="45" t="s">
        <v>156</v>
      </c>
      <c r="S149" s="45" t="s">
        <v>55</v>
      </c>
      <c r="T149" s="45" t="s">
        <v>56</v>
      </c>
      <c r="U149" s="45" t="s">
        <v>57</v>
      </c>
      <c r="V149" s="45">
        <v>0</v>
      </c>
      <c r="W149" s="45" t="s">
        <v>58</v>
      </c>
      <c r="X149" s="45" t="s">
        <v>1077</v>
      </c>
      <c r="Y149" s="44" t="s">
        <v>60</v>
      </c>
      <c r="Z149" s="45" t="s">
        <v>60</v>
      </c>
      <c r="AA149" s="45" t="s">
        <v>61</v>
      </c>
      <c r="AB149" s="45"/>
      <c r="AC149" s="44"/>
      <c r="AD149" s="44"/>
      <c r="AE149" s="44"/>
      <c r="AF149" s="45"/>
      <c r="AG149" s="44"/>
      <c r="AH149" s="44"/>
      <c r="AI149" s="44"/>
      <c r="AJ149" s="45" t="s">
        <v>62</v>
      </c>
      <c r="AK149" s="45" t="s">
        <v>93</v>
      </c>
      <c r="AL149" s="45" t="s">
        <v>93</v>
      </c>
      <c r="AM149" s="44" t="s">
        <v>596</v>
      </c>
      <c r="AN149" s="44" t="s">
        <v>597</v>
      </c>
    </row>
    <row r="150" spans="1:40" ht="15" customHeight="1" x14ac:dyDescent="0.25">
      <c r="A150" s="44" t="s">
        <v>1155</v>
      </c>
      <c r="B150" s="44" t="s">
        <v>1156</v>
      </c>
      <c r="C150" s="45" t="s">
        <v>67</v>
      </c>
      <c r="D150" s="45" t="s">
        <v>1157</v>
      </c>
      <c r="E150" s="44" t="s">
        <v>1158</v>
      </c>
      <c r="F150" s="45" t="s">
        <v>1159</v>
      </c>
      <c r="G150" s="45" t="s">
        <v>46</v>
      </c>
      <c r="H150" s="45" t="s">
        <v>179</v>
      </c>
      <c r="I150" s="44" t="s">
        <v>85</v>
      </c>
      <c r="J150" s="45" t="s">
        <v>118</v>
      </c>
      <c r="K150" s="45">
        <v>3.2</v>
      </c>
      <c r="L150" s="45">
        <v>16</v>
      </c>
      <c r="M150" s="45" t="s">
        <v>50</v>
      </c>
      <c r="N150" s="45" t="s">
        <v>51</v>
      </c>
      <c r="O150" s="45" t="s">
        <v>1086</v>
      </c>
      <c r="P150" s="45" t="s">
        <v>1087</v>
      </c>
      <c r="Q150" s="45" t="s">
        <v>54</v>
      </c>
      <c r="R150" s="45" t="s">
        <v>46</v>
      </c>
      <c r="S150" s="45" t="s">
        <v>1088</v>
      </c>
      <c r="T150" s="45" t="s">
        <v>123</v>
      </c>
      <c r="U150" s="45" t="s">
        <v>57</v>
      </c>
      <c r="V150" s="45">
        <v>0</v>
      </c>
      <c r="W150" s="45" t="s">
        <v>58</v>
      </c>
      <c r="X150" s="45" t="s">
        <v>1077</v>
      </c>
      <c r="Y150" s="44" t="s">
        <v>60</v>
      </c>
      <c r="Z150" s="45" t="s">
        <v>60</v>
      </c>
      <c r="AA150" s="45" t="s">
        <v>61</v>
      </c>
      <c r="AB150" s="45"/>
      <c r="AC150" s="44"/>
      <c r="AD150" s="44"/>
      <c r="AE150" s="44"/>
      <c r="AF150" s="45"/>
      <c r="AG150" s="44"/>
      <c r="AH150" s="44"/>
      <c r="AI150" s="44"/>
      <c r="AJ150" s="45" t="s">
        <v>62</v>
      </c>
      <c r="AK150" s="45" t="s">
        <v>93</v>
      </c>
      <c r="AL150" s="45" t="s">
        <v>63</v>
      </c>
      <c r="AM150" s="44" t="s">
        <v>64</v>
      </c>
      <c r="AN150" s="44" t="s">
        <v>64</v>
      </c>
    </row>
    <row r="151" spans="1:40" ht="15" customHeight="1" x14ac:dyDescent="0.25">
      <c r="A151" s="52" t="s">
        <v>1160</v>
      </c>
      <c r="B151" s="52" t="s">
        <v>1161</v>
      </c>
      <c r="C151" s="53" t="s">
        <v>42</v>
      </c>
      <c r="D151" s="53" t="s">
        <v>1162</v>
      </c>
      <c r="E151" s="52" t="s">
        <v>1163</v>
      </c>
      <c r="F151" s="53" t="s">
        <v>1164</v>
      </c>
      <c r="G151" s="53" t="s">
        <v>71</v>
      </c>
      <c r="H151" s="53" t="s">
        <v>203</v>
      </c>
      <c r="I151" s="52" t="s">
        <v>204</v>
      </c>
      <c r="J151" s="53" t="s">
        <v>86</v>
      </c>
      <c r="K151" s="53">
        <v>2.4</v>
      </c>
      <c r="L151" s="53">
        <v>112</v>
      </c>
      <c r="M151" s="53" t="s">
        <v>158</v>
      </c>
      <c r="N151" s="53" t="s">
        <v>51</v>
      </c>
      <c r="O151" s="53" t="s">
        <v>75</v>
      </c>
      <c r="P151" s="53" t="s">
        <v>732</v>
      </c>
      <c r="Q151" s="53" t="s">
        <v>54</v>
      </c>
      <c r="R151" s="53" t="s">
        <v>71</v>
      </c>
      <c r="S151" s="53" t="s">
        <v>1093</v>
      </c>
      <c r="T151" s="53" t="s">
        <v>91</v>
      </c>
      <c r="U151" s="53" t="s">
        <v>160</v>
      </c>
      <c r="V151" s="53">
        <v>0</v>
      </c>
      <c r="W151" s="53" t="s">
        <v>58</v>
      </c>
      <c r="X151" s="53" t="s">
        <v>1077</v>
      </c>
      <c r="Y151" s="52" t="s">
        <v>60</v>
      </c>
      <c r="Z151" s="53" t="s">
        <v>60</v>
      </c>
      <c r="AA151" s="53" t="s">
        <v>61</v>
      </c>
      <c r="AB151" s="53"/>
      <c r="AC151" s="52"/>
      <c r="AD151" s="52"/>
      <c r="AE151" s="52"/>
      <c r="AF151" s="53"/>
      <c r="AG151" s="52"/>
      <c r="AH151" s="52"/>
      <c r="AI151" s="52"/>
      <c r="AJ151" s="53" t="s">
        <v>62</v>
      </c>
      <c r="AK151" s="53" t="s">
        <v>93</v>
      </c>
      <c r="AL151" s="53" t="s">
        <v>63</v>
      </c>
      <c r="AM151" s="52" t="s">
        <v>64</v>
      </c>
      <c r="AN151" s="52" t="s">
        <v>64</v>
      </c>
    </row>
    <row r="152" spans="1:40" ht="15" customHeight="1" x14ac:dyDescent="0.25">
      <c r="A152" s="44" t="s">
        <v>1165</v>
      </c>
      <c r="B152" s="44" t="s">
        <v>1166</v>
      </c>
      <c r="C152" s="45" t="s">
        <v>67</v>
      </c>
      <c r="D152" s="45" t="s">
        <v>1167</v>
      </c>
      <c r="E152" s="44" t="s">
        <v>1168</v>
      </c>
      <c r="F152" s="45" t="s">
        <v>1169</v>
      </c>
      <c r="G152" s="45" t="s">
        <v>46</v>
      </c>
      <c r="H152" s="45" t="s">
        <v>230</v>
      </c>
      <c r="I152" s="44" t="s">
        <v>102</v>
      </c>
      <c r="J152" s="45" t="s">
        <v>74</v>
      </c>
      <c r="K152" s="45">
        <v>3.4</v>
      </c>
      <c r="L152" s="45">
        <v>48</v>
      </c>
      <c r="M152" s="45" t="s">
        <v>50</v>
      </c>
      <c r="N152" s="45" t="s">
        <v>51</v>
      </c>
      <c r="O152" s="45" t="s">
        <v>1045</v>
      </c>
      <c r="P152" s="45" t="s">
        <v>121</v>
      </c>
      <c r="Q152" s="45" t="s">
        <v>54</v>
      </c>
      <c r="R152" s="45" t="s">
        <v>46</v>
      </c>
      <c r="S152" s="45" t="s">
        <v>77</v>
      </c>
      <c r="T152" s="45" t="s">
        <v>78</v>
      </c>
      <c r="U152" s="45" t="s">
        <v>57</v>
      </c>
      <c r="V152" s="45">
        <v>0</v>
      </c>
      <c r="W152" s="45" t="s">
        <v>58</v>
      </c>
      <c r="X152" s="45" t="s">
        <v>1077</v>
      </c>
      <c r="Y152" s="44" t="s">
        <v>60</v>
      </c>
      <c r="Z152" s="45" t="s">
        <v>60</v>
      </c>
      <c r="AA152" s="45" t="s">
        <v>61</v>
      </c>
      <c r="AB152" s="45"/>
      <c r="AC152" s="44"/>
      <c r="AD152" s="44"/>
      <c r="AE152" s="44"/>
      <c r="AF152" s="45"/>
      <c r="AG152" s="44"/>
      <c r="AH152" s="44"/>
      <c r="AI152" s="44"/>
      <c r="AJ152" s="45" t="s">
        <v>62</v>
      </c>
      <c r="AK152" s="45" t="s">
        <v>93</v>
      </c>
      <c r="AL152" s="45" t="s">
        <v>63</v>
      </c>
      <c r="AM152" s="44" t="s">
        <v>64</v>
      </c>
      <c r="AN152" s="44" t="s">
        <v>64</v>
      </c>
    </row>
    <row r="153" spans="1:40" ht="15" customHeight="1" x14ac:dyDescent="0.25">
      <c r="A153" s="46" t="s">
        <v>1170</v>
      </c>
      <c r="B153" s="46" t="s">
        <v>1171</v>
      </c>
      <c r="C153" s="47" t="s">
        <v>42</v>
      </c>
      <c r="D153" s="47" t="s">
        <v>1172</v>
      </c>
      <c r="E153" s="46" t="s">
        <v>1173</v>
      </c>
      <c r="F153" s="47" t="s">
        <v>1174</v>
      </c>
      <c r="G153" s="47" t="s">
        <v>46</v>
      </c>
      <c r="H153" s="47" t="s">
        <v>166</v>
      </c>
      <c r="I153" s="46" t="s">
        <v>48</v>
      </c>
      <c r="J153" s="47" t="s">
        <v>74</v>
      </c>
      <c r="K153" s="47">
        <v>1.8</v>
      </c>
      <c r="L153" s="47">
        <v>48</v>
      </c>
      <c r="M153" s="47" t="s">
        <v>119</v>
      </c>
      <c r="N153" s="47" t="s">
        <v>51</v>
      </c>
      <c r="O153" s="47" t="s">
        <v>1045</v>
      </c>
      <c r="P153" s="47" t="s">
        <v>121</v>
      </c>
      <c r="Q153" s="47" t="s">
        <v>54</v>
      </c>
      <c r="R153" s="47" t="s">
        <v>46</v>
      </c>
      <c r="S153" s="47" t="s">
        <v>77</v>
      </c>
      <c r="T153" s="47" t="s">
        <v>78</v>
      </c>
      <c r="U153" s="47" t="s">
        <v>197</v>
      </c>
      <c r="V153" s="47">
        <v>80000</v>
      </c>
      <c r="W153" s="47" t="s">
        <v>119</v>
      </c>
      <c r="X153" s="47" t="s">
        <v>1077</v>
      </c>
      <c r="Y153" s="46" t="s">
        <v>60</v>
      </c>
      <c r="Z153" s="47" t="s">
        <v>60</v>
      </c>
      <c r="AA153" s="47" t="s">
        <v>61</v>
      </c>
      <c r="AB153" s="47"/>
      <c r="AC153" s="46"/>
      <c r="AD153" s="46"/>
      <c r="AE153" s="46"/>
      <c r="AF153" s="47"/>
      <c r="AG153" s="46"/>
      <c r="AH153" s="46"/>
      <c r="AI153" s="46"/>
      <c r="AJ153" s="47" t="s">
        <v>62</v>
      </c>
      <c r="AK153" s="47" t="s">
        <v>93</v>
      </c>
      <c r="AL153" s="47" t="s">
        <v>93</v>
      </c>
      <c r="AM153" s="46" t="s">
        <v>801</v>
      </c>
      <c r="AN153" s="46" t="s">
        <v>802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78"/>
  <sheetViews>
    <sheetView showGridLines="0" zoomScaleNormal="100" workbookViewId="0">
      <pane ySplit="1" topLeftCell="A2" activePane="bottomLeft" state="frozen"/>
      <selection pane="bottomLeft"/>
    </sheetView>
  </sheetViews>
  <sheetFormatPr defaultColWidth="8.7109375" defaultRowHeight="15" x14ac:dyDescent="0.25"/>
  <cols>
    <col min="1" max="1" width="10" customWidth="1"/>
    <col min="2" max="2" width="30" customWidth="1"/>
    <col min="3" max="3" width="24" customWidth="1"/>
    <col min="4" max="4" width="22" customWidth="1"/>
    <col min="5" max="5" width="8" customWidth="1"/>
    <col min="6" max="7" width="10" customWidth="1"/>
    <col min="8" max="8" width="18" customWidth="1"/>
    <col min="9" max="9" width="8" customWidth="1"/>
    <col min="10" max="10" width="10" customWidth="1"/>
  </cols>
  <sheetData>
    <row r="1" spans="1:11" ht="30" customHeight="1" x14ac:dyDescent="0.25">
      <c r="A1" s="54" t="s">
        <v>1175</v>
      </c>
      <c r="B1" s="54" t="s">
        <v>1176</v>
      </c>
      <c r="C1" s="54" t="s">
        <v>8</v>
      </c>
      <c r="D1" s="54" t="s">
        <v>1177</v>
      </c>
      <c r="E1" s="54" t="s">
        <v>1178</v>
      </c>
      <c r="F1" s="54" t="s">
        <v>1179</v>
      </c>
      <c r="G1" s="54" t="s">
        <v>1180</v>
      </c>
      <c r="H1" s="54" t="s">
        <v>1181</v>
      </c>
      <c r="I1" s="54" t="s">
        <v>1182</v>
      </c>
      <c r="J1" s="54" t="s">
        <v>12</v>
      </c>
      <c r="K1" s="54" t="s">
        <v>35</v>
      </c>
    </row>
    <row r="2" spans="1:11" ht="15" customHeight="1" x14ac:dyDescent="0.25">
      <c r="A2" s="55" t="s">
        <v>1183</v>
      </c>
      <c r="B2" s="55" t="s">
        <v>1184</v>
      </c>
      <c r="C2" s="55" t="s">
        <v>48</v>
      </c>
      <c r="D2" s="55" t="s">
        <v>364</v>
      </c>
      <c r="E2" s="55">
        <v>4</v>
      </c>
      <c r="F2" s="55">
        <v>18</v>
      </c>
      <c r="G2" s="55" t="s">
        <v>1185</v>
      </c>
      <c r="H2" s="55" t="s">
        <v>1186</v>
      </c>
      <c r="I2" s="55" t="s">
        <v>1187</v>
      </c>
      <c r="J2" s="55" t="s">
        <v>50</v>
      </c>
      <c r="K2" s="55" t="s">
        <v>62</v>
      </c>
    </row>
    <row r="3" spans="1:11" ht="15" customHeight="1" x14ac:dyDescent="0.25">
      <c r="A3" s="56" t="s">
        <v>1188</v>
      </c>
      <c r="B3" s="56" t="s">
        <v>1189</v>
      </c>
      <c r="C3" s="56" t="s">
        <v>48</v>
      </c>
      <c r="D3" s="56" t="s">
        <v>364</v>
      </c>
      <c r="E3" s="56">
        <v>3</v>
      </c>
      <c r="F3" s="56">
        <v>22</v>
      </c>
      <c r="G3" s="56" t="s">
        <v>1185</v>
      </c>
      <c r="H3" s="56" t="s">
        <v>1190</v>
      </c>
      <c r="I3" s="56" t="s">
        <v>1191</v>
      </c>
      <c r="J3" s="56" t="s">
        <v>50</v>
      </c>
      <c r="K3" s="56" t="s">
        <v>62</v>
      </c>
    </row>
    <row r="4" spans="1:11" ht="15" customHeight="1" x14ac:dyDescent="0.25">
      <c r="A4" s="55" t="s">
        <v>1192</v>
      </c>
      <c r="B4" s="55" t="s">
        <v>1193</v>
      </c>
      <c r="C4" s="55" t="s">
        <v>73</v>
      </c>
      <c r="D4" s="55" t="s">
        <v>291</v>
      </c>
      <c r="E4" s="55">
        <v>3</v>
      </c>
      <c r="F4" s="55">
        <v>35</v>
      </c>
      <c r="G4" s="55" t="s">
        <v>1185</v>
      </c>
      <c r="H4" s="55" t="s">
        <v>1194</v>
      </c>
      <c r="I4" s="55" t="s">
        <v>1195</v>
      </c>
      <c r="J4" s="55" t="s">
        <v>50</v>
      </c>
      <c r="K4" s="55" t="s">
        <v>62</v>
      </c>
    </row>
    <row r="5" spans="1:11" ht="15" customHeight="1" x14ac:dyDescent="0.25">
      <c r="A5" s="56" t="s">
        <v>1196</v>
      </c>
      <c r="B5" s="56" t="s">
        <v>1197</v>
      </c>
      <c r="C5" s="56" t="s">
        <v>73</v>
      </c>
      <c r="D5" s="56" t="s">
        <v>1198</v>
      </c>
      <c r="E5" s="56">
        <v>4</v>
      </c>
      <c r="F5" s="56">
        <v>28</v>
      </c>
      <c r="G5" s="56" t="s">
        <v>1185</v>
      </c>
      <c r="H5" s="56" t="s">
        <v>1199</v>
      </c>
      <c r="I5" s="56" t="s">
        <v>1200</v>
      </c>
      <c r="J5" s="56" t="s">
        <v>50</v>
      </c>
      <c r="K5" s="56" t="s">
        <v>62</v>
      </c>
    </row>
    <row r="6" spans="1:11" ht="15" customHeight="1" x14ac:dyDescent="0.25">
      <c r="A6" s="55" t="s">
        <v>1201</v>
      </c>
      <c r="B6" s="55" t="s">
        <v>1202</v>
      </c>
      <c r="C6" s="55" t="s">
        <v>85</v>
      </c>
      <c r="D6" s="55" t="s">
        <v>392</v>
      </c>
      <c r="E6" s="55">
        <v>4</v>
      </c>
      <c r="F6" s="55">
        <v>15</v>
      </c>
      <c r="G6" s="55" t="s">
        <v>1185</v>
      </c>
      <c r="H6" s="55" t="s">
        <v>1203</v>
      </c>
      <c r="I6" s="55" t="s">
        <v>1204</v>
      </c>
      <c r="J6" s="55" t="s">
        <v>50</v>
      </c>
      <c r="K6" s="55" t="s">
        <v>62</v>
      </c>
    </row>
    <row r="7" spans="1:11" ht="15" customHeight="1" x14ac:dyDescent="0.25">
      <c r="A7" s="56" t="s">
        <v>1205</v>
      </c>
      <c r="B7" s="56" t="s">
        <v>1206</v>
      </c>
      <c r="C7" s="56" t="s">
        <v>85</v>
      </c>
      <c r="D7" s="56" t="s">
        <v>1207</v>
      </c>
      <c r="E7" s="56">
        <v>4</v>
      </c>
      <c r="F7" s="56">
        <v>12</v>
      </c>
      <c r="G7" s="56" t="s">
        <v>1185</v>
      </c>
      <c r="H7" s="56" t="s">
        <v>1208</v>
      </c>
      <c r="I7" s="56" t="s">
        <v>1209</v>
      </c>
      <c r="J7" s="56" t="s">
        <v>50</v>
      </c>
      <c r="K7" s="56" t="s">
        <v>62</v>
      </c>
    </row>
    <row r="8" spans="1:11" ht="15" customHeight="1" x14ac:dyDescent="0.25">
      <c r="A8" s="55" t="s">
        <v>1210</v>
      </c>
      <c r="B8" s="55" t="s">
        <v>1211</v>
      </c>
      <c r="C8" s="55" t="s">
        <v>149</v>
      </c>
      <c r="D8" s="55" t="s">
        <v>1212</v>
      </c>
      <c r="E8" s="55">
        <v>4</v>
      </c>
      <c r="F8" s="55">
        <v>20</v>
      </c>
      <c r="G8" s="55" t="s">
        <v>1185</v>
      </c>
      <c r="H8" s="55" t="s">
        <v>1213</v>
      </c>
      <c r="I8" s="55" t="s">
        <v>1214</v>
      </c>
      <c r="J8" s="55" t="s">
        <v>50</v>
      </c>
      <c r="K8" s="55" t="s">
        <v>62</v>
      </c>
    </row>
    <row r="9" spans="1:11" ht="15" customHeight="1" x14ac:dyDescent="0.25">
      <c r="A9" s="56" t="s">
        <v>1215</v>
      </c>
      <c r="B9" s="56" t="s">
        <v>1216</v>
      </c>
      <c r="C9" s="56" t="s">
        <v>117</v>
      </c>
      <c r="D9" s="56" t="s">
        <v>1217</v>
      </c>
      <c r="E9" s="56">
        <v>3</v>
      </c>
      <c r="F9" s="56">
        <v>24</v>
      </c>
      <c r="G9" s="56" t="s">
        <v>1185</v>
      </c>
      <c r="H9" s="56" t="s">
        <v>1218</v>
      </c>
      <c r="I9" s="56" t="s">
        <v>1219</v>
      </c>
      <c r="J9" s="56" t="s">
        <v>50</v>
      </c>
      <c r="K9" s="56" t="s">
        <v>62</v>
      </c>
    </row>
    <row r="10" spans="1:11" ht="15" customHeight="1" x14ac:dyDescent="0.25">
      <c r="A10" s="55" t="s">
        <v>1220</v>
      </c>
      <c r="B10" s="55" t="s">
        <v>1221</v>
      </c>
      <c r="C10" s="55" t="s">
        <v>102</v>
      </c>
      <c r="D10" s="55" t="s">
        <v>407</v>
      </c>
      <c r="E10" s="55">
        <v>5</v>
      </c>
      <c r="F10" s="55">
        <v>18</v>
      </c>
      <c r="G10" s="55" t="s">
        <v>1185</v>
      </c>
      <c r="H10" s="55" t="s">
        <v>1222</v>
      </c>
      <c r="I10" s="55" t="s">
        <v>1223</v>
      </c>
      <c r="J10" s="55" t="s">
        <v>50</v>
      </c>
      <c r="K10" s="55" t="s">
        <v>62</v>
      </c>
    </row>
    <row r="11" spans="1:11" ht="15" customHeight="1" x14ac:dyDescent="0.25">
      <c r="A11" s="56" t="s">
        <v>1224</v>
      </c>
      <c r="B11" s="56" t="s">
        <v>1225</v>
      </c>
      <c r="C11" s="56" t="s">
        <v>134</v>
      </c>
      <c r="D11" s="56" t="s">
        <v>377</v>
      </c>
      <c r="E11" s="56">
        <v>3</v>
      </c>
      <c r="F11" s="56">
        <v>20</v>
      </c>
      <c r="G11" s="56" t="s">
        <v>1185</v>
      </c>
      <c r="H11" s="56" t="s">
        <v>1226</v>
      </c>
      <c r="I11" s="56" t="s">
        <v>1227</v>
      </c>
      <c r="J11" s="56" t="s">
        <v>50</v>
      </c>
      <c r="K11" s="56" t="s">
        <v>62</v>
      </c>
    </row>
    <row r="12" spans="1:11" ht="15" customHeight="1" x14ac:dyDescent="0.25">
      <c r="A12" s="55" t="s">
        <v>1228</v>
      </c>
      <c r="B12" s="55" t="s">
        <v>1229</v>
      </c>
      <c r="C12" s="55" t="s">
        <v>187</v>
      </c>
      <c r="D12" s="55" t="s">
        <v>1230</v>
      </c>
      <c r="E12" s="55">
        <v>3</v>
      </c>
      <c r="F12" s="55">
        <v>26</v>
      </c>
      <c r="G12" s="55" t="s">
        <v>1185</v>
      </c>
      <c r="H12" s="55" t="s">
        <v>1231</v>
      </c>
      <c r="I12" s="55" t="s">
        <v>1232</v>
      </c>
      <c r="J12" s="55" t="s">
        <v>50</v>
      </c>
      <c r="K12" s="55" t="s">
        <v>62</v>
      </c>
    </row>
    <row r="13" spans="1:11" ht="15" customHeight="1" x14ac:dyDescent="0.25">
      <c r="A13" s="56" t="s">
        <v>1233</v>
      </c>
      <c r="B13" s="56" t="s">
        <v>1234</v>
      </c>
      <c r="C13" s="56" t="s">
        <v>204</v>
      </c>
      <c r="D13" s="56" t="s">
        <v>324</v>
      </c>
      <c r="E13" s="56">
        <v>3</v>
      </c>
      <c r="F13" s="56">
        <v>30</v>
      </c>
      <c r="G13" s="56" t="s">
        <v>1185</v>
      </c>
      <c r="H13" s="56" t="s">
        <v>1235</v>
      </c>
      <c r="I13" s="56" t="s">
        <v>1236</v>
      </c>
      <c r="J13" s="56" t="s">
        <v>50</v>
      </c>
      <c r="K13" s="56" t="s">
        <v>62</v>
      </c>
    </row>
    <row r="14" spans="1:11" ht="15" customHeight="1" x14ac:dyDescent="0.25">
      <c r="A14" s="55" t="s">
        <v>1237</v>
      </c>
      <c r="B14" s="55" t="s">
        <v>1238</v>
      </c>
      <c r="C14" s="55" t="s">
        <v>117</v>
      </c>
      <c r="D14" s="55" t="s">
        <v>1239</v>
      </c>
      <c r="E14" s="55">
        <v>4</v>
      </c>
      <c r="F14" s="55">
        <v>40</v>
      </c>
      <c r="G14" s="55" t="s">
        <v>1185</v>
      </c>
      <c r="H14" s="55" t="s">
        <v>1240</v>
      </c>
      <c r="I14" s="55" t="s">
        <v>1241</v>
      </c>
      <c r="J14" s="55" t="s">
        <v>50</v>
      </c>
      <c r="K14" s="55" t="s">
        <v>62</v>
      </c>
    </row>
    <row r="15" spans="1:11" ht="15" customHeight="1" x14ac:dyDescent="0.25">
      <c r="A15" s="56" t="s">
        <v>1242</v>
      </c>
      <c r="B15" s="56" t="s">
        <v>1243</v>
      </c>
      <c r="C15" s="56" t="s">
        <v>117</v>
      </c>
      <c r="D15" s="56" t="s">
        <v>1239</v>
      </c>
      <c r="E15" s="56">
        <v>3</v>
      </c>
      <c r="F15" s="56">
        <v>32</v>
      </c>
      <c r="G15" s="56" t="s">
        <v>1185</v>
      </c>
      <c r="H15" s="56" t="s">
        <v>1244</v>
      </c>
      <c r="I15" s="56" t="s">
        <v>1245</v>
      </c>
      <c r="J15" s="56" t="s">
        <v>50</v>
      </c>
      <c r="K15" s="56" t="s">
        <v>62</v>
      </c>
    </row>
    <row r="16" spans="1:11" ht="15" customHeight="1" x14ac:dyDescent="0.25">
      <c r="A16" s="55" t="s">
        <v>1246</v>
      </c>
      <c r="B16" s="55" t="s">
        <v>1247</v>
      </c>
      <c r="C16" s="55" t="s">
        <v>48</v>
      </c>
      <c r="D16" s="55" t="s">
        <v>275</v>
      </c>
      <c r="E16" s="55">
        <v>3</v>
      </c>
      <c r="F16" s="55">
        <v>26</v>
      </c>
      <c r="G16" s="55" t="s">
        <v>1185</v>
      </c>
      <c r="H16" s="55" t="s">
        <v>1248</v>
      </c>
      <c r="I16" s="55" t="s">
        <v>1249</v>
      </c>
      <c r="J16" s="55" t="s">
        <v>50</v>
      </c>
      <c r="K16" s="55" t="s">
        <v>62</v>
      </c>
    </row>
    <row r="17" spans="1:11" ht="15" customHeight="1" x14ac:dyDescent="0.25">
      <c r="A17" s="56" t="s">
        <v>1250</v>
      </c>
      <c r="B17" s="56" t="s">
        <v>1251</v>
      </c>
      <c r="C17" s="56" t="s">
        <v>117</v>
      </c>
      <c r="D17" s="56" t="s">
        <v>314</v>
      </c>
      <c r="E17" s="56">
        <v>3</v>
      </c>
      <c r="F17" s="56">
        <v>22</v>
      </c>
      <c r="G17" s="56" t="s">
        <v>1252</v>
      </c>
      <c r="H17" s="56" t="s">
        <v>1253</v>
      </c>
      <c r="I17" s="56" t="s">
        <v>1254</v>
      </c>
      <c r="J17" s="56" t="s">
        <v>50</v>
      </c>
      <c r="K17" s="56" t="s">
        <v>62</v>
      </c>
    </row>
    <row r="18" spans="1:11" ht="15" customHeight="1" x14ac:dyDescent="0.25">
      <c r="A18" s="55" t="s">
        <v>1255</v>
      </c>
      <c r="B18" s="55" t="s">
        <v>1256</v>
      </c>
      <c r="C18" s="55" t="s">
        <v>73</v>
      </c>
      <c r="D18" s="55" t="s">
        <v>1257</v>
      </c>
      <c r="E18" s="55">
        <v>3</v>
      </c>
      <c r="F18" s="55">
        <v>34</v>
      </c>
      <c r="G18" s="55" t="s">
        <v>1185</v>
      </c>
      <c r="H18" s="55" t="s">
        <v>1186</v>
      </c>
      <c r="I18" s="55" t="s">
        <v>1258</v>
      </c>
      <c r="J18" s="55" t="s">
        <v>50</v>
      </c>
      <c r="K18" s="55" t="s">
        <v>62</v>
      </c>
    </row>
    <row r="19" spans="1:11" ht="15" customHeight="1" x14ac:dyDescent="0.25">
      <c r="A19" s="56" t="s">
        <v>1259</v>
      </c>
      <c r="B19" s="56" t="s">
        <v>1260</v>
      </c>
      <c r="C19" s="56" t="s">
        <v>102</v>
      </c>
      <c r="D19" s="56" t="s">
        <v>407</v>
      </c>
      <c r="E19" s="56">
        <v>4</v>
      </c>
      <c r="F19" s="56">
        <v>14</v>
      </c>
      <c r="G19" s="56" t="s">
        <v>1185</v>
      </c>
      <c r="H19" s="56" t="s">
        <v>1199</v>
      </c>
      <c r="I19" s="56" t="s">
        <v>1261</v>
      </c>
      <c r="J19" s="56" t="s">
        <v>195</v>
      </c>
      <c r="K19" s="56" t="s">
        <v>62</v>
      </c>
    </row>
    <row r="20" spans="1:11" ht="15" customHeight="1" x14ac:dyDescent="0.25">
      <c r="A20" s="55" t="s">
        <v>1262</v>
      </c>
      <c r="B20" s="55" t="s">
        <v>1263</v>
      </c>
      <c r="C20" s="55" t="s">
        <v>48</v>
      </c>
      <c r="D20" s="55" t="s">
        <v>275</v>
      </c>
      <c r="E20" s="55">
        <v>3</v>
      </c>
      <c r="F20" s="55">
        <v>45</v>
      </c>
      <c r="G20" s="55" t="s">
        <v>1185</v>
      </c>
      <c r="H20" s="55" t="s">
        <v>1194</v>
      </c>
      <c r="I20" s="55" t="s">
        <v>1264</v>
      </c>
      <c r="J20" s="55" t="s">
        <v>50</v>
      </c>
      <c r="K20" s="55" t="s">
        <v>62</v>
      </c>
    </row>
    <row r="21" spans="1:11" ht="15" customHeight="1" x14ac:dyDescent="0.25">
      <c r="A21" s="56" t="s">
        <v>1265</v>
      </c>
      <c r="B21" s="56" t="s">
        <v>1266</v>
      </c>
      <c r="C21" s="56" t="s">
        <v>204</v>
      </c>
      <c r="D21" s="56" t="s">
        <v>324</v>
      </c>
      <c r="E21" s="56">
        <v>2</v>
      </c>
      <c r="F21" s="56">
        <v>80</v>
      </c>
      <c r="G21" s="56" t="s">
        <v>1185</v>
      </c>
      <c r="H21" s="56" t="s">
        <v>1267</v>
      </c>
      <c r="I21" s="56" t="s">
        <v>1268</v>
      </c>
      <c r="J21" s="56" t="s">
        <v>50</v>
      </c>
      <c r="K21" s="56" t="s">
        <v>62</v>
      </c>
    </row>
    <row r="22" spans="1:11" ht="15" customHeight="1" x14ac:dyDescent="0.25">
      <c r="A22" t="s">
        <v>1269</v>
      </c>
      <c r="B22" t="s">
        <v>1270</v>
      </c>
      <c r="C22" t="s">
        <v>1271</v>
      </c>
      <c r="D22" t="s">
        <v>1272</v>
      </c>
      <c r="E22">
        <v>3</v>
      </c>
      <c r="F22">
        <v>8</v>
      </c>
      <c r="G22" t="s">
        <v>1273</v>
      </c>
      <c r="H22" t="s">
        <v>1235</v>
      </c>
      <c r="I22" t="s">
        <v>1274</v>
      </c>
      <c r="J22" t="s">
        <v>50</v>
      </c>
      <c r="K22" t="s">
        <v>62</v>
      </c>
    </row>
    <row r="23" spans="1:11" ht="15" customHeight="1" x14ac:dyDescent="0.25">
      <c r="A23" t="s">
        <v>1275</v>
      </c>
      <c r="B23" t="s">
        <v>1276</v>
      </c>
      <c r="C23" t="s">
        <v>1271</v>
      </c>
      <c r="D23" t="s">
        <v>324</v>
      </c>
      <c r="E23">
        <v>2</v>
      </c>
      <c r="F23">
        <v>6</v>
      </c>
      <c r="G23" t="s">
        <v>1273</v>
      </c>
      <c r="H23" t="s">
        <v>1277</v>
      </c>
      <c r="I23" t="s">
        <v>1274</v>
      </c>
      <c r="J23" t="s">
        <v>50</v>
      </c>
      <c r="K23" t="s">
        <v>62</v>
      </c>
    </row>
    <row r="24" spans="1:11" ht="15" customHeight="1" x14ac:dyDescent="0.25">
      <c r="A24" t="s">
        <v>1278</v>
      </c>
      <c r="B24" t="s">
        <v>1279</v>
      </c>
      <c r="C24" t="s">
        <v>1271</v>
      </c>
      <c r="D24" t="s">
        <v>1272</v>
      </c>
      <c r="E24">
        <v>1</v>
      </c>
      <c r="F24">
        <v>11</v>
      </c>
      <c r="G24" t="s">
        <v>1273</v>
      </c>
      <c r="H24" t="s">
        <v>1280</v>
      </c>
      <c r="I24" t="s">
        <v>1281</v>
      </c>
      <c r="J24" t="s">
        <v>50</v>
      </c>
      <c r="K24" t="s">
        <v>62</v>
      </c>
    </row>
    <row r="25" spans="1:11" ht="15" customHeight="1" x14ac:dyDescent="0.25">
      <c r="A25" t="s">
        <v>1282</v>
      </c>
      <c r="B25" t="s">
        <v>1283</v>
      </c>
      <c r="C25" t="s">
        <v>1271</v>
      </c>
      <c r="D25" t="s">
        <v>1272</v>
      </c>
      <c r="E25">
        <v>1</v>
      </c>
      <c r="F25">
        <v>6</v>
      </c>
      <c r="G25" t="s">
        <v>1273</v>
      </c>
      <c r="H25" t="s">
        <v>1284</v>
      </c>
      <c r="I25" t="s">
        <v>1285</v>
      </c>
      <c r="J25" t="s">
        <v>50</v>
      </c>
      <c r="K25" t="s">
        <v>62</v>
      </c>
    </row>
    <row r="26" spans="1:11" ht="15" customHeight="1" x14ac:dyDescent="0.25">
      <c r="A26" t="s">
        <v>1286</v>
      </c>
      <c r="B26" t="s">
        <v>1287</v>
      </c>
      <c r="C26" t="s">
        <v>73</v>
      </c>
      <c r="D26" t="s">
        <v>291</v>
      </c>
      <c r="E26">
        <v>3</v>
      </c>
      <c r="F26">
        <v>3</v>
      </c>
      <c r="G26" t="s">
        <v>1288</v>
      </c>
      <c r="H26" t="s">
        <v>1235</v>
      </c>
      <c r="I26" t="s">
        <v>1289</v>
      </c>
      <c r="J26" t="s">
        <v>50</v>
      </c>
      <c r="K26" t="s">
        <v>62</v>
      </c>
    </row>
    <row r="27" spans="1:11" ht="15" customHeight="1" x14ac:dyDescent="0.25">
      <c r="A27" t="s">
        <v>1290</v>
      </c>
      <c r="B27" t="s">
        <v>1291</v>
      </c>
      <c r="C27" t="s">
        <v>73</v>
      </c>
      <c r="D27" t="s">
        <v>1198</v>
      </c>
      <c r="E27">
        <v>3</v>
      </c>
      <c r="F27">
        <v>3</v>
      </c>
      <c r="G27" t="s">
        <v>1288</v>
      </c>
      <c r="H27" t="s">
        <v>1244</v>
      </c>
      <c r="I27" t="s">
        <v>1292</v>
      </c>
      <c r="J27" t="s">
        <v>50</v>
      </c>
      <c r="K27" t="s">
        <v>62</v>
      </c>
    </row>
    <row r="28" spans="1:11" ht="15" customHeight="1" x14ac:dyDescent="0.25">
      <c r="A28" t="s">
        <v>1293</v>
      </c>
      <c r="B28" t="s">
        <v>1294</v>
      </c>
      <c r="C28" t="s">
        <v>73</v>
      </c>
      <c r="D28" t="s">
        <v>1257</v>
      </c>
      <c r="E28">
        <v>3</v>
      </c>
      <c r="F28">
        <v>3</v>
      </c>
      <c r="G28" t="s">
        <v>1288</v>
      </c>
      <c r="H28" t="s">
        <v>1295</v>
      </c>
      <c r="I28" t="s">
        <v>1296</v>
      </c>
      <c r="J28" t="s">
        <v>50</v>
      </c>
      <c r="K28" t="s">
        <v>62</v>
      </c>
    </row>
    <row r="29" spans="1:11" ht="15" customHeight="1" x14ac:dyDescent="0.25">
      <c r="A29" t="s">
        <v>1297</v>
      </c>
      <c r="B29" t="s">
        <v>1298</v>
      </c>
      <c r="C29" t="s">
        <v>48</v>
      </c>
      <c r="D29" t="s">
        <v>275</v>
      </c>
      <c r="E29">
        <v>3</v>
      </c>
      <c r="F29">
        <v>1</v>
      </c>
      <c r="G29" t="s">
        <v>1299</v>
      </c>
      <c r="H29" t="s">
        <v>1194</v>
      </c>
      <c r="I29" t="s">
        <v>1300</v>
      </c>
      <c r="J29" t="s">
        <v>50</v>
      </c>
      <c r="K29" t="s">
        <v>62</v>
      </c>
    </row>
    <row r="30" spans="1:11" ht="15" customHeight="1" x14ac:dyDescent="0.25">
      <c r="A30" t="s">
        <v>1301</v>
      </c>
      <c r="B30" t="s">
        <v>1302</v>
      </c>
      <c r="C30" t="s">
        <v>117</v>
      </c>
      <c r="D30" t="s">
        <v>314</v>
      </c>
      <c r="E30">
        <v>3</v>
      </c>
      <c r="F30">
        <v>1</v>
      </c>
      <c r="G30" t="s">
        <v>1299</v>
      </c>
      <c r="H30" t="s">
        <v>1213</v>
      </c>
      <c r="I30" t="s">
        <v>1303</v>
      </c>
      <c r="J30" t="s">
        <v>50</v>
      </c>
      <c r="K30" t="s">
        <v>62</v>
      </c>
    </row>
    <row r="31" spans="1:11" ht="15" customHeight="1" x14ac:dyDescent="0.25">
      <c r="A31" t="s">
        <v>1304</v>
      </c>
      <c r="B31" t="s">
        <v>1305</v>
      </c>
      <c r="C31" t="s">
        <v>1271</v>
      </c>
      <c r="D31" t="s">
        <v>1272</v>
      </c>
      <c r="E31">
        <v>3</v>
      </c>
      <c r="F31">
        <v>4</v>
      </c>
      <c r="G31" t="s">
        <v>1306</v>
      </c>
      <c r="H31" t="s">
        <v>1213</v>
      </c>
      <c r="I31" t="s">
        <v>1285</v>
      </c>
      <c r="J31" t="s">
        <v>50</v>
      </c>
      <c r="K31" t="s">
        <v>62</v>
      </c>
    </row>
    <row r="32" spans="1:11" ht="15" customHeight="1" x14ac:dyDescent="0.25">
      <c r="A32" t="s">
        <v>1307</v>
      </c>
      <c r="B32" t="s">
        <v>1308</v>
      </c>
      <c r="C32" t="s">
        <v>1271</v>
      </c>
      <c r="D32" t="s">
        <v>1272</v>
      </c>
      <c r="E32">
        <v>1</v>
      </c>
      <c r="F32">
        <v>4</v>
      </c>
      <c r="G32" t="s">
        <v>1306</v>
      </c>
      <c r="H32" t="s">
        <v>1309</v>
      </c>
      <c r="I32" t="s">
        <v>1281</v>
      </c>
      <c r="J32" t="s">
        <v>50</v>
      </c>
      <c r="K32" t="s">
        <v>62</v>
      </c>
    </row>
    <row r="33" spans="1:11" ht="15" customHeight="1" x14ac:dyDescent="0.25">
      <c r="A33" t="s">
        <v>1310</v>
      </c>
      <c r="B33" t="s">
        <v>1311</v>
      </c>
      <c r="C33" t="s">
        <v>1271</v>
      </c>
      <c r="D33" t="s">
        <v>1272</v>
      </c>
      <c r="E33">
        <v>2</v>
      </c>
      <c r="F33">
        <v>2</v>
      </c>
      <c r="G33" t="s">
        <v>1306</v>
      </c>
      <c r="H33" t="s">
        <v>1312</v>
      </c>
      <c r="I33" t="s">
        <v>1274</v>
      </c>
      <c r="J33" t="s">
        <v>50</v>
      </c>
      <c r="K33" t="s">
        <v>62</v>
      </c>
    </row>
    <row r="34" spans="1:11" ht="15" customHeight="1" x14ac:dyDescent="0.25">
      <c r="A34" s="55" t="s">
        <v>1313</v>
      </c>
      <c r="B34" s="55" t="s">
        <v>1263</v>
      </c>
      <c r="C34" s="55" t="s">
        <v>481</v>
      </c>
      <c r="D34" s="55" t="s">
        <v>703</v>
      </c>
      <c r="E34" s="55">
        <v>3</v>
      </c>
      <c r="F34" s="55">
        <v>28</v>
      </c>
      <c r="G34" s="55" t="s">
        <v>1185</v>
      </c>
      <c r="H34" s="55" t="s">
        <v>1314</v>
      </c>
      <c r="I34" s="55" t="s">
        <v>1315</v>
      </c>
      <c r="J34" s="55" t="s">
        <v>50</v>
      </c>
      <c r="K34" s="55" t="s">
        <v>484</v>
      </c>
    </row>
    <row r="35" spans="1:11" ht="15" customHeight="1" x14ac:dyDescent="0.25">
      <c r="A35" s="55" t="s">
        <v>1316</v>
      </c>
      <c r="B35" s="55" t="s">
        <v>1184</v>
      </c>
      <c r="C35" s="55" t="s">
        <v>481</v>
      </c>
      <c r="D35" s="55" t="s">
        <v>703</v>
      </c>
      <c r="E35" s="55">
        <v>4</v>
      </c>
      <c r="F35" s="55">
        <v>22</v>
      </c>
      <c r="G35" s="55" t="s">
        <v>1185</v>
      </c>
      <c r="H35" s="55" t="s">
        <v>1218</v>
      </c>
      <c r="I35" s="55" t="s">
        <v>1317</v>
      </c>
      <c r="J35" s="55" t="s">
        <v>50</v>
      </c>
      <c r="K35" s="55" t="s">
        <v>484</v>
      </c>
    </row>
    <row r="36" spans="1:11" ht="15" customHeight="1" x14ac:dyDescent="0.25">
      <c r="A36" s="55" t="s">
        <v>1318</v>
      </c>
      <c r="B36" s="55" t="s">
        <v>1247</v>
      </c>
      <c r="C36" s="55" t="s">
        <v>481</v>
      </c>
      <c r="D36" s="55" t="s">
        <v>1319</v>
      </c>
      <c r="E36" s="55">
        <v>3</v>
      </c>
      <c r="F36" s="55">
        <v>18</v>
      </c>
      <c r="G36" s="55" t="s">
        <v>1185</v>
      </c>
      <c r="H36" s="55" t="s">
        <v>1320</v>
      </c>
      <c r="I36" s="55" t="s">
        <v>1321</v>
      </c>
      <c r="J36" s="55" t="s">
        <v>50</v>
      </c>
      <c r="K36" s="55" t="s">
        <v>484</v>
      </c>
    </row>
    <row r="37" spans="1:11" ht="15" customHeight="1" x14ac:dyDescent="0.25">
      <c r="A37" s="55" t="s">
        <v>1322</v>
      </c>
      <c r="B37" s="55" t="s">
        <v>1323</v>
      </c>
      <c r="C37" s="55" t="s">
        <v>491</v>
      </c>
      <c r="D37" s="55" t="s">
        <v>667</v>
      </c>
      <c r="E37" s="55">
        <v>3</v>
      </c>
      <c r="F37" s="55">
        <v>24</v>
      </c>
      <c r="G37" s="55" t="s">
        <v>1185</v>
      </c>
      <c r="H37" s="55" t="s">
        <v>1186</v>
      </c>
      <c r="I37" s="55" t="s">
        <v>1324</v>
      </c>
      <c r="J37" s="55" t="s">
        <v>50</v>
      </c>
      <c r="K37" s="55" t="s">
        <v>484</v>
      </c>
    </row>
    <row r="38" spans="1:11" ht="15" customHeight="1" x14ac:dyDescent="0.25">
      <c r="A38" s="55" t="s">
        <v>1325</v>
      </c>
      <c r="B38" s="55" t="s">
        <v>1326</v>
      </c>
      <c r="C38" s="55" t="s">
        <v>491</v>
      </c>
      <c r="D38" s="55" t="s">
        <v>667</v>
      </c>
      <c r="E38" s="55">
        <v>4</v>
      </c>
      <c r="F38" s="55">
        <v>16</v>
      </c>
      <c r="G38" s="55" t="s">
        <v>1185</v>
      </c>
      <c r="H38" s="55" t="s">
        <v>1190</v>
      </c>
      <c r="I38" s="55" t="s">
        <v>1327</v>
      </c>
      <c r="J38" s="55" t="s">
        <v>50</v>
      </c>
      <c r="K38" s="55" t="s">
        <v>484</v>
      </c>
    </row>
    <row r="39" spans="1:11" ht="15" customHeight="1" x14ac:dyDescent="0.25">
      <c r="A39" s="55" t="s">
        <v>1328</v>
      </c>
      <c r="B39" s="55" t="s">
        <v>1329</v>
      </c>
      <c r="C39" s="55" t="s">
        <v>509</v>
      </c>
      <c r="D39" s="55" t="s">
        <v>643</v>
      </c>
      <c r="E39" s="55">
        <v>4</v>
      </c>
      <c r="F39" s="55">
        <v>26</v>
      </c>
      <c r="G39" s="55" t="s">
        <v>1185</v>
      </c>
      <c r="H39" s="55" t="s">
        <v>1330</v>
      </c>
      <c r="I39" s="55" t="s">
        <v>1331</v>
      </c>
      <c r="J39" s="55" t="s">
        <v>50</v>
      </c>
      <c r="K39" s="55" t="s">
        <v>484</v>
      </c>
    </row>
    <row r="40" spans="1:11" ht="15" customHeight="1" x14ac:dyDescent="0.25">
      <c r="A40" s="55" t="s">
        <v>1332</v>
      </c>
      <c r="B40" s="55" t="s">
        <v>1333</v>
      </c>
      <c r="C40" s="55" t="s">
        <v>509</v>
      </c>
      <c r="D40" s="55" t="s">
        <v>643</v>
      </c>
      <c r="E40" s="55">
        <v>4</v>
      </c>
      <c r="F40" s="55">
        <v>19</v>
      </c>
      <c r="G40" s="55" t="s">
        <v>1185</v>
      </c>
      <c r="H40" s="55" t="s">
        <v>1194</v>
      </c>
      <c r="I40" s="55" t="s">
        <v>1334</v>
      </c>
      <c r="J40" s="55" t="s">
        <v>50</v>
      </c>
      <c r="K40" s="55" t="s">
        <v>484</v>
      </c>
    </row>
    <row r="41" spans="1:11" ht="15" customHeight="1" x14ac:dyDescent="0.25">
      <c r="A41" s="55" t="s">
        <v>1335</v>
      </c>
      <c r="B41" s="55" t="s">
        <v>1336</v>
      </c>
      <c r="C41" s="55" t="s">
        <v>509</v>
      </c>
      <c r="D41" s="55" t="s">
        <v>691</v>
      </c>
      <c r="E41" s="55">
        <v>3</v>
      </c>
      <c r="F41" s="55">
        <v>12</v>
      </c>
      <c r="G41" s="55" t="s">
        <v>1252</v>
      </c>
      <c r="H41" s="55" t="s">
        <v>1213</v>
      </c>
      <c r="I41" s="55" t="s">
        <v>1337</v>
      </c>
      <c r="J41" s="55" t="s">
        <v>50</v>
      </c>
      <c r="K41" s="55" t="s">
        <v>484</v>
      </c>
    </row>
    <row r="42" spans="1:11" ht="15" customHeight="1" x14ac:dyDescent="0.25">
      <c r="A42" s="55" t="s">
        <v>1338</v>
      </c>
      <c r="B42" s="55" t="s">
        <v>1339</v>
      </c>
      <c r="C42" s="55" t="s">
        <v>499</v>
      </c>
      <c r="D42" s="55" t="s">
        <v>658</v>
      </c>
      <c r="E42" s="55">
        <v>3</v>
      </c>
      <c r="F42" s="55">
        <v>23</v>
      </c>
      <c r="G42" s="55" t="s">
        <v>1185</v>
      </c>
      <c r="H42" s="55" t="s">
        <v>1340</v>
      </c>
      <c r="I42" s="55" t="s">
        <v>1341</v>
      </c>
      <c r="J42" s="55" t="s">
        <v>50</v>
      </c>
      <c r="K42" s="55" t="s">
        <v>484</v>
      </c>
    </row>
    <row r="43" spans="1:11" ht="15" customHeight="1" x14ac:dyDescent="0.25">
      <c r="A43" s="55" t="s">
        <v>1342</v>
      </c>
      <c r="B43" s="55" t="s">
        <v>1343</v>
      </c>
      <c r="C43" s="55" t="s">
        <v>499</v>
      </c>
      <c r="D43" s="55" t="s">
        <v>658</v>
      </c>
      <c r="E43" s="55">
        <v>4</v>
      </c>
      <c r="F43" s="55">
        <v>20</v>
      </c>
      <c r="G43" s="55" t="s">
        <v>1185</v>
      </c>
      <c r="H43" s="55" t="s">
        <v>1231</v>
      </c>
      <c r="I43" s="55" t="s">
        <v>1344</v>
      </c>
      <c r="J43" s="55" t="s">
        <v>50</v>
      </c>
      <c r="K43" s="55" t="s">
        <v>484</v>
      </c>
    </row>
    <row r="44" spans="1:11" ht="15" customHeight="1" x14ac:dyDescent="0.25">
      <c r="A44" s="55" t="s">
        <v>1345</v>
      </c>
      <c r="B44" s="55" t="s">
        <v>1346</v>
      </c>
      <c r="C44" s="55" t="s">
        <v>499</v>
      </c>
      <c r="D44" s="55" t="s">
        <v>658</v>
      </c>
      <c r="E44" s="55">
        <v>3</v>
      </c>
      <c r="F44" s="55">
        <v>14</v>
      </c>
      <c r="G44" s="55" t="s">
        <v>1252</v>
      </c>
      <c r="H44" s="55" t="s">
        <v>1347</v>
      </c>
      <c r="I44" s="55" t="s">
        <v>1348</v>
      </c>
      <c r="J44" s="55" t="s">
        <v>50</v>
      </c>
      <c r="K44" s="55" t="s">
        <v>484</v>
      </c>
    </row>
    <row r="45" spans="1:11" ht="15" customHeight="1" x14ac:dyDescent="0.25">
      <c r="A45" s="55" t="s">
        <v>1349</v>
      </c>
      <c r="B45" s="55" t="s">
        <v>1350</v>
      </c>
      <c r="C45" s="55" t="s">
        <v>532</v>
      </c>
      <c r="D45" s="55" t="s">
        <v>651</v>
      </c>
      <c r="E45" s="55">
        <v>3</v>
      </c>
      <c r="F45" s="55">
        <v>25</v>
      </c>
      <c r="G45" s="55" t="s">
        <v>1185</v>
      </c>
      <c r="H45" s="55" t="s">
        <v>1351</v>
      </c>
      <c r="I45" s="55" t="s">
        <v>1352</v>
      </c>
      <c r="J45" s="55" t="s">
        <v>50</v>
      </c>
      <c r="K45" s="55" t="s">
        <v>484</v>
      </c>
    </row>
    <row r="46" spans="1:11" ht="15" customHeight="1" x14ac:dyDescent="0.25">
      <c r="A46" s="55" t="s">
        <v>1353</v>
      </c>
      <c r="B46" s="55" t="s">
        <v>1354</v>
      </c>
      <c r="C46" s="55" t="s">
        <v>532</v>
      </c>
      <c r="D46" s="55" t="s">
        <v>651</v>
      </c>
      <c r="E46" s="55">
        <v>3</v>
      </c>
      <c r="F46" s="55">
        <v>15</v>
      </c>
      <c r="G46" s="55" t="s">
        <v>1252</v>
      </c>
      <c r="H46" s="55" t="s">
        <v>1355</v>
      </c>
      <c r="I46" s="55" t="s">
        <v>1356</v>
      </c>
      <c r="J46" s="55" t="s">
        <v>50</v>
      </c>
      <c r="K46" s="55" t="s">
        <v>484</v>
      </c>
    </row>
    <row r="47" spans="1:11" ht="15" customHeight="1" x14ac:dyDescent="0.25">
      <c r="A47" s="55" t="s">
        <v>1357</v>
      </c>
      <c r="B47" s="55" t="s">
        <v>1358</v>
      </c>
      <c r="C47" s="55" t="s">
        <v>1271</v>
      </c>
      <c r="D47" s="55" t="s">
        <v>691</v>
      </c>
      <c r="E47" s="55">
        <v>2</v>
      </c>
      <c r="F47" s="55">
        <v>60</v>
      </c>
      <c r="G47" s="55" t="s">
        <v>1185</v>
      </c>
      <c r="H47" s="55" t="s">
        <v>1359</v>
      </c>
      <c r="I47" s="55" t="s">
        <v>1360</v>
      </c>
      <c r="J47" s="55" t="s">
        <v>50</v>
      </c>
      <c r="K47" s="55" t="s">
        <v>484</v>
      </c>
    </row>
    <row r="48" spans="1:11" ht="15" customHeight="1" x14ac:dyDescent="0.25">
      <c r="A48" s="55" t="s">
        <v>1361</v>
      </c>
      <c r="B48" s="55" t="s">
        <v>1362</v>
      </c>
      <c r="C48" s="55" t="s">
        <v>481</v>
      </c>
      <c r="D48" s="55" t="s">
        <v>703</v>
      </c>
      <c r="E48" s="55">
        <v>3</v>
      </c>
      <c r="F48" s="55">
        <v>30</v>
      </c>
      <c r="G48" s="55" t="s">
        <v>1185</v>
      </c>
      <c r="H48" s="55" t="s">
        <v>1330</v>
      </c>
      <c r="I48" s="55" t="s">
        <v>1363</v>
      </c>
      <c r="J48" s="55" t="s">
        <v>50</v>
      </c>
      <c r="K48" s="55" t="s">
        <v>484</v>
      </c>
    </row>
    <row r="49" spans="1:11" ht="15" customHeight="1" x14ac:dyDescent="0.25">
      <c r="A49" s="55" t="s">
        <v>1364</v>
      </c>
      <c r="B49" s="55" t="s">
        <v>1270</v>
      </c>
      <c r="C49" s="55" t="s">
        <v>1271</v>
      </c>
      <c r="D49" s="55" t="s">
        <v>643</v>
      </c>
      <c r="E49" s="55">
        <v>3</v>
      </c>
      <c r="F49" s="55">
        <v>7</v>
      </c>
      <c r="G49" s="55" t="s">
        <v>1273</v>
      </c>
      <c r="H49" s="55" t="s">
        <v>1235</v>
      </c>
      <c r="I49" s="55" t="s">
        <v>1365</v>
      </c>
      <c r="J49" s="55" t="s">
        <v>50</v>
      </c>
      <c r="K49" s="55" t="s">
        <v>484</v>
      </c>
    </row>
    <row r="50" spans="1:11" ht="15" customHeight="1" x14ac:dyDescent="0.25">
      <c r="A50" s="55" t="s">
        <v>1366</v>
      </c>
      <c r="B50" s="55" t="s">
        <v>1276</v>
      </c>
      <c r="C50" s="55" t="s">
        <v>1271</v>
      </c>
      <c r="D50" s="55" t="s">
        <v>667</v>
      </c>
      <c r="E50" s="55">
        <v>2</v>
      </c>
      <c r="F50" s="55">
        <v>5</v>
      </c>
      <c r="G50" s="55" t="s">
        <v>1273</v>
      </c>
      <c r="H50" s="55" t="s">
        <v>1367</v>
      </c>
      <c r="I50" s="55" t="s">
        <v>1365</v>
      </c>
      <c r="J50" s="55" t="s">
        <v>50</v>
      </c>
      <c r="K50" s="55" t="s">
        <v>484</v>
      </c>
    </row>
    <row r="51" spans="1:11" ht="15" customHeight="1" x14ac:dyDescent="0.25">
      <c r="A51" s="55" t="s">
        <v>1368</v>
      </c>
      <c r="B51" s="55" t="s">
        <v>1279</v>
      </c>
      <c r="C51" s="55" t="s">
        <v>1271</v>
      </c>
      <c r="D51" s="55" t="s">
        <v>643</v>
      </c>
      <c r="E51" s="55">
        <v>1</v>
      </c>
      <c r="F51" s="55">
        <v>9</v>
      </c>
      <c r="G51" s="55" t="s">
        <v>1273</v>
      </c>
      <c r="H51" s="55" t="s">
        <v>1280</v>
      </c>
      <c r="I51" s="55" t="s">
        <v>1369</v>
      </c>
      <c r="J51" s="55" t="s">
        <v>50</v>
      </c>
      <c r="K51" s="55" t="s">
        <v>484</v>
      </c>
    </row>
    <row r="52" spans="1:11" ht="15" customHeight="1" x14ac:dyDescent="0.25">
      <c r="A52" s="55" t="s">
        <v>1370</v>
      </c>
      <c r="B52" s="55" t="s">
        <v>1371</v>
      </c>
      <c r="C52" s="55" t="s">
        <v>532</v>
      </c>
      <c r="D52" s="55" t="s">
        <v>651</v>
      </c>
      <c r="E52" s="55">
        <v>3</v>
      </c>
      <c r="F52" s="55">
        <v>2</v>
      </c>
      <c r="G52" s="55" t="s">
        <v>1288</v>
      </c>
      <c r="H52" s="55" t="s">
        <v>1235</v>
      </c>
      <c r="I52" s="55" t="s">
        <v>1372</v>
      </c>
      <c r="J52" s="55" t="s">
        <v>50</v>
      </c>
      <c r="K52" s="55" t="s">
        <v>484</v>
      </c>
    </row>
    <row r="53" spans="1:11" ht="15" customHeight="1" x14ac:dyDescent="0.25">
      <c r="A53" s="55" t="s">
        <v>1373</v>
      </c>
      <c r="B53" s="55" t="s">
        <v>1374</v>
      </c>
      <c r="C53" s="55" t="s">
        <v>509</v>
      </c>
      <c r="D53" s="55" t="s">
        <v>691</v>
      </c>
      <c r="E53" s="55">
        <v>3</v>
      </c>
      <c r="F53" s="55">
        <v>2</v>
      </c>
      <c r="G53" s="55" t="s">
        <v>1299</v>
      </c>
      <c r="H53" s="55" t="s">
        <v>1340</v>
      </c>
      <c r="I53" s="55" t="s">
        <v>1375</v>
      </c>
      <c r="J53" s="55" t="s">
        <v>50</v>
      </c>
      <c r="K53" s="55" t="s">
        <v>484</v>
      </c>
    </row>
    <row r="54" spans="1:11" ht="15" customHeight="1" x14ac:dyDescent="0.25">
      <c r="A54" s="55" t="s">
        <v>1376</v>
      </c>
      <c r="B54" s="55" t="s">
        <v>1305</v>
      </c>
      <c r="C54" s="55" t="s">
        <v>1271</v>
      </c>
      <c r="D54" s="55" t="s">
        <v>703</v>
      </c>
      <c r="E54" s="55">
        <v>3</v>
      </c>
      <c r="F54" s="55">
        <v>4</v>
      </c>
      <c r="G54" s="55" t="s">
        <v>1306</v>
      </c>
      <c r="H54" s="55" t="s">
        <v>1213</v>
      </c>
      <c r="I54" s="55" t="s">
        <v>1377</v>
      </c>
      <c r="J54" s="55" t="s">
        <v>50</v>
      </c>
      <c r="K54" s="55" t="s">
        <v>484</v>
      </c>
    </row>
    <row r="55" spans="1:11" ht="15" customHeight="1" x14ac:dyDescent="0.25">
      <c r="A55" s="55" t="s">
        <v>1378</v>
      </c>
      <c r="B55" s="55" t="s">
        <v>1308</v>
      </c>
      <c r="C55" s="55" t="s">
        <v>1271</v>
      </c>
      <c r="D55" s="55" t="s">
        <v>643</v>
      </c>
      <c r="E55" s="55">
        <v>1</v>
      </c>
      <c r="F55" s="55">
        <v>4</v>
      </c>
      <c r="G55" s="55" t="s">
        <v>1306</v>
      </c>
      <c r="H55" s="55" t="s">
        <v>1379</v>
      </c>
      <c r="I55" s="55" t="s">
        <v>1369</v>
      </c>
      <c r="J55" s="55" t="s">
        <v>50</v>
      </c>
      <c r="K55" s="55" t="s">
        <v>484</v>
      </c>
    </row>
    <row r="56" spans="1:11" ht="15" customHeight="1" x14ac:dyDescent="0.25">
      <c r="A56" s="55" t="s">
        <v>1380</v>
      </c>
      <c r="B56" s="55" t="s">
        <v>1381</v>
      </c>
      <c r="C56" s="55" t="s">
        <v>134</v>
      </c>
      <c r="D56" s="55" t="s">
        <v>921</v>
      </c>
      <c r="E56" s="55">
        <v>3</v>
      </c>
      <c r="F56" s="55">
        <v>34</v>
      </c>
      <c r="G56" s="55" t="s">
        <v>1185</v>
      </c>
      <c r="H56" s="55" t="s">
        <v>1186</v>
      </c>
      <c r="I56" s="55" t="s">
        <v>1382</v>
      </c>
      <c r="J56" s="55" t="s">
        <v>50</v>
      </c>
      <c r="K56" s="55" t="s">
        <v>786</v>
      </c>
    </row>
    <row r="57" spans="1:11" ht="15" customHeight="1" x14ac:dyDescent="0.25">
      <c r="A57" s="55" t="s">
        <v>1383</v>
      </c>
      <c r="B57" s="55" t="s">
        <v>1225</v>
      </c>
      <c r="C57" s="55" t="s">
        <v>134</v>
      </c>
      <c r="D57" s="55" t="s">
        <v>1384</v>
      </c>
      <c r="E57" s="55">
        <v>3</v>
      </c>
      <c r="F57" s="55">
        <v>26</v>
      </c>
      <c r="G57" s="55" t="s">
        <v>1185</v>
      </c>
      <c r="H57" s="55" t="s">
        <v>1226</v>
      </c>
      <c r="I57" s="55" t="s">
        <v>1385</v>
      </c>
      <c r="J57" s="55" t="s">
        <v>50</v>
      </c>
      <c r="K57" s="55" t="s">
        <v>786</v>
      </c>
    </row>
    <row r="58" spans="1:11" ht="15" customHeight="1" x14ac:dyDescent="0.25">
      <c r="A58" s="55" t="s">
        <v>1386</v>
      </c>
      <c r="B58" s="55" t="s">
        <v>1387</v>
      </c>
      <c r="C58" s="55" t="s">
        <v>793</v>
      </c>
      <c r="D58" s="55" t="s">
        <v>928</v>
      </c>
      <c r="E58" s="55">
        <v>3</v>
      </c>
      <c r="F58" s="55">
        <v>30</v>
      </c>
      <c r="G58" s="55" t="s">
        <v>1185</v>
      </c>
      <c r="H58" s="55" t="s">
        <v>1194</v>
      </c>
      <c r="I58" s="55" t="s">
        <v>1388</v>
      </c>
      <c r="J58" s="55" t="s">
        <v>50</v>
      </c>
      <c r="K58" s="55" t="s">
        <v>786</v>
      </c>
    </row>
    <row r="59" spans="1:11" ht="15" customHeight="1" x14ac:dyDescent="0.25">
      <c r="A59" s="55" t="s">
        <v>1389</v>
      </c>
      <c r="B59" s="55" t="s">
        <v>1390</v>
      </c>
      <c r="C59" s="55" t="s">
        <v>793</v>
      </c>
      <c r="D59" s="55" t="s">
        <v>1391</v>
      </c>
      <c r="E59" s="55">
        <v>4</v>
      </c>
      <c r="F59" s="55">
        <v>22</v>
      </c>
      <c r="G59" s="55" t="s">
        <v>1185</v>
      </c>
      <c r="H59" s="55" t="s">
        <v>1199</v>
      </c>
      <c r="I59" s="55" t="s">
        <v>1392</v>
      </c>
      <c r="J59" s="55" t="s">
        <v>50</v>
      </c>
      <c r="K59" s="55" t="s">
        <v>786</v>
      </c>
    </row>
    <row r="60" spans="1:11" ht="15" customHeight="1" x14ac:dyDescent="0.25">
      <c r="A60" s="55" t="s">
        <v>1393</v>
      </c>
      <c r="B60" s="55" t="s">
        <v>1394</v>
      </c>
      <c r="C60" s="55" t="s">
        <v>800</v>
      </c>
      <c r="D60" s="55" t="s">
        <v>934</v>
      </c>
      <c r="E60" s="55">
        <v>3</v>
      </c>
      <c r="F60" s="55">
        <v>28</v>
      </c>
      <c r="G60" s="55" t="s">
        <v>1185</v>
      </c>
      <c r="H60" s="55" t="s">
        <v>1218</v>
      </c>
      <c r="I60" s="55" t="s">
        <v>1395</v>
      </c>
      <c r="J60" s="55" t="s">
        <v>50</v>
      </c>
      <c r="K60" s="55" t="s">
        <v>786</v>
      </c>
    </row>
    <row r="61" spans="1:11" ht="15" customHeight="1" x14ac:dyDescent="0.25">
      <c r="A61" s="55" t="s">
        <v>1396</v>
      </c>
      <c r="B61" s="55" t="s">
        <v>1397</v>
      </c>
      <c r="C61" s="55" t="s">
        <v>800</v>
      </c>
      <c r="D61" s="55" t="s">
        <v>934</v>
      </c>
      <c r="E61" s="55">
        <v>3</v>
      </c>
      <c r="F61" s="55">
        <v>18</v>
      </c>
      <c r="G61" s="55" t="s">
        <v>1252</v>
      </c>
      <c r="H61" s="55" t="s">
        <v>1253</v>
      </c>
      <c r="I61" s="55" t="s">
        <v>1398</v>
      </c>
      <c r="J61" s="55" t="s">
        <v>50</v>
      </c>
      <c r="K61" s="55" t="s">
        <v>786</v>
      </c>
    </row>
    <row r="62" spans="1:11" ht="15" customHeight="1" x14ac:dyDescent="0.25">
      <c r="A62" s="55" t="s">
        <v>1399</v>
      </c>
      <c r="B62" s="55" t="s">
        <v>1400</v>
      </c>
      <c r="C62" s="55" t="s">
        <v>813</v>
      </c>
      <c r="D62" s="55" t="s">
        <v>1401</v>
      </c>
      <c r="E62" s="55">
        <v>3</v>
      </c>
      <c r="F62" s="55">
        <v>35</v>
      </c>
      <c r="G62" s="55" t="s">
        <v>1185</v>
      </c>
      <c r="H62" s="55" t="s">
        <v>1231</v>
      </c>
      <c r="I62" s="55" t="s">
        <v>1402</v>
      </c>
      <c r="J62" s="55" t="s">
        <v>50</v>
      </c>
      <c r="K62" s="55" t="s">
        <v>786</v>
      </c>
    </row>
    <row r="63" spans="1:11" ht="15" customHeight="1" x14ac:dyDescent="0.25">
      <c r="A63" s="55" t="s">
        <v>1403</v>
      </c>
      <c r="B63" s="55" t="s">
        <v>1404</v>
      </c>
      <c r="C63" s="55" t="s">
        <v>813</v>
      </c>
      <c r="D63" s="55" t="s">
        <v>1405</v>
      </c>
      <c r="E63" s="55">
        <v>3</v>
      </c>
      <c r="F63" s="55">
        <v>20</v>
      </c>
      <c r="G63" s="55" t="s">
        <v>1185</v>
      </c>
      <c r="H63" s="55" t="s">
        <v>1213</v>
      </c>
      <c r="I63" s="55" t="s">
        <v>1406</v>
      </c>
      <c r="J63" s="55" t="s">
        <v>50</v>
      </c>
      <c r="K63" s="55" t="s">
        <v>786</v>
      </c>
    </row>
    <row r="64" spans="1:11" ht="15" customHeight="1" x14ac:dyDescent="0.25">
      <c r="A64" s="55" t="s">
        <v>1407</v>
      </c>
      <c r="B64" s="55" t="s">
        <v>1184</v>
      </c>
      <c r="C64" s="55" t="s">
        <v>808</v>
      </c>
      <c r="D64" s="55" t="s">
        <v>942</v>
      </c>
      <c r="E64" s="55">
        <v>4</v>
      </c>
      <c r="F64" s="55">
        <v>24</v>
      </c>
      <c r="G64" s="55" t="s">
        <v>1185</v>
      </c>
      <c r="H64" s="55" t="s">
        <v>1186</v>
      </c>
      <c r="I64" s="55" t="s">
        <v>1408</v>
      </c>
      <c r="J64" s="55" t="s">
        <v>50</v>
      </c>
      <c r="K64" s="55" t="s">
        <v>786</v>
      </c>
    </row>
    <row r="65" spans="1:11" ht="15" customHeight="1" x14ac:dyDescent="0.25">
      <c r="A65" s="55" t="s">
        <v>1409</v>
      </c>
      <c r="B65" s="55" t="s">
        <v>1410</v>
      </c>
      <c r="C65" s="55" t="s">
        <v>808</v>
      </c>
      <c r="D65" s="55" t="s">
        <v>942</v>
      </c>
      <c r="E65" s="55">
        <v>3</v>
      </c>
      <c r="F65" s="55">
        <v>19</v>
      </c>
      <c r="G65" s="55" t="s">
        <v>1185</v>
      </c>
      <c r="H65" s="55" t="s">
        <v>1248</v>
      </c>
      <c r="I65" s="55" t="s">
        <v>1411</v>
      </c>
      <c r="J65" s="55" t="s">
        <v>50</v>
      </c>
      <c r="K65" s="55" t="s">
        <v>786</v>
      </c>
    </row>
    <row r="66" spans="1:11" ht="15" customHeight="1" x14ac:dyDescent="0.25">
      <c r="A66" s="55" t="s">
        <v>1412</v>
      </c>
      <c r="B66" s="55" t="s">
        <v>1413</v>
      </c>
      <c r="C66" s="55" t="s">
        <v>808</v>
      </c>
      <c r="D66" s="55" t="s">
        <v>1414</v>
      </c>
      <c r="E66" s="55">
        <v>4</v>
      </c>
      <c r="F66" s="55">
        <v>16</v>
      </c>
      <c r="G66" s="55" t="s">
        <v>1185</v>
      </c>
      <c r="H66" s="55" t="s">
        <v>1415</v>
      </c>
      <c r="I66" s="55" t="s">
        <v>1416</v>
      </c>
      <c r="J66" s="55" t="s">
        <v>50</v>
      </c>
      <c r="K66" s="55" t="s">
        <v>786</v>
      </c>
    </row>
    <row r="67" spans="1:11" ht="15" customHeight="1" x14ac:dyDescent="0.25">
      <c r="A67" s="55" t="s">
        <v>1417</v>
      </c>
      <c r="B67" s="55" t="s">
        <v>1238</v>
      </c>
      <c r="C67" s="55" t="s">
        <v>808</v>
      </c>
      <c r="D67" s="55" t="s">
        <v>1418</v>
      </c>
      <c r="E67" s="55">
        <v>4</v>
      </c>
      <c r="F67" s="55">
        <v>38</v>
      </c>
      <c r="G67" s="55" t="s">
        <v>1185</v>
      </c>
      <c r="H67" s="55" t="s">
        <v>1240</v>
      </c>
      <c r="I67" s="55" t="s">
        <v>1419</v>
      </c>
      <c r="J67" s="55" t="s">
        <v>50</v>
      </c>
      <c r="K67" s="55" t="s">
        <v>786</v>
      </c>
    </row>
    <row r="68" spans="1:11" ht="15" customHeight="1" x14ac:dyDescent="0.25">
      <c r="A68" s="55" t="s">
        <v>1420</v>
      </c>
      <c r="B68" s="55" t="s">
        <v>1421</v>
      </c>
      <c r="C68" s="55" t="s">
        <v>819</v>
      </c>
      <c r="D68" s="55" t="s">
        <v>949</v>
      </c>
      <c r="E68" s="55">
        <v>3</v>
      </c>
      <c r="F68" s="55">
        <v>25</v>
      </c>
      <c r="G68" s="55" t="s">
        <v>1185</v>
      </c>
      <c r="H68" s="55" t="s">
        <v>1190</v>
      </c>
      <c r="I68" s="55" t="s">
        <v>1422</v>
      </c>
      <c r="J68" s="55" t="s">
        <v>50</v>
      </c>
      <c r="K68" s="55" t="s">
        <v>786</v>
      </c>
    </row>
    <row r="69" spans="1:11" ht="15" customHeight="1" x14ac:dyDescent="0.25">
      <c r="A69" s="55" t="s">
        <v>1423</v>
      </c>
      <c r="B69" s="55" t="s">
        <v>1424</v>
      </c>
      <c r="C69" s="55" t="s">
        <v>819</v>
      </c>
      <c r="D69" s="55" t="s">
        <v>1425</v>
      </c>
      <c r="E69" s="55">
        <v>3</v>
      </c>
      <c r="F69" s="55">
        <v>17</v>
      </c>
      <c r="G69" s="55" t="s">
        <v>1252</v>
      </c>
      <c r="H69" s="55" t="s">
        <v>1426</v>
      </c>
      <c r="I69" s="55" t="s">
        <v>1427</v>
      </c>
      <c r="J69" s="55" t="s">
        <v>50</v>
      </c>
      <c r="K69" s="55" t="s">
        <v>786</v>
      </c>
    </row>
    <row r="70" spans="1:11" ht="15" customHeight="1" x14ac:dyDescent="0.25">
      <c r="A70" s="55" t="s">
        <v>1428</v>
      </c>
      <c r="B70" s="55" t="s">
        <v>1429</v>
      </c>
      <c r="C70" s="55" t="s">
        <v>819</v>
      </c>
      <c r="D70" s="55" t="s">
        <v>949</v>
      </c>
      <c r="E70" s="55">
        <v>3</v>
      </c>
      <c r="F70" s="55">
        <v>21</v>
      </c>
      <c r="G70" s="55" t="s">
        <v>1185</v>
      </c>
      <c r="H70" s="55" t="s">
        <v>1235</v>
      </c>
      <c r="I70" s="55" t="s">
        <v>1430</v>
      </c>
      <c r="J70" s="55" t="s">
        <v>50</v>
      </c>
      <c r="K70" s="55" t="s">
        <v>786</v>
      </c>
    </row>
    <row r="71" spans="1:11" ht="15" customHeight="1" x14ac:dyDescent="0.25">
      <c r="A71" s="55" t="s">
        <v>1431</v>
      </c>
      <c r="B71" s="55" t="s">
        <v>1266</v>
      </c>
      <c r="C71" s="55" t="s">
        <v>1432</v>
      </c>
      <c r="D71" s="55" t="s">
        <v>934</v>
      </c>
      <c r="E71" s="55">
        <v>2</v>
      </c>
      <c r="F71" s="55">
        <v>70</v>
      </c>
      <c r="G71" s="55" t="s">
        <v>1185</v>
      </c>
      <c r="H71" s="55" t="s">
        <v>1267</v>
      </c>
      <c r="I71" s="55" t="s">
        <v>1433</v>
      </c>
      <c r="J71" s="55" t="s">
        <v>50</v>
      </c>
      <c r="K71" s="55" t="s">
        <v>786</v>
      </c>
    </row>
    <row r="72" spans="1:11" ht="15" customHeight="1" x14ac:dyDescent="0.25">
      <c r="A72" s="55" t="s">
        <v>1434</v>
      </c>
      <c r="B72" s="55" t="s">
        <v>1270</v>
      </c>
      <c r="C72" s="55" t="s">
        <v>1432</v>
      </c>
      <c r="D72" s="55" t="s">
        <v>942</v>
      </c>
      <c r="E72" s="55">
        <v>3</v>
      </c>
      <c r="F72" s="55">
        <v>8</v>
      </c>
      <c r="G72" s="55" t="s">
        <v>1273</v>
      </c>
      <c r="H72" s="55" t="s">
        <v>1235</v>
      </c>
      <c r="I72" s="55" t="s">
        <v>1365</v>
      </c>
      <c r="J72" s="55" t="s">
        <v>50</v>
      </c>
      <c r="K72" s="55" t="s">
        <v>786</v>
      </c>
    </row>
    <row r="73" spans="1:11" ht="15" customHeight="1" x14ac:dyDescent="0.25">
      <c r="A73" s="55" t="s">
        <v>1435</v>
      </c>
      <c r="B73" s="55" t="s">
        <v>1276</v>
      </c>
      <c r="C73" s="55" t="s">
        <v>1432</v>
      </c>
      <c r="D73" s="55" t="s">
        <v>928</v>
      </c>
      <c r="E73" s="55">
        <v>2</v>
      </c>
      <c r="F73" s="55">
        <v>6</v>
      </c>
      <c r="G73" s="55" t="s">
        <v>1273</v>
      </c>
      <c r="H73" s="55" t="s">
        <v>1277</v>
      </c>
      <c r="I73" s="55" t="s">
        <v>1365</v>
      </c>
      <c r="J73" s="55" t="s">
        <v>50</v>
      </c>
      <c r="K73" s="55" t="s">
        <v>786</v>
      </c>
    </row>
    <row r="74" spans="1:11" ht="15" customHeight="1" x14ac:dyDescent="0.25">
      <c r="A74" s="55" t="s">
        <v>1436</v>
      </c>
      <c r="B74" s="55" t="s">
        <v>1279</v>
      </c>
      <c r="C74" s="55" t="s">
        <v>1432</v>
      </c>
      <c r="D74" s="55" t="s">
        <v>921</v>
      </c>
      <c r="E74" s="55">
        <v>1</v>
      </c>
      <c r="F74" s="55">
        <v>10</v>
      </c>
      <c r="G74" s="55" t="s">
        <v>1273</v>
      </c>
      <c r="H74" s="55" t="s">
        <v>1280</v>
      </c>
      <c r="I74" s="55" t="s">
        <v>1369</v>
      </c>
      <c r="J74" s="55" t="s">
        <v>50</v>
      </c>
      <c r="K74" s="55" t="s">
        <v>786</v>
      </c>
    </row>
    <row r="75" spans="1:11" ht="15" customHeight="1" x14ac:dyDescent="0.25">
      <c r="A75" s="55" t="s">
        <v>1437</v>
      </c>
      <c r="B75" s="55" t="s">
        <v>1438</v>
      </c>
      <c r="C75" s="55" t="s">
        <v>793</v>
      </c>
      <c r="D75" s="55" t="s">
        <v>928</v>
      </c>
      <c r="E75" s="55">
        <v>3</v>
      </c>
      <c r="F75" s="55">
        <v>3</v>
      </c>
      <c r="G75" s="55" t="s">
        <v>1288</v>
      </c>
      <c r="H75" s="55" t="s">
        <v>1235</v>
      </c>
      <c r="I75" s="55" t="s">
        <v>1439</v>
      </c>
      <c r="J75" s="55" t="s">
        <v>50</v>
      </c>
      <c r="K75" s="55" t="s">
        <v>786</v>
      </c>
    </row>
    <row r="76" spans="1:11" ht="15" customHeight="1" x14ac:dyDescent="0.25">
      <c r="A76" s="55" t="s">
        <v>1440</v>
      </c>
      <c r="B76" s="55" t="s">
        <v>1441</v>
      </c>
      <c r="C76" s="55" t="s">
        <v>134</v>
      </c>
      <c r="D76" s="55" t="s">
        <v>921</v>
      </c>
      <c r="E76" s="55">
        <v>3</v>
      </c>
      <c r="F76" s="55">
        <v>2</v>
      </c>
      <c r="G76" s="55" t="s">
        <v>1442</v>
      </c>
      <c r="H76" s="55" t="s">
        <v>1244</v>
      </c>
      <c r="I76" s="55" t="s">
        <v>1443</v>
      </c>
      <c r="J76" s="55" t="s">
        <v>50</v>
      </c>
      <c r="K76" s="55" t="s">
        <v>786</v>
      </c>
    </row>
    <row r="77" spans="1:11" ht="15" customHeight="1" x14ac:dyDescent="0.25">
      <c r="A77" s="55" t="s">
        <v>1444</v>
      </c>
      <c r="B77" s="55" t="s">
        <v>1305</v>
      </c>
      <c r="C77" s="55" t="s">
        <v>1432</v>
      </c>
      <c r="D77" s="55" t="s">
        <v>942</v>
      </c>
      <c r="E77" s="55">
        <v>3</v>
      </c>
      <c r="F77" s="55">
        <v>4</v>
      </c>
      <c r="G77" s="55" t="s">
        <v>1306</v>
      </c>
      <c r="H77" s="55" t="s">
        <v>1213</v>
      </c>
      <c r="I77" s="55" t="s">
        <v>1377</v>
      </c>
      <c r="J77" s="55" t="s">
        <v>50</v>
      </c>
      <c r="K77" s="55" t="s">
        <v>786</v>
      </c>
    </row>
    <row r="78" spans="1:11" ht="15" customHeight="1" x14ac:dyDescent="0.25">
      <c r="A78" s="55" t="s">
        <v>1445</v>
      </c>
      <c r="B78" s="55" t="s">
        <v>1308</v>
      </c>
      <c r="C78" s="55" t="s">
        <v>1432</v>
      </c>
      <c r="D78" s="55" t="s">
        <v>921</v>
      </c>
      <c r="E78" s="55">
        <v>1</v>
      </c>
      <c r="F78" s="55">
        <v>4</v>
      </c>
      <c r="G78" s="55" t="s">
        <v>1306</v>
      </c>
      <c r="H78" s="55" t="s">
        <v>1309</v>
      </c>
      <c r="I78" s="55" t="s">
        <v>1369</v>
      </c>
      <c r="J78" s="55" t="s">
        <v>50</v>
      </c>
      <c r="K78" s="55" t="s">
        <v>786</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51"/>
  <sheetViews>
    <sheetView showGridLines="0" zoomScaleNormal="100" workbookViewId="0">
      <pane ySplit="1" topLeftCell="A2" activePane="bottomLeft" state="frozen"/>
      <selection pane="bottomLeft"/>
    </sheetView>
  </sheetViews>
  <sheetFormatPr defaultColWidth="8.7109375" defaultRowHeight="15" x14ac:dyDescent="0.25"/>
  <cols>
    <col min="1" max="1" width="14" customWidth="1"/>
    <col min="2" max="2" width="16" customWidth="1"/>
    <col min="3" max="3" width="22" customWidth="1"/>
    <col min="4" max="4" width="10" customWidth="1"/>
    <col min="5" max="5" width="28" customWidth="1"/>
    <col min="6" max="7" width="12" customWidth="1"/>
    <col min="8" max="8" width="10" customWidth="1"/>
    <col min="9" max="9" width="14" customWidth="1"/>
  </cols>
  <sheetData>
    <row r="1" spans="1:10" ht="30" customHeight="1" x14ac:dyDescent="0.25">
      <c r="A1" s="54" t="s">
        <v>1446</v>
      </c>
      <c r="B1" s="54" t="s">
        <v>0</v>
      </c>
      <c r="C1" s="54" t="s">
        <v>1447</v>
      </c>
      <c r="D1" s="54" t="s">
        <v>1175</v>
      </c>
      <c r="E1" s="54" t="s">
        <v>1448</v>
      </c>
      <c r="F1" s="54" t="s">
        <v>1449</v>
      </c>
      <c r="G1" s="54" t="s">
        <v>12</v>
      </c>
      <c r="H1" s="54" t="s">
        <v>1450</v>
      </c>
      <c r="I1" s="54" t="s">
        <v>1451</v>
      </c>
      <c r="J1" s="54" t="s">
        <v>35</v>
      </c>
    </row>
    <row r="2" spans="1:10" ht="15" customHeight="1" x14ac:dyDescent="0.25">
      <c r="A2" s="55" t="s">
        <v>1452</v>
      </c>
      <c r="B2" s="55" t="s">
        <v>40</v>
      </c>
      <c r="C2" s="55" t="s">
        <v>41</v>
      </c>
      <c r="D2" s="55" t="s">
        <v>1183</v>
      </c>
      <c r="E2" s="55" t="s">
        <v>1184</v>
      </c>
      <c r="F2" s="55" t="s">
        <v>768</v>
      </c>
      <c r="G2" s="55" t="s">
        <v>1453</v>
      </c>
      <c r="H2" s="55">
        <v>82</v>
      </c>
      <c r="I2" s="57">
        <v>85</v>
      </c>
      <c r="J2" s="57" t="s">
        <v>62</v>
      </c>
    </row>
    <row r="3" spans="1:10" ht="15" customHeight="1" x14ac:dyDescent="0.25">
      <c r="A3" s="56" t="s">
        <v>1454</v>
      </c>
      <c r="B3" s="56" t="s">
        <v>40</v>
      </c>
      <c r="C3" s="56" t="s">
        <v>41</v>
      </c>
      <c r="D3" s="56" t="s">
        <v>1188</v>
      </c>
      <c r="E3" s="56" t="s">
        <v>1189</v>
      </c>
      <c r="F3" s="56" t="s">
        <v>768</v>
      </c>
      <c r="G3" s="56" t="s">
        <v>1453</v>
      </c>
      <c r="H3" s="56">
        <v>88</v>
      </c>
      <c r="I3" s="58">
        <v>87</v>
      </c>
      <c r="J3" s="58" t="s">
        <v>62</v>
      </c>
    </row>
    <row r="4" spans="1:10" ht="15" customHeight="1" x14ac:dyDescent="0.25">
      <c r="A4" s="55" t="s">
        <v>1455</v>
      </c>
      <c r="B4" s="55" t="s">
        <v>40</v>
      </c>
      <c r="C4" s="55" t="s">
        <v>41</v>
      </c>
      <c r="D4" s="55" t="s">
        <v>1237</v>
      </c>
      <c r="E4" s="55" t="s">
        <v>1238</v>
      </c>
      <c r="F4" s="55" t="s">
        <v>768</v>
      </c>
      <c r="G4" s="55" t="s">
        <v>1453</v>
      </c>
      <c r="H4" s="55">
        <v>75</v>
      </c>
      <c r="I4" s="57">
        <v>78</v>
      </c>
      <c r="J4" s="57" t="s">
        <v>62</v>
      </c>
    </row>
    <row r="5" spans="1:10" ht="15" customHeight="1" x14ac:dyDescent="0.25">
      <c r="A5" s="56" t="s">
        <v>1456</v>
      </c>
      <c r="B5" s="56" t="s">
        <v>40</v>
      </c>
      <c r="C5" s="56" t="s">
        <v>41</v>
      </c>
      <c r="D5" s="56" t="s">
        <v>1265</v>
      </c>
      <c r="E5" s="56" t="s">
        <v>1266</v>
      </c>
      <c r="F5" s="56" t="s">
        <v>768</v>
      </c>
      <c r="G5" s="56" t="s">
        <v>1453</v>
      </c>
      <c r="H5" s="56">
        <v>90</v>
      </c>
      <c r="I5" s="58">
        <v>91</v>
      </c>
      <c r="J5" s="58" t="s">
        <v>62</v>
      </c>
    </row>
    <row r="6" spans="1:10" ht="15" customHeight="1" x14ac:dyDescent="0.25">
      <c r="A6" s="55" t="s">
        <v>1457</v>
      </c>
      <c r="B6" s="55" t="s">
        <v>65</v>
      </c>
      <c r="C6" s="55" t="s">
        <v>66</v>
      </c>
      <c r="D6" s="55" t="s">
        <v>1192</v>
      </c>
      <c r="E6" s="55" t="s">
        <v>1193</v>
      </c>
      <c r="F6" s="55" t="s">
        <v>768</v>
      </c>
      <c r="G6" s="55" t="s">
        <v>1453</v>
      </c>
      <c r="H6" s="55">
        <v>72</v>
      </c>
      <c r="I6" s="57">
        <v>74</v>
      </c>
      <c r="J6" s="57" t="s">
        <v>62</v>
      </c>
    </row>
    <row r="7" spans="1:10" ht="15" customHeight="1" x14ac:dyDescent="0.25">
      <c r="A7" s="56" t="s">
        <v>1458</v>
      </c>
      <c r="B7" s="56" t="s">
        <v>65</v>
      </c>
      <c r="C7" s="56" t="s">
        <v>66</v>
      </c>
      <c r="D7" s="56" t="s">
        <v>1255</v>
      </c>
      <c r="E7" s="56" t="s">
        <v>1256</v>
      </c>
      <c r="F7" s="56" t="s">
        <v>768</v>
      </c>
      <c r="G7" s="56" t="s">
        <v>1453</v>
      </c>
      <c r="H7" s="56">
        <v>68</v>
      </c>
      <c r="I7" s="58">
        <v>70</v>
      </c>
      <c r="J7" s="58" t="s">
        <v>62</v>
      </c>
    </row>
    <row r="8" spans="1:10" ht="15" customHeight="1" x14ac:dyDescent="0.25">
      <c r="A8" s="55" t="s">
        <v>1459</v>
      </c>
      <c r="B8" s="55" t="s">
        <v>65</v>
      </c>
      <c r="C8" s="55" t="s">
        <v>66</v>
      </c>
      <c r="D8" s="55" t="s">
        <v>1237</v>
      </c>
      <c r="E8" s="55" t="s">
        <v>1238</v>
      </c>
      <c r="F8" s="55" t="s">
        <v>768</v>
      </c>
      <c r="G8" s="55" t="s">
        <v>1453</v>
      </c>
      <c r="H8" s="55">
        <v>65</v>
      </c>
      <c r="I8" s="57">
        <v>67</v>
      </c>
      <c r="J8" s="57" t="s">
        <v>62</v>
      </c>
    </row>
    <row r="9" spans="1:10" ht="15" customHeight="1" x14ac:dyDescent="0.25">
      <c r="A9" s="56" t="s">
        <v>1460</v>
      </c>
      <c r="B9" s="56" t="s">
        <v>65</v>
      </c>
      <c r="C9" s="56" t="s">
        <v>66</v>
      </c>
      <c r="D9" s="56" t="s">
        <v>1265</v>
      </c>
      <c r="E9" s="56" t="s">
        <v>1266</v>
      </c>
      <c r="F9" s="56" t="s">
        <v>768</v>
      </c>
      <c r="G9" s="56" t="s">
        <v>1453</v>
      </c>
      <c r="H9" s="56">
        <v>78</v>
      </c>
      <c r="I9" s="58">
        <v>77</v>
      </c>
      <c r="J9" s="58" t="s">
        <v>62</v>
      </c>
    </row>
    <row r="10" spans="1:10" ht="15" customHeight="1" x14ac:dyDescent="0.25">
      <c r="A10" s="55" t="s">
        <v>1461</v>
      </c>
      <c r="B10" s="55" t="s">
        <v>79</v>
      </c>
      <c r="C10" s="55" t="s">
        <v>80</v>
      </c>
      <c r="D10" s="55" t="s">
        <v>1201</v>
      </c>
      <c r="E10" s="55" t="s">
        <v>1202</v>
      </c>
      <c r="F10" s="55" t="s">
        <v>519</v>
      </c>
      <c r="G10" s="55" t="s">
        <v>1453</v>
      </c>
      <c r="H10" s="55">
        <v>80</v>
      </c>
      <c r="I10" s="57">
        <v>82</v>
      </c>
      <c r="J10" s="57" t="s">
        <v>62</v>
      </c>
    </row>
    <row r="11" spans="1:10" ht="15" customHeight="1" x14ac:dyDescent="0.25">
      <c r="A11" s="56" t="s">
        <v>1462</v>
      </c>
      <c r="B11" s="56" t="s">
        <v>79</v>
      </c>
      <c r="C11" s="56" t="s">
        <v>80</v>
      </c>
      <c r="D11" s="56" t="s">
        <v>1237</v>
      </c>
      <c r="E11" s="56" t="s">
        <v>1238</v>
      </c>
      <c r="F11" s="56" t="s">
        <v>519</v>
      </c>
      <c r="G11" s="56" t="s">
        <v>1453</v>
      </c>
      <c r="H11" s="56">
        <v>76</v>
      </c>
      <c r="I11" s="58">
        <v>78</v>
      </c>
      <c r="J11" s="58" t="s">
        <v>62</v>
      </c>
    </row>
    <row r="12" spans="1:10" ht="15" customHeight="1" x14ac:dyDescent="0.25">
      <c r="A12" s="55" t="s">
        <v>1463</v>
      </c>
      <c r="B12" s="55" t="s">
        <v>79</v>
      </c>
      <c r="C12" s="55" t="s">
        <v>80</v>
      </c>
      <c r="D12" s="55" t="s">
        <v>1250</v>
      </c>
      <c r="E12" s="55" t="s">
        <v>1251</v>
      </c>
      <c r="F12" s="55" t="s">
        <v>519</v>
      </c>
      <c r="G12" s="55" t="s">
        <v>1453</v>
      </c>
      <c r="H12" s="55">
        <v>83</v>
      </c>
      <c r="I12" s="57">
        <v>84</v>
      </c>
      <c r="J12" s="57" t="s">
        <v>62</v>
      </c>
    </row>
    <row r="13" spans="1:10" ht="15" customHeight="1" x14ac:dyDescent="0.25">
      <c r="A13" s="56" t="s">
        <v>1464</v>
      </c>
      <c r="B13" s="56" t="s">
        <v>79</v>
      </c>
      <c r="C13" s="56" t="s">
        <v>80</v>
      </c>
      <c r="D13" s="56" t="s">
        <v>1265</v>
      </c>
      <c r="E13" s="56" t="s">
        <v>1266</v>
      </c>
      <c r="F13" s="56" t="s">
        <v>519</v>
      </c>
      <c r="G13" s="56" t="s">
        <v>1453</v>
      </c>
      <c r="H13" s="56">
        <v>88</v>
      </c>
      <c r="I13" s="58">
        <v>89</v>
      </c>
      <c r="J13" s="58" t="s">
        <v>62</v>
      </c>
    </row>
    <row r="14" spans="1:10" ht="15" customHeight="1" x14ac:dyDescent="0.25">
      <c r="A14" s="55" t="s">
        <v>1465</v>
      </c>
      <c r="B14" s="55" t="s">
        <v>96</v>
      </c>
      <c r="C14" s="55" t="s">
        <v>97</v>
      </c>
      <c r="D14" s="55" t="s">
        <v>1220</v>
      </c>
      <c r="E14" s="55" t="s">
        <v>1221</v>
      </c>
      <c r="F14" s="55" t="s">
        <v>683</v>
      </c>
      <c r="G14" s="55" t="s">
        <v>107</v>
      </c>
      <c r="H14" s="55">
        <v>91</v>
      </c>
      <c r="I14" s="57">
        <v>93</v>
      </c>
      <c r="J14" s="57" t="s">
        <v>62</v>
      </c>
    </row>
    <row r="15" spans="1:10" ht="15" customHeight="1" x14ac:dyDescent="0.25">
      <c r="A15" s="56" t="s">
        <v>1466</v>
      </c>
      <c r="B15" s="56" t="s">
        <v>96</v>
      </c>
      <c r="C15" s="56" t="s">
        <v>97</v>
      </c>
      <c r="D15" s="56" t="s">
        <v>1215</v>
      </c>
      <c r="E15" s="56" t="s">
        <v>1216</v>
      </c>
      <c r="F15" s="56" t="s">
        <v>683</v>
      </c>
      <c r="G15" s="56" t="s">
        <v>107</v>
      </c>
      <c r="H15" s="56">
        <v>88</v>
      </c>
      <c r="I15" s="58">
        <v>90</v>
      </c>
      <c r="J15" s="58" t="s">
        <v>62</v>
      </c>
    </row>
    <row r="16" spans="1:10" ht="15" customHeight="1" x14ac:dyDescent="0.25">
      <c r="A16" s="55" t="s">
        <v>1467</v>
      </c>
      <c r="B16" s="55" t="s">
        <v>96</v>
      </c>
      <c r="C16" s="55" t="s">
        <v>97</v>
      </c>
      <c r="D16" s="55" t="s">
        <v>1265</v>
      </c>
      <c r="E16" s="55" t="s">
        <v>1266</v>
      </c>
      <c r="F16" s="55" t="s">
        <v>683</v>
      </c>
      <c r="G16" s="55" t="s">
        <v>107</v>
      </c>
      <c r="H16" s="55">
        <v>92</v>
      </c>
      <c r="I16" s="57">
        <v>94</v>
      </c>
      <c r="J16" s="57" t="s">
        <v>62</v>
      </c>
    </row>
    <row r="17" spans="1:10" ht="15" customHeight="1" x14ac:dyDescent="0.25">
      <c r="A17" s="56" t="s">
        <v>1468</v>
      </c>
      <c r="B17" s="56" t="s">
        <v>111</v>
      </c>
      <c r="C17" s="56" t="s">
        <v>112</v>
      </c>
      <c r="D17" s="56" t="s">
        <v>1237</v>
      </c>
      <c r="E17" s="56" t="s">
        <v>1238</v>
      </c>
      <c r="F17" s="56" t="s">
        <v>120</v>
      </c>
      <c r="G17" s="56" t="s">
        <v>1453</v>
      </c>
      <c r="H17" s="56">
        <v>48</v>
      </c>
      <c r="I17" s="58">
        <v>52</v>
      </c>
      <c r="J17" s="58" t="s">
        <v>62</v>
      </c>
    </row>
    <row r="18" spans="1:10" ht="15" customHeight="1" x14ac:dyDescent="0.25">
      <c r="A18" s="55" t="s">
        <v>1469</v>
      </c>
      <c r="B18" s="55" t="s">
        <v>111</v>
      </c>
      <c r="C18" s="55" t="s">
        <v>112</v>
      </c>
      <c r="D18" s="55" t="s">
        <v>1242</v>
      </c>
      <c r="E18" s="55" t="s">
        <v>1243</v>
      </c>
      <c r="F18" s="55" t="s">
        <v>120</v>
      </c>
      <c r="G18" s="55" t="s">
        <v>1453</v>
      </c>
      <c r="H18" s="55">
        <v>55</v>
      </c>
      <c r="I18" s="57">
        <v>57</v>
      </c>
      <c r="J18" s="57" t="s">
        <v>62</v>
      </c>
    </row>
    <row r="19" spans="1:10" ht="15" customHeight="1" x14ac:dyDescent="0.25">
      <c r="A19" s="56" t="s">
        <v>1470</v>
      </c>
      <c r="B19" s="56" t="s">
        <v>111</v>
      </c>
      <c r="C19" s="56" t="s">
        <v>112</v>
      </c>
      <c r="D19" s="56" t="s">
        <v>1265</v>
      </c>
      <c r="E19" s="56" t="s">
        <v>1266</v>
      </c>
      <c r="F19" s="56" t="s">
        <v>120</v>
      </c>
      <c r="G19" s="56" t="s">
        <v>1453</v>
      </c>
      <c r="H19" s="56">
        <v>60</v>
      </c>
      <c r="I19" s="58">
        <v>62</v>
      </c>
      <c r="J19" s="58" t="s">
        <v>62</v>
      </c>
    </row>
    <row r="20" spans="1:10" ht="15" customHeight="1" x14ac:dyDescent="0.25">
      <c r="A20" s="55" t="s">
        <v>1471</v>
      </c>
      <c r="B20" s="55" t="s">
        <v>127</v>
      </c>
      <c r="C20" s="55" t="s">
        <v>128</v>
      </c>
      <c r="D20" s="55" t="s">
        <v>1224</v>
      </c>
      <c r="E20" s="55" t="s">
        <v>1225</v>
      </c>
      <c r="F20" s="55" t="s">
        <v>768</v>
      </c>
      <c r="G20" s="55" t="s">
        <v>1453</v>
      </c>
      <c r="H20" s="55">
        <v>74</v>
      </c>
      <c r="I20" s="57">
        <v>76</v>
      </c>
      <c r="J20" s="57" t="s">
        <v>62</v>
      </c>
    </row>
    <row r="21" spans="1:10" ht="15" customHeight="1" x14ac:dyDescent="0.25">
      <c r="A21" s="56" t="s">
        <v>1472</v>
      </c>
      <c r="B21" s="56" t="s">
        <v>127</v>
      </c>
      <c r="C21" s="56" t="s">
        <v>128</v>
      </c>
      <c r="D21" s="56" t="s">
        <v>1228</v>
      </c>
      <c r="E21" s="56" t="s">
        <v>1229</v>
      </c>
      <c r="F21" s="56" t="s">
        <v>768</v>
      </c>
      <c r="G21" s="56" t="s">
        <v>1453</v>
      </c>
      <c r="H21" s="56">
        <v>71</v>
      </c>
      <c r="I21" s="58">
        <v>73</v>
      </c>
      <c r="J21" s="58" t="s">
        <v>62</v>
      </c>
    </row>
    <row r="22" spans="1:10" ht="15" customHeight="1" x14ac:dyDescent="0.25">
      <c r="A22" s="55" t="s">
        <v>1473</v>
      </c>
      <c r="B22" s="55" t="s">
        <v>127</v>
      </c>
      <c r="C22" s="55" t="s">
        <v>128</v>
      </c>
      <c r="D22" s="55" t="s">
        <v>1265</v>
      </c>
      <c r="E22" s="55" t="s">
        <v>1266</v>
      </c>
      <c r="F22" s="55" t="s">
        <v>768</v>
      </c>
      <c r="G22" s="55" t="s">
        <v>1453</v>
      </c>
      <c r="H22" s="55">
        <v>79</v>
      </c>
      <c r="I22" s="57">
        <v>80</v>
      </c>
      <c r="J22" s="57" t="s">
        <v>62</v>
      </c>
    </row>
    <row r="23" spans="1:10" ht="15" customHeight="1" x14ac:dyDescent="0.25">
      <c r="A23" s="56" t="s">
        <v>1474</v>
      </c>
      <c r="B23" s="56" t="s">
        <v>135</v>
      </c>
      <c r="C23" s="56" t="s">
        <v>136</v>
      </c>
      <c r="D23" s="56" t="s">
        <v>1215</v>
      </c>
      <c r="E23" s="56" t="s">
        <v>1216</v>
      </c>
      <c r="F23" s="56" t="s">
        <v>666</v>
      </c>
      <c r="G23" s="56" t="s">
        <v>1453</v>
      </c>
      <c r="H23" s="56">
        <v>84</v>
      </c>
      <c r="I23" s="58">
        <v>86</v>
      </c>
      <c r="J23" s="58" t="s">
        <v>62</v>
      </c>
    </row>
    <row r="24" spans="1:10" ht="15" customHeight="1" x14ac:dyDescent="0.25">
      <c r="A24" s="55" t="s">
        <v>1475</v>
      </c>
      <c r="B24" s="55" t="s">
        <v>135</v>
      </c>
      <c r="C24" s="55" t="s">
        <v>136</v>
      </c>
      <c r="D24" s="55" t="s">
        <v>1250</v>
      </c>
      <c r="E24" s="55" t="s">
        <v>1251</v>
      </c>
      <c r="F24" s="55" t="s">
        <v>666</v>
      </c>
      <c r="G24" s="55" t="s">
        <v>1453</v>
      </c>
      <c r="H24" s="55">
        <v>80</v>
      </c>
      <c r="I24" s="57">
        <v>82</v>
      </c>
      <c r="J24" s="57" t="s">
        <v>62</v>
      </c>
    </row>
    <row r="25" spans="1:10" ht="15" customHeight="1" x14ac:dyDescent="0.25">
      <c r="A25" s="56" t="s">
        <v>1476</v>
      </c>
      <c r="B25" s="56" t="s">
        <v>135</v>
      </c>
      <c r="C25" s="56" t="s">
        <v>136</v>
      </c>
      <c r="D25" s="56" t="s">
        <v>1237</v>
      </c>
      <c r="E25" s="56" t="s">
        <v>1238</v>
      </c>
      <c r="F25" s="56" t="s">
        <v>666</v>
      </c>
      <c r="G25" s="56" t="s">
        <v>1453</v>
      </c>
      <c r="H25" s="56">
        <v>77</v>
      </c>
      <c r="I25" s="58">
        <v>79</v>
      </c>
      <c r="J25" s="58" t="s">
        <v>62</v>
      </c>
    </row>
    <row r="26" spans="1:10" ht="15" customHeight="1" x14ac:dyDescent="0.25">
      <c r="A26" s="55" t="s">
        <v>1477</v>
      </c>
      <c r="B26" s="55" t="s">
        <v>135</v>
      </c>
      <c r="C26" s="55" t="s">
        <v>136</v>
      </c>
      <c r="D26" s="55" t="s">
        <v>1265</v>
      </c>
      <c r="E26" s="55" t="s">
        <v>1266</v>
      </c>
      <c r="F26" s="55" t="s">
        <v>666</v>
      </c>
      <c r="G26" s="55" t="s">
        <v>1453</v>
      </c>
      <c r="H26" s="55">
        <v>88</v>
      </c>
      <c r="I26" s="57">
        <v>89</v>
      </c>
      <c r="J26" s="57" t="s">
        <v>62</v>
      </c>
    </row>
    <row r="27" spans="1:10" ht="15" customHeight="1" x14ac:dyDescent="0.25">
      <c r="A27" s="56" t="s">
        <v>1478</v>
      </c>
      <c r="B27" s="56" t="s">
        <v>142</v>
      </c>
      <c r="C27" s="56" t="s">
        <v>143</v>
      </c>
      <c r="D27" s="56" t="s">
        <v>1210</v>
      </c>
      <c r="E27" s="56" t="s">
        <v>1211</v>
      </c>
      <c r="F27" s="56" t="s">
        <v>519</v>
      </c>
      <c r="G27" s="56" t="s">
        <v>1453</v>
      </c>
      <c r="H27" s="56">
        <v>73</v>
      </c>
      <c r="I27" s="58">
        <v>74</v>
      </c>
      <c r="J27" s="58" t="s">
        <v>62</v>
      </c>
    </row>
    <row r="28" spans="1:10" ht="15" customHeight="1" x14ac:dyDescent="0.25">
      <c r="A28" s="55" t="s">
        <v>1479</v>
      </c>
      <c r="B28" s="55" t="s">
        <v>142</v>
      </c>
      <c r="C28" s="55" t="s">
        <v>143</v>
      </c>
      <c r="D28" s="55" t="s">
        <v>1228</v>
      </c>
      <c r="E28" s="55" t="s">
        <v>1229</v>
      </c>
      <c r="F28" s="55" t="s">
        <v>519</v>
      </c>
      <c r="G28" s="55" t="s">
        <v>1453</v>
      </c>
      <c r="H28" s="55">
        <v>70</v>
      </c>
      <c r="I28" s="57">
        <v>72</v>
      </c>
      <c r="J28" s="57" t="s">
        <v>62</v>
      </c>
    </row>
    <row r="29" spans="1:10" ht="15" customHeight="1" x14ac:dyDescent="0.25">
      <c r="A29" s="56" t="s">
        <v>1480</v>
      </c>
      <c r="B29" s="56" t="s">
        <v>142</v>
      </c>
      <c r="C29" s="56" t="s">
        <v>143</v>
      </c>
      <c r="D29" s="56" t="s">
        <v>1265</v>
      </c>
      <c r="E29" s="56" t="s">
        <v>1266</v>
      </c>
      <c r="F29" s="56" t="s">
        <v>519</v>
      </c>
      <c r="G29" s="56" t="s">
        <v>1453</v>
      </c>
      <c r="H29" s="56">
        <v>75</v>
      </c>
      <c r="I29" s="58">
        <v>76</v>
      </c>
      <c r="J29" s="58" t="s">
        <v>62</v>
      </c>
    </row>
    <row r="30" spans="1:10" ht="15" customHeight="1" x14ac:dyDescent="0.25">
      <c r="A30" s="55" t="s">
        <v>1481</v>
      </c>
      <c r="B30" s="55" t="s">
        <v>151</v>
      </c>
      <c r="C30" s="55" t="s">
        <v>152</v>
      </c>
      <c r="D30" s="55" t="s">
        <v>1196</v>
      </c>
      <c r="E30" s="55" t="s">
        <v>1197</v>
      </c>
      <c r="F30" s="55" t="s">
        <v>768</v>
      </c>
      <c r="G30" s="55" t="s">
        <v>1453</v>
      </c>
      <c r="H30" s="55">
        <v>66</v>
      </c>
      <c r="I30" s="57">
        <v>68</v>
      </c>
      <c r="J30" s="57" t="s">
        <v>62</v>
      </c>
    </row>
    <row r="31" spans="1:10" ht="15" customHeight="1" x14ac:dyDescent="0.25">
      <c r="A31" s="56" t="s">
        <v>1482</v>
      </c>
      <c r="B31" s="56" t="s">
        <v>151</v>
      </c>
      <c r="C31" s="56" t="s">
        <v>152</v>
      </c>
      <c r="D31" s="56" t="s">
        <v>1192</v>
      </c>
      <c r="E31" s="56" t="s">
        <v>1193</v>
      </c>
      <c r="F31" s="56" t="s">
        <v>768</v>
      </c>
      <c r="G31" s="56" t="s">
        <v>1453</v>
      </c>
      <c r="H31" s="56">
        <v>63</v>
      </c>
      <c r="I31" s="58">
        <v>65</v>
      </c>
      <c r="J31" s="58" t="s">
        <v>62</v>
      </c>
    </row>
    <row r="32" spans="1:10" ht="15" customHeight="1" x14ac:dyDescent="0.25">
      <c r="A32" s="55" t="s">
        <v>1483</v>
      </c>
      <c r="B32" s="55" t="s">
        <v>151</v>
      </c>
      <c r="C32" s="55" t="s">
        <v>152</v>
      </c>
      <c r="D32" s="55" t="s">
        <v>1265</v>
      </c>
      <c r="E32" s="55" t="s">
        <v>1266</v>
      </c>
      <c r="F32" s="55" t="s">
        <v>768</v>
      </c>
      <c r="G32" s="55" t="s">
        <v>1453</v>
      </c>
      <c r="H32" s="55">
        <v>70</v>
      </c>
      <c r="I32" s="57">
        <v>71</v>
      </c>
      <c r="J32" s="57" t="s">
        <v>62</v>
      </c>
    </row>
    <row r="33" spans="1:10" ht="15" customHeight="1" x14ac:dyDescent="0.25">
      <c r="A33" s="56" t="s">
        <v>1484</v>
      </c>
      <c r="B33" s="56" t="s">
        <v>161</v>
      </c>
      <c r="C33" s="56" t="s">
        <v>162</v>
      </c>
      <c r="D33" s="56" t="s">
        <v>1262</v>
      </c>
      <c r="E33" s="56" t="s">
        <v>1263</v>
      </c>
      <c r="F33" s="56" t="s">
        <v>120</v>
      </c>
      <c r="G33" s="56" t="s">
        <v>1453</v>
      </c>
      <c r="H33" s="56">
        <v>79</v>
      </c>
      <c r="I33" s="58">
        <v>81</v>
      </c>
      <c r="J33" s="58" t="s">
        <v>62</v>
      </c>
    </row>
    <row r="34" spans="1:10" ht="15" customHeight="1" x14ac:dyDescent="0.25">
      <c r="A34" s="55" t="s">
        <v>1485</v>
      </c>
      <c r="B34" s="55" t="s">
        <v>161</v>
      </c>
      <c r="C34" s="55" t="s">
        <v>162</v>
      </c>
      <c r="D34" s="55" t="s">
        <v>1246</v>
      </c>
      <c r="E34" s="55" t="s">
        <v>1247</v>
      </c>
      <c r="F34" s="55" t="s">
        <v>120</v>
      </c>
      <c r="G34" s="55" t="s">
        <v>1453</v>
      </c>
      <c r="H34" s="55">
        <v>76</v>
      </c>
      <c r="I34" s="57">
        <v>78</v>
      </c>
      <c r="J34" s="57" t="s">
        <v>62</v>
      </c>
    </row>
    <row r="35" spans="1:10" ht="15" customHeight="1" x14ac:dyDescent="0.25">
      <c r="A35" s="56" t="s">
        <v>1486</v>
      </c>
      <c r="B35" s="56" t="s">
        <v>161</v>
      </c>
      <c r="C35" s="56" t="s">
        <v>162</v>
      </c>
      <c r="D35" s="56" t="s">
        <v>1265</v>
      </c>
      <c r="E35" s="56" t="s">
        <v>1266</v>
      </c>
      <c r="F35" s="56" t="s">
        <v>120</v>
      </c>
      <c r="G35" s="56" t="s">
        <v>1453</v>
      </c>
      <c r="H35" s="56">
        <v>83</v>
      </c>
      <c r="I35" s="58">
        <v>84</v>
      </c>
      <c r="J35" s="58" t="s">
        <v>62</v>
      </c>
    </row>
    <row r="36" spans="1:10" ht="15" customHeight="1" x14ac:dyDescent="0.25">
      <c r="A36" s="55" t="s">
        <v>1487</v>
      </c>
      <c r="B36" s="55" t="s">
        <v>168</v>
      </c>
      <c r="C36" s="55" t="s">
        <v>169</v>
      </c>
      <c r="D36" s="55" t="s">
        <v>1250</v>
      </c>
      <c r="E36" s="55" t="s">
        <v>1251</v>
      </c>
      <c r="F36" s="55" t="s">
        <v>666</v>
      </c>
      <c r="G36" s="55" t="s">
        <v>1453</v>
      </c>
      <c r="H36" s="55">
        <v>74</v>
      </c>
      <c r="I36" s="57">
        <v>75</v>
      </c>
      <c r="J36" s="57" t="s">
        <v>62</v>
      </c>
    </row>
    <row r="37" spans="1:10" ht="15" customHeight="1" x14ac:dyDescent="0.25">
      <c r="A37" s="56" t="s">
        <v>1488</v>
      </c>
      <c r="B37" s="56" t="s">
        <v>168</v>
      </c>
      <c r="C37" s="56" t="s">
        <v>169</v>
      </c>
      <c r="D37" s="56" t="s">
        <v>1242</v>
      </c>
      <c r="E37" s="56" t="s">
        <v>1243</v>
      </c>
      <c r="F37" s="56" t="s">
        <v>666</v>
      </c>
      <c r="G37" s="56" t="s">
        <v>1453</v>
      </c>
      <c r="H37" s="56">
        <v>70</v>
      </c>
      <c r="I37" s="58">
        <v>72</v>
      </c>
      <c r="J37" s="58" t="s">
        <v>62</v>
      </c>
    </row>
    <row r="38" spans="1:10" ht="15" customHeight="1" x14ac:dyDescent="0.25">
      <c r="A38" s="55" t="s">
        <v>1489</v>
      </c>
      <c r="B38" s="55" t="s">
        <v>168</v>
      </c>
      <c r="C38" s="55" t="s">
        <v>169</v>
      </c>
      <c r="D38" s="55" t="s">
        <v>1265</v>
      </c>
      <c r="E38" s="55" t="s">
        <v>1266</v>
      </c>
      <c r="F38" s="55" t="s">
        <v>666</v>
      </c>
      <c r="G38" s="55" t="s">
        <v>1453</v>
      </c>
      <c r="H38" s="55">
        <v>77</v>
      </c>
      <c r="I38" s="57">
        <v>78</v>
      </c>
      <c r="J38" s="57" t="s">
        <v>62</v>
      </c>
    </row>
    <row r="39" spans="1:10" ht="15" customHeight="1" x14ac:dyDescent="0.25">
      <c r="A39" s="56" t="s">
        <v>1490</v>
      </c>
      <c r="B39" s="56" t="s">
        <v>174</v>
      </c>
      <c r="C39" s="56" t="s">
        <v>175</v>
      </c>
      <c r="D39" s="56" t="s">
        <v>1205</v>
      </c>
      <c r="E39" s="56" t="s">
        <v>1206</v>
      </c>
      <c r="F39" s="56" t="s">
        <v>683</v>
      </c>
      <c r="G39" s="56" t="s">
        <v>107</v>
      </c>
      <c r="H39" s="56">
        <v>65</v>
      </c>
      <c r="I39" s="58">
        <v>67</v>
      </c>
      <c r="J39" s="58" t="s">
        <v>62</v>
      </c>
    </row>
    <row r="40" spans="1:10" ht="15" customHeight="1" x14ac:dyDescent="0.25">
      <c r="A40" s="55" t="s">
        <v>1491</v>
      </c>
      <c r="B40" s="55" t="s">
        <v>174</v>
      </c>
      <c r="C40" s="55" t="s">
        <v>175</v>
      </c>
      <c r="D40" s="55" t="s">
        <v>1237</v>
      </c>
      <c r="E40" s="55" t="s">
        <v>1238</v>
      </c>
      <c r="F40" s="55" t="s">
        <v>683</v>
      </c>
      <c r="G40" s="55" t="s">
        <v>107</v>
      </c>
      <c r="H40" s="55">
        <v>60</v>
      </c>
      <c r="I40" s="57">
        <v>62</v>
      </c>
      <c r="J40" s="57" t="s">
        <v>62</v>
      </c>
    </row>
    <row r="41" spans="1:10" ht="15" customHeight="1" x14ac:dyDescent="0.25">
      <c r="A41" s="56" t="s">
        <v>1492</v>
      </c>
      <c r="B41" s="56" t="s">
        <v>174</v>
      </c>
      <c r="C41" s="56" t="s">
        <v>175</v>
      </c>
      <c r="D41" s="56" t="s">
        <v>1265</v>
      </c>
      <c r="E41" s="56" t="s">
        <v>1266</v>
      </c>
      <c r="F41" s="56" t="s">
        <v>683</v>
      </c>
      <c r="G41" s="56" t="s">
        <v>107</v>
      </c>
      <c r="H41" s="56">
        <v>68</v>
      </c>
      <c r="I41" s="58">
        <v>70</v>
      </c>
      <c r="J41" s="58" t="s">
        <v>62</v>
      </c>
    </row>
    <row r="42" spans="1:10" ht="15" customHeight="1" x14ac:dyDescent="0.25">
      <c r="A42" s="55" t="s">
        <v>1493</v>
      </c>
      <c r="B42" s="55" t="s">
        <v>181</v>
      </c>
      <c r="C42" s="55" t="s">
        <v>182</v>
      </c>
      <c r="D42" s="55" t="s">
        <v>1228</v>
      </c>
      <c r="E42" s="55" t="s">
        <v>1229</v>
      </c>
      <c r="F42" s="55" t="s">
        <v>768</v>
      </c>
      <c r="G42" s="55" t="s">
        <v>1453</v>
      </c>
      <c r="H42" s="55">
        <v>82</v>
      </c>
      <c r="I42" s="57">
        <v>84</v>
      </c>
      <c r="J42" s="57" t="s">
        <v>62</v>
      </c>
    </row>
    <row r="43" spans="1:10" ht="15" customHeight="1" x14ac:dyDescent="0.25">
      <c r="A43" s="56" t="s">
        <v>1494</v>
      </c>
      <c r="B43" s="56" t="s">
        <v>181</v>
      </c>
      <c r="C43" s="56" t="s">
        <v>182</v>
      </c>
      <c r="D43" s="56" t="s">
        <v>1233</v>
      </c>
      <c r="E43" s="56" t="s">
        <v>1234</v>
      </c>
      <c r="F43" s="56" t="s">
        <v>768</v>
      </c>
      <c r="G43" s="56" t="s">
        <v>1453</v>
      </c>
      <c r="H43" s="56">
        <v>85</v>
      </c>
      <c r="I43" s="58">
        <v>86</v>
      </c>
      <c r="J43" s="58" t="s">
        <v>62</v>
      </c>
    </row>
    <row r="44" spans="1:10" ht="15" customHeight="1" x14ac:dyDescent="0.25">
      <c r="A44" s="55" t="s">
        <v>1495</v>
      </c>
      <c r="B44" s="55" t="s">
        <v>181</v>
      </c>
      <c r="C44" s="55" t="s">
        <v>182</v>
      </c>
      <c r="D44" s="55" t="s">
        <v>1265</v>
      </c>
      <c r="E44" s="55" t="s">
        <v>1266</v>
      </c>
      <c r="F44" s="55" t="s">
        <v>768</v>
      </c>
      <c r="G44" s="55" t="s">
        <v>1453</v>
      </c>
      <c r="H44" s="55">
        <v>88</v>
      </c>
      <c r="I44" s="57">
        <v>89</v>
      </c>
      <c r="J44" s="57" t="s">
        <v>62</v>
      </c>
    </row>
    <row r="45" spans="1:10" ht="15" customHeight="1" x14ac:dyDescent="0.25">
      <c r="A45" s="56" t="s">
        <v>1496</v>
      </c>
      <c r="B45" s="56" t="s">
        <v>188</v>
      </c>
      <c r="C45" s="56" t="s">
        <v>189</v>
      </c>
      <c r="D45" s="56" t="s">
        <v>1259</v>
      </c>
      <c r="E45" s="56" t="s">
        <v>1260</v>
      </c>
      <c r="F45" s="56" t="s">
        <v>519</v>
      </c>
      <c r="G45" s="56" t="s">
        <v>1497</v>
      </c>
      <c r="H45" s="56">
        <v>40</v>
      </c>
      <c r="I45" s="58">
        <v>42</v>
      </c>
      <c r="J45" s="58" t="s">
        <v>62</v>
      </c>
    </row>
    <row r="46" spans="1:10" ht="15" customHeight="1" x14ac:dyDescent="0.25">
      <c r="A46" s="55" t="s">
        <v>1498</v>
      </c>
      <c r="B46" s="55" t="s">
        <v>188</v>
      </c>
      <c r="C46" s="55" t="s">
        <v>189</v>
      </c>
      <c r="D46" s="55" t="s">
        <v>1215</v>
      </c>
      <c r="E46" s="55" t="s">
        <v>1216</v>
      </c>
      <c r="F46" s="55" t="s">
        <v>519</v>
      </c>
      <c r="G46" s="55" t="s">
        <v>1453</v>
      </c>
      <c r="H46" s="55">
        <v>45</v>
      </c>
      <c r="I46" s="57">
        <v>47</v>
      </c>
      <c r="J46" s="57" t="s">
        <v>62</v>
      </c>
    </row>
    <row r="47" spans="1:10" ht="15" customHeight="1" x14ac:dyDescent="0.25">
      <c r="A47" s="56" t="s">
        <v>1499</v>
      </c>
      <c r="B47" s="56" t="s">
        <v>188</v>
      </c>
      <c r="C47" s="56" t="s">
        <v>189</v>
      </c>
      <c r="D47" s="56" t="s">
        <v>1265</v>
      </c>
      <c r="E47" s="56" t="s">
        <v>1266</v>
      </c>
      <c r="F47" s="56" t="s">
        <v>519</v>
      </c>
      <c r="G47" s="56" t="s">
        <v>1453</v>
      </c>
      <c r="H47" s="56">
        <v>50</v>
      </c>
      <c r="I47" s="58">
        <v>52</v>
      </c>
      <c r="J47" s="58" t="s">
        <v>62</v>
      </c>
    </row>
    <row r="48" spans="1:10" ht="15" customHeight="1" x14ac:dyDescent="0.25">
      <c r="A48" s="55" t="s">
        <v>1500</v>
      </c>
      <c r="B48" s="55" t="s">
        <v>198</v>
      </c>
      <c r="C48" s="55" t="s">
        <v>199</v>
      </c>
      <c r="D48" s="55" t="s">
        <v>1233</v>
      </c>
      <c r="E48" s="55" t="s">
        <v>1234</v>
      </c>
      <c r="F48" s="55" t="s">
        <v>120</v>
      </c>
      <c r="G48" s="55" t="s">
        <v>1453</v>
      </c>
      <c r="H48" s="55">
        <v>89</v>
      </c>
      <c r="I48" s="57">
        <v>91</v>
      </c>
      <c r="J48" s="57" t="s">
        <v>62</v>
      </c>
    </row>
    <row r="49" spans="1:10" ht="15" customHeight="1" x14ac:dyDescent="0.25">
      <c r="A49" s="56" t="s">
        <v>1501</v>
      </c>
      <c r="B49" s="56" t="s">
        <v>198</v>
      </c>
      <c r="C49" s="56" t="s">
        <v>199</v>
      </c>
      <c r="D49" s="56" t="s">
        <v>1265</v>
      </c>
      <c r="E49" s="56" t="s">
        <v>1266</v>
      </c>
      <c r="F49" s="56" t="s">
        <v>120</v>
      </c>
      <c r="G49" s="56" t="s">
        <v>1453</v>
      </c>
      <c r="H49" s="56">
        <v>92</v>
      </c>
      <c r="I49" s="58">
        <v>93</v>
      </c>
      <c r="J49" s="58" t="s">
        <v>62</v>
      </c>
    </row>
    <row r="50" spans="1:10" ht="15" customHeight="1" x14ac:dyDescent="0.25">
      <c r="A50" s="55" t="s">
        <v>1502</v>
      </c>
      <c r="B50" s="55" t="s">
        <v>198</v>
      </c>
      <c r="C50" s="55" t="s">
        <v>199</v>
      </c>
      <c r="D50" s="55" t="s">
        <v>1228</v>
      </c>
      <c r="E50" s="55" t="s">
        <v>1229</v>
      </c>
      <c r="F50" s="55" t="s">
        <v>120</v>
      </c>
      <c r="G50" s="55" t="s">
        <v>1453</v>
      </c>
      <c r="H50" s="55">
        <v>86</v>
      </c>
      <c r="I50" s="57">
        <v>87</v>
      </c>
      <c r="J50" s="57" t="s">
        <v>62</v>
      </c>
    </row>
    <row r="51" spans="1:10" ht="15" customHeight="1" x14ac:dyDescent="0.25">
      <c r="A51" s="56" t="s">
        <v>1503</v>
      </c>
      <c r="B51" s="56" t="s">
        <v>205</v>
      </c>
      <c r="C51" s="56" t="s">
        <v>206</v>
      </c>
      <c r="D51" s="56" t="s">
        <v>1242</v>
      </c>
      <c r="E51" s="56" t="s">
        <v>1243</v>
      </c>
      <c r="F51" s="56" t="s">
        <v>666</v>
      </c>
      <c r="G51" s="56" t="s">
        <v>1453</v>
      </c>
      <c r="H51" s="56">
        <v>69</v>
      </c>
      <c r="I51" s="58">
        <v>71</v>
      </c>
      <c r="J51" s="58" t="s">
        <v>62</v>
      </c>
    </row>
    <row r="52" spans="1:10" ht="15" customHeight="1" x14ac:dyDescent="0.25">
      <c r="A52" s="55" t="s">
        <v>1504</v>
      </c>
      <c r="B52" s="55" t="s">
        <v>205</v>
      </c>
      <c r="C52" s="55" t="s">
        <v>206</v>
      </c>
      <c r="D52" s="55" t="s">
        <v>1237</v>
      </c>
      <c r="E52" s="55" t="s">
        <v>1238</v>
      </c>
      <c r="F52" s="55" t="s">
        <v>666</v>
      </c>
      <c r="G52" s="55" t="s">
        <v>1453</v>
      </c>
      <c r="H52" s="55">
        <v>66</v>
      </c>
      <c r="I52" s="57">
        <v>68</v>
      </c>
      <c r="J52" s="57" t="s">
        <v>62</v>
      </c>
    </row>
    <row r="53" spans="1:10" ht="15" customHeight="1" x14ac:dyDescent="0.25">
      <c r="A53" s="56" t="s">
        <v>1505</v>
      </c>
      <c r="B53" s="56" t="s">
        <v>205</v>
      </c>
      <c r="C53" s="56" t="s">
        <v>206</v>
      </c>
      <c r="D53" s="56" t="s">
        <v>1265</v>
      </c>
      <c r="E53" s="56" t="s">
        <v>1266</v>
      </c>
      <c r="F53" s="56" t="s">
        <v>666</v>
      </c>
      <c r="G53" s="56" t="s">
        <v>1453</v>
      </c>
      <c r="H53" s="56">
        <v>72</v>
      </c>
      <c r="I53" s="58">
        <v>73</v>
      </c>
      <c r="J53" s="58" t="s">
        <v>62</v>
      </c>
    </row>
    <row r="54" spans="1:10" ht="15" customHeight="1" x14ac:dyDescent="0.25">
      <c r="A54" s="55" t="s">
        <v>1506</v>
      </c>
      <c r="B54" s="55" t="s">
        <v>213</v>
      </c>
      <c r="C54" s="55" t="s">
        <v>214</v>
      </c>
      <c r="D54" s="55" t="s">
        <v>1183</v>
      </c>
      <c r="E54" s="55" t="s">
        <v>1184</v>
      </c>
      <c r="F54" s="55" t="s">
        <v>768</v>
      </c>
      <c r="G54" s="55" t="s">
        <v>1453</v>
      </c>
      <c r="H54" s="55">
        <v>95</v>
      </c>
      <c r="I54" s="57">
        <v>96</v>
      </c>
      <c r="J54" s="57" t="s">
        <v>62</v>
      </c>
    </row>
    <row r="55" spans="1:10" ht="15" customHeight="1" x14ac:dyDescent="0.25">
      <c r="A55" s="56" t="s">
        <v>1507</v>
      </c>
      <c r="B55" s="56" t="s">
        <v>213</v>
      </c>
      <c r="C55" s="56" t="s">
        <v>214</v>
      </c>
      <c r="D55" s="56" t="s">
        <v>1246</v>
      </c>
      <c r="E55" s="56" t="s">
        <v>1247</v>
      </c>
      <c r="F55" s="56" t="s">
        <v>768</v>
      </c>
      <c r="G55" s="56" t="s">
        <v>1453</v>
      </c>
      <c r="H55" s="56">
        <v>92</v>
      </c>
      <c r="I55" s="58">
        <v>93</v>
      </c>
      <c r="J55" s="58" t="s">
        <v>62</v>
      </c>
    </row>
    <row r="56" spans="1:10" ht="15" customHeight="1" x14ac:dyDescent="0.25">
      <c r="A56" s="55" t="s">
        <v>1508</v>
      </c>
      <c r="B56" s="55" t="s">
        <v>213</v>
      </c>
      <c r="C56" s="55" t="s">
        <v>214</v>
      </c>
      <c r="D56" s="55" t="s">
        <v>1188</v>
      </c>
      <c r="E56" s="55" t="s">
        <v>1189</v>
      </c>
      <c r="F56" s="55" t="s">
        <v>768</v>
      </c>
      <c r="G56" s="55" t="s">
        <v>1453</v>
      </c>
      <c r="H56" s="55">
        <v>94</v>
      </c>
      <c r="I56" s="57">
        <v>95</v>
      </c>
      <c r="J56" s="57" t="s">
        <v>62</v>
      </c>
    </row>
    <row r="57" spans="1:10" ht="15" customHeight="1" x14ac:dyDescent="0.25">
      <c r="A57" s="56" t="s">
        <v>1509</v>
      </c>
      <c r="B57" s="56" t="s">
        <v>213</v>
      </c>
      <c r="C57" s="56" t="s">
        <v>214</v>
      </c>
      <c r="D57" s="56" t="s">
        <v>1265</v>
      </c>
      <c r="E57" s="56" t="s">
        <v>1266</v>
      </c>
      <c r="F57" s="56" t="s">
        <v>768</v>
      </c>
      <c r="G57" s="56" t="s">
        <v>1453</v>
      </c>
      <c r="H57" s="56">
        <v>96</v>
      </c>
      <c r="I57" s="58">
        <v>97</v>
      </c>
      <c r="J57" s="58" t="s">
        <v>62</v>
      </c>
    </row>
    <row r="58" spans="1:10" ht="15" customHeight="1" x14ac:dyDescent="0.25">
      <c r="A58" s="55" t="s">
        <v>1510</v>
      </c>
      <c r="B58" s="55" t="s">
        <v>218</v>
      </c>
      <c r="C58" s="55" t="s">
        <v>219</v>
      </c>
      <c r="D58" s="55" t="s">
        <v>1224</v>
      </c>
      <c r="E58" s="55" t="s">
        <v>1225</v>
      </c>
      <c r="F58" s="55" t="s">
        <v>519</v>
      </c>
      <c r="G58" s="55" t="s">
        <v>1453</v>
      </c>
      <c r="H58" s="55">
        <v>78</v>
      </c>
      <c r="I58" s="57">
        <v>80</v>
      </c>
      <c r="J58" s="57" t="s">
        <v>62</v>
      </c>
    </row>
    <row r="59" spans="1:10" ht="15" customHeight="1" x14ac:dyDescent="0.25">
      <c r="A59" s="56" t="s">
        <v>1511</v>
      </c>
      <c r="B59" s="56" t="s">
        <v>218</v>
      </c>
      <c r="C59" s="56" t="s">
        <v>219</v>
      </c>
      <c r="D59" s="56" t="s">
        <v>1228</v>
      </c>
      <c r="E59" s="56" t="s">
        <v>1229</v>
      </c>
      <c r="F59" s="56" t="s">
        <v>519</v>
      </c>
      <c r="G59" s="56" t="s">
        <v>1453</v>
      </c>
      <c r="H59" s="56">
        <v>75</v>
      </c>
      <c r="I59" s="58">
        <v>77</v>
      </c>
      <c r="J59" s="58" t="s">
        <v>62</v>
      </c>
    </row>
    <row r="60" spans="1:10" ht="15" customHeight="1" x14ac:dyDescent="0.25">
      <c r="A60" s="55" t="s">
        <v>1512</v>
      </c>
      <c r="B60" s="55" t="s">
        <v>218</v>
      </c>
      <c r="C60" s="55" t="s">
        <v>219</v>
      </c>
      <c r="D60" s="55" t="s">
        <v>1265</v>
      </c>
      <c r="E60" s="55" t="s">
        <v>1266</v>
      </c>
      <c r="F60" s="55" t="s">
        <v>519</v>
      </c>
      <c r="G60" s="55" t="s">
        <v>1453</v>
      </c>
      <c r="H60" s="55">
        <v>82</v>
      </c>
      <c r="I60" s="57">
        <v>83</v>
      </c>
      <c r="J60" s="57" t="s">
        <v>62</v>
      </c>
    </row>
    <row r="61" spans="1:10" ht="15" customHeight="1" x14ac:dyDescent="0.25">
      <c r="A61" s="56" t="s">
        <v>1513</v>
      </c>
      <c r="B61" s="56" t="s">
        <v>225</v>
      </c>
      <c r="C61" s="56" t="s">
        <v>226</v>
      </c>
      <c r="D61" s="56" t="s">
        <v>1220</v>
      </c>
      <c r="E61" s="56" t="s">
        <v>1221</v>
      </c>
      <c r="F61" s="56" t="s">
        <v>120</v>
      </c>
      <c r="G61" s="56" t="s">
        <v>1453</v>
      </c>
      <c r="H61" s="56">
        <v>77</v>
      </c>
      <c r="I61" s="58">
        <v>79</v>
      </c>
      <c r="J61" s="58" t="s">
        <v>62</v>
      </c>
    </row>
    <row r="62" spans="1:10" ht="15" customHeight="1" x14ac:dyDescent="0.25">
      <c r="A62" s="55" t="s">
        <v>1514</v>
      </c>
      <c r="B62" s="55" t="s">
        <v>225</v>
      </c>
      <c r="C62" s="55" t="s">
        <v>226</v>
      </c>
      <c r="D62" s="55" t="s">
        <v>1215</v>
      </c>
      <c r="E62" s="55" t="s">
        <v>1216</v>
      </c>
      <c r="F62" s="55" t="s">
        <v>120</v>
      </c>
      <c r="G62" s="55" t="s">
        <v>1453</v>
      </c>
      <c r="H62" s="55">
        <v>74</v>
      </c>
      <c r="I62" s="57">
        <v>76</v>
      </c>
      <c r="J62" s="57" t="s">
        <v>62</v>
      </c>
    </row>
    <row r="63" spans="1:10" ht="15" customHeight="1" x14ac:dyDescent="0.25">
      <c r="A63" s="56" t="s">
        <v>1515</v>
      </c>
      <c r="B63" s="56" t="s">
        <v>225</v>
      </c>
      <c r="C63" s="56" t="s">
        <v>226</v>
      </c>
      <c r="D63" s="56" t="s">
        <v>1265</v>
      </c>
      <c r="E63" s="56" t="s">
        <v>1266</v>
      </c>
      <c r="F63" s="56" t="s">
        <v>120</v>
      </c>
      <c r="G63" s="56" t="s">
        <v>1453</v>
      </c>
      <c r="H63" s="56">
        <v>80</v>
      </c>
      <c r="I63" s="58">
        <v>81</v>
      </c>
      <c r="J63" s="58" t="s">
        <v>62</v>
      </c>
    </row>
    <row r="64" spans="1:10" ht="15" customHeight="1" x14ac:dyDescent="0.25">
      <c r="A64" s="55" t="s">
        <v>1516</v>
      </c>
      <c r="B64" s="55" t="s">
        <v>231</v>
      </c>
      <c r="C64" s="55" t="s">
        <v>232</v>
      </c>
      <c r="D64" s="55" t="s">
        <v>1210</v>
      </c>
      <c r="E64" s="55" t="s">
        <v>1211</v>
      </c>
      <c r="F64" s="55" t="s">
        <v>666</v>
      </c>
      <c r="G64" s="55" t="s">
        <v>1453</v>
      </c>
      <c r="H64" s="55">
        <v>84</v>
      </c>
      <c r="I64" s="57">
        <v>86</v>
      </c>
      <c r="J64" s="57" t="s">
        <v>62</v>
      </c>
    </row>
    <row r="65" spans="1:10" ht="15" customHeight="1" x14ac:dyDescent="0.25">
      <c r="A65" s="56" t="s">
        <v>1517</v>
      </c>
      <c r="B65" s="56" t="s">
        <v>231</v>
      </c>
      <c r="C65" s="56" t="s">
        <v>232</v>
      </c>
      <c r="D65" s="56" t="s">
        <v>1228</v>
      </c>
      <c r="E65" s="56" t="s">
        <v>1229</v>
      </c>
      <c r="F65" s="56" t="s">
        <v>666</v>
      </c>
      <c r="G65" s="56" t="s">
        <v>1453</v>
      </c>
      <c r="H65" s="56">
        <v>81</v>
      </c>
      <c r="I65" s="58">
        <v>83</v>
      </c>
      <c r="J65" s="58" t="s">
        <v>62</v>
      </c>
    </row>
    <row r="66" spans="1:10" ht="15" customHeight="1" x14ac:dyDescent="0.25">
      <c r="A66" s="55" t="s">
        <v>1518</v>
      </c>
      <c r="B66" s="55" t="s">
        <v>231</v>
      </c>
      <c r="C66" s="55" t="s">
        <v>232</v>
      </c>
      <c r="D66" s="55" t="s">
        <v>1265</v>
      </c>
      <c r="E66" s="55" t="s">
        <v>1266</v>
      </c>
      <c r="F66" s="55" t="s">
        <v>666</v>
      </c>
      <c r="G66" s="55" t="s">
        <v>1453</v>
      </c>
      <c r="H66" s="55">
        <v>87</v>
      </c>
      <c r="I66" s="57">
        <v>88</v>
      </c>
      <c r="J66" s="57" t="s">
        <v>62</v>
      </c>
    </row>
    <row r="67" spans="1:10" ht="15" customHeight="1" x14ac:dyDescent="0.25">
      <c r="A67" s="56" t="s">
        <v>1519</v>
      </c>
      <c r="B67" s="56" t="s">
        <v>236</v>
      </c>
      <c r="C67" s="56" t="s">
        <v>237</v>
      </c>
      <c r="D67" s="56" t="s">
        <v>1228</v>
      </c>
      <c r="E67" s="56" t="s">
        <v>1229</v>
      </c>
      <c r="F67" s="56" t="s">
        <v>768</v>
      </c>
      <c r="G67" s="56" t="s">
        <v>1453</v>
      </c>
      <c r="H67" s="56">
        <v>64</v>
      </c>
      <c r="I67" s="58">
        <v>66</v>
      </c>
      <c r="J67" s="58" t="s">
        <v>62</v>
      </c>
    </row>
    <row r="68" spans="1:10" ht="15" customHeight="1" x14ac:dyDescent="0.25">
      <c r="A68" s="55" t="s">
        <v>1520</v>
      </c>
      <c r="B68" s="55" t="s">
        <v>236</v>
      </c>
      <c r="C68" s="55" t="s">
        <v>237</v>
      </c>
      <c r="D68" s="55" t="s">
        <v>1233</v>
      </c>
      <c r="E68" s="55" t="s">
        <v>1234</v>
      </c>
      <c r="F68" s="55" t="s">
        <v>768</v>
      </c>
      <c r="G68" s="55" t="s">
        <v>1453</v>
      </c>
      <c r="H68" s="55">
        <v>61</v>
      </c>
      <c r="I68" s="57">
        <v>63</v>
      </c>
      <c r="J68" s="57" t="s">
        <v>62</v>
      </c>
    </row>
    <row r="69" spans="1:10" ht="15" customHeight="1" x14ac:dyDescent="0.25">
      <c r="A69" s="56" t="s">
        <v>1521</v>
      </c>
      <c r="B69" s="56" t="s">
        <v>236</v>
      </c>
      <c r="C69" s="56" t="s">
        <v>237</v>
      </c>
      <c r="D69" s="56" t="s">
        <v>1265</v>
      </c>
      <c r="E69" s="56" t="s">
        <v>1266</v>
      </c>
      <c r="F69" s="56" t="s">
        <v>768</v>
      </c>
      <c r="G69" s="56" t="s">
        <v>1453</v>
      </c>
      <c r="H69" s="56">
        <v>67</v>
      </c>
      <c r="I69" s="58">
        <v>69</v>
      </c>
      <c r="J69" s="58" t="s">
        <v>62</v>
      </c>
    </row>
    <row r="70" spans="1:10" ht="15" customHeight="1" x14ac:dyDescent="0.25">
      <c r="A70" s="55" t="s">
        <v>1522</v>
      </c>
      <c r="B70" s="55" t="s">
        <v>242</v>
      </c>
      <c r="C70" s="55" t="s">
        <v>243</v>
      </c>
      <c r="D70" s="55" t="s">
        <v>1215</v>
      </c>
      <c r="E70" s="55" t="s">
        <v>1216</v>
      </c>
      <c r="F70" s="55" t="s">
        <v>683</v>
      </c>
      <c r="G70" s="55" t="s">
        <v>107</v>
      </c>
      <c r="H70" s="55">
        <v>90</v>
      </c>
      <c r="I70" s="57">
        <v>92</v>
      </c>
      <c r="J70" s="57" t="s">
        <v>62</v>
      </c>
    </row>
    <row r="71" spans="1:10" ht="15" customHeight="1" x14ac:dyDescent="0.25">
      <c r="A71" s="56" t="s">
        <v>1523</v>
      </c>
      <c r="B71" s="56" t="s">
        <v>242</v>
      </c>
      <c r="C71" s="56" t="s">
        <v>243</v>
      </c>
      <c r="D71" s="56" t="s">
        <v>1250</v>
      </c>
      <c r="E71" s="56" t="s">
        <v>1251</v>
      </c>
      <c r="F71" s="56" t="s">
        <v>683</v>
      </c>
      <c r="G71" s="56" t="s">
        <v>107</v>
      </c>
      <c r="H71" s="56">
        <v>87</v>
      </c>
      <c r="I71" s="58">
        <v>89</v>
      </c>
      <c r="J71" s="58" t="s">
        <v>62</v>
      </c>
    </row>
    <row r="72" spans="1:10" ht="15" customHeight="1" x14ac:dyDescent="0.25">
      <c r="A72" s="55" t="s">
        <v>1524</v>
      </c>
      <c r="B72" s="55" t="s">
        <v>242</v>
      </c>
      <c r="C72" s="55" t="s">
        <v>243</v>
      </c>
      <c r="D72" s="55" t="s">
        <v>1265</v>
      </c>
      <c r="E72" s="55" t="s">
        <v>1266</v>
      </c>
      <c r="F72" s="55" t="s">
        <v>683</v>
      </c>
      <c r="G72" s="55" t="s">
        <v>107</v>
      </c>
      <c r="H72" s="55">
        <v>93</v>
      </c>
      <c r="I72" s="57">
        <v>94</v>
      </c>
      <c r="J72" s="57" t="s">
        <v>62</v>
      </c>
    </row>
    <row r="73" spans="1:10" ht="15" customHeight="1" x14ac:dyDescent="0.25">
      <c r="A73" s="56" t="s">
        <v>1525</v>
      </c>
      <c r="B73" s="56" t="s">
        <v>247</v>
      </c>
      <c r="C73" s="56" t="s">
        <v>248</v>
      </c>
      <c r="D73" s="56" t="s">
        <v>1255</v>
      </c>
      <c r="E73" s="56" t="s">
        <v>1256</v>
      </c>
      <c r="F73" s="56" t="s">
        <v>120</v>
      </c>
      <c r="G73" s="56" t="s">
        <v>1453</v>
      </c>
      <c r="H73" s="56">
        <v>53</v>
      </c>
      <c r="I73" s="58">
        <v>55</v>
      </c>
      <c r="J73" s="58" t="s">
        <v>62</v>
      </c>
    </row>
    <row r="74" spans="1:10" ht="15" customHeight="1" x14ac:dyDescent="0.25">
      <c r="A74" s="55" t="s">
        <v>1526</v>
      </c>
      <c r="B74" s="55" t="s">
        <v>247</v>
      </c>
      <c r="C74" s="55" t="s">
        <v>248</v>
      </c>
      <c r="D74" s="55" t="s">
        <v>1192</v>
      </c>
      <c r="E74" s="55" t="s">
        <v>1193</v>
      </c>
      <c r="F74" s="55" t="s">
        <v>120</v>
      </c>
      <c r="G74" s="55" t="s">
        <v>1453</v>
      </c>
      <c r="H74" s="55">
        <v>50</v>
      </c>
      <c r="I74" s="57">
        <v>52</v>
      </c>
      <c r="J74" s="57" t="s">
        <v>62</v>
      </c>
    </row>
    <row r="75" spans="1:10" ht="15" customHeight="1" x14ac:dyDescent="0.25">
      <c r="A75" s="56" t="s">
        <v>1527</v>
      </c>
      <c r="B75" s="56" t="s">
        <v>247</v>
      </c>
      <c r="C75" s="56" t="s">
        <v>248</v>
      </c>
      <c r="D75" s="56" t="s">
        <v>1265</v>
      </c>
      <c r="E75" s="56" t="s">
        <v>1266</v>
      </c>
      <c r="F75" s="56" t="s">
        <v>120</v>
      </c>
      <c r="G75" s="56" t="s">
        <v>1453</v>
      </c>
      <c r="H75" s="56">
        <v>58</v>
      </c>
      <c r="I75" s="58">
        <v>60</v>
      </c>
      <c r="J75" s="58" t="s">
        <v>62</v>
      </c>
    </row>
    <row r="76" spans="1:10" ht="15" customHeight="1" x14ac:dyDescent="0.25">
      <c r="A76" s="55" t="s">
        <v>1528</v>
      </c>
      <c r="B76" s="55" t="s">
        <v>253</v>
      </c>
      <c r="C76" s="55" t="s">
        <v>254</v>
      </c>
      <c r="D76" s="55" t="s">
        <v>1246</v>
      </c>
      <c r="E76" s="55" t="s">
        <v>1247</v>
      </c>
      <c r="F76" s="55" t="s">
        <v>666</v>
      </c>
      <c r="G76" s="55" t="s">
        <v>1453</v>
      </c>
      <c r="H76" s="55">
        <v>80</v>
      </c>
      <c r="I76" s="57">
        <v>82</v>
      </c>
      <c r="J76" s="57" t="s">
        <v>62</v>
      </c>
    </row>
    <row r="77" spans="1:10" ht="15" customHeight="1" x14ac:dyDescent="0.25">
      <c r="A77" s="56" t="s">
        <v>1529</v>
      </c>
      <c r="B77" s="56" t="s">
        <v>253</v>
      </c>
      <c r="C77" s="56" t="s">
        <v>254</v>
      </c>
      <c r="D77" s="56" t="s">
        <v>1188</v>
      </c>
      <c r="E77" s="56" t="s">
        <v>1189</v>
      </c>
      <c r="F77" s="56" t="s">
        <v>666</v>
      </c>
      <c r="G77" s="56" t="s">
        <v>1453</v>
      </c>
      <c r="H77" s="56">
        <v>77</v>
      </c>
      <c r="I77" s="58">
        <v>79</v>
      </c>
      <c r="J77" s="58" t="s">
        <v>62</v>
      </c>
    </row>
    <row r="78" spans="1:10" ht="15" customHeight="1" x14ac:dyDescent="0.25">
      <c r="A78" s="55" t="s">
        <v>1530</v>
      </c>
      <c r="B78" s="55" t="s">
        <v>253</v>
      </c>
      <c r="C78" s="55" t="s">
        <v>254</v>
      </c>
      <c r="D78" s="55" t="s">
        <v>1265</v>
      </c>
      <c r="E78" s="55" t="s">
        <v>1266</v>
      </c>
      <c r="F78" s="55" t="s">
        <v>666</v>
      </c>
      <c r="G78" s="55" t="s">
        <v>1453</v>
      </c>
      <c r="H78" s="55">
        <v>83</v>
      </c>
      <c r="I78" s="57">
        <v>85</v>
      </c>
      <c r="J78" s="57" t="s">
        <v>62</v>
      </c>
    </row>
    <row r="79" spans="1:10" ht="15" customHeight="1" x14ac:dyDescent="0.25">
      <c r="A79" s="56" t="s">
        <v>1531</v>
      </c>
      <c r="B79" s="56" t="s">
        <v>258</v>
      </c>
      <c r="C79" s="56" t="s">
        <v>259</v>
      </c>
      <c r="D79" s="56" t="s">
        <v>1262</v>
      </c>
      <c r="E79" s="56" t="s">
        <v>1263</v>
      </c>
      <c r="F79" s="56" t="s">
        <v>120</v>
      </c>
      <c r="G79" s="56" t="s">
        <v>1453</v>
      </c>
      <c r="H79" s="56">
        <v>84</v>
      </c>
      <c r="I79" s="58">
        <v>86</v>
      </c>
      <c r="J79" s="58" t="s">
        <v>62</v>
      </c>
    </row>
    <row r="80" spans="1:10" ht="15" customHeight="1" x14ac:dyDescent="0.25">
      <c r="A80" s="55" t="s">
        <v>1532</v>
      </c>
      <c r="B80" s="55" t="s">
        <v>258</v>
      </c>
      <c r="C80" s="55" t="s">
        <v>259</v>
      </c>
      <c r="D80" s="55" t="s">
        <v>1246</v>
      </c>
      <c r="E80" s="55" t="s">
        <v>1247</v>
      </c>
      <c r="F80" s="55" t="s">
        <v>120</v>
      </c>
      <c r="G80" s="55" t="s">
        <v>1453</v>
      </c>
      <c r="H80" s="55">
        <v>78</v>
      </c>
      <c r="I80" s="57">
        <v>80</v>
      </c>
      <c r="J80" s="57" t="s">
        <v>62</v>
      </c>
    </row>
    <row r="81" spans="1:10" ht="15" customHeight="1" x14ac:dyDescent="0.25">
      <c r="A81" s="56" t="s">
        <v>1533</v>
      </c>
      <c r="B81" s="56" t="s">
        <v>258</v>
      </c>
      <c r="C81" s="56" t="s">
        <v>259</v>
      </c>
      <c r="D81" s="56" t="s">
        <v>1237</v>
      </c>
      <c r="E81" s="56" t="s">
        <v>1238</v>
      </c>
      <c r="F81" s="56" t="s">
        <v>120</v>
      </c>
      <c r="G81" s="56" t="s">
        <v>1453</v>
      </c>
      <c r="H81" s="56">
        <v>81</v>
      </c>
      <c r="I81" s="58">
        <v>83</v>
      </c>
      <c r="J81" s="58" t="s">
        <v>62</v>
      </c>
    </row>
    <row r="82" spans="1:10" ht="15" customHeight="1" x14ac:dyDescent="0.25">
      <c r="A82" s="55" t="s">
        <v>1534</v>
      </c>
      <c r="B82" s="55" t="s">
        <v>258</v>
      </c>
      <c r="C82" s="55" t="s">
        <v>259</v>
      </c>
      <c r="D82" s="55" t="s">
        <v>1265</v>
      </c>
      <c r="E82" s="55" t="s">
        <v>1266</v>
      </c>
      <c r="F82" s="55" t="s">
        <v>120</v>
      </c>
      <c r="G82" s="55" t="s">
        <v>1453</v>
      </c>
      <c r="H82" s="55">
        <v>87</v>
      </c>
      <c r="I82" s="57">
        <v>88</v>
      </c>
      <c r="J82" s="57" t="s">
        <v>62</v>
      </c>
    </row>
    <row r="83" spans="1:10" ht="15" customHeight="1" x14ac:dyDescent="0.25">
      <c r="A83" t="s">
        <v>1535</v>
      </c>
      <c r="B83" t="s">
        <v>264</v>
      </c>
      <c r="C83" t="s">
        <v>265</v>
      </c>
      <c r="D83" t="s">
        <v>1297</v>
      </c>
      <c r="E83" t="s">
        <v>1298</v>
      </c>
      <c r="F83" s="41">
        <v>45327</v>
      </c>
      <c r="G83" t="s">
        <v>1453</v>
      </c>
      <c r="H83">
        <v>81</v>
      </c>
      <c r="I83">
        <v>83</v>
      </c>
      <c r="J83" t="s">
        <v>62</v>
      </c>
    </row>
    <row r="84" spans="1:10" ht="15" customHeight="1" x14ac:dyDescent="0.25">
      <c r="A84" t="s">
        <v>1536</v>
      </c>
      <c r="B84" t="s">
        <v>264</v>
      </c>
      <c r="C84" t="s">
        <v>265</v>
      </c>
      <c r="D84" t="s">
        <v>1275</v>
      </c>
      <c r="E84" t="s">
        <v>1276</v>
      </c>
      <c r="F84" s="41">
        <v>45327</v>
      </c>
      <c r="G84" t="s">
        <v>1453</v>
      </c>
      <c r="H84">
        <v>78</v>
      </c>
      <c r="I84">
        <v>80</v>
      </c>
      <c r="J84" t="s">
        <v>62</v>
      </c>
    </row>
    <row r="85" spans="1:10" ht="15" customHeight="1" x14ac:dyDescent="0.25">
      <c r="A85" t="s">
        <v>1537</v>
      </c>
      <c r="B85" t="s">
        <v>264</v>
      </c>
      <c r="C85" t="s">
        <v>265</v>
      </c>
      <c r="D85" t="s">
        <v>1278</v>
      </c>
      <c r="E85" t="s">
        <v>1279</v>
      </c>
      <c r="F85" s="41">
        <v>45327</v>
      </c>
      <c r="G85" t="s">
        <v>1453</v>
      </c>
      <c r="H85">
        <v>85</v>
      </c>
      <c r="I85">
        <v>86</v>
      </c>
      <c r="J85" t="s">
        <v>62</v>
      </c>
    </row>
    <row r="86" spans="1:10" ht="15" customHeight="1" x14ac:dyDescent="0.25">
      <c r="A86" t="s">
        <v>1538</v>
      </c>
      <c r="B86" t="s">
        <v>281</v>
      </c>
      <c r="C86" t="s">
        <v>282</v>
      </c>
      <c r="D86" t="s">
        <v>1286</v>
      </c>
      <c r="E86" t="s">
        <v>1287</v>
      </c>
      <c r="F86" s="41">
        <v>45306</v>
      </c>
      <c r="G86" t="s">
        <v>1453</v>
      </c>
      <c r="H86">
        <v>74</v>
      </c>
      <c r="I86">
        <v>76</v>
      </c>
      <c r="J86" t="s">
        <v>62</v>
      </c>
    </row>
    <row r="87" spans="1:10" ht="15" customHeight="1" x14ac:dyDescent="0.25">
      <c r="A87" t="s">
        <v>1539</v>
      </c>
      <c r="B87" t="s">
        <v>281</v>
      </c>
      <c r="C87" t="s">
        <v>282</v>
      </c>
      <c r="D87" t="s">
        <v>1290</v>
      </c>
      <c r="E87" t="s">
        <v>1291</v>
      </c>
      <c r="F87" s="41">
        <v>45306</v>
      </c>
      <c r="G87" t="s">
        <v>1453</v>
      </c>
      <c r="H87">
        <v>70</v>
      </c>
      <c r="I87">
        <v>72</v>
      </c>
      <c r="J87" t="s">
        <v>62</v>
      </c>
    </row>
    <row r="88" spans="1:10" ht="15" customHeight="1" x14ac:dyDescent="0.25">
      <c r="A88" t="s">
        <v>1540</v>
      </c>
      <c r="B88" t="s">
        <v>281</v>
      </c>
      <c r="C88" t="s">
        <v>282</v>
      </c>
      <c r="D88" t="s">
        <v>1293</v>
      </c>
      <c r="E88" t="s">
        <v>1294</v>
      </c>
      <c r="F88" s="41">
        <v>45306</v>
      </c>
      <c r="G88" t="s">
        <v>1453</v>
      </c>
      <c r="H88">
        <v>77</v>
      </c>
      <c r="I88">
        <v>79</v>
      </c>
      <c r="J88" t="s">
        <v>62</v>
      </c>
    </row>
    <row r="89" spans="1:10" ht="15" customHeight="1" x14ac:dyDescent="0.25">
      <c r="A89" t="s">
        <v>1541</v>
      </c>
      <c r="B89" t="s">
        <v>281</v>
      </c>
      <c r="C89" t="s">
        <v>282</v>
      </c>
      <c r="D89" t="s">
        <v>1278</v>
      </c>
      <c r="E89" t="s">
        <v>1279</v>
      </c>
      <c r="F89" s="41">
        <v>45306</v>
      </c>
      <c r="G89" t="s">
        <v>1453</v>
      </c>
      <c r="H89">
        <v>72</v>
      </c>
      <c r="I89">
        <v>74</v>
      </c>
      <c r="J89" t="s">
        <v>62</v>
      </c>
    </row>
    <row r="90" spans="1:10" ht="15" customHeight="1" x14ac:dyDescent="0.25">
      <c r="A90" t="s">
        <v>1542</v>
      </c>
      <c r="B90" t="s">
        <v>309</v>
      </c>
      <c r="C90" t="s">
        <v>310</v>
      </c>
      <c r="D90" t="s">
        <v>1301</v>
      </c>
      <c r="E90" t="s">
        <v>1302</v>
      </c>
      <c r="F90" s="41">
        <v>45306</v>
      </c>
      <c r="G90" t="s">
        <v>1453</v>
      </c>
      <c r="H90">
        <v>55</v>
      </c>
      <c r="I90">
        <v>58</v>
      </c>
      <c r="J90" t="s">
        <v>62</v>
      </c>
    </row>
    <row r="91" spans="1:10" ht="15" customHeight="1" x14ac:dyDescent="0.25">
      <c r="A91" t="s">
        <v>1543</v>
      </c>
      <c r="B91" t="s">
        <v>309</v>
      </c>
      <c r="C91" t="s">
        <v>310</v>
      </c>
      <c r="D91" t="s">
        <v>1269</v>
      </c>
      <c r="E91" t="s">
        <v>1270</v>
      </c>
      <c r="F91" s="41">
        <v>45306</v>
      </c>
      <c r="G91" t="s">
        <v>1453</v>
      </c>
      <c r="H91">
        <v>60</v>
      </c>
      <c r="I91">
        <v>62</v>
      </c>
      <c r="J91" t="s">
        <v>62</v>
      </c>
    </row>
    <row r="92" spans="1:10" ht="15" customHeight="1" x14ac:dyDescent="0.25">
      <c r="A92" t="s">
        <v>1544</v>
      </c>
      <c r="B92" t="s">
        <v>319</v>
      </c>
      <c r="C92" t="s">
        <v>320</v>
      </c>
      <c r="D92" t="s">
        <v>1275</v>
      </c>
      <c r="E92" t="s">
        <v>1276</v>
      </c>
      <c r="F92" s="41">
        <v>45327</v>
      </c>
      <c r="G92" t="s">
        <v>1453</v>
      </c>
      <c r="H92">
        <v>80</v>
      </c>
      <c r="I92">
        <v>82</v>
      </c>
      <c r="J92" t="s">
        <v>62</v>
      </c>
    </row>
    <row r="93" spans="1:10" ht="15" customHeight="1" x14ac:dyDescent="0.25">
      <c r="A93" t="s">
        <v>1545</v>
      </c>
      <c r="B93" t="s">
        <v>319</v>
      </c>
      <c r="C93" t="s">
        <v>320</v>
      </c>
      <c r="D93" t="s">
        <v>1278</v>
      </c>
      <c r="E93" t="s">
        <v>1279</v>
      </c>
      <c r="F93" s="41">
        <v>45327</v>
      </c>
      <c r="G93" t="s">
        <v>1453</v>
      </c>
      <c r="H93">
        <v>84</v>
      </c>
      <c r="I93">
        <v>85</v>
      </c>
      <c r="J93" t="s">
        <v>62</v>
      </c>
    </row>
    <row r="94" spans="1:10" ht="15" customHeight="1" x14ac:dyDescent="0.25">
      <c r="A94" t="s">
        <v>1546</v>
      </c>
      <c r="B94" t="s">
        <v>328</v>
      </c>
      <c r="C94" t="s">
        <v>329</v>
      </c>
      <c r="D94" t="s">
        <v>1286</v>
      </c>
      <c r="E94" t="s">
        <v>1287</v>
      </c>
      <c r="F94" s="41">
        <v>45306</v>
      </c>
      <c r="G94" t="s">
        <v>1453</v>
      </c>
      <c r="H94">
        <v>71</v>
      </c>
      <c r="I94">
        <v>73</v>
      </c>
      <c r="J94" t="s">
        <v>62</v>
      </c>
    </row>
    <row r="95" spans="1:10" ht="15" customHeight="1" x14ac:dyDescent="0.25">
      <c r="A95" t="s">
        <v>1547</v>
      </c>
      <c r="B95" t="s">
        <v>328</v>
      </c>
      <c r="C95" t="s">
        <v>329</v>
      </c>
      <c r="D95" t="s">
        <v>1290</v>
      </c>
      <c r="E95" t="s">
        <v>1291</v>
      </c>
      <c r="F95" s="41">
        <v>45306</v>
      </c>
      <c r="G95" t="s">
        <v>1453</v>
      </c>
      <c r="H95">
        <v>68</v>
      </c>
      <c r="I95">
        <v>70</v>
      </c>
      <c r="J95" t="s">
        <v>62</v>
      </c>
    </row>
    <row r="96" spans="1:10" ht="15" customHeight="1" x14ac:dyDescent="0.25">
      <c r="A96" t="s">
        <v>1548</v>
      </c>
      <c r="B96" t="s">
        <v>328</v>
      </c>
      <c r="C96" t="s">
        <v>329</v>
      </c>
      <c r="D96" t="s">
        <v>1293</v>
      </c>
      <c r="E96" t="s">
        <v>1294</v>
      </c>
      <c r="F96" s="41">
        <v>45306</v>
      </c>
      <c r="G96" t="s">
        <v>1453</v>
      </c>
      <c r="H96">
        <v>75</v>
      </c>
      <c r="I96">
        <v>77</v>
      </c>
      <c r="J96" t="s">
        <v>62</v>
      </c>
    </row>
    <row r="97" spans="1:10" ht="15" customHeight="1" x14ac:dyDescent="0.25">
      <c r="A97" t="s">
        <v>1549</v>
      </c>
      <c r="B97" t="s">
        <v>328</v>
      </c>
      <c r="C97" t="s">
        <v>329</v>
      </c>
      <c r="D97" t="s">
        <v>1278</v>
      </c>
      <c r="E97" t="s">
        <v>1279</v>
      </c>
      <c r="F97" s="41">
        <v>45306</v>
      </c>
      <c r="G97" t="s">
        <v>1453</v>
      </c>
      <c r="H97">
        <v>73</v>
      </c>
      <c r="I97">
        <v>75</v>
      </c>
      <c r="J97" t="s">
        <v>62</v>
      </c>
    </row>
    <row r="98" spans="1:10" ht="15" customHeight="1" x14ac:dyDescent="0.25">
      <c r="A98" t="s">
        <v>1550</v>
      </c>
      <c r="B98" t="s">
        <v>337</v>
      </c>
      <c r="C98" t="s">
        <v>338</v>
      </c>
      <c r="D98" t="s">
        <v>1275</v>
      </c>
      <c r="E98" t="s">
        <v>1276</v>
      </c>
      <c r="F98" s="41">
        <v>45301</v>
      </c>
      <c r="G98" t="s">
        <v>1453</v>
      </c>
      <c r="H98">
        <v>88</v>
      </c>
      <c r="I98">
        <v>90</v>
      </c>
      <c r="J98" t="s">
        <v>62</v>
      </c>
    </row>
    <row r="99" spans="1:10" ht="15" customHeight="1" x14ac:dyDescent="0.25">
      <c r="A99" t="s">
        <v>1551</v>
      </c>
      <c r="B99" t="s">
        <v>337</v>
      </c>
      <c r="C99" t="s">
        <v>338</v>
      </c>
      <c r="D99" t="s">
        <v>1278</v>
      </c>
      <c r="E99" t="s">
        <v>1279</v>
      </c>
      <c r="F99" s="41">
        <v>45301</v>
      </c>
      <c r="G99" t="s">
        <v>1453</v>
      </c>
      <c r="H99">
        <v>91</v>
      </c>
      <c r="I99">
        <v>92</v>
      </c>
      <c r="J99" t="s">
        <v>62</v>
      </c>
    </row>
    <row r="100" spans="1:10" ht="15" customHeight="1" x14ac:dyDescent="0.25">
      <c r="A100" t="s">
        <v>1552</v>
      </c>
      <c r="B100" t="s">
        <v>354</v>
      </c>
      <c r="C100" t="s">
        <v>355</v>
      </c>
      <c r="D100" t="s">
        <v>1278</v>
      </c>
      <c r="E100" t="s">
        <v>1279</v>
      </c>
      <c r="F100" s="41">
        <v>45301</v>
      </c>
      <c r="G100" t="s">
        <v>1453</v>
      </c>
      <c r="H100">
        <v>78</v>
      </c>
      <c r="I100">
        <v>80</v>
      </c>
      <c r="J100" t="s">
        <v>62</v>
      </c>
    </row>
    <row r="101" spans="1:10" ht="15" customHeight="1" x14ac:dyDescent="0.25">
      <c r="A101" t="s">
        <v>1553</v>
      </c>
      <c r="B101" t="s">
        <v>370</v>
      </c>
      <c r="C101" t="s">
        <v>371</v>
      </c>
      <c r="D101" t="s">
        <v>1275</v>
      </c>
      <c r="E101" t="s">
        <v>1276</v>
      </c>
      <c r="F101" s="41">
        <v>45301</v>
      </c>
      <c r="G101" t="s">
        <v>1453</v>
      </c>
      <c r="H101">
        <v>82</v>
      </c>
      <c r="I101">
        <v>84</v>
      </c>
      <c r="J101" t="s">
        <v>62</v>
      </c>
    </row>
    <row r="102" spans="1:10" ht="15" customHeight="1" x14ac:dyDescent="0.25">
      <c r="A102" t="s">
        <v>1554</v>
      </c>
      <c r="B102" t="s">
        <v>370</v>
      </c>
      <c r="C102" t="s">
        <v>371</v>
      </c>
      <c r="D102" t="s">
        <v>1278</v>
      </c>
      <c r="E102" t="s">
        <v>1279</v>
      </c>
      <c r="F102" s="41">
        <v>45301</v>
      </c>
      <c r="G102" t="s">
        <v>1453</v>
      </c>
      <c r="H102">
        <v>79</v>
      </c>
      <c r="I102">
        <v>81</v>
      </c>
      <c r="J102" t="s">
        <v>62</v>
      </c>
    </row>
    <row r="103" spans="1:10" ht="15" customHeight="1" x14ac:dyDescent="0.25">
      <c r="A103" t="s">
        <v>1555</v>
      </c>
      <c r="B103" t="s">
        <v>412</v>
      </c>
      <c r="C103" t="s">
        <v>413</v>
      </c>
      <c r="D103" t="s">
        <v>1269</v>
      </c>
      <c r="E103" t="s">
        <v>1270</v>
      </c>
      <c r="F103" s="41">
        <v>45306</v>
      </c>
      <c r="G103" t="s">
        <v>1453</v>
      </c>
      <c r="H103">
        <v>76</v>
      </c>
      <c r="I103">
        <v>78</v>
      </c>
      <c r="J103" t="s">
        <v>62</v>
      </c>
    </row>
    <row r="104" spans="1:10" ht="15" customHeight="1" x14ac:dyDescent="0.25">
      <c r="A104" t="s">
        <v>1556</v>
      </c>
      <c r="B104" t="s">
        <v>412</v>
      </c>
      <c r="C104" t="s">
        <v>413</v>
      </c>
      <c r="D104" t="s">
        <v>1278</v>
      </c>
      <c r="E104" t="s">
        <v>1279</v>
      </c>
      <c r="F104" s="41">
        <v>45306</v>
      </c>
      <c r="G104" t="s">
        <v>1453</v>
      </c>
      <c r="H104">
        <v>72</v>
      </c>
      <c r="I104">
        <v>74</v>
      </c>
      <c r="J104" t="s">
        <v>62</v>
      </c>
    </row>
    <row r="105" spans="1:10" ht="15" customHeight="1" x14ac:dyDescent="0.25">
      <c r="A105" t="s">
        <v>1557</v>
      </c>
      <c r="B105" t="s">
        <v>412</v>
      </c>
      <c r="C105" t="s">
        <v>413</v>
      </c>
      <c r="D105" t="s">
        <v>1282</v>
      </c>
      <c r="E105" t="s">
        <v>1283</v>
      </c>
      <c r="F105" s="41">
        <v>45306</v>
      </c>
      <c r="G105" t="s">
        <v>1453</v>
      </c>
      <c r="H105">
        <v>80</v>
      </c>
      <c r="I105">
        <v>82</v>
      </c>
      <c r="J105" t="s">
        <v>62</v>
      </c>
    </row>
    <row r="106" spans="1:10" ht="15" customHeight="1" x14ac:dyDescent="0.25">
      <c r="A106" t="s">
        <v>1558</v>
      </c>
      <c r="B106" t="s">
        <v>451</v>
      </c>
      <c r="C106" t="s">
        <v>452</v>
      </c>
      <c r="D106" t="s">
        <v>1304</v>
      </c>
      <c r="E106" t="s">
        <v>1305</v>
      </c>
      <c r="F106" s="41">
        <v>45306</v>
      </c>
      <c r="G106" t="s">
        <v>1453</v>
      </c>
      <c r="H106">
        <v>82</v>
      </c>
      <c r="I106">
        <v>84</v>
      </c>
      <c r="J106" t="s">
        <v>62</v>
      </c>
    </row>
    <row r="107" spans="1:10" ht="15" customHeight="1" x14ac:dyDescent="0.25">
      <c r="A107" t="s">
        <v>1559</v>
      </c>
      <c r="B107" t="s">
        <v>451</v>
      </c>
      <c r="C107" t="s">
        <v>452</v>
      </c>
      <c r="D107" t="s">
        <v>1307</v>
      </c>
      <c r="E107" t="s">
        <v>1308</v>
      </c>
      <c r="F107" s="41">
        <v>45306</v>
      </c>
      <c r="G107" t="s">
        <v>1453</v>
      </c>
      <c r="H107">
        <v>88</v>
      </c>
      <c r="I107">
        <v>89</v>
      </c>
      <c r="J107" t="s">
        <v>62</v>
      </c>
    </row>
    <row r="108" spans="1:10" ht="15" customHeight="1" x14ac:dyDescent="0.25">
      <c r="A108" t="s">
        <v>1560</v>
      </c>
      <c r="B108" t="s">
        <v>451</v>
      </c>
      <c r="C108" t="s">
        <v>452</v>
      </c>
      <c r="D108" t="s">
        <v>1310</v>
      </c>
      <c r="E108" t="s">
        <v>1311</v>
      </c>
      <c r="F108" s="41">
        <v>45306</v>
      </c>
      <c r="G108" t="s">
        <v>1453</v>
      </c>
      <c r="H108">
        <v>79</v>
      </c>
      <c r="I108">
        <v>81</v>
      </c>
      <c r="J108" t="s">
        <v>62</v>
      </c>
    </row>
    <row r="109" spans="1:10" ht="15" customHeight="1" x14ac:dyDescent="0.25">
      <c r="A109" t="s">
        <v>1561</v>
      </c>
      <c r="B109" t="s">
        <v>451</v>
      </c>
      <c r="C109" t="s">
        <v>452</v>
      </c>
      <c r="D109" t="s">
        <v>1269</v>
      </c>
      <c r="E109" t="s">
        <v>1270</v>
      </c>
      <c r="F109" s="41">
        <v>45306</v>
      </c>
      <c r="G109" t="s">
        <v>1453</v>
      </c>
      <c r="H109">
        <v>85</v>
      </c>
      <c r="I109">
        <v>87</v>
      </c>
      <c r="J109" t="s">
        <v>62</v>
      </c>
    </row>
    <row r="110" spans="1:10" ht="15" customHeight="1" x14ac:dyDescent="0.25">
      <c r="A110" t="s">
        <v>1562</v>
      </c>
      <c r="B110" t="s">
        <v>464</v>
      </c>
      <c r="C110" t="s">
        <v>465</v>
      </c>
      <c r="D110" t="s">
        <v>1307</v>
      </c>
      <c r="E110" t="s">
        <v>1308</v>
      </c>
      <c r="F110" s="41">
        <v>45301</v>
      </c>
      <c r="G110" t="s">
        <v>1453</v>
      </c>
      <c r="H110">
        <v>76</v>
      </c>
      <c r="I110">
        <v>78</v>
      </c>
      <c r="J110" t="s">
        <v>62</v>
      </c>
    </row>
    <row r="111" spans="1:10" ht="15" customHeight="1" x14ac:dyDescent="0.25">
      <c r="A111" t="s">
        <v>1563</v>
      </c>
      <c r="B111" t="s">
        <v>464</v>
      </c>
      <c r="C111" t="s">
        <v>465</v>
      </c>
      <c r="D111" t="s">
        <v>1310</v>
      </c>
      <c r="E111" t="s">
        <v>1311</v>
      </c>
      <c r="F111" s="41">
        <v>45301</v>
      </c>
      <c r="G111" t="s">
        <v>1453</v>
      </c>
      <c r="H111">
        <v>73</v>
      </c>
      <c r="I111">
        <v>75</v>
      </c>
      <c r="J111" t="s">
        <v>62</v>
      </c>
    </row>
    <row r="112" spans="1:10" ht="15" customHeight="1" x14ac:dyDescent="0.25">
      <c r="A112" t="s">
        <v>1564</v>
      </c>
      <c r="B112" t="s">
        <v>425</v>
      </c>
      <c r="C112" t="s">
        <v>426</v>
      </c>
      <c r="D112" t="s">
        <v>1307</v>
      </c>
      <c r="E112" t="s">
        <v>1308</v>
      </c>
      <c r="F112" s="41">
        <v>45301</v>
      </c>
      <c r="G112" t="s">
        <v>1453</v>
      </c>
      <c r="H112">
        <v>90</v>
      </c>
      <c r="I112">
        <v>91</v>
      </c>
      <c r="J112" t="s">
        <v>62</v>
      </c>
    </row>
    <row r="113" spans="1:10" ht="15" customHeight="1" x14ac:dyDescent="0.25">
      <c r="A113" t="s">
        <v>1565</v>
      </c>
      <c r="B113" t="s">
        <v>425</v>
      </c>
      <c r="C113" t="s">
        <v>426</v>
      </c>
      <c r="D113" t="s">
        <v>1275</v>
      </c>
      <c r="E113" t="s">
        <v>1276</v>
      </c>
      <c r="F113" s="41">
        <v>45301</v>
      </c>
      <c r="G113" t="s">
        <v>1453</v>
      </c>
      <c r="H113">
        <v>86</v>
      </c>
      <c r="I113">
        <v>88</v>
      </c>
      <c r="J113" t="s">
        <v>62</v>
      </c>
    </row>
    <row r="114" spans="1:10" ht="15" customHeight="1" x14ac:dyDescent="0.25">
      <c r="A114" t="s">
        <v>1566</v>
      </c>
      <c r="B114" t="s">
        <v>438</v>
      </c>
      <c r="C114" t="s">
        <v>439</v>
      </c>
      <c r="D114" t="s">
        <v>1307</v>
      </c>
      <c r="E114" t="s">
        <v>1308</v>
      </c>
      <c r="F114" s="41">
        <v>45301</v>
      </c>
      <c r="G114" t="s">
        <v>1453</v>
      </c>
      <c r="H114">
        <v>88</v>
      </c>
      <c r="I114">
        <v>89</v>
      </c>
      <c r="J114" t="s">
        <v>62</v>
      </c>
    </row>
    <row r="115" spans="1:10" ht="15" customHeight="1" x14ac:dyDescent="0.25">
      <c r="A115" t="s">
        <v>1567</v>
      </c>
      <c r="B115" t="s">
        <v>438</v>
      </c>
      <c r="C115" t="s">
        <v>439</v>
      </c>
      <c r="D115" t="s">
        <v>1275</v>
      </c>
      <c r="E115" t="s">
        <v>1276</v>
      </c>
      <c r="F115" s="41">
        <v>45301</v>
      </c>
      <c r="G115" t="s">
        <v>1453</v>
      </c>
      <c r="H115">
        <v>91</v>
      </c>
      <c r="I115">
        <v>93</v>
      </c>
      <c r="J115" t="s">
        <v>62</v>
      </c>
    </row>
    <row r="116" spans="1:10" ht="15" customHeight="1" x14ac:dyDescent="0.25">
      <c r="A116" s="55" t="s">
        <v>1568</v>
      </c>
      <c r="B116" s="55" t="s">
        <v>476</v>
      </c>
      <c r="C116" s="55" t="s">
        <v>477</v>
      </c>
      <c r="D116" s="55" t="s">
        <v>1313</v>
      </c>
      <c r="E116" s="55" t="s">
        <v>1263</v>
      </c>
      <c r="F116" s="55" t="s">
        <v>768</v>
      </c>
      <c r="G116" s="55" t="s">
        <v>1453</v>
      </c>
      <c r="H116" s="55">
        <v>92</v>
      </c>
      <c r="I116" s="57">
        <v>95</v>
      </c>
      <c r="J116" s="57" t="s">
        <v>484</v>
      </c>
    </row>
    <row r="117" spans="1:10" ht="15" customHeight="1" x14ac:dyDescent="0.25">
      <c r="A117" s="55" t="s">
        <v>1569</v>
      </c>
      <c r="B117" s="55" t="s">
        <v>476</v>
      </c>
      <c r="C117" s="55" t="s">
        <v>477</v>
      </c>
      <c r="D117" s="55" t="s">
        <v>1316</v>
      </c>
      <c r="E117" s="55" t="s">
        <v>1184</v>
      </c>
      <c r="F117" s="55" t="s">
        <v>768</v>
      </c>
      <c r="G117" s="55" t="s">
        <v>1453</v>
      </c>
      <c r="H117" s="55">
        <v>90</v>
      </c>
      <c r="I117" s="57">
        <v>93</v>
      </c>
      <c r="J117" s="57" t="s">
        <v>484</v>
      </c>
    </row>
    <row r="118" spans="1:10" ht="15" customHeight="1" x14ac:dyDescent="0.25">
      <c r="A118" s="55" t="s">
        <v>1570</v>
      </c>
      <c r="B118" s="55" t="s">
        <v>476</v>
      </c>
      <c r="C118" s="55" t="s">
        <v>477</v>
      </c>
      <c r="D118" s="55" t="s">
        <v>1361</v>
      </c>
      <c r="E118" s="55" t="s">
        <v>1362</v>
      </c>
      <c r="F118" s="55" t="s">
        <v>768</v>
      </c>
      <c r="G118" s="55" t="s">
        <v>1453</v>
      </c>
      <c r="H118" s="55">
        <v>88</v>
      </c>
      <c r="I118" s="57">
        <v>91</v>
      </c>
      <c r="J118" s="57" t="s">
        <v>484</v>
      </c>
    </row>
    <row r="119" spans="1:10" ht="15" customHeight="1" x14ac:dyDescent="0.25">
      <c r="A119" s="55" t="s">
        <v>1571</v>
      </c>
      <c r="B119" s="55" t="s">
        <v>485</v>
      </c>
      <c r="C119" s="55" t="s">
        <v>486</v>
      </c>
      <c r="D119" s="55" t="s">
        <v>1322</v>
      </c>
      <c r="E119" s="55" t="s">
        <v>1323</v>
      </c>
      <c r="F119" s="55" t="s">
        <v>768</v>
      </c>
      <c r="G119" s="55" t="s">
        <v>1453</v>
      </c>
      <c r="H119" s="55">
        <v>87</v>
      </c>
      <c r="I119" s="57">
        <v>85</v>
      </c>
      <c r="J119" s="57" t="s">
        <v>484</v>
      </c>
    </row>
    <row r="120" spans="1:10" ht="15" customHeight="1" x14ac:dyDescent="0.25">
      <c r="A120" s="55" t="s">
        <v>1572</v>
      </c>
      <c r="B120" s="55" t="s">
        <v>485</v>
      </c>
      <c r="C120" s="55" t="s">
        <v>486</v>
      </c>
      <c r="D120" s="55" t="s">
        <v>1325</v>
      </c>
      <c r="E120" s="55" t="s">
        <v>1326</v>
      </c>
      <c r="F120" s="55" t="s">
        <v>768</v>
      </c>
      <c r="G120" s="55" t="s">
        <v>1453</v>
      </c>
      <c r="H120" s="55">
        <v>85</v>
      </c>
      <c r="I120" s="57">
        <v>83</v>
      </c>
      <c r="J120" s="57" t="s">
        <v>484</v>
      </c>
    </row>
    <row r="121" spans="1:10" ht="15" customHeight="1" x14ac:dyDescent="0.25">
      <c r="A121" s="55" t="s">
        <v>1573</v>
      </c>
      <c r="B121" s="55" t="s">
        <v>485</v>
      </c>
      <c r="C121" s="55" t="s">
        <v>486</v>
      </c>
      <c r="D121" s="55" t="s">
        <v>1361</v>
      </c>
      <c r="E121" s="55" t="s">
        <v>1362</v>
      </c>
      <c r="F121" s="55" t="s">
        <v>768</v>
      </c>
      <c r="G121" s="55" t="s">
        <v>1453</v>
      </c>
      <c r="H121" s="55">
        <v>83</v>
      </c>
      <c r="I121" s="57">
        <v>81</v>
      </c>
      <c r="J121" s="57" t="s">
        <v>484</v>
      </c>
    </row>
    <row r="122" spans="1:10" ht="15" customHeight="1" x14ac:dyDescent="0.25">
      <c r="A122" s="55" t="s">
        <v>1574</v>
      </c>
      <c r="B122" s="55" t="s">
        <v>494</v>
      </c>
      <c r="C122" s="55" t="s">
        <v>495</v>
      </c>
      <c r="D122" s="55" t="s">
        <v>1338</v>
      </c>
      <c r="E122" s="55" t="s">
        <v>1339</v>
      </c>
      <c r="F122" s="55" t="s">
        <v>768</v>
      </c>
      <c r="G122" s="55" t="s">
        <v>1453</v>
      </c>
      <c r="H122" s="55">
        <v>90</v>
      </c>
      <c r="I122" s="57">
        <v>93</v>
      </c>
      <c r="J122" s="57" t="s">
        <v>484</v>
      </c>
    </row>
    <row r="123" spans="1:10" ht="15" customHeight="1" x14ac:dyDescent="0.25">
      <c r="A123" s="55" t="s">
        <v>1575</v>
      </c>
      <c r="B123" s="55" t="s">
        <v>494</v>
      </c>
      <c r="C123" s="55" t="s">
        <v>495</v>
      </c>
      <c r="D123" s="55" t="s">
        <v>1342</v>
      </c>
      <c r="E123" s="55" t="s">
        <v>1343</v>
      </c>
      <c r="F123" s="55" t="s">
        <v>768</v>
      </c>
      <c r="G123" s="55" t="s">
        <v>1453</v>
      </c>
      <c r="H123" s="55">
        <v>88</v>
      </c>
      <c r="I123" s="57">
        <v>91</v>
      </c>
      <c r="J123" s="57" t="s">
        <v>484</v>
      </c>
    </row>
    <row r="124" spans="1:10" ht="15" customHeight="1" x14ac:dyDescent="0.25">
      <c r="A124" s="55" t="s">
        <v>1576</v>
      </c>
      <c r="B124" s="55" t="s">
        <v>494</v>
      </c>
      <c r="C124" s="55" t="s">
        <v>495</v>
      </c>
      <c r="D124" s="55" t="s">
        <v>1345</v>
      </c>
      <c r="E124" s="55" t="s">
        <v>1346</v>
      </c>
      <c r="F124" s="55" t="s">
        <v>768</v>
      </c>
      <c r="G124" s="55" t="s">
        <v>1453</v>
      </c>
      <c r="H124" s="55">
        <v>86</v>
      </c>
      <c r="I124" s="57">
        <v>89</v>
      </c>
      <c r="J124" s="57" t="s">
        <v>484</v>
      </c>
    </row>
    <row r="125" spans="1:10" ht="15" customHeight="1" x14ac:dyDescent="0.25">
      <c r="A125" s="55" t="s">
        <v>1577</v>
      </c>
      <c r="B125" s="55" t="s">
        <v>504</v>
      </c>
      <c r="C125" s="55" t="s">
        <v>505</v>
      </c>
      <c r="D125" s="55" t="s">
        <v>1328</v>
      </c>
      <c r="E125" s="55" t="s">
        <v>1329</v>
      </c>
      <c r="F125" s="55" t="s">
        <v>768</v>
      </c>
      <c r="G125" s="55" t="s">
        <v>107</v>
      </c>
      <c r="H125" s="55">
        <v>94</v>
      </c>
      <c r="I125" s="57">
        <v>97</v>
      </c>
      <c r="J125" s="57" t="s">
        <v>484</v>
      </c>
    </row>
    <row r="126" spans="1:10" ht="15" customHeight="1" x14ac:dyDescent="0.25">
      <c r="A126" s="55" t="s">
        <v>1578</v>
      </c>
      <c r="B126" s="55" t="s">
        <v>504</v>
      </c>
      <c r="C126" s="55" t="s">
        <v>505</v>
      </c>
      <c r="D126" s="55" t="s">
        <v>1332</v>
      </c>
      <c r="E126" s="55" t="s">
        <v>1333</v>
      </c>
      <c r="F126" s="55" t="s">
        <v>768</v>
      </c>
      <c r="G126" s="55" t="s">
        <v>107</v>
      </c>
      <c r="H126" s="55">
        <v>92</v>
      </c>
      <c r="I126" s="57">
        <v>95</v>
      </c>
      <c r="J126" s="57" t="s">
        <v>484</v>
      </c>
    </row>
    <row r="127" spans="1:10" ht="15" customHeight="1" x14ac:dyDescent="0.25">
      <c r="A127" s="55" t="s">
        <v>1579</v>
      </c>
      <c r="B127" s="55" t="s">
        <v>504</v>
      </c>
      <c r="C127" s="55" t="s">
        <v>505</v>
      </c>
      <c r="D127" s="55" t="s">
        <v>1335</v>
      </c>
      <c r="E127" s="55" t="s">
        <v>1336</v>
      </c>
      <c r="F127" s="55" t="s">
        <v>768</v>
      </c>
      <c r="G127" s="55" t="s">
        <v>107</v>
      </c>
      <c r="H127" s="55">
        <v>90</v>
      </c>
      <c r="I127" s="57">
        <v>93</v>
      </c>
      <c r="J127" s="57" t="s">
        <v>484</v>
      </c>
    </row>
    <row r="128" spans="1:10" ht="15" customHeight="1" x14ac:dyDescent="0.25">
      <c r="A128" s="55" t="s">
        <v>1580</v>
      </c>
      <c r="B128" s="55" t="s">
        <v>512</v>
      </c>
      <c r="C128" s="55" t="s">
        <v>513</v>
      </c>
      <c r="D128" s="55" t="s">
        <v>1338</v>
      </c>
      <c r="E128" s="55" t="s">
        <v>1339</v>
      </c>
      <c r="F128" s="55" t="s">
        <v>768</v>
      </c>
      <c r="G128" s="55" t="s">
        <v>1453</v>
      </c>
      <c r="H128" s="55">
        <v>79</v>
      </c>
      <c r="I128" s="57">
        <v>77</v>
      </c>
      <c r="J128" s="57" t="s">
        <v>484</v>
      </c>
    </row>
    <row r="129" spans="1:10" ht="15" customHeight="1" x14ac:dyDescent="0.25">
      <c r="A129" s="55" t="s">
        <v>1581</v>
      </c>
      <c r="B129" s="55" t="s">
        <v>512</v>
      </c>
      <c r="C129" s="55" t="s">
        <v>513</v>
      </c>
      <c r="D129" s="55" t="s">
        <v>1342</v>
      </c>
      <c r="E129" s="55" t="s">
        <v>1343</v>
      </c>
      <c r="F129" s="55" t="s">
        <v>768</v>
      </c>
      <c r="G129" s="55" t="s">
        <v>1453</v>
      </c>
      <c r="H129" s="55">
        <v>77</v>
      </c>
      <c r="I129" s="57">
        <v>75</v>
      </c>
      <c r="J129" s="57" t="s">
        <v>484</v>
      </c>
    </row>
    <row r="130" spans="1:10" ht="15" customHeight="1" x14ac:dyDescent="0.25">
      <c r="A130" s="55" t="s">
        <v>1582</v>
      </c>
      <c r="B130" s="55" t="s">
        <v>512</v>
      </c>
      <c r="C130" s="55" t="s">
        <v>513</v>
      </c>
      <c r="D130" s="55" t="s">
        <v>1357</v>
      </c>
      <c r="E130" s="55" t="s">
        <v>1358</v>
      </c>
      <c r="F130" s="55" t="s">
        <v>768</v>
      </c>
      <c r="G130" s="55" t="s">
        <v>1453</v>
      </c>
      <c r="H130" s="55">
        <v>75</v>
      </c>
      <c r="I130" s="57">
        <v>73</v>
      </c>
      <c r="J130" s="57" t="s">
        <v>484</v>
      </c>
    </row>
    <row r="131" spans="1:10" ht="15" customHeight="1" x14ac:dyDescent="0.25">
      <c r="A131" s="55" t="s">
        <v>1583</v>
      </c>
      <c r="B131" s="55" t="s">
        <v>520</v>
      </c>
      <c r="C131" s="55" t="s">
        <v>521</v>
      </c>
      <c r="D131" s="55" t="s">
        <v>1313</v>
      </c>
      <c r="E131" s="55" t="s">
        <v>1263</v>
      </c>
      <c r="F131" s="55" t="s">
        <v>768</v>
      </c>
      <c r="G131" s="55" t="s">
        <v>1453</v>
      </c>
      <c r="H131" s="55">
        <v>88</v>
      </c>
      <c r="I131" s="57">
        <v>86</v>
      </c>
      <c r="J131" s="57" t="s">
        <v>484</v>
      </c>
    </row>
    <row r="132" spans="1:10" ht="15" customHeight="1" x14ac:dyDescent="0.25">
      <c r="A132" s="55" t="s">
        <v>1584</v>
      </c>
      <c r="B132" s="55" t="s">
        <v>520</v>
      </c>
      <c r="C132" s="55" t="s">
        <v>521</v>
      </c>
      <c r="D132" s="55" t="s">
        <v>1316</v>
      </c>
      <c r="E132" s="55" t="s">
        <v>1184</v>
      </c>
      <c r="F132" s="55" t="s">
        <v>768</v>
      </c>
      <c r="G132" s="55" t="s">
        <v>1453</v>
      </c>
      <c r="H132" s="55">
        <v>86</v>
      </c>
      <c r="I132" s="57">
        <v>84</v>
      </c>
      <c r="J132" s="57" t="s">
        <v>484</v>
      </c>
    </row>
    <row r="133" spans="1:10" ht="15" customHeight="1" x14ac:dyDescent="0.25">
      <c r="A133" s="55" t="s">
        <v>1585</v>
      </c>
      <c r="B133" s="55" t="s">
        <v>520</v>
      </c>
      <c r="C133" s="55" t="s">
        <v>521</v>
      </c>
      <c r="D133" s="55" t="s">
        <v>1361</v>
      </c>
      <c r="E133" s="55" t="s">
        <v>1362</v>
      </c>
      <c r="F133" s="55" t="s">
        <v>768</v>
      </c>
      <c r="G133" s="55" t="s">
        <v>1453</v>
      </c>
      <c r="H133" s="55">
        <v>84</v>
      </c>
      <c r="I133" s="57">
        <v>82</v>
      </c>
      <c r="J133" s="57" t="s">
        <v>484</v>
      </c>
    </row>
    <row r="134" spans="1:10" ht="15" customHeight="1" x14ac:dyDescent="0.25">
      <c r="A134" s="55" t="s">
        <v>1586</v>
      </c>
      <c r="B134" s="55" t="s">
        <v>526</v>
      </c>
      <c r="C134" s="55" t="s">
        <v>527</v>
      </c>
      <c r="D134" s="55" t="s">
        <v>1349</v>
      </c>
      <c r="E134" s="55" t="s">
        <v>1350</v>
      </c>
      <c r="F134" s="55" t="s">
        <v>768</v>
      </c>
      <c r="G134" s="55" t="s">
        <v>1453</v>
      </c>
      <c r="H134" s="55">
        <v>91</v>
      </c>
      <c r="I134" s="57">
        <v>94</v>
      </c>
      <c r="J134" s="57" t="s">
        <v>484</v>
      </c>
    </row>
    <row r="135" spans="1:10" ht="15" customHeight="1" x14ac:dyDescent="0.25">
      <c r="A135" s="55" t="s">
        <v>1587</v>
      </c>
      <c r="B135" s="55" t="s">
        <v>526</v>
      </c>
      <c r="C135" s="55" t="s">
        <v>527</v>
      </c>
      <c r="D135" s="55" t="s">
        <v>1353</v>
      </c>
      <c r="E135" s="55" t="s">
        <v>1354</v>
      </c>
      <c r="F135" s="55" t="s">
        <v>768</v>
      </c>
      <c r="G135" s="55" t="s">
        <v>1453</v>
      </c>
      <c r="H135" s="55">
        <v>89</v>
      </c>
      <c r="I135" s="57">
        <v>92</v>
      </c>
      <c r="J135" s="57" t="s">
        <v>484</v>
      </c>
    </row>
    <row r="136" spans="1:10" ht="15" customHeight="1" x14ac:dyDescent="0.25">
      <c r="A136" s="55" t="s">
        <v>1588</v>
      </c>
      <c r="B136" s="55" t="s">
        <v>534</v>
      </c>
      <c r="C136" s="55" t="s">
        <v>535</v>
      </c>
      <c r="D136" s="55" t="s">
        <v>1322</v>
      </c>
      <c r="E136" s="55" t="s">
        <v>1323</v>
      </c>
      <c r="F136" s="55" t="s">
        <v>768</v>
      </c>
      <c r="G136" s="55" t="s">
        <v>1453</v>
      </c>
      <c r="H136" s="55">
        <v>86</v>
      </c>
      <c r="I136" s="57">
        <v>84</v>
      </c>
      <c r="J136" s="57" t="s">
        <v>484</v>
      </c>
    </row>
    <row r="137" spans="1:10" ht="15" customHeight="1" x14ac:dyDescent="0.25">
      <c r="A137" s="55" t="s">
        <v>1589</v>
      </c>
      <c r="B137" s="55" t="s">
        <v>534</v>
      </c>
      <c r="C137" s="55" t="s">
        <v>535</v>
      </c>
      <c r="D137" s="55" t="s">
        <v>1325</v>
      </c>
      <c r="E137" s="55" t="s">
        <v>1326</v>
      </c>
      <c r="F137" s="55" t="s">
        <v>768</v>
      </c>
      <c r="G137" s="55" t="s">
        <v>1453</v>
      </c>
      <c r="H137" s="55">
        <v>84</v>
      </c>
      <c r="I137" s="57">
        <v>82</v>
      </c>
      <c r="J137" s="57" t="s">
        <v>484</v>
      </c>
    </row>
    <row r="138" spans="1:10" ht="15" customHeight="1" x14ac:dyDescent="0.25">
      <c r="A138" s="55" t="s">
        <v>1590</v>
      </c>
      <c r="B138" s="55" t="s">
        <v>534</v>
      </c>
      <c r="C138" s="55" t="s">
        <v>535</v>
      </c>
      <c r="D138" s="55" t="s">
        <v>1361</v>
      </c>
      <c r="E138" s="55" t="s">
        <v>1362</v>
      </c>
      <c r="F138" s="55" t="s">
        <v>768</v>
      </c>
      <c r="G138" s="55" t="s">
        <v>1453</v>
      </c>
      <c r="H138" s="55">
        <v>82</v>
      </c>
      <c r="I138" s="57">
        <v>80</v>
      </c>
      <c r="J138" s="57" t="s">
        <v>484</v>
      </c>
    </row>
    <row r="139" spans="1:10" ht="15" customHeight="1" x14ac:dyDescent="0.25">
      <c r="A139" s="55" t="s">
        <v>1591</v>
      </c>
      <c r="B139" s="55" t="s">
        <v>540</v>
      </c>
      <c r="C139" s="55" t="s">
        <v>541</v>
      </c>
      <c r="D139" s="55" t="s">
        <v>1328</v>
      </c>
      <c r="E139" s="55" t="s">
        <v>1329</v>
      </c>
      <c r="F139" s="55" t="s">
        <v>768</v>
      </c>
      <c r="G139" s="55" t="s">
        <v>1497</v>
      </c>
      <c r="H139" s="55">
        <v>82</v>
      </c>
      <c r="I139" s="57">
        <v>80</v>
      </c>
      <c r="J139" s="57" t="s">
        <v>484</v>
      </c>
    </row>
    <row r="140" spans="1:10" ht="15" customHeight="1" x14ac:dyDescent="0.25">
      <c r="A140" s="55" t="s">
        <v>1592</v>
      </c>
      <c r="B140" s="55" t="s">
        <v>540</v>
      </c>
      <c r="C140" s="55" t="s">
        <v>541</v>
      </c>
      <c r="D140" s="55" t="s">
        <v>1332</v>
      </c>
      <c r="E140" s="55" t="s">
        <v>1333</v>
      </c>
      <c r="F140" s="55" t="s">
        <v>768</v>
      </c>
      <c r="G140" s="55" t="s">
        <v>1497</v>
      </c>
      <c r="H140" s="55">
        <v>80</v>
      </c>
      <c r="I140" s="57">
        <v>78</v>
      </c>
      <c r="J140" s="57" t="s">
        <v>484</v>
      </c>
    </row>
    <row r="141" spans="1:10" ht="15" customHeight="1" x14ac:dyDescent="0.25">
      <c r="A141" s="55" t="s">
        <v>1593</v>
      </c>
      <c r="B141" s="55" t="s">
        <v>540</v>
      </c>
      <c r="C141" s="55" t="s">
        <v>541</v>
      </c>
      <c r="D141" s="55" t="s">
        <v>1335</v>
      </c>
      <c r="E141" s="55" t="s">
        <v>1336</v>
      </c>
      <c r="F141" s="55" t="s">
        <v>768</v>
      </c>
      <c r="G141" s="55" t="s">
        <v>1497</v>
      </c>
      <c r="H141" s="55">
        <v>78</v>
      </c>
      <c r="I141" s="57">
        <v>76</v>
      </c>
      <c r="J141" s="57" t="s">
        <v>484</v>
      </c>
    </row>
    <row r="142" spans="1:10" ht="15" customHeight="1" x14ac:dyDescent="0.25">
      <c r="A142" s="55" t="s">
        <v>1594</v>
      </c>
      <c r="B142" s="55" t="s">
        <v>546</v>
      </c>
      <c r="C142" s="55" t="s">
        <v>547</v>
      </c>
      <c r="D142" s="55" t="s">
        <v>1338</v>
      </c>
      <c r="E142" s="55" t="s">
        <v>1339</v>
      </c>
      <c r="F142" s="55" t="s">
        <v>768</v>
      </c>
      <c r="G142" s="55" t="s">
        <v>1453</v>
      </c>
      <c r="H142" s="55">
        <v>89</v>
      </c>
      <c r="I142" s="57">
        <v>92</v>
      </c>
      <c r="J142" s="57" t="s">
        <v>484</v>
      </c>
    </row>
    <row r="143" spans="1:10" ht="15" customHeight="1" x14ac:dyDescent="0.25">
      <c r="A143" s="55" t="s">
        <v>1595</v>
      </c>
      <c r="B143" s="55" t="s">
        <v>546</v>
      </c>
      <c r="C143" s="55" t="s">
        <v>547</v>
      </c>
      <c r="D143" s="55" t="s">
        <v>1342</v>
      </c>
      <c r="E143" s="55" t="s">
        <v>1343</v>
      </c>
      <c r="F143" s="55" t="s">
        <v>768</v>
      </c>
      <c r="G143" s="55" t="s">
        <v>1453</v>
      </c>
      <c r="H143" s="55">
        <v>87</v>
      </c>
      <c r="I143" s="57">
        <v>90</v>
      </c>
      <c r="J143" s="57" t="s">
        <v>484</v>
      </c>
    </row>
    <row r="144" spans="1:10" ht="15" customHeight="1" x14ac:dyDescent="0.25">
      <c r="A144" s="55" t="s">
        <v>1596</v>
      </c>
      <c r="B144" s="55" t="s">
        <v>546</v>
      </c>
      <c r="C144" s="55" t="s">
        <v>547</v>
      </c>
      <c r="D144" s="55" t="s">
        <v>1357</v>
      </c>
      <c r="E144" s="55" t="s">
        <v>1358</v>
      </c>
      <c r="F144" s="55" t="s">
        <v>768</v>
      </c>
      <c r="G144" s="55" t="s">
        <v>1453</v>
      </c>
      <c r="H144" s="55">
        <v>85</v>
      </c>
      <c r="I144" s="57">
        <v>88</v>
      </c>
      <c r="J144" s="57" t="s">
        <v>484</v>
      </c>
    </row>
    <row r="145" spans="1:10" ht="15" customHeight="1" x14ac:dyDescent="0.25">
      <c r="A145" s="55" t="s">
        <v>1597</v>
      </c>
      <c r="B145" s="55" t="s">
        <v>552</v>
      </c>
      <c r="C145" s="55" t="s">
        <v>553</v>
      </c>
      <c r="D145" s="55" t="s">
        <v>1313</v>
      </c>
      <c r="E145" s="55" t="s">
        <v>1263</v>
      </c>
      <c r="F145" s="55" t="s">
        <v>768</v>
      </c>
      <c r="G145" s="55" t="s">
        <v>1453</v>
      </c>
      <c r="H145" s="55">
        <v>85</v>
      </c>
      <c r="I145" s="57">
        <v>83</v>
      </c>
      <c r="J145" s="57" t="s">
        <v>484</v>
      </c>
    </row>
    <row r="146" spans="1:10" ht="15" customHeight="1" x14ac:dyDescent="0.25">
      <c r="A146" s="55" t="s">
        <v>1598</v>
      </c>
      <c r="B146" s="55" t="s">
        <v>552</v>
      </c>
      <c r="C146" s="55" t="s">
        <v>553</v>
      </c>
      <c r="D146" s="55" t="s">
        <v>1316</v>
      </c>
      <c r="E146" s="55" t="s">
        <v>1184</v>
      </c>
      <c r="F146" s="55" t="s">
        <v>768</v>
      </c>
      <c r="G146" s="55" t="s">
        <v>1453</v>
      </c>
      <c r="H146" s="55">
        <v>83</v>
      </c>
      <c r="I146" s="57">
        <v>81</v>
      </c>
      <c r="J146" s="57" t="s">
        <v>484</v>
      </c>
    </row>
    <row r="147" spans="1:10" ht="15" customHeight="1" x14ac:dyDescent="0.25">
      <c r="A147" s="55" t="s">
        <v>1599</v>
      </c>
      <c r="B147" s="55" t="s">
        <v>552</v>
      </c>
      <c r="C147" s="55" t="s">
        <v>553</v>
      </c>
      <c r="D147" s="55" t="s">
        <v>1361</v>
      </c>
      <c r="E147" s="55" t="s">
        <v>1362</v>
      </c>
      <c r="F147" s="55" t="s">
        <v>768</v>
      </c>
      <c r="G147" s="55" t="s">
        <v>1453</v>
      </c>
      <c r="H147" s="55">
        <v>81</v>
      </c>
      <c r="I147" s="57">
        <v>79</v>
      </c>
      <c r="J147" s="57" t="s">
        <v>484</v>
      </c>
    </row>
    <row r="148" spans="1:10" ht="15" customHeight="1" x14ac:dyDescent="0.25">
      <c r="A148" s="55" t="s">
        <v>1600</v>
      </c>
      <c r="B148" s="55" t="s">
        <v>559</v>
      </c>
      <c r="C148" s="55" t="s">
        <v>560</v>
      </c>
      <c r="D148" s="55" t="s">
        <v>1322</v>
      </c>
      <c r="E148" s="55" t="s">
        <v>1323</v>
      </c>
      <c r="F148" s="55" t="s">
        <v>768</v>
      </c>
      <c r="G148" s="55" t="s">
        <v>107</v>
      </c>
      <c r="H148" s="55">
        <v>81</v>
      </c>
      <c r="I148" s="57">
        <v>79</v>
      </c>
      <c r="J148" s="57" t="s">
        <v>484</v>
      </c>
    </row>
    <row r="149" spans="1:10" ht="15" customHeight="1" x14ac:dyDescent="0.25">
      <c r="A149" s="55" t="s">
        <v>1601</v>
      </c>
      <c r="B149" s="55" t="s">
        <v>559</v>
      </c>
      <c r="C149" s="55" t="s">
        <v>560</v>
      </c>
      <c r="D149" s="55" t="s">
        <v>1325</v>
      </c>
      <c r="E149" s="55" t="s">
        <v>1326</v>
      </c>
      <c r="F149" s="55" t="s">
        <v>768</v>
      </c>
      <c r="G149" s="55" t="s">
        <v>107</v>
      </c>
      <c r="H149" s="55">
        <v>79</v>
      </c>
      <c r="I149" s="57">
        <v>77</v>
      </c>
      <c r="J149" s="57" t="s">
        <v>484</v>
      </c>
    </row>
    <row r="150" spans="1:10" ht="15" customHeight="1" x14ac:dyDescent="0.25">
      <c r="A150" s="55" t="s">
        <v>1602</v>
      </c>
      <c r="B150" s="55" t="s">
        <v>559</v>
      </c>
      <c r="C150" s="55" t="s">
        <v>560</v>
      </c>
      <c r="D150" s="55" t="s">
        <v>1361</v>
      </c>
      <c r="E150" s="55" t="s">
        <v>1362</v>
      </c>
      <c r="F150" s="55" t="s">
        <v>768</v>
      </c>
      <c r="G150" s="55" t="s">
        <v>107</v>
      </c>
      <c r="H150" s="55">
        <v>77</v>
      </c>
      <c r="I150" s="57">
        <v>75</v>
      </c>
      <c r="J150" s="57" t="s">
        <v>484</v>
      </c>
    </row>
    <row r="151" spans="1:10" ht="15" customHeight="1" x14ac:dyDescent="0.25">
      <c r="A151" s="55" t="s">
        <v>1603</v>
      </c>
      <c r="B151" s="55" t="s">
        <v>565</v>
      </c>
      <c r="C151" s="55" t="s">
        <v>566</v>
      </c>
      <c r="D151" s="55" t="s">
        <v>1338</v>
      </c>
      <c r="E151" s="55" t="s">
        <v>1339</v>
      </c>
      <c r="F151" s="55" t="s">
        <v>768</v>
      </c>
      <c r="G151" s="55" t="s">
        <v>1453</v>
      </c>
      <c r="H151" s="55">
        <v>90</v>
      </c>
      <c r="I151" s="57">
        <v>93</v>
      </c>
      <c r="J151" s="57" t="s">
        <v>484</v>
      </c>
    </row>
    <row r="152" spans="1:10" ht="15" customHeight="1" x14ac:dyDescent="0.25">
      <c r="A152" s="55" t="s">
        <v>1604</v>
      </c>
      <c r="B152" s="55" t="s">
        <v>565</v>
      </c>
      <c r="C152" s="55" t="s">
        <v>566</v>
      </c>
      <c r="D152" s="55" t="s">
        <v>1342</v>
      </c>
      <c r="E152" s="55" t="s">
        <v>1343</v>
      </c>
      <c r="F152" s="55" t="s">
        <v>768</v>
      </c>
      <c r="G152" s="55" t="s">
        <v>1453</v>
      </c>
      <c r="H152" s="55">
        <v>88</v>
      </c>
      <c r="I152" s="57">
        <v>91</v>
      </c>
      <c r="J152" s="57" t="s">
        <v>484</v>
      </c>
    </row>
    <row r="153" spans="1:10" ht="15" customHeight="1" x14ac:dyDescent="0.25">
      <c r="A153" s="55" t="s">
        <v>1605</v>
      </c>
      <c r="B153" s="55" t="s">
        <v>565</v>
      </c>
      <c r="C153" s="55" t="s">
        <v>566</v>
      </c>
      <c r="D153" s="55" t="s">
        <v>1345</v>
      </c>
      <c r="E153" s="55" t="s">
        <v>1346</v>
      </c>
      <c r="F153" s="55" t="s">
        <v>768</v>
      </c>
      <c r="G153" s="55" t="s">
        <v>1453</v>
      </c>
      <c r="H153" s="55">
        <v>86</v>
      </c>
      <c r="I153" s="57">
        <v>89</v>
      </c>
      <c r="J153" s="57" t="s">
        <v>484</v>
      </c>
    </row>
    <row r="154" spans="1:10" ht="15" customHeight="1" x14ac:dyDescent="0.25">
      <c r="A154" s="55" t="s">
        <v>1606</v>
      </c>
      <c r="B154" s="55" t="s">
        <v>571</v>
      </c>
      <c r="C154" s="55" t="s">
        <v>572</v>
      </c>
      <c r="D154" s="55" t="s">
        <v>1349</v>
      </c>
      <c r="E154" s="55" t="s">
        <v>1350</v>
      </c>
      <c r="F154" s="55" t="s">
        <v>768</v>
      </c>
      <c r="G154" s="55" t="s">
        <v>1453</v>
      </c>
      <c r="H154" s="55">
        <v>74</v>
      </c>
      <c r="I154" s="57">
        <v>72</v>
      </c>
      <c r="J154" s="57" t="s">
        <v>484</v>
      </c>
    </row>
    <row r="155" spans="1:10" ht="15" customHeight="1" x14ac:dyDescent="0.25">
      <c r="A155" s="55" t="s">
        <v>1607</v>
      </c>
      <c r="B155" s="55" t="s">
        <v>571</v>
      </c>
      <c r="C155" s="55" t="s">
        <v>572</v>
      </c>
      <c r="D155" s="55" t="s">
        <v>1353</v>
      </c>
      <c r="E155" s="55" t="s">
        <v>1354</v>
      </c>
      <c r="F155" s="55" t="s">
        <v>768</v>
      </c>
      <c r="G155" s="55" t="s">
        <v>1453</v>
      </c>
      <c r="H155" s="55">
        <v>72</v>
      </c>
      <c r="I155" s="57">
        <v>70</v>
      </c>
      <c r="J155" s="57" t="s">
        <v>484</v>
      </c>
    </row>
    <row r="156" spans="1:10" ht="15" customHeight="1" x14ac:dyDescent="0.25">
      <c r="A156" s="55" t="s">
        <v>1608</v>
      </c>
      <c r="B156" s="55" t="s">
        <v>576</v>
      </c>
      <c r="C156" s="55" t="s">
        <v>577</v>
      </c>
      <c r="D156" s="55" t="s">
        <v>1328</v>
      </c>
      <c r="E156" s="55" t="s">
        <v>1329</v>
      </c>
      <c r="F156" s="55" t="s">
        <v>768</v>
      </c>
      <c r="G156" s="55" t="s">
        <v>1453</v>
      </c>
      <c r="H156" s="55">
        <v>93</v>
      </c>
      <c r="I156" s="57">
        <v>96</v>
      </c>
      <c r="J156" s="57" t="s">
        <v>484</v>
      </c>
    </row>
    <row r="157" spans="1:10" ht="15" customHeight="1" x14ac:dyDescent="0.25">
      <c r="A157" s="55" t="s">
        <v>1609</v>
      </c>
      <c r="B157" s="55" t="s">
        <v>576</v>
      </c>
      <c r="C157" s="55" t="s">
        <v>577</v>
      </c>
      <c r="D157" s="55" t="s">
        <v>1332</v>
      </c>
      <c r="E157" s="55" t="s">
        <v>1333</v>
      </c>
      <c r="F157" s="55" t="s">
        <v>768</v>
      </c>
      <c r="G157" s="55" t="s">
        <v>1453</v>
      </c>
      <c r="H157" s="55">
        <v>91</v>
      </c>
      <c r="I157" s="57">
        <v>94</v>
      </c>
      <c r="J157" s="57" t="s">
        <v>484</v>
      </c>
    </row>
    <row r="158" spans="1:10" ht="15" customHeight="1" x14ac:dyDescent="0.25">
      <c r="A158" s="55" t="s">
        <v>1610</v>
      </c>
      <c r="B158" s="55" t="s">
        <v>576</v>
      </c>
      <c r="C158" s="55" t="s">
        <v>577</v>
      </c>
      <c r="D158" s="55" t="s">
        <v>1357</v>
      </c>
      <c r="E158" s="55" t="s">
        <v>1358</v>
      </c>
      <c r="F158" s="55" t="s">
        <v>768</v>
      </c>
      <c r="G158" s="55" t="s">
        <v>1453</v>
      </c>
      <c r="H158" s="55">
        <v>89</v>
      </c>
      <c r="I158" s="57">
        <v>92</v>
      </c>
      <c r="J158" s="57" t="s">
        <v>484</v>
      </c>
    </row>
    <row r="159" spans="1:10" ht="15" customHeight="1" x14ac:dyDescent="0.25">
      <c r="A159" s="55" t="s">
        <v>1611</v>
      </c>
      <c r="B159" s="55" t="s">
        <v>581</v>
      </c>
      <c r="C159" s="55" t="s">
        <v>582</v>
      </c>
      <c r="D159" s="55" t="s">
        <v>1313</v>
      </c>
      <c r="E159" s="55" t="s">
        <v>1263</v>
      </c>
      <c r="F159" s="55" t="s">
        <v>768</v>
      </c>
      <c r="G159" s="55" t="s">
        <v>1453</v>
      </c>
      <c r="H159" s="55">
        <v>86</v>
      </c>
      <c r="I159" s="57">
        <v>84</v>
      </c>
      <c r="J159" s="57" t="s">
        <v>484</v>
      </c>
    </row>
    <row r="160" spans="1:10" ht="15" customHeight="1" x14ac:dyDescent="0.25">
      <c r="A160" s="55" t="s">
        <v>1612</v>
      </c>
      <c r="B160" s="55" t="s">
        <v>581</v>
      </c>
      <c r="C160" s="55" t="s">
        <v>582</v>
      </c>
      <c r="D160" s="55" t="s">
        <v>1316</v>
      </c>
      <c r="E160" s="55" t="s">
        <v>1184</v>
      </c>
      <c r="F160" s="55" t="s">
        <v>768</v>
      </c>
      <c r="G160" s="55" t="s">
        <v>1453</v>
      </c>
      <c r="H160" s="55">
        <v>84</v>
      </c>
      <c r="I160" s="57">
        <v>82</v>
      </c>
      <c r="J160" s="57" t="s">
        <v>484</v>
      </c>
    </row>
    <row r="161" spans="1:10" ht="15" customHeight="1" x14ac:dyDescent="0.25">
      <c r="A161" s="55" t="s">
        <v>1613</v>
      </c>
      <c r="B161" s="55" t="s">
        <v>581</v>
      </c>
      <c r="C161" s="55" t="s">
        <v>582</v>
      </c>
      <c r="D161" s="55" t="s">
        <v>1361</v>
      </c>
      <c r="E161" s="55" t="s">
        <v>1362</v>
      </c>
      <c r="F161" s="55" t="s">
        <v>768</v>
      </c>
      <c r="G161" s="55" t="s">
        <v>1453</v>
      </c>
      <c r="H161" s="55">
        <v>82</v>
      </c>
      <c r="I161" s="57">
        <v>80</v>
      </c>
      <c r="J161" s="57" t="s">
        <v>484</v>
      </c>
    </row>
    <row r="162" spans="1:10" ht="15" customHeight="1" x14ac:dyDescent="0.25">
      <c r="A162" s="55" t="s">
        <v>1614</v>
      </c>
      <c r="B162" s="55" t="s">
        <v>586</v>
      </c>
      <c r="C162" s="55" t="s">
        <v>587</v>
      </c>
      <c r="D162" s="55" t="s">
        <v>1338</v>
      </c>
      <c r="E162" s="55" t="s">
        <v>1339</v>
      </c>
      <c r="F162" s="55" t="s">
        <v>768</v>
      </c>
      <c r="G162" s="55" t="s">
        <v>1453</v>
      </c>
      <c r="H162" s="55">
        <v>91</v>
      </c>
      <c r="I162" s="57">
        <v>94</v>
      </c>
      <c r="J162" s="57" t="s">
        <v>484</v>
      </c>
    </row>
    <row r="163" spans="1:10" ht="15" customHeight="1" x14ac:dyDescent="0.25">
      <c r="A163" s="55" t="s">
        <v>1615</v>
      </c>
      <c r="B163" s="55" t="s">
        <v>586</v>
      </c>
      <c r="C163" s="55" t="s">
        <v>587</v>
      </c>
      <c r="D163" s="55" t="s">
        <v>1342</v>
      </c>
      <c r="E163" s="55" t="s">
        <v>1343</v>
      </c>
      <c r="F163" s="55" t="s">
        <v>768</v>
      </c>
      <c r="G163" s="55" t="s">
        <v>1453</v>
      </c>
      <c r="H163" s="55">
        <v>89</v>
      </c>
      <c r="I163" s="57">
        <v>92</v>
      </c>
      <c r="J163" s="57" t="s">
        <v>484</v>
      </c>
    </row>
    <row r="164" spans="1:10" ht="15" customHeight="1" x14ac:dyDescent="0.25">
      <c r="A164" s="55" t="s">
        <v>1616</v>
      </c>
      <c r="B164" s="55" t="s">
        <v>586</v>
      </c>
      <c r="C164" s="55" t="s">
        <v>587</v>
      </c>
      <c r="D164" s="55" t="s">
        <v>1345</v>
      </c>
      <c r="E164" s="55" t="s">
        <v>1346</v>
      </c>
      <c r="F164" s="55" t="s">
        <v>768</v>
      </c>
      <c r="G164" s="55" t="s">
        <v>1453</v>
      </c>
      <c r="H164" s="55">
        <v>87</v>
      </c>
      <c r="I164" s="57">
        <v>90</v>
      </c>
      <c r="J164" s="57" t="s">
        <v>484</v>
      </c>
    </row>
    <row r="165" spans="1:10" ht="15" customHeight="1" x14ac:dyDescent="0.25">
      <c r="A165" s="55" t="s">
        <v>1617</v>
      </c>
      <c r="B165" s="55" t="s">
        <v>591</v>
      </c>
      <c r="C165" s="55" t="s">
        <v>592</v>
      </c>
      <c r="D165" s="55" t="s">
        <v>1322</v>
      </c>
      <c r="E165" s="55" t="s">
        <v>1323</v>
      </c>
      <c r="F165" s="55" t="s">
        <v>768</v>
      </c>
      <c r="G165" s="55" t="s">
        <v>1453</v>
      </c>
      <c r="H165" s="55">
        <v>86</v>
      </c>
      <c r="I165" s="57">
        <v>84</v>
      </c>
      <c r="J165" s="57" t="s">
        <v>484</v>
      </c>
    </row>
    <row r="166" spans="1:10" ht="15" customHeight="1" x14ac:dyDescent="0.25">
      <c r="A166" s="55" t="s">
        <v>1618</v>
      </c>
      <c r="B166" s="55" t="s">
        <v>591</v>
      </c>
      <c r="C166" s="55" t="s">
        <v>592</v>
      </c>
      <c r="D166" s="55" t="s">
        <v>1325</v>
      </c>
      <c r="E166" s="55" t="s">
        <v>1326</v>
      </c>
      <c r="F166" s="55" t="s">
        <v>768</v>
      </c>
      <c r="G166" s="55" t="s">
        <v>1453</v>
      </c>
      <c r="H166" s="55">
        <v>84</v>
      </c>
      <c r="I166" s="57">
        <v>82</v>
      </c>
      <c r="J166" s="57" t="s">
        <v>484</v>
      </c>
    </row>
    <row r="167" spans="1:10" ht="15" customHeight="1" x14ac:dyDescent="0.25">
      <c r="A167" s="55" t="s">
        <v>1619</v>
      </c>
      <c r="B167" s="55" t="s">
        <v>591</v>
      </c>
      <c r="C167" s="55" t="s">
        <v>592</v>
      </c>
      <c r="D167" s="55" t="s">
        <v>1361</v>
      </c>
      <c r="E167" s="55" t="s">
        <v>1362</v>
      </c>
      <c r="F167" s="55" t="s">
        <v>768</v>
      </c>
      <c r="G167" s="55" t="s">
        <v>1453</v>
      </c>
      <c r="H167" s="55">
        <v>82</v>
      </c>
      <c r="I167" s="57">
        <v>80</v>
      </c>
      <c r="J167" s="57" t="s">
        <v>484</v>
      </c>
    </row>
    <row r="168" spans="1:10" ht="15" customHeight="1" x14ac:dyDescent="0.25">
      <c r="A168" s="55" t="s">
        <v>1620</v>
      </c>
      <c r="B168" s="55" t="s">
        <v>598</v>
      </c>
      <c r="C168" s="55" t="s">
        <v>599</v>
      </c>
      <c r="D168" s="55" t="s">
        <v>1349</v>
      </c>
      <c r="E168" s="55" t="s">
        <v>1350</v>
      </c>
      <c r="F168" s="55" t="s">
        <v>768</v>
      </c>
      <c r="G168" s="55" t="s">
        <v>1453</v>
      </c>
      <c r="H168" s="55">
        <v>89</v>
      </c>
      <c r="I168" s="57">
        <v>92</v>
      </c>
      <c r="J168" s="57" t="s">
        <v>484</v>
      </c>
    </row>
    <row r="169" spans="1:10" ht="15" customHeight="1" x14ac:dyDescent="0.25">
      <c r="A169" s="55" t="s">
        <v>1621</v>
      </c>
      <c r="B169" s="55" t="s">
        <v>598</v>
      </c>
      <c r="C169" s="55" t="s">
        <v>599</v>
      </c>
      <c r="D169" s="55" t="s">
        <v>1353</v>
      </c>
      <c r="E169" s="55" t="s">
        <v>1354</v>
      </c>
      <c r="F169" s="55" t="s">
        <v>768</v>
      </c>
      <c r="G169" s="55" t="s">
        <v>1453</v>
      </c>
      <c r="H169" s="55">
        <v>87</v>
      </c>
      <c r="I169" s="57">
        <v>90</v>
      </c>
      <c r="J169" s="57" t="s">
        <v>484</v>
      </c>
    </row>
    <row r="170" spans="1:10" ht="15" customHeight="1" x14ac:dyDescent="0.25">
      <c r="A170" s="55" t="s">
        <v>1622</v>
      </c>
      <c r="B170" s="55" t="s">
        <v>604</v>
      </c>
      <c r="C170" s="55" t="s">
        <v>605</v>
      </c>
      <c r="D170" s="55" t="s">
        <v>1313</v>
      </c>
      <c r="E170" s="55" t="s">
        <v>1263</v>
      </c>
      <c r="F170" s="55" t="s">
        <v>768</v>
      </c>
      <c r="G170" s="55" t="s">
        <v>1453</v>
      </c>
      <c r="H170" s="55">
        <v>77</v>
      </c>
      <c r="I170" s="57">
        <v>75</v>
      </c>
      <c r="J170" s="57" t="s">
        <v>484</v>
      </c>
    </row>
    <row r="171" spans="1:10" ht="15" customHeight="1" x14ac:dyDescent="0.25">
      <c r="A171" s="55" t="s">
        <v>1623</v>
      </c>
      <c r="B171" s="55" t="s">
        <v>604</v>
      </c>
      <c r="C171" s="55" t="s">
        <v>605</v>
      </c>
      <c r="D171" s="55" t="s">
        <v>1316</v>
      </c>
      <c r="E171" s="55" t="s">
        <v>1184</v>
      </c>
      <c r="F171" s="55" t="s">
        <v>768</v>
      </c>
      <c r="G171" s="55" t="s">
        <v>1453</v>
      </c>
      <c r="H171" s="55">
        <v>75</v>
      </c>
      <c r="I171" s="57">
        <v>73</v>
      </c>
      <c r="J171" s="57" t="s">
        <v>484</v>
      </c>
    </row>
    <row r="172" spans="1:10" ht="15" customHeight="1" x14ac:dyDescent="0.25">
      <c r="A172" s="55" t="s">
        <v>1624</v>
      </c>
      <c r="B172" s="55" t="s">
        <v>604</v>
      </c>
      <c r="C172" s="55" t="s">
        <v>605</v>
      </c>
      <c r="D172" s="55" t="s">
        <v>1357</v>
      </c>
      <c r="E172" s="55" t="s">
        <v>1358</v>
      </c>
      <c r="F172" s="55" t="s">
        <v>768</v>
      </c>
      <c r="G172" s="55" t="s">
        <v>1453</v>
      </c>
      <c r="H172" s="55">
        <v>73</v>
      </c>
      <c r="I172" s="57">
        <v>71</v>
      </c>
      <c r="J172" s="57" t="s">
        <v>484</v>
      </c>
    </row>
    <row r="173" spans="1:10" ht="15" customHeight="1" x14ac:dyDescent="0.25">
      <c r="A173" s="55" t="s">
        <v>1625</v>
      </c>
      <c r="B173" s="55" t="s">
        <v>610</v>
      </c>
      <c r="C173" s="55" t="s">
        <v>611</v>
      </c>
      <c r="D173" s="55" t="s">
        <v>1338</v>
      </c>
      <c r="E173" s="55" t="s">
        <v>1339</v>
      </c>
      <c r="F173" s="55" t="s">
        <v>768</v>
      </c>
      <c r="G173" s="55" t="s">
        <v>1453</v>
      </c>
      <c r="H173" s="55">
        <v>91</v>
      </c>
      <c r="I173" s="57">
        <v>94</v>
      </c>
      <c r="J173" s="57" t="s">
        <v>484</v>
      </c>
    </row>
    <row r="174" spans="1:10" ht="15" customHeight="1" x14ac:dyDescent="0.25">
      <c r="A174" s="55" t="s">
        <v>1626</v>
      </c>
      <c r="B174" s="55" t="s">
        <v>610</v>
      </c>
      <c r="C174" s="55" t="s">
        <v>611</v>
      </c>
      <c r="D174" s="55" t="s">
        <v>1342</v>
      </c>
      <c r="E174" s="55" t="s">
        <v>1343</v>
      </c>
      <c r="F174" s="55" t="s">
        <v>768</v>
      </c>
      <c r="G174" s="55" t="s">
        <v>1453</v>
      </c>
      <c r="H174" s="55">
        <v>89</v>
      </c>
      <c r="I174" s="57">
        <v>92</v>
      </c>
      <c r="J174" s="57" t="s">
        <v>484</v>
      </c>
    </row>
    <row r="175" spans="1:10" ht="15" customHeight="1" x14ac:dyDescent="0.25">
      <c r="A175" s="55" t="s">
        <v>1627</v>
      </c>
      <c r="B175" s="55" t="s">
        <v>610</v>
      </c>
      <c r="C175" s="55" t="s">
        <v>611</v>
      </c>
      <c r="D175" s="55" t="s">
        <v>1345</v>
      </c>
      <c r="E175" s="55" t="s">
        <v>1346</v>
      </c>
      <c r="F175" s="55" t="s">
        <v>768</v>
      </c>
      <c r="G175" s="55" t="s">
        <v>1453</v>
      </c>
      <c r="H175" s="55">
        <v>87</v>
      </c>
      <c r="I175" s="57">
        <v>90</v>
      </c>
      <c r="J175" s="57" t="s">
        <v>484</v>
      </c>
    </row>
    <row r="176" spans="1:10" ht="15" customHeight="1" x14ac:dyDescent="0.25">
      <c r="A176" s="55" t="s">
        <v>1628</v>
      </c>
      <c r="B176" s="55" t="s">
        <v>616</v>
      </c>
      <c r="C176" s="55" t="s">
        <v>617</v>
      </c>
      <c r="D176" s="55" t="s">
        <v>1328</v>
      </c>
      <c r="E176" s="55" t="s">
        <v>1329</v>
      </c>
      <c r="F176" s="55" t="s">
        <v>768</v>
      </c>
      <c r="G176" s="55" t="s">
        <v>1453</v>
      </c>
      <c r="H176" s="55">
        <v>92</v>
      </c>
      <c r="I176" s="57">
        <v>95</v>
      </c>
      <c r="J176" s="57" t="s">
        <v>484</v>
      </c>
    </row>
    <row r="177" spans="1:10" ht="15" customHeight="1" x14ac:dyDescent="0.25">
      <c r="A177" s="55" t="s">
        <v>1629</v>
      </c>
      <c r="B177" s="55" t="s">
        <v>616</v>
      </c>
      <c r="C177" s="55" t="s">
        <v>617</v>
      </c>
      <c r="D177" s="55" t="s">
        <v>1332</v>
      </c>
      <c r="E177" s="55" t="s">
        <v>1333</v>
      </c>
      <c r="F177" s="55" t="s">
        <v>768</v>
      </c>
      <c r="G177" s="55" t="s">
        <v>1453</v>
      </c>
      <c r="H177" s="55">
        <v>90</v>
      </c>
      <c r="I177" s="57">
        <v>93</v>
      </c>
      <c r="J177" s="57" t="s">
        <v>484</v>
      </c>
    </row>
    <row r="178" spans="1:10" ht="15" customHeight="1" x14ac:dyDescent="0.25">
      <c r="A178" s="55" t="s">
        <v>1630</v>
      </c>
      <c r="B178" s="55" t="s">
        <v>616</v>
      </c>
      <c r="C178" s="55" t="s">
        <v>617</v>
      </c>
      <c r="D178" s="55" t="s">
        <v>1335</v>
      </c>
      <c r="E178" s="55" t="s">
        <v>1336</v>
      </c>
      <c r="F178" s="55" t="s">
        <v>768</v>
      </c>
      <c r="G178" s="55" t="s">
        <v>1453</v>
      </c>
      <c r="H178" s="55">
        <v>88</v>
      </c>
      <c r="I178" s="57">
        <v>91</v>
      </c>
      <c r="J178" s="57" t="s">
        <v>484</v>
      </c>
    </row>
    <row r="179" spans="1:10" ht="15" customHeight="1" x14ac:dyDescent="0.25">
      <c r="A179" s="55" t="s">
        <v>1631</v>
      </c>
      <c r="B179" s="55" t="s">
        <v>622</v>
      </c>
      <c r="C179" s="55" t="s">
        <v>623</v>
      </c>
      <c r="D179" s="55" t="s">
        <v>1322</v>
      </c>
      <c r="E179" s="55" t="s">
        <v>1323</v>
      </c>
      <c r="F179" s="55" t="s">
        <v>768</v>
      </c>
      <c r="G179" s="55" t="s">
        <v>1497</v>
      </c>
      <c r="H179" s="55">
        <v>83</v>
      </c>
      <c r="I179" s="57">
        <v>81</v>
      </c>
      <c r="J179" s="57" t="s">
        <v>484</v>
      </c>
    </row>
    <row r="180" spans="1:10" ht="15" customHeight="1" x14ac:dyDescent="0.25">
      <c r="A180" s="55" t="s">
        <v>1632</v>
      </c>
      <c r="B180" s="55" t="s">
        <v>622</v>
      </c>
      <c r="C180" s="55" t="s">
        <v>623</v>
      </c>
      <c r="D180" s="55" t="s">
        <v>1325</v>
      </c>
      <c r="E180" s="55" t="s">
        <v>1326</v>
      </c>
      <c r="F180" s="55" t="s">
        <v>768</v>
      </c>
      <c r="G180" s="55" t="s">
        <v>1497</v>
      </c>
      <c r="H180" s="55">
        <v>81</v>
      </c>
      <c r="I180" s="57">
        <v>79</v>
      </c>
      <c r="J180" s="57" t="s">
        <v>484</v>
      </c>
    </row>
    <row r="181" spans="1:10" ht="15" customHeight="1" x14ac:dyDescent="0.25">
      <c r="A181" s="55" t="s">
        <v>1633</v>
      </c>
      <c r="B181" s="55" t="s">
        <v>622</v>
      </c>
      <c r="C181" s="55" t="s">
        <v>623</v>
      </c>
      <c r="D181" s="55" t="s">
        <v>1361</v>
      </c>
      <c r="E181" s="55" t="s">
        <v>1362</v>
      </c>
      <c r="F181" s="55" t="s">
        <v>768</v>
      </c>
      <c r="G181" s="55" t="s">
        <v>1497</v>
      </c>
      <c r="H181" s="55">
        <v>79</v>
      </c>
      <c r="I181" s="57">
        <v>77</v>
      </c>
      <c r="J181" s="57" t="s">
        <v>484</v>
      </c>
    </row>
    <row r="182" spans="1:10" ht="15" customHeight="1" x14ac:dyDescent="0.25">
      <c r="A182" s="55" t="s">
        <v>1634</v>
      </c>
      <c r="B182" s="55" t="s">
        <v>627</v>
      </c>
      <c r="C182" s="55" t="s">
        <v>628</v>
      </c>
      <c r="D182" s="55" t="s">
        <v>1338</v>
      </c>
      <c r="E182" s="55" t="s">
        <v>1339</v>
      </c>
      <c r="F182" s="55" t="s">
        <v>768</v>
      </c>
      <c r="G182" s="55" t="s">
        <v>1453</v>
      </c>
      <c r="H182" s="55">
        <v>89</v>
      </c>
      <c r="I182" s="57">
        <v>92</v>
      </c>
      <c r="J182" s="57" t="s">
        <v>484</v>
      </c>
    </row>
    <row r="183" spans="1:10" ht="15" customHeight="1" x14ac:dyDescent="0.25">
      <c r="A183" s="55" t="s">
        <v>1635</v>
      </c>
      <c r="B183" s="55" t="s">
        <v>627</v>
      </c>
      <c r="C183" s="55" t="s">
        <v>628</v>
      </c>
      <c r="D183" s="55" t="s">
        <v>1342</v>
      </c>
      <c r="E183" s="55" t="s">
        <v>1343</v>
      </c>
      <c r="F183" s="55" t="s">
        <v>768</v>
      </c>
      <c r="G183" s="55" t="s">
        <v>1453</v>
      </c>
      <c r="H183" s="55">
        <v>87</v>
      </c>
      <c r="I183" s="57">
        <v>90</v>
      </c>
      <c r="J183" s="57" t="s">
        <v>484</v>
      </c>
    </row>
    <row r="184" spans="1:10" ht="15" customHeight="1" x14ac:dyDescent="0.25">
      <c r="A184" s="55" t="s">
        <v>1636</v>
      </c>
      <c r="B184" s="55" t="s">
        <v>627</v>
      </c>
      <c r="C184" s="55" t="s">
        <v>628</v>
      </c>
      <c r="D184" s="55" t="s">
        <v>1345</v>
      </c>
      <c r="E184" s="55" t="s">
        <v>1346</v>
      </c>
      <c r="F184" s="55" t="s">
        <v>768</v>
      </c>
      <c r="G184" s="55" t="s">
        <v>1453</v>
      </c>
      <c r="H184" s="55">
        <v>85</v>
      </c>
      <c r="I184" s="57">
        <v>88</v>
      </c>
      <c r="J184" s="57" t="s">
        <v>484</v>
      </c>
    </row>
    <row r="185" spans="1:10" ht="15" customHeight="1" x14ac:dyDescent="0.25">
      <c r="A185" s="55" t="s">
        <v>1637</v>
      </c>
      <c r="B185" s="55" t="s">
        <v>632</v>
      </c>
      <c r="C185" s="55" t="s">
        <v>633</v>
      </c>
      <c r="D185" s="55" t="s">
        <v>1313</v>
      </c>
      <c r="E185" s="55" t="s">
        <v>1263</v>
      </c>
      <c r="F185" s="55" t="s">
        <v>768</v>
      </c>
      <c r="G185" s="55" t="s">
        <v>1453</v>
      </c>
      <c r="H185" s="55">
        <v>91</v>
      </c>
      <c r="I185" s="57">
        <v>94</v>
      </c>
      <c r="J185" s="57" t="s">
        <v>484</v>
      </c>
    </row>
    <row r="186" spans="1:10" ht="15" customHeight="1" x14ac:dyDescent="0.25">
      <c r="A186" s="55" t="s">
        <v>1638</v>
      </c>
      <c r="B186" s="55" t="s">
        <v>632</v>
      </c>
      <c r="C186" s="55" t="s">
        <v>633</v>
      </c>
      <c r="D186" s="55" t="s">
        <v>1316</v>
      </c>
      <c r="E186" s="55" t="s">
        <v>1184</v>
      </c>
      <c r="F186" s="55" t="s">
        <v>768</v>
      </c>
      <c r="G186" s="55" t="s">
        <v>1453</v>
      </c>
      <c r="H186" s="55">
        <v>89</v>
      </c>
      <c r="I186" s="57">
        <v>92</v>
      </c>
      <c r="J186" s="57" t="s">
        <v>484</v>
      </c>
    </row>
    <row r="187" spans="1:10" ht="15" customHeight="1" x14ac:dyDescent="0.25">
      <c r="A187" s="55" t="s">
        <v>1639</v>
      </c>
      <c r="B187" s="55" t="s">
        <v>632</v>
      </c>
      <c r="C187" s="55" t="s">
        <v>633</v>
      </c>
      <c r="D187" s="55" t="s">
        <v>1357</v>
      </c>
      <c r="E187" s="55" t="s">
        <v>1358</v>
      </c>
      <c r="F187" s="55" t="s">
        <v>768</v>
      </c>
      <c r="G187" s="55" t="s">
        <v>1453</v>
      </c>
      <c r="H187" s="55">
        <v>87</v>
      </c>
      <c r="I187" s="57">
        <v>90</v>
      </c>
      <c r="J187" s="57" t="s">
        <v>484</v>
      </c>
    </row>
    <row r="188" spans="1:10" ht="15" customHeight="1" x14ac:dyDescent="0.25">
      <c r="A188" s="55" t="s">
        <v>1640</v>
      </c>
      <c r="B188" s="55" t="s">
        <v>637</v>
      </c>
      <c r="C188" s="55" t="s">
        <v>638</v>
      </c>
      <c r="D188" s="55" t="s">
        <v>1364</v>
      </c>
      <c r="E188" s="55" t="s">
        <v>1270</v>
      </c>
      <c r="F188" s="55" t="s">
        <v>768</v>
      </c>
      <c r="G188" s="55" t="s">
        <v>1453</v>
      </c>
      <c r="H188" s="55">
        <v>92</v>
      </c>
      <c r="I188" s="57">
        <v>95</v>
      </c>
      <c r="J188" s="57" t="s">
        <v>484</v>
      </c>
    </row>
    <row r="189" spans="1:10" ht="15" customHeight="1" x14ac:dyDescent="0.25">
      <c r="A189" s="55" t="s">
        <v>1641</v>
      </c>
      <c r="B189" s="55" t="s">
        <v>637</v>
      </c>
      <c r="C189" s="55" t="s">
        <v>638</v>
      </c>
      <c r="D189" s="55" t="s">
        <v>1373</v>
      </c>
      <c r="E189" s="55" t="s">
        <v>1374</v>
      </c>
      <c r="F189" s="55" t="s">
        <v>768</v>
      </c>
      <c r="G189" s="55" t="s">
        <v>1453</v>
      </c>
      <c r="H189" s="55">
        <v>90</v>
      </c>
      <c r="I189" s="57">
        <v>93</v>
      </c>
      <c r="J189" s="57" t="s">
        <v>484</v>
      </c>
    </row>
    <row r="190" spans="1:10" ht="15" customHeight="1" x14ac:dyDescent="0.25">
      <c r="A190" s="55" t="s">
        <v>1642</v>
      </c>
      <c r="B190" s="55" t="s">
        <v>645</v>
      </c>
      <c r="C190" s="55" t="s">
        <v>646</v>
      </c>
      <c r="D190" s="55" t="s">
        <v>1364</v>
      </c>
      <c r="E190" s="55" t="s">
        <v>1270</v>
      </c>
      <c r="F190" s="55" t="s">
        <v>768</v>
      </c>
      <c r="G190" s="55" t="s">
        <v>1453</v>
      </c>
      <c r="H190" s="55">
        <v>88</v>
      </c>
      <c r="I190" s="57">
        <v>91</v>
      </c>
      <c r="J190" s="57" t="s">
        <v>484</v>
      </c>
    </row>
    <row r="191" spans="1:10" ht="15" customHeight="1" x14ac:dyDescent="0.25">
      <c r="A191" s="55" t="s">
        <v>1643</v>
      </c>
      <c r="B191" s="55" t="s">
        <v>645</v>
      </c>
      <c r="C191" s="55" t="s">
        <v>646</v>
      </c>
      <c r="D191" s="55" t="s">
        <v>1370</v>
      </c>
      <c r="E191" s="55" t="s">
        <v>1371</v>
      </c>
      <c r="F191" s="55" t="s">
        <v>768</v>
      </c>
      <c r="G191" s="55" t="s">
        <v>1453</v>
      </c>
      <c r="H191" s="55">
        <v>86</v>
      </c>
      <c r="I191" s="57">
        <v>89</v>
      </c>
      <c r="J191" s="57" t="s">
        <v>484</v>
      </c>
    </row>
    <row r="192" spans="1:10" ht="15" customHeight="1" x14ac:dyDescent="0.25">
      <c r="A192" s="55" t="s">
        <v>1644</v>
      </c>
      <c r="B192" s="55" t="s">
        <v>653</v>
      </c>
      <c r="C192" s="55" t="s">
        <v>654</v>
      </c>
      <c r="D192" s="55" t="s">
        <v>1364</v>
      </c>
      <c r="E192" s="55" t="s">
        <v>1270</v>
      </c>
      <c r="F192" s="55" t="s">
        <v>768</v>
      </c>
      <c r="G192" s="55" t="s">
        <v>107</v>
      </c>
      <c r="H192" s="55">
        <v>91</v>
      </c>
      <c r="I192" s="57">
        <v>94</v>
      </c>
      <c r="J192" s="57" t="s">
        <v>484</v>
      </c>
    </row>
    <row r="193" spans="1:10" ht="15" customHeight="1" x14ac:dyDescent="0.25">
      <c r="A193" s="55" t="s">
        <v>1645</v>
      </c>
      <c r="B193" s="55" t="s">
        <v>653</v>
      </c>
      <c r="C193" s="55" t="s">
        <v>654</v>
      </c>
      <c r="D193" s="55" t="s">
        <v>1366</v>
      </c>
      <c r="E193" s="55" t="s">
        <v>1276</v>
      </c>
      <c r="F193" s="55" t="s">
        <v>768</v>
      </c>
      <c r="G193" s="55" t="s">
        <v>107</v>
      </c>
      <c r="H193" s="55">
        <v>89</v>
      </c>
      <c r="I193" s="57">
        <v>92</v>
      </c>
      <c r="J193" s="57" t="s">
        <v>484</v>
      </c>
    </row>
    <row r="194" spans="1:10" ht="15" customHeight="1" x14ac:dyDescent="0.25">
      <c r="A194" s="55" t="s">
        <v>1646</v>
      </c>
      <c r="B194" s="55" t="s">
        <v>661</v>
      </c>
      <c r="C194" s="55" t="s">
        <v>662</v>
      </c>
      <c r="D194" s="55" t="s">
        <v>1364</v>
      </c>
      <c r="E194" s="55" t="s">
        <v>1270</v>
      </c>
      <c r="F194" s="55" t="s">
        <v>768</v>
      </c>
      <c r="G194" s="55" t="s">
        <v>1453</v>
      </c>
      <c r="H194" s="55">
        <v>83</v>
      </c>
      <c r="I194" s="57">
        <v>81</v>
      </c>
      <c r="J194" s="57" t="s">
        <v>484</v>
      </c>
    </row>
    <row r="195" spans="1:10" ht="15" customHeight="1" x14ac:dyDescent="0.25">
      <c r="A195" s="55" t="s">
        <v>1647</v>
      </c>
      <c r="B195" s="55" t="s">
        <v>661</v>
      </c>
      <c r="C195" s="55" t="s">
        <v>662</v>
      </c>
      <c r="D195" s="55" t="s">
        <v>1366</v>
      </c>
      <c r="E195" s="55" t="s">
        <v>1276</v>
      </c>
      <c r="F195" s="55" t="s">
        <v>768</v>
      </c>
      <c r="G195" s="55" t="s">
        <v>1453</v>
      </c>
      <c r="H195" s="55">
        <v>81</v>
      </c>
      <c r="I195" s="57">
        <v>79</v>
      </c>
      <c r="J195" s="57" t="s">
        <v>484</v>
      </c>
    </row>
    <row r="196" spans="1:10" ht="15" customHeight="1" x14ac:dyDescent="0.25">
      <c r="A196" s="55" t="s">
        <v>1648</v>
      </c>
      <c r="B196" s="55" t="s">
        <v>670</v>
      </c>
      <c r="C196" s="55" t="s">
        <v>671</v>
      </c>
      <c r="D196" s="55" t="s">
        <v>1364</v>
      </c>
      <c r="E196" s="55" t="s">
        <v>1270</v>
      </c>
      <c r="F196" s="55" t="s">
        <v>768</v>
      </c>
      <c r="G196" s="55" t="s">
        <v>1453</v>
      </c>
      <c r="H196" s="55">
        <v>91</v>
      </c>
      <c r="I196" s="57">
        <v>94</v>
      </c>
      <c r="J196" s="57" t="s">
        <v>484</v>
      </c>
    </row>
    <row r="197" spans="1:10" ht="15" customHeight="1" x14ac:dyDescent="0.25">
      <c r="A197" s="55" t="s">
        <v>1649</v>
      </c>
      <c r="B197" s="55" t="s">
        <v>670</v>
      </c>
      <c r="C197" s="55" t="s">
        <v>671</v>
      </c>
      <c r="D197" s="55" t="s">
        <v>1373</v>
      </c>
      <c r="E197" s="55" t="s">
        <v>1374</v>
      </c>
      <c r="F197" s="55" t="s">
        <v>768</v>
      </c>
      <c r="G197" s="55" t="s">
        <v>1453</v>
      </c>
      <c r="H197" s="55">
        <v>89</v>
      </c>
      <c r="I197" s="57">
        <v>92</v>
      </c>
      <c r="J197" s="57" t="s">
        <v>484</v>
      </c>
    </row>
    <row r="198" spans="1:10" ht="15" customHeight="1" x14ac:dyDescent="0.25">
      <c r="A198" s="55" t="s">
        <v>1650</v>
      </c>
      <c r="B198" s="55" t="s">
        <v>678</v>
      </c>
      <c r="C198" s="55" t="s">
        <v>679</v>
      </c>
      <c r="D198" s="55" t="s">
        <v>1364</v>
      </c>
      <c r="E198" s="55" t="s">
        <v>1270</v>
      </c>
      <c r="F198" s="55" t="s">
        <v>768</v>
      </c>
      <c r="G198" s="55" t="s">
        <v>1453</v>
      </c>
      <c r="H198" s="55">
        <v>87</v>
      </c>
      <c r="I198" s="57">
        <v>85</v>
      </c>
      <c r="J198" s="57" t="s">
        <v>484</v>
      </c>
    </row>
    <row r="199" spans="1:10" ht="15" customHeight="1" x14ac:dyDescent="0.25">
      <c r="A199" s="55" t="s">
        <v>1651</v>
      </c>
      <c r="B199" s="55" t="s">
        <v>678</v>
      </c>
      <c r="C199" s="55" t="s">
        <v>679</v>
      </c>
      <c r="D199" s="55" t="s">
        <v>1370</v>
      </c>
      <c r="E199" s="55" t="s">
        <v>1371</v>
      </c>
      <c r="F199" s="55" t="s">
        <v>768</v>
      </c>
      <c r="G199" s="55" t="s">
        <v>1453</v>
      </c>
      <c r="H199" s="55">
        <v>85</v>
      </c>
      <c r="I199" s="57">
        <v>83</v>
      </c>
      <c r="J199" s="57" t="s">
        <v>484</v>
      </c>
    </row>
    <row r="200" spans="1:10" ht="15" customHeight="1" x14ac:dyDescent="0.25">
      <c r="A200" s="55" t="s">
        <v>1652</v>
      </c>
      <c r="B200" s="55" t="s">
        <v>685</v>
      </c>
      <c r="C200" s="55" t="s">
        <v>686</v>
      </c>
      <c r="D200" s="55" t="s">
        <v>1368</v>
      </c>
      <c r="E200" s="55" t="s">
        <v>1279</v>
      </c>
      <c r="F200" s="55" t="s">
        <v>768</v>
      </c>
      <c r="G200" s="55" t="s">
        <v>1453</v>
      </c>
      <c r="H200" s="55">
        <v>93</v>
      </c>
      <c r="I200" s="57">
        <v>96</v>
      </c>
      <c r="J200" s="57" t="s">
        <v>484</v>
      </c>
    </row>
    <row r="201" spans="1:10" ht="15" customHeight="1" x14ac:dyDescent="0.25">
      <c r="A201" s="55" t="s">
        <v>1653</v>
      </c>
      <c r="B201" s="55" t="s">
        <v>697</v>
      </c>
      <c r="C201" s="55" t="s">
        <v>698</v>
      </c>
      <c r="D201" s="55" t="s">
        <v>1368</v>
      </c>
      <c r="E201" s="55" t="s">
        <v>1279</v>
      </c>
      <c r="F201" s="55" t="s">
        <v>768</v>
      </c>
      <c r="G201" s="55" t="s">
        <v>1453</v>
      </c>
      <c r="H201" s="55">
        <v>90</v>
      </c>
      <c r="I201" s="57">
        <v>93</v>
      </c>
      <c r="J201" s="57" t="s">
        <v>484</v>
      </c>
    </row>
    <row r="202" spans="1:10" ht="15" customHeight="1" x14ac:dyDescent="0.25">
      <c r="A202" s="55" t="s">
        <v>1654</v>
      </c>
      <c r="B202" s="55" t="s">
        <v>708</v>
      </c>
      <c r="C202" s="55" t="s">
        <v>709</v>
      </c>
      <c r="D202" s="55" t="s">
        <v>1368</v>
      </c>
      <c r="E202" s="55" t="s">
        <v>1279</v>
      </c>
      <c r="F202" s="55" t="s">
        <v>768</v>
      </c>
      <c r="G202" s="55" t="s">
        <v>1453</v>
      </c>
      <c r="H202" s="55">
        <v>90</v>
      </c>
      <c r="I202" s="57">
        <v>93</v>
      </c>
      <c r="J202" s="57" t="s">
        <v>484</v>
      </c>
    </row>
    <row r="203" spans="1:10" ht="15" customHeight="1" x14ac:dyDescent="0.25">
      <c r="A203" s="55" t="s">
        <v>1655</v>
      </c>
      <c r="B203" s="55" t="s">
        <v>718</v>
      </c>
      <c r="C203" s="55" t="s">
        <v>719</v>
      </c>
      <c r="D203" s="55" t="s">
        <v>1368</v>
      </c>
      <c r="E203" s="55" t="s">
        <v>1279</v>
      </c>
      <c r="F203" s="55" t="s">
        <v>768</v>
      </c>
      <c r="G203" s="55" t="s">
        <v>1497</v>
      </c>
      <c r="H203" s="55">
        <v>88</v>
      </c>
      <c r="I203" s="57">
        <v>86</v>
      </c>
      <c r="J203" s="57" t="s">
        <v>484</v>
      </c>
    </row>
    <row r="204" spans="1:10" ht="15" customHeight="1" x14ac:dyDescent="0.25">
      <c r="A204" s="55" t="s">
        <v>1656</v>
      </c>
      <c r="B204" s="55" t="s">
        <v>725</v>
      </c>
      <c r="C204" s="55" t="s">
        <v>726</v>
      </c>
      <c r="D204" s="55" t="s">
        <v>1368</v>
      </c>
      <c r="E204" s="55" t="s">
        <v>1279</v>
      </c>
      <c r="F204" s="55" t="s">
        <v>768</v>
      </c>
      <c r="G204" s="55" t="s">
        <v>107</v>
      </c>
      <c r="H204" s="55">
        <v>94</v>
      </c>
      <c r="I204" s="57">
        <v>97</v>
      </c>
      <c r="J204" s="57" t="s">
        <v>484</v>
      </c>
    </row>
    <row r="205" spans="1:10" ht="15" customHeight="1" x14ac:dyDescent="0.25">
      <c r="A205" s="55" t="s">
        <v>1657</v>
      </c>
      <c r="B205" s="55" t="s">
        <v>734</v>
      </c>
      <c r="C205" s="55" t="s">
        <v>735</v>
      </c>
      <c r="D205" s="55" t="s">
        <v>1368</v>
      </c>
      <c r="E205" s="55" t="s">
        <v>1279</v>
      </c>
      <c r="F205" s="55" t="s">
        <v>768</v>
      </c>
      <c r="G205" s="55" t="s">
        <v>1453</v>
      </c>
      <c r="H205" s="55">
        <v>90</v>
      </c>
      <c r="I205" s="57">
        <v>93</v>
      </c>
      <c r="J205" s="57" t="s">
        <v>484</v>
      </c>
    </row>
    <row r="206" spans="1:10" ht="15" customHeight="1" x14ac:dyDescent="0.25">
      <c r="A206" s="55" t="s">
        <v>1658</v>
      </c>
      <c r="B206" s="55" t="s">
        <v>734</v>
      </c>
      <c r="C206" s="55" t="s">
        <v>735</v>
      </c>
      <c r="D206" s="55" t="s">
        <v>1364</v>
      </c>
      <c r="E206" s="55" t="s">
        <v>1270</v>
      </c>
      <c r="F206" s="55" t="s">
        <v>768</v>
      </c>
      <c r="G206" s="55" t="s">
        <v>1453</v>
      </c>
      <c r="H206" s="55">
        <v>88</v>
      </c>
      <c r="I206" s="57">
        <v>91</v>
      </c>
      <c r="J206" s="57" t="s">
        <v>484</v>
      </c>
    </row>
    <row r="207" spans="1:10" ht="15" customHeight="1" x14ac:dyDescent="0.25">
      <c r="A207" s="55" t="s">
        <v>1659</v>
      </c>
      <c r="B207" s="55" t="s">
        <v>742</v>
      </c>
      <c r="C207" s="55" t="s">
        <v>743</v>
      </c>
      <c r="D207" s="55" t="s">
        <v>1376</v>
      </c>
      <c r="E207" s="55" t="s">
        <v>1305</v>
      </c>
      <c r="F207" s="55" t="s">
        <v>768</v>
      </c>
      <c r="G207" s="55" t="s">
        <v>1453</v>
      </c>
      <c r="H207" s="55">
        <v>93</v>
      </c>
      <c r="I207" s="57">
        <v>96</v>
      </c>
      <c r="J207" s="57" t="s">
        <v>484</v>
      </c>
    </row>
    <row r="208" spans="1:10" ht="15" customHeight="1" x14ac:dyDescent="0.25">
      <c r="A208" s="55" t="s">
        <v>1660</v>
      </c>
      <c r="B208" s="55" t="s">
        <v>742</v>
      </c>
      <c r="C208" s="55" t="s">
        <v>743</v>
      </c>
      <c r="D208" s="55" t="s">
        <v>1378</v>
      </c>
      <c r="E208" s="55" t="s">
        <v>1308</v>
      </c>
      <c r="F208" s="55" t="s">
        <v>768</v>
      </c>
      <c r="G208" s="55" t="s">
        <v>1453</v>
      </c>
      <c r="H208" s="55">
        <v>91</v>
      </c>
      <c r="I208" s="57">
        <v>94</v>
      </c>
      <c r="J208" s="57" t="s">
        <v>484</v>
      </c>
    </row>
    <row r="209" spans="1:10" ht="15" customHeight="1" x14ac:dyDescent="0.25">
      <c r="A209" s="55" t="s">
        <v>1661</v>
      </c>
      <c r="B209" s="55" t="s">
        <v>753</v>
      </c>
      <c r="C209" s="55" t="s">
        <v>754</v>
      </c>
      <c r="D209" s="55" t="s">
        <v>1376</v>
      </c>
      <c r="E209" s="55" t="s">
        <v>1305</v>
      </c>
      <c r="F209" s="55" t="s">
        <v>768</v>
      </c>
      <c r="G209" s="55" t="s">
        <v>1453</v>
      </c>
      <c r="H209" s="55">
        <v>92</v>
      </c>
      <c r="I209" s="57">
        <v>95</v>
      </c>
      <c r="J209" s="57" t="s">
        <v>484</v>
      </c>
    </row>
    <row r="210" spans="1:10" ht="15" customHeight="1" x14ac:dyDescent="0.25">
      <c r="A210" s="55" t="s">
        <v>1662</v>
      </c>
      <c r="B210" s="55" t="s">
        <v>753</v>
      </c>
      <c r="C210" s="55" t="s">
        <v>754</v>
      </c>
      <c r="D210" s="55" t="s">
        <v>1378</v>
      </c>
      <c r="E210" s="55" t="s">
        <v>1308</v>
      </c>
      <c r="F210" s="55" t="s">
        <v>768</v>
      </c>
      <c r="G210" s="55" t="s">
        <v>1453</v>
      </c>
      <c r="H210" s="55">
        <v>90</v>
      </c>
      <c r="I210" s="57">
        <v>93</v>
      </c>
      <c r="J210" s="57" t="s">
        <v>484</v>
      </c>
    </row>
    <row r="211" spans="1:10" ht="15" customHeight="1" x14ac:dyDescent="0.25">
      <c r="A211" s="55" t="s">
        <v>1663</v>
      </c>
      <c r="B211" s="55" t="s">
        <v>763</v>
      </c>
      <c r="C211" s="55" t="s">
        <v>764</v>
      </c>
      <c r="D211" s="55" t="s">
        <v>1376</v>
      </c>
      <c r="E211" s="55" t="s">
        <v>1305</v>
      </c>
      <c r="F211" s="55" t="s">
        <v>768</v>
      </c>
      <c r="G211" s="55" t="s">
        <v>1453</v>
      </c>
      <c r="H211" s="55">
        <v>90</v>
      </c>
      <c r="I211" s="57">
        <v>93</v>
      </c>
      <c r="J211" s="57" t="s">
        <v>484</v>
      </c>
    </row>
    <row r="212" spans="1:10" ht="15" customHeight="1" x14ac:dyDescent="0.25">
      <c r="A212" s="55" t="s">
        <v>1664</v>
      </c>
      <c r="B212" s="55" t="s">
        <v>773</v>
      </c>
      <c r="C212" s="55" t="s">
        <v>774</v>
      </c>
      <c r="D212" s="55" t="s">
        <v>1376</v>
      </c>
      <c r="E212" s="55" t="s">
        <v>1305</v>
      </c>
      <c r="F212" s="55" t="s">
        <v>768</v>
      </c>
      <c r="G212" s="55" t="s">
        <v>1453</v>
      </c>
      <c r="H212" s="55">
        <v>89</v>
      </c>
      <c r="I212" s="57">
        <v>92</v>
      </c>
      <c r="J212" s="57" t="s">
        <v>484</v>
      </c>
    </row>
    <row r="213" spans="1:10" ht="15" customHeight="1" x14ac:dyDescent="0.25">
      <c r="A213" s="55" t="s">
        <v>1665</v>
      </c>
      <c r="B213" s="55" t="s">
        <v>773</v>
      </c>
      <c r="C213" s="55" t="s">
        <v>774</v>
      </c>
      <c r="D213" s="55" t="s">
        <v>1378</v>
      </c>
      <c r="E213" s="55" t="s">
        <v>1308</v>
      </c>
      <c r="F213" s="55" t="s">
        <v>768</v>
      </c>
      <c r="G213" s="55" t="s">
        <v>1453</v>
      </c>
      <c r="H213" s="55">
        <v>87</v>
      </c>
      <c r="I213" s="57">
        <v>90</v>
      </c>
      <c r="J213" s="57" t="s">
        <v>484</v>
      </c>
    </row>
    <row r="214" spans="1:10" ht="15" customHeight="1" x14ac:dyDescent="0.25">
      <c r="A214" s="55" t="s">
        <v>1666</v>
      </c>
      <c r="B214" s="55" t="s">
        <v>782</v>
      </c>
      <c r="C214" s="55" t="s">
        <v>783</v>
      </c>
      <c r="D214" s="55" t="s">
        <v>1380</v>
      </c>
      <c r="E214" s="55" t="s">
        <v>1381</v>
      </c>
      <c r="F214" s="55" t="s">
        <v>768</v>
      </c>
      <c r="G214" s="55" t="s">
        <v>1453</v>
      </c>
      <c r="H214" s="55">
        <v>89</v>
      </c>
      <c r="I214" s="57">
        <v>92</v>
      </c>
      <c r="J214" s="57" t="s">
        <v>786</v>
      </c>
    </row>
    <row r="215" spans="1:10" ht="15" customHeight="1" x14ac:dyDescent="0.25">
      <c r="A215" s="55" t="s">
        <v>1667</v>
      </c>
      <c r="B215" s="55" t="s">
        <v>782</v>
      </c>
      <c r="C215" s="55" t="s">
        <v>783</v>
      </c>
      <c r="D215" s="55" t="s">
        <v>1383</v>
      </c>
      <c r="E215" s="55" t="s">
        <v>1225</v>
      </c>
      <c r="F215" s="55" t="s">
        <v>768</v>
      </c>
      <c r="G215" s="55" t="s">
        <v>1453</v>
      </c>
      <c r="H215" s="55">
        <v>87</v>
      </c>
      <c r="I215" s="57">
        <v>90</v>
      </c>
      <c r="J215" s="57" t="s">
        <v>786</v>
      </c>
    </row>
    <row r="216" spans="1:10" ht="15" customHeight="1" x14ac:dyDescent="0.25">
      <c r="A216" s="55" t="s">
        <v>1668</v>
      </c>
      <c r="B216" s="55" t="s">
        <v>787</v>
      </c>
      <c r="C216" s="55" t="s">
        <v>788</v>
      </c>
      <c r="D216" s="55" t="s">
        <v>1386</v>
      </c>
      <c r="E216" s="55" t="s">
        <v>1387</v>
      </c>
      <c r="F216" s="55" t="s">
        <v>768</v>
      </c>
      <c r="G216" s="55" t="s">
        <v>1453</v>
      </c>
      <c r="H216" s="55">
        <v>86</v>
      </c>
      <c r="I216" s="57">
        <v>84</v>
      </c>
      <c r="J216" s="57" t="s">
        <v>786</v>
      </c>
    </row>
    <row r="217" spans="1:10" ht="15" customHeight="1" x14ac:dyDescent="0.25">
      <c r="A217" s="55" t="s">
        <v>1669</v>
      </c>
      <c r="B217" s="55" t="s">
        <v>787</v>
      </c>
      <c r="C217" s="55" t="s">
        <v>788</v>
      </c>
      <c r="D217" s="55" t="s">
        <v>1389</v>
      </c>
      <c r="E217" s="55" t="s">
        <v>1390</v>
      </c>
      <c r="F217" s="55" t="s">
        <v>768</v>
      </c>
      <c r="G217" s="55" t="s">
        <v>1453</v>
      </c>
      <c r="H217" s="55">
        <v>84</v>
      </c>
      <c r="I217" s="57">
        <v>82</v>
      </c>
      <c r="J217" s="57" t="s">
        <v>786</v>
      </c>
    </row>
    <row r="218" spans="1:10" ht="15" customHeight="1" x14ac:dyDescent="0.25">
      <c r="A218" s="55" t="s">
        <v>1670</v>
      </c>
      <c r="B218" s="55" t="s">
        <v>794</v>
      </c>
      <c r="C218" s="55" t="s">
        <v>795</v>
      </c>
      <c r="D218" s="55" t="s">
        <v>1393</v>
      </c>
      <c r="E218" s="55" t="s">
        <v>1394</v>
      </c>
      <c r="F218" s="55" t="s">
        <v>768</v>
      </c>
      <c r="G218" s="55" t="s">
        <v>1453</v>
      </c>
      <c r="H218" s="55">
        <v>90</v>
      </c>
      <c r="I218" s="57">
        <v>93</v>
      </c>
      <c r="J218" s="57" t="s">
        <v>786</v>
      </c>
    </row>
    <row r="219" spans="1:10" ht="15" customHeight="1" x14ac:dyDescent="0.25">
      <c r="A219" s="55" t="s">
        <v>1671</v>
      </c>
      <c r="B219" s="55" t="s">
        <v>794</v>
      </c>
      <c r="C219" s="55" t="s">
        <v>795</v>
      </c>
      <c r="D219" s="55" t="s">
        <v>1396</v>
      </c>
      <c r="E219" s="55" t="s">
        <v>1397</v>
      </c>
      <c r="F219" s="55" t="s">
        <v>768</v>
      </c>
      <c r="G219" s="55" t="s">
        <v>1453</v>
      </c>
      <c r="H219" s="55">
        <v>88</v>
      </c>
      <c r="I219" s="57">
        <v>91</v>
      </c>
      <c r="J219" s="57" t="s">
        <v>786</v>
      </c>
    </row>
    <row r="220" spans="1:10" ht="15" customHeight="1" x14ac:dyDescent="0.25">
      <c r="A220" s="55" t="s">
        <v>1672</v>
      </c>
      <c r="B220" s="55" t="s">
        <v>803</v>
      </c>
      <c r="C220" s="55" t="s">
        <v>804</v>
      </c>
      <c r="D220" s="55" t="s">
        <v>1407</v>
      </c>
      <c r="E220" s="55" t="s">
        <v>1184</v>
      </c>
      <c r="F220" s="55" t="s">
        <v>768</v>
      </c>
      <c r="G220" s="55" t="s">
        <v>107</v>
      </c>
      <c r="H220" s="55">
        <v>94</v>
      </c>
      <c r="I220" s="57">
        <v>97</v>
      </c>
      <c r="J220" s="57" t="s">
        <v>786</v>
      </c>
    </row>
    <row r="221" spans="1:10" ht="15" customHeight="1" x14ac:dyDescent="0.25">
      <c r="A221" s="55" t="s">
        <v>1673</v>
      </c>
      <c r="B221" s="55" t="s">
        <v>803</v>
      </c>
      <c r="C221" s="55" t="s">
        <v>804</v>
      </c>
      <c r="D221" s="55" t="s">
        <v>1409</v>
      </c>
      <c r="E221" s="55" t="s">
        <v>1410</v>
      </c>
      <c r="F221" s="55" t="s">
        <v>768</v>
      </c>
      <c r="G221" s="55" t="s">
        <v>107</v>
      </c>
      <c r="H221" s="55">
        <v>92</v>
      </c>
      <c r="I221" s="57">
        <v>95</v>
      </c>
      <c r="J221" s="57" t="s">
        <v>786</v>
      </c>
    </row>
    <row r="222" spans="1:10" ht="15" customHeight="1" x14ac:dyDescent="0.25">
      <c r="A222" s="55" t="s">
        <v>1674</v>
      </c>
      <c r="B222" s="55" t="s">
        <v>809</v>
      </c>
      <c r="C222" s="55" t="s">
        <v>810</v>
      </c>
      <c r="D222" s="55" t="s">
        <v>1399</v>
      </c>
      <c r="E222" s="55" t="s">
        <v>1400</v>
      </c>
      <c r="F222" s="55" t="s">
        <v>768</v>
      </c>
      <c r="G222" s="55" t="s">
        <v>1453</v>
      </c>
      <c r="H222" s="55">
        <v>78</v>
      </c>
      <c r="I222" s="57">
        <v>76</v>
      </c>
      <c r="J222" s="57" t="s">
        <v>786</v>
      </c>
    </row>
    <row r="223" spans="1:10" ht="15" customHeight="1" x14ac:dyDescent="0.25">
      <c r="A223" s="55" t="s">
        <v>1675</v>
      </c>
      <c r="B223" s="55" t="s">
        <v>809</v>
      </c>
      <c r="C223" s="55" t="s">
        <v>810</v>
      </c>
      <c r="D223" s="55" t="s">
        <v>1403</v>
      </c>
      <c r="E223" s="55" t="s">
        <v>1404</v>
      </c>
      <c r="F223" s="55" t="s">
        <v>768</v>
      </c>
      <c r="G223" s="55" t="s">
        <v>1453</v>
      </c>
      <c r="H223" s="55">
        <v>76</v>
      </c>
      <c r="I223" s="57">
        <v>74</v>
      </c>
      <c r="J223" s="57" t="s">
        <v>786</v>
      </c>
    </row>
    <row r="224" spans="1:10" ht="15" customHeight="1" x14ac:dyDescent="0.25">
      <c r="A224" s="55" t="s">
        <v>1676</v>
      </c>
      <c r="B224" s="55" t="s">
        <v>809</v>
      </c>
      <c r="C224" s="55" t="s">
        <v>810</v>
      </c>
      <c r="D224" s="55" t="s">
        <v>1431</v>
      </c>
      <c r="E224" s="55" t="s">
        <v>1266</v>
      </c>
      <c r="F224" s="55" t="s">
        <v>768</v>
      </c>
      <c r="G224" s="55" t="s">
        <v>1453</v>
      </c>
      <c r="H224" s="55">
        <v>74</v>
      </c>
      <c r="I224" s="57">
        <v>72</v>
      </c>
      <c r="J224" s="57" t="s">
        <v>786</v>
      </c>
    </row>
    <row r="225" spans="1:10" ht="15" customHeight="1" x14ac:dyDescent="0.25">
      <c r="A225" s="55" t="s">
        <v>1677</v>
      </c>
      <c r="B225" s="55" t="s">
        <v>814</v>
      </c>
      <c r="C225" s="55" t="s">
        <v>815</v>
      </c>
      <c r="D225" s="55" t="s">
        <v>1420</v>
      </c>
      <c r="E225" s="55" t="s">
        <v>1421</v>
      </c>
      <c r="F225" s="55" t="s">
        <v>768</v>
      </c>
      <c r="G225" s="55" t="s">
        <v>1453</v>
      </c>
      <c r="H225" s="55">
        <v>87</v>
      </c>
      <c r="I225" s="57">
        <v>85</v>
      </c>
      <c r="J225" s="57" t="s">
        <v>786</v>
      </c>
    </row>
    <row r="226" spans="1:10" ht="15" customHeight="1" x14ac:dyDescent="0.25">
      <c r="A226" s="55" t="s">
        <v>1678</v>
      </c>
      <c r="B226" s="55" t="s">
        <v>814</v>
      </c>
      <c r="C226" s="55" t="s">
        <v>815</v>
      </c>
      <c r="D226" s="55" t="s">
        <v>1428</v>
      </c>
      <c r="E226" s="55" t="s">
        <v>1429</v>
      </c>
      <c r="F226" s="55" t="s">
        <v>768</v>
      </c>
      <c r="G226" s="55" t="s">
        <v>1453</v>
      </c>
      <c r="H226" s="55">
        <v>85</v>
      </c>
      <c r="I226" s="57">
        <v>83</v>
      </c>
      <c r="J226" s="57" t="s">
        <v>786</v>
      </c>
    </row>
    <row r="227" spans="1:10" ht="15" customHeight="1" x14ac:dyDescent="0.25">
      <c r="A227" s="55" t="s">
        <v>1679</v>
      </c>
      <c r="B227" s="55" t="s">
        <v>814</v>
      </c>
      <c r="C227" s="55" t="s">
        <v>815</v>
      </c>
      <c r="D227" s="55" t="s">
        <v>1423</v>
      </c>
      <c r="E227" s="55" t="s">
        <v>1424</v>
      </c>
      <c r="F227" s="55" t="s">
        <v>768</v>
      </c>
      <c r="G227" s="55" t="s">
        <v>1453</v>
      </c>
      <c r="H227" s="55">
        <v>83</v>
      </c>
      <c r="I227" s="57">
        <v>81</v>
      </c>
      <c r="J227" s="57" t="s">
        <v>786</v>
      </c>
    </row>
    <row r="228" spans="1:10" ht="15" customHeight="1" x14ac:dyDescent="0.25">
      <c r="A228" s="55" t="s">
        <v>1680</v>
      </c>
      <c r="B228" s="55" t="s">
        <v>820</v>
      </c>
      <c r="C228" s="55" t="s">
        <v>821</v>
      </c>
      <c r="D228" s="55" t="s">
        <v>1386</v>
      </c>
      <c r="E228" s="55" t="s">
        <v>1387</v>
      </c>
      <c r="F228" s="55" t="s">
        <v>768</v>
      </c>
      <c r="G228" s="55" t="s">
        <v>1453</v>
      </c>
      <c r="H228" s="55">
        <v>91</v>
      </c>
      <c r="I228" s="57">
        <v>94</v>
      </c>
      <c r="J228" s="57" t="s">
        <v>786</v>
      </c>
    </row>
    <row r="229" spans="1:10" ht="15" customHeight="1" x14ac:dyDescent="0.25">
      <c r="A229" s="55" t="s">
        <v>1681</v>
      </c>
      <c r="B229" s="55" t="s">
        <v>820</v>
      </c>
      <c r="C229" s="55" t="s">
        <v>821</v>
      </c>
      <c r="D229" s="55" t="s">
        <v>1389</v>
      </c>
      <c r="E229" s="55" t="s">
        <v>1390</v>
      </c>
      <c r="F229" s="55" t="s">
        <v>768</v>
      </c>
      <c r="G229" s="55" t="s">
        <v>1453</v>
      </c>
      <c r="H229" s="55">
        <v>89</v>
      </c>
      <c r="I229" s="57">
        <v>92</v>
      </c>
      <c r="J229" s="57" t="s">
        <v>786</v>
      </c>
    </row>
    <row r="230" spans="1:10" ht="15" customHeight="1" x14ac:dyDescent="0.25">
      <c r="A230" s="55" t="s">
        <v>1682</v>
      </c>
      <c r="B230" s="55" t="s">
        <v>824</v>
      </c>
      <c r="C230" s="55" t="s">
        <v>825</v>
      </c>
      <c r="D230" s="55" t="s">
        <v>1380</v>
      </c>
      <c r="E230" s="55" t="s">
        <v>1381</v>
      </c>
      <c r="F230" s="55" t="s">
        <v>768</v>
      </c>
      <c r="G230" s="55" t="s">
        <v>1453</v>
      </c>
      <c r="H230" s="55">
        <v>87</v>
      </c>
      <c r="I230" s="57">
        <v>85</v>
      </c>
      <c r="J230" s="57" t="s">
        <v>786</v>
      </c>
    </row>
    <row r="231" spans="1:10" ht="15" customHeight="1" x14ac:dyDescent="0.25">
      <c r="A231" s="55" t="s">
        <v>1683</v>
      </c>
      <c r="B231" s="55" t="s">
        <v>824</v>
      </c>
      <c r="C231" s="55" t="s">
        <v>825</v>
      </c>
      <c r="D231" s="55" t="s">
        <v>1383</v>
      </c>
      <c r="E231" s="55" t="s">
        <v>1225</v>
      </c>
      <c r="F231" s="55" t="s">
        <v>768</v>
      </c>
      <c r="G231" s="55" t="s">
        <v>1453</v>
      </c>
      <c r="H231" s="55">
        <v>85</v>
      </c>
      <c r="I231" s="57">
        <v>83</v>
      </c>
      <c r="J231" s="57" t="s">
        <v>786</v>
      </c>
    </row>
    <row r="232" spans="1:10" ht="15" customHeight="1" x14ac:dyDescent="0.25">
      <c r="A232" s="55" t="s">
        <v>1684</v>
      </c>
      <c r="B232" s="55" t="s">
        <v>830</v>
      </c>
      <c r="C232" s="55" t="s">
        <v>831</v>
      </c>
      <c r="D232" s="55" t="s">
        <v>1420</v>
      </c>
      <c r="E232" s="55" t="s">
        <v>1421</v>
      </c>
      <c r="F232" s="55" t="s">
        <v>768</v>
      </c>
      <c r="G232" s="55" t="s">
        <v>1497</v>
      </c>
      <c r="H232" s="55">
        <v>83</v>
      </c>
      <c r="I232" s="57">
        <v>81</v>
      </c>
      <c r="J232" s="57" t="s">
        <v>786</v>
      </c>
    </row>
    <row r="233" spans="1:10" ht="15" customHeight="1" x14ac:dyDescent="0.25">
      <c r="A233" s="55" t="s">
        <v>1685</v>
      </c>
      <c r="B233" s="55" t="s">
        <v>830</v>
      </c>
      <c r="C233" s="55" t="s">
        <v>831</v>
      </c>
      <c r="D233" s="55" t="s">
        <v>1428</v>
      </c>
      <c r="E233" s="55" t="s">
        <v>1429</v>
      </c>
      <c r="F233" s="55" t="s">
        <v>768</v>
      </c>
      <c r="G233" s="55" t="s">
        <v>1497</v>
      </c>
      <c r="H233" s="55">
        <v>81</v>
      </c>
      <c r="I233" s="57">
        <v>79</v>
      </c>
      <c r="J233" s="57" t="s">
        <v>786</v>
      </c>
    </row>
    <row r="234" spans="1:10" ht="15" customHeight="1" x14ac:dyDescent="0.25">
      <c r="A234" s="55" t="s">
        <v>1686</v>
      </c>
      <c r="B234" s="55" t="s">
        <v>830</v>
      </c>
      <c r="C234" s="55" t="s">
        <v>831</v>
      </c>
      <c r="D234" s="55" t="s">
        <v>1423</v>
      </c>
      <c r="E234" s="55" t="s">
        <v>1424</v>
      </c>
      <c r="F234" s="55" t="s">
        <v>768</v>
      </c>
      <c r="G234" s="55" t="s">
        <v>1497</v>
      </c>
      <c r="H234" s="55">
        <v>79</v>
      </c>
      <c r="I234" s="57">
        <v>77</v>
      </c>
      <c r="J234" s="57" t="s">
        <v>786</v>
      </c>
    </row>
    <row r="235" spans="1:10" ht="15" customHeight="1" x14ac:dyDescent="0.25">
      <c r="A235" s="55" t="s">
        <v>1687</v>
      </c>
      <c r="B235" s="55" t="s">
        <v>834</v>
      </c>
      <c r="C235" s="55" t="s">
        <v>835</v>
      </c>
      <c r="D235" s="55" t="s">
        <v>1393</v>
      </c>
      <c r="E235" s="55" t="s">
        <v>1394</v>
      </c>
      <c r="F235" s="55" t="s">
        <v>768</v>
      </c>
      <c r="G235" s="55" t="s">
        <v>1453</v>
      </c>
      <c r="H235" s="55">
        <v>90</v>
      </c>
      <c r="I235" s="57">
        <v>93</v>
      </c>
      <c r="J235" s="57" t="s">
        <v>786</v>
      </c>
    </row>
    <row r="236" spans="1:10" ht="15" customHeight="1" x14ac:dyDescent="0.25">
      <c r="A236" s="55" t="s">
        <v>1688</v>
      </c>
      <c r="B236" s="55" t="s">
        <v>834</v>
      </c>
      <c r="C236" s="55" t="s">
        <v>835</v>
      </c>
      <c r="D236" s="55" t="s">
        <v>1431</v>
      </c>
      <c r="E236" s="55" t="s">
        <v>1266</v>
      </c>
      <c r="F236" s="55" t="s">
        <v>768</v>
      </c>
      <c r="G236" s="55" t="s">
        <v>1453</v>
      </c>
      <c r="H236" s="55">
        <v>88</v>
      </c>
      <c r="I236" s="57">
        <v>91</v>
      </c>
      <c r="J236" s="57" t="s">
        <v>786</v>
      </c>
    </row>
    <row r="237" spans="1:10" ht="15" customHeight="1" x14ac:dyDescent="0.25">
      <c r="A237" s="55" t="s">
        <v>1689</v>
      </c>
      <c r="B237" s="55" t="s">
        <v>838</v>
      </c>
      <c r="C237" s="55" t="s">
        <v>839</v>
      </c>
      <c r="D237" s="55" t="s">
        <v>1407</v>
      </c>
      <c r="E237" s="55" t="s">
        <v>1184</v>
      </c>
      <c r="F237" s="55" t="s">
        <v>768</v>
      </c>
      <c r="G237" s="55" t="s">
        <v>1453</v>
      </c>
      <c r="H237" s="55">
        <v>86</v>
      </c>
      <c r="I237" s="57">
        <v>84</v>
      </c>
      <c r="J237" s="57" t="s">
        <v>786</v>
      </c>
    </row>
    <row r="238" spans="1:10" ht="15" customHeight="1" x14ac:dyDescent="0.25">
      <c r="A238" s="55" t="s">
        <v>1690</v>
      </c>
      <c r="B238" s="55" t="s">
        <v>838</v>
      </c>
      <c r="C238" s="55" t="s">
        <v>839</v>
      </c>
      <c r="D238" s="55" t="s">
        <v>1409</v>
      </c>
      <c r="E238" s="55" t="s">
        <v>1410</v>
      </c>
      <c r="F238" s="55" t="s">
        <v>768</v>
      </c>
      <c r="G238" s="55" t="s">
        <v>1453</v>
      </c>
      <c r="H238" s="55">
        <v>84</v>
      </c>
      <c r="I238" s="57">
        <v>82</v>
      </c>
      <c r="J238" s="57" t="s">
        <v>786</v>
      </c>
    </row>
    <row r="239" spans="1:10" ht="15" customHeight="1" x14ac:dyDescent="0.25">
      <c r="A239" s="55" t="s">
        <v>1691</v>
      </c>
      <c r="B239" s="55" t="s">
        <v>842</v>
      </c>
      <c r="C239" s="55" t="s">
        <v>843</v>
      </c>
      <c r="D239" s="55" t="s">
        <v>1380</v>
      </c>
      <c r="E239" s="55" t="s">
        <v>1381</v>
      </c>
      <c r="F239" s="55" t="s">
        <v>768</v>
      </c>
      <c r="G239" s="55" t="s">
        <v>107</v>
      </c>
      <c r="H239" s="55">
        <v>81</v>
      </c>
      <c r="I239" s="57">
        <v>79</v>
      </c>
      <c r="J239" s="57" t="s">
        <v>786</v>
      </c>
    </row>
    <row r="240" spans="1:10" ht="15" customHeight="1" x14ac:dyDescent="0.25">
      <c r="A240" s="55" t="s">
        <v>1692</v>
      </c>
      <c r="B240" s="55" t="s">
        <v>842</v>
      </c>
      <c r="C240" s="55" t="s">
        <v>843</v>
      </c>
      <c r="D240" s="55" t="s">
        <v>1383</v>
      </c>
      <c r="E240" s="55" t="s">
        <v>1225</v>
      </c>
      <c r="F240" s="55" t="s">
        <v>768</v>
      </c>
      <c r="G240" s="55" t="s">
        <v>107</v>
      </c>
      <c r="H240" s="55">
        <v>79</v>
      </c>
      <c r="I240" s="57">
        <v>77</v>
      </c>
      <c r="J240" s="57" t="s">
        <v>786</v>
      </c>
    </row>
    <row r="241" spans="1:10" ht="15" customHeight="1" x14ac:dyDescent="0.25">
      <c r="A241" s="55" t="s">
        <v>1693</v>
      </c>
      <c r="B241" s="55" t="s">
        <v>848</v>
      </c>
      <c r="C241" s="55" t="s">
        <v>849</v>
      </c>
      <c r="D241" s="55" t="s">
        <v>1399</v>
      </c>
      <c r="E241" s="55" t="s">
        <v>1400</v>
      </c>
      <c r="F241" s="55" t="s">
        <v>768</v>
      </c>
      <c r="G241" s="55" t="s">
        <v>1453</v>
      </c>
      <c r="H241" s="55">
        <v>90</v>
      </c>
      <c r="I241" s="57">
        <v>93</v>
      </c>
      <c r="J241" s="57" t="s">
        <v>786</v>
      </c>
    </row>
    <row r="242" spans="1:10" ht="15" customHeight="1" x14ac:dyDescent="0.25">
      <c r="A242" s="55" t="s">
        <v>1694</v>
      </c>
      <c r="B242" s="55" t="s">
        <v>848</v>
      </c>
      <c r="C242" s="55" t="s">
        <v>849</v>
      </c>
      <c r="D242" s="55" t="s">
        <v>1403</v>
      </c>
      <c r="E242" s="55" t="s">
        <v>1404</v>
      </c>
      <c r="F242" s="55" t="s">
        <v>768</v>
      </c>
      <c r="G242" s="55" t="s">
        <v>1453</v>
      </c>
      <c r="H242" s="55">
        <v>88</v>
      </c>
      <c r="I242" s="57">
        <v>91</v>
      </c>
      <c r="J242" s="57" t="s">
        <v>786</v>
      </c>
    </row>
    <row r="243" spans="1:10" ht="15" customHeight="1" x14ac:dyDescent="0.25">
      <c r="A243" s="55" t="s">
        <v>1695</v>
      </c>
      <c r="B243" s="55" t="s">
        <v>852</v>
      </c>
      <c r="C243" s="55" t="s">
        <v>853</v>
      </c>
      <c r="D243" s="55" t="s">
        <v>1420</v>
      </c>
      <c r="E243" s="55" t="s">
        <v>1421</v>
      </c>
      <c r="F243" s="55" t="s">
        <v>768</v>
      </c>
      <c r="G243" s="55" t="s">
        <v>1453</v>
      </c>
      <c r="H243" s="55">
        <v>75</v>
      </c>
      <c r="I243" s="57">
        <v>73</v>
      </c>
      <c r="J243" s="57" t="s">
        <v>786</v>
      </c>
    </row>
    <row r="244" spans="1:10" ht="15" customHeight="1" x14ac:dyDescent="0.25">
      <c r="A244" s="55" t="s">
        <v>1696</v>
      </c>
      <c r="B244" s="55" t="s">
        <v>852</v>
      </c>
      <c r="C244" s="55" t="s">
        <v>853</v>
      </c>
      <c r="D244" s="55" t="s">
        <v>1428</v>
      </c>
      <c r="E244" s="55" t="s">
        <v>1429</v>
      </c>
      <c r="F244" s="55" t="s">
        <v>768</v>
      </c>
      <c r="G244" s="55" t="s">
        <v>1453</v>
      </c>
      <c r="H244" s="55">
        <v>73</v>
      </c>
      <c r="I244" s="57">
        <v>71</v>
      </c>
      <c r="J244" s="57" t="s">
        <v>786</v>
      </c>
    </row>
    <row r="245" spans="1:10" ht="15" customHeight="1" x14ac:dyDescent="0.25">
      <c r="A245" s="55" t="s">
        <v>1697</v>
      </c>
      <c r="B245" s="55" t="s">
        <v>852</v>
      </c>
      <c r="C245" s="55" t="s">
        <v>853</v>
      </c>
      <c r="D245" s="55" t="s">
        <v>1423</v>
      </c>
      <c r="E245" s="55" t="s">
        <v>1424</v>
      </c>
      <c r="F245" s="55" t="s">
        <v>768</v>
      </c>
      <c r="G245" s="55" t="s">
        <v>1453</v>
      </c>
      <c r="H245" s="55">
        <v>71</v>
      </c>
      <c r="I245" s="57">
        <v>69</v>
      </c>
      <c r="J245" s="57" t="s">
        <v>786</v>
      </c>
    </row>
    <row r="246" spans="1:10" ht="15" customHeight="1" x14ac:dyDescent="0.25">
      <c r="A246" s="55" t="s">
        <v>1698</v>
      </c>
      <c r="B246" s="55" t="s">
        <v>857</v>
      </c>
      <c r="C246" s="55" t="s">
        <v>858</v>
      </c>
      <c r="D246" s="55" t="s">
        <v>1407</v>
      </c>
      <c r="E246" s="55" t="s">
        <v>1184</v>
      </c>
      <c r="F246" s="55" t="s">
        <v>768</v>
      </c>
      <c r="G246" s="55" t="s">
        <v>1453</v>
      </c>
      <c r="H246" s="55">
        <v>92</v>
      </c>
      <c r="I246" s="57">
        <v>95</v>
      </c>
      <c r="J246" s="57" t="s">
        <v>786</v>
      </c>
    </row>
    <row r="247" spans="1:10" ht="15" customHeight="1" x14ac:dyDescent="0.25">
      <c r="A247" s="55" t="s">
        <v>1699</v>
      </c>
      <c r="B247" s="55" t="s">
        <v>857</v>
      </c>
      <c r="C247" s="55" t="s">
        <v>858</v>
      </c>
      <c r="D247" s="55" t="s">
        <v>1409</v>
      </c>
      <c r="E247" s="55" t="s">
        <v>1410</v>
      </c>
      <c r="F247" s="55" t="s">
        <v>768</v>
      </c>
      <c r="G247" s="55" t="s">
        <v>1453</v>
      </c>
      <c r="H247" s="55">
        <v>90</v>
      </c>
      <c r="I247" s="57">
        <v>93</v>
      </c>
      <c r="J247" s="57" t="s">
        <v>786</v>
      </c>
    </row>
    <row r="248" spans="1:10" ht="15" customHeight="1" x14ac:dyDescent="0.25">
      <c r="A248" s="55" t="s">
        <v>1700</v>
      </c>
      <c r="B248" s="55" t="s">
        <v>857</v>
      </c>
      <c r="C248" s="55" t="s">
        <v>858</v>
      </c>
      <c r="D248" s="55" t="s">
        <v>1431</v>
      </c>
      <c r="E248" s="55" t="s">
        <v>1266</v>
      </c>
      <c r="F248" s="55" t="s">
        <v>768</v>
      </c>
      <c r="G248" s="55" t="s">
        <v>1453</v>
      </c>
      <c r="H248" s="55">
        <v>88</v>
      </c>
      <c r="I248" s="57">
        <v>91</v>
      </c>
      <c r="J248" s="57" t="s">
        <v>786</v>
      </c>
    </row>
    <row r="249" spans="1:10" ht="15" customHeight="1" x14ac:dyDescent="0.25">
      <c r="A249" s="55" t="s">
        <v>1701</v>
      </c>
      <c r="B249" s="55" t="s">
        <v>862</v>
      </c>
      <c r="C249" s="55" t="s">
        <v>863</v>
      </c>
      <c r="D249" s="55" t="s">
        <v>1386</v>
      </c>
      <c r="E249" s="55" t="s">
        <v>1387</v>
      </c>
      <c r="F249" s="55" t="s">
        <v>768</v>
      </c>
      <c r="G249" s="55" t="s">
        <v>1453</v>
      </c>
      <c r="H249" s="55">
        <v>86</v>
      </c>
      <c r="I249" s="57">
        <v>84</v>
      </c>
      <c r="J249" s="57" t="s">
        <v>786</v>
      </c>
    </row>
    <row r="250" spans="1:10" ht="15" customHeight="1" x14ac:dyDescent="0.25">
      <c r="A250" s="55" t="s">
        <v>1702</v>
      </c>
      <c r="B250" s="55" t="s">
        <v>862</v>
      </c>
      <c r="C250" s="55" t="s">
        <v>863</v>
      </c>
      <c r="D250" s="55" t="s">
        <v>1389</v>
      </c>
      <c r="E250" s="55" t="s">
        <v>1390</v>
      </c>
      <c r="F250" s="55" t="s">
        <v>768</v>
      </c>
      <c r="G250" s="55" t="s">
        <v>1453</v>
      </c>
      <c r="H250" s="55">
        <v>84</v>
      </c>
      <c r="I250" s="57">
        <v>82</v>
      </c>
      <c r="J250" s="57" t="s">
        <v>786</v>
      </c>
    </row>
    <row r="251" spans="1:10" ht="15" customHeight="1" x14ac:dyDescent="0.25">
      <c r="A251" s="55" t="s">
        <v>1703</v>
      </c>
      <c r="B251" s="55" t="s">
        <v>867</v>
      </c>
      <c r="C251" s="55" t="s">
        <v>868</v>
      </c>
      <c r="D251" s="55" t="s">
        <v>1407</v>
      </c>
      <c r="E251" s="55" t="s">
        <v>1184</v>
      </c>
      <c r="F251" s="55" t="s">
        <v>768</v>
      </c>
      <c r="G251" s="55" t="s">
        <v>1453</v>
      </c>
      <c r="H251" s="55">
        <v>91</v>
      </c>
      <c r="I251" s="57">
        <v>94</v>
      </c>
      <c r="J251" s="57" t="s">
        <v>786</v>
      </c>
    </row>
    <row r="252" spans="1:10" ht="15" customHeight="1" x14ac:dyDescent="0.25">
      <c r="A252" s="55" t="s">
        <v>1704</v>
      </c>
      <c r="B252" s="55" t="s">
        <v>867</v>
      </c>
      <c r="C252" s="55" t="s">
        <v>868</v>
      </c>
      <c r="D252" s="55" t="s">
        <v>1409</v>
      </c>
      <c r="E252" s="55" t="s">
        <v>1410</v>
      </c>
      <c r="F252" s="55" t="s">
        <v>768</v>
      </c>
      <c r="G252" s="55" t="s">
        <v>1453</v>
      </c>
      <c r="H252" s="55">
        <v>89</v>
      </c>
      <c r="I252" s="57">
        <v>92</v>
      </c>
      <c r="J252" s="57" t="s">
        <v>786</v>
      </c>
    </row>
    <row r="253" spans="1:10" ht="15" customHeight="1" x14ac:dyDescent="0.25">
      <c r="A253" s="55" t="s">
        <v>1705</v>
      </c>
      <c r="B253" s="55" t="s">
        <v>874</v>
      </c>
      <c r="C253" s="55" t="s">
        <v>875</v>
      </c>
      <c r="D253" s="55" t="s">
        <v>1399</v>
      </c>
      <c r="E253" s="55" t="s">
        <v>1400</v>
      </c>
      <c r="F253" s="55" t="s">
        <v>768</v>
      </c>
      <c r="G253" s="55" t="s">
        <v>1453</v>
      </c>
      <c r="H253" s="55">
        <v>85</v>
      </c>
      <c r="I253" s="57">
        <v>83</v>
      </c>
      <c r="J253" s="57" t="s">
        <v>786</v>
      </c>
    </row>
    <row r="254" spans="1:10" ht="15" customHeight="1" x14ac:dyDescent="0.25">
      <c r="A254" s="55" t="s">
        <v>1706</v>
      </c>
      <c r="B254" s="55" t="s">
        <v>874</v>
      </c>
      <c r="C254" s="55" t="s">
        <v>875</v>
      </c>
      <c r="D254" s="55" t="s">
        <v>1403</v>
      </c>
      <c r="E254" s="55" t="s">
        <v>1404</v>
      </c>
      <c r="F254" s="55" t="s">
        <v>768</v>
      </c>
      <c r="G254" s="55" t="s">
        <v>1453</v>
      </c>
      <c r="H254" s="55">
        <v>83</v>
      </c>
      <c r="I254" s="57">
        <v>81</v>
      </c>
      <c r="J254" s="57" t="s">
        <v>786</v>
      </c>
    </row>
    <row r="255" spans="1:10" ht="15" customHeight="1" x14ac:dyDescent="0.25">
      <c r="A255" s="55" t="s">
        <v>1707</v>
      </c>
      <c r="B255" s="55" t="s">
        <v>879</v>
      </c>
      <c r="C255" s="55" t="s">
        <v>880</v>
      </c>
      <c r="D255" s="55" t="s">
        <v>1380</v>
      </c>
      <c r="E255" s="55" t="s">
        <v>1381</v>
      </c>
      <c r="F255" s="55" t="s">
        <v>768</v>
      </c>
      <c r="G255" s="55" t="s">
        <v>1453</v>
      </c>
      <c r="H255" s="55">
        <v>88</v>
      </c>
      <c r="I255" s="57">
        <v>91</v>
      </c>
      <c r="J255" s="57" t="s">
        <v>786</v>
      </c>
    </row>
    <row r="256" spans="1:10" ht="15" customHeight="1" x14ac:dyDescent="0.25">
      <c r="A256" s="55" t="s">
        <v>1708</v>
      </c>
      <c r="B256" s="55" t="s">
        <v>879</v>
      </c>
      <c r="C256" s="55" t="s">
        <v>880</v>
      </c>
      <c r="D256" s="55" t="s">
        <v>1383</v>
      </c>
      <c r="E256" s="55" t="s">
        <v>1225</v>
      </c>
      <c r="F256" s="55" t="s">
        <v>768</v>
      </c>
      <c r="G256" s="55" t="s">
        <v>1453</v>
      </c>
      <c r="H256" s="55">
        <v>86</v>
      </c>
      <c r="I256" s="57">
        <v>89</v>
      </c>
      <c r="J256" s="57" t="s">
        <v>786</v>
      </c>
    </row>
    <row r="257" spans="1:10" ht="15" customHeight="1" x14ac:dyDescent="0.25">
      <c r="A257" s="55" t="s">
        <v>1709</v>
      </c>
      <c r="B257" s="55" t="s">
        <v>884</v>
      </c>
      <c r="C257" s="55" t="s">
        <v>885</v>
      </c>
      <c r="D257" s="55" t="s">
        <v>1420</v>
      </c>
      <c r="E257" s="55" t="s">
        <v>1421</v>
      </c>
      <c r="F257" s="55" t="s">
        <v>768</v>
      </c>
      <c r="G257" s="55" t="s">
        <v>1453</v>
      </c>
      <c r="H257" s="55">
        <v>77</v>
      </c>
      <c r="I257" s="57">
        <v>75</v>
      </c>
      <c r="J257" s="57" t="s">
        <v>786</v>
      </c>
    </row>
    <row r="258" spans="1:10" ht="15" customHeight="1" x14ac:dyDescent="0.25">
      <c r="A258" s="55" t="s">
        <v>1710</v>
      </c>
      <c r="B258" s="55" t="s">
        <v>884</v>
      </c>
      <c r="C258" s="55" t="s">
        <v>885</v>
      </c>
      <c r="D258" s="55" t="s">
        <v>1428</v>
      </c>
      <c r="E258" s="55" t="s">
        <v>1429</v>
      </c>
      <c r="F258" s="55" t="s">
        <v>768</v>
      </c>
      <c r="G258" s="55" t="s">
        <v>1453</v>
      </c>
      <c r="H258" s="55">
        <v>75</v>
      </c>
      <c r="I258" s="57">
        <v>73</v>
      </c>
      <c r="J258" s="57" t="s">
        <v>786</v>
      </c>
    </row>
    <row r="259" spans="1:10" ht="15" customHeight="1" x14ac:dyDescent="0.25">
      <c r="A259" s="55" t="s">
        <v>1711</v>
      </c>
      <c r="B259" s="55" t="s">
        <v>884</v>
      </c>
      <c r="C259" s="55" t="s">
        <v>885</v>
      </c>
      <c r="D259" s="55" t="s">
        <v>1431</v>
      </c>
      <c r="E259" s="55" t="s">
        <v>1266</v>
      </c>
      <c r="F259" s="55" t="s">
        <v>768</v>
      </c>
      <c r="G259" s="55" t="s">
        <v>1453</v>
      </c>
      <c r="H259" s="55">
        <v>73</v>
      </c>
      <c r="I259" s="57">
        <v>71</v>
      </c>
      <c r="J259" s="57" t="s">
        <v>786</v>
      </c>
    </row>
    <row r="260" spans="1:10" ht="15" customHeight="1" x14ac:dyDescent="0.25">
      <c r="A260" s="55" t="s">
        <v>1712</v>
      </c>
      <c r="B260" s="55" t="s">
        <v>890</v>
      </c>
      <c r="C260" s="55" t="s">
        <v>891</v>
      </c>
      <c r="D260" s="55" t="s">
        <v>1393</v>
      </c>
      <c r="E260" s="55" t="s">
        <v>1394</v>
      </c>
      <c r="F260" s="55" t="s">
        <v>768</v>
      </c>
      <c r="G260" s="55" t="s">
        <v>1453</v>
      </c>
      <c r="H260" s="55">
        <v>89</v>
      </c>
      <c r="I260" s="57">
        <v>92</v>
      </c>
      <c r="J260" s="57" t="s">
        <v>786</v>
      </c>
    </row>
    <row r="261" spans="1:10" ht="15" customHeight="1" x14ac:dyDescent="0.25">
      <c r="A261" s="55" t="s">
        <v>1713</v>
      </c>
      <c r="B261" s="55" t="s">
        <v>890</v>
      </c>
      <c r="C261" s="55" t="s">
        <v>891</v>
      </c>
      <c r="D261" s="55" t="s">
        <v>1396</v>
      </c>
      <c r="E261" s="55" t="s">
        <v>1397</v>
      </c>
      <c r="F261" s="55" t="s">
        <v>768</v>
      </c>
      <c r="G261" s="55" t="s">
        <v>1453</v>
      </c>
      <c r="H261" s="55">
        <v>87</v>
      </c>
      <c r="I261" s="57">
        <v>90</v>
      </c>
      <c r="J261" s="57" t="s">
        <v>786</v>
      </c>
    </row>
    <row r="262" spans="1:10" ht="15" customHeight="1" x14ac:dyDescent="0.25">
      <c r="A262" s="55" t="s">
        <v>1714</v>
      </c>
      <c r="B262" s="55" t="s">
        <v>896</v>
      </c>
      <c r="C262" s="55" t="s">
        <v>897</v>
      </c>
      <c r="D262" s="55" t="s">
        <v>1407</v>
      </c>
      <c r="E262" s="55" t="s">
        <v>1184</v>
      </c>
      <c r="F262" s="55" t="s">
        <v>768</v>
      </c>
      <c r="G262" s="55" t="s">
        <v>1453</v>
      </c>
      <c r="H262" s="55">
        <v>91</v>
      </c>
      <c r="I262" s="57">
        <v>94</v>
      </c>
      <c r="J262" s="57" t="s">
        <v>786</v>
      </c>
    </row>
    <row r="263" spans="1:10" ht="15" customHeight="1" x14ac:dyDescent="0.25">
      <c r="A263" s="55" t="s">
        <v>1715</v>
      </c>
      <c r="B263" s="55" t="s">
        <v>896</v>
      </c>
      <c r="C263" s="55" t="s">
        <v>897</v>
      </c>
      <c r="D263" s="55" t="s">
        <v>1409</v>
      </c>
      <c r="E263" s="55" t="s">
        <v>1410</v>
      </c>
      <c r="F263" s="55" t="s">
        <v>768</v>
      </c>
      <c r="G263" s="55" t="s">
        <v>1453</v>
      </c>
      <c r="H263" s="55">
        <v>89</v>
      </c>
      <c r="I263" s="57">
        <v>92</v>
      </c>
      <c r="J263" s="57" t="s">
        <v>786</v>
      </c>
    </row>
    <row r="264" spans="1:10" ht="15" customHeight="1" x14ac:dyDescent="0.25">
      <c r="A264" s="55" t="s">
        <v>1716</v>
      </c>
      <c r="B264" s="55" t="s">
        <v>900</v>
      </c>
      <c r="C264" s="55" t="s">
        <v>901</v>
      </c>
      <c r="D264" s="55" t="s">
        <v>1386</v>
      </c>
      <c r="E264" s="55" t="s">
        <v>1387</v>
      </c>
      <c r="F264" s="55" t="s">
        <v>768</v>
      </c>
      <c r="G264" s="55" t="s">
        <v>1497</v>
      </c>
      <c r="H264" s="55">
        <v>84</v>
      </c>
      <c r="I264" s="57">
        <v>82</v>
      </c>
      <c r="J264" s="57" t="s">
        <v>786</v>
      </c>
    </row>
    <row r="265" spans="1:10" ht="15" customHeight="1" x14ac:dyDescent="0.25">
      <c r="A265" s="55" t="s">
        <v>1717</v>
      </c>
      <c r="B265" s="55" t="s">
        <v>900</v>
      </c>
      <c r="C265" s="55" t="s">
        <v>901</v>
      </c>
      <c r="D265" s="55" t="s">
        <v>1389</v>
      </c>
      <c r="E265" s="55" t="s">
        <v>1390</v>
      </c>
      <c r="F265" s="55" t="s">
        <v>768</v>
      </c>
      <c r="G265" s="55" t="s">
        <v>1497</v>
      </c>
      <c r="H265" s="55">
        <v>82</v>
      </c>
      <c r="I265" s="57">
        <v>80</v>
      </c>
      <c r="J265" s="57" t="s">
        <v>786</v>
      </c>
    </row>
    <row r="266" spans="1:10" ht="15" customHeight="1" x14ac:dyDescent="0.25">
      <c r="A266" s="55" t="s">
        <v>1718</v>
      </c>
      <c r="B266" s="55" t="s">
        <v>904</v>
      </c>
      <c r="C266" s="55" t="s">
        <v>905</v>
      </c>
      <c r="D266" s="55" t="s">
        <v>1420</v>
      </c>
      <c r="E266" s="55" t="s">
        <v>1421</v>
      </c>
      <c r="F266" s="55" t="s">
        <v>768</v>
      </c>
      <c r="G266" s="55" t="s">
        <v>1453</v>
      </c>
      <c r="H266" s="55">
        <v>89</v>
      </c>
      <c r="I266" s="57">
        <v>92</v>
      </c>
      <c r="J266" s="57" t="s">
        <v>786</v>
      </c>
    </row>
    <row r="267" spans="1:10" ht="15" customHeight="1" x14ac:dyDescent="0.25">
      <c r="A267" s="55" t="s">
        <v>1719</v>
      </c>
      <c r="B267" s="55" t="s">
        <v>904</v>
      </c>
      <c r="C267" s="55" t="s">
        <v>905</v>
      </c>
      <c r="D267" s="55" t="s">
        <v>1428</v>
      </c>
      <c r="E267" s="55" t="s">
        <v>1429</v>
      </c>
      <c r="F267" s="55" t="s">
        <v>768</v>
      </c>
      <c r="G267" s="55" t="s">
        <v>1453</v>
      </c>
      <c r="H267" s="55">
        <v>87</v>
      </c>
      <c r="I267" s="57">
        <v>90</v>
      </c>
      <c r="J267" s="57" t="s">
        <v>786</v>
      </c>
    </row>
    <row r="268" spans="1:10" ht="15" customHeight="1" x14ac:dyDescent="0.25">
      <c r="A268" s="55" t="s">
        <v>1720</v>
      </c>
      <c r="B268" s="55" t="s">
        <v>904</v>
      </c>
      <c r="C268" s="55" t="s">
        <v>905</v>
      </c>
      <c r="D268" s="55" t="s">
        <v>1423</v>
      </c>
      <c r="E268" s="55" t="s">
        <v>1424</v>
      </c>
      <c r="F268" s="55" t="s">
        <v>768</v>
      </c>
      <c r="G268" s="55" t="s">
        <v>1453</v>
      </c>
      <c r="H268" s="55">
        <v>85</v>
      </c>
      <c r="I268" s="57">
        <v>88</v>
      </c>
      <c r="J268" s="57" t="s">
        <v>786</v>
      </c>
    </row>
    <row r="269" spans="1:10" ht="15" customHeight="1" x14ac:dyDescent="0.25">
      <c r="A269" s="55" t="s">
        <v>1721</v>
      </c>
      <c r="B269" s="55" t="s">
        <v>909</v>
      </c>
      <c r="C269" s="55" t="s">
        <v>910</v>
      </c>
      <c r="D269" s="55" t="s">
        <v>1393</v>
      </c>
      <c r="E269" s="55" t="s">
        <v>1394</v>
      </c>
      <c r="F269" s="55" t="s">
        <v>768</v>
      </c>
      <c r="G269" s="55" t="s">
        <v>1453</v>
      </c>
      <c r="H269" s="55">
        <v>91</v>
      </c>
      <c r="I269" s="57">
        <v>94</v>
      </c>
      <c r="J269" s="57" t="s">
        <v>786</v>
      </c>
    </row>
    <row r="270" spans="1:10" ht="15" customHeight="1" x14ac:dyDescent="0.25">
      <c r="A270" s="55" t="s">
        <v>1722</v>
      </c>
      <c r="B270" s="55" t="s">
        <v>909</v>
      </c>
      <c r="C270" s="55" t="s">
        <v>910</v>
      </c>
      <c r="D270" s="55" t="s">
        <v>1431</v>
      </c>
      <c r="E270" s="55" t="s">
        <v>1266</v>
      </c>
      <c r="F270" s="55" t="s">
        <v>768</v>
      </c>
      <c r="G270" s="55" t="s">
        <v>1453</v>
      </c>
      <c r="H270" s="55">
        <v>89</v>
      </c>
      <c r="I270" s="57">
        <v>92</v>
      </c>
      <c r="J270" s="57" t="s">
        <v>786</v>
      </c>
    </row>
    <row r="271" spans="1:10" ht="15" customHeight="1" x14ac:dyDescent="0.25">
      <c r="A271" s="55" t="s">
        <v>1723</v>
      </c>
      <c r="B271" s="55" t="s">
        <v>913</v>
      </c>
      <c r="C271" s="55" t="s">
        <v>914</v>
      </c>
      <c r="D271" s="55" t="s">
        <v>1434</v>
      </c>
      <c r="E271" s="55" t="s">
        <v>1270</v>
      </c>
      <c r="F271" s="55" t="s">
        <v>768</v>
      </c>
      <c r="G271" s="55" t="s">
        <v>1453</v>
      </c>
      <c r="H271" s="55">
        <v>92</v>
      </c>
      <c r="I271" s="57">
        <v>95</v>
      </c>
      <c r="J271" s="57" t="s">
        <v>786</v>
      </c>
    </row>
    <row r="272" spans="1:10" ht="15" customHeight="1" x14ac:dyDescent="0.25">
      <c r="A272" s="55" t="s">
        <v>1724</v>
      </c>
      <c r="B272" s="55" t="s">
        <v>913</v>
      </c>
      <c r="C272" s="55" t="s">
        <v>914</v>
      </c>
      <c r="D272" s="55" t="s">
        <v>1440</v>
      </c>
      <c r="E272" s="55" t="s">
        <v>1441</v>
      </c>
      <c r="F272" s="55" t="s">
        <v>768</v>
      </c>
      <c r="G272" s="55" t="s">
        <v>1453</v>
      </c>
      <c r="H272" s="55">
        <v>90</v>
      </c>
      <c r="I272" s="57">
        <v>93</v>
      </c>
      <c r="J272" s="57" t="s">
        <v>786</v>
      </c>
    </row>
    <row r="273" spans="1:10" ht="15" customHeight="1" x14ac:dyDescent="0.25">
      <c r="A273" s="55" t="s">
        <v>1725</v>
      </c>
      <c r="B273" s="55" t="s">
        <v>923</v>
      </c>
      <c r="C273" s="55" t="s">
        <v>924</v>
      </c>
      <c r="D273" s="55" t="s">
        <v>1434</v>
      </c>
      <c r="E273" s="55" t="s">
        <v>1270</v>
      </c>
      <c r="F273" s="55" t="s">
        <v>768</v>
      </c>
      <c r="G273" s="55" t="s">
        <v>1453</v>
      </c>
      <c r="H273" s="55">
        <v>88</v>
      </c>
      <c r="I273" s="57">
        <v>86</v>
      </c>
      <c r="J273" s="57" t="s">
        <v>786</v>
      </c>
    </row>
    <row r="274" spans="1:10" ht="15" customHeight="1" x14ac:dyDescent="0.25">
      <c r="A274" s="55" t="s">
        <v>1726</v>
      </c>
      <c r="B274" s="55" t="s">
        <v>923</v>
      </c>
      <c r="C274" s="55" t="s">
        <v>924</v>
      </c>
      <c r="D274" s="55" t="s">
        <v>1437</v>
      </c>
      <c r="E274" s="55" t="s">
        <v>1438</v>
      </c>
      <c r="F274" s="55" t="s">
        <v>768</v>
      </c>
      <c r="G274" s="55" t="s">
        <v>1453</v>
      </c>
      <c r="H274" s="55">
        <v>86</v>
      </c>
      <c r="I274" s="57">
        <v>84</v>
      </c>
      <c r="J274" s="57" t="s">
        <v>786</v>
      </c>
    </row>
    <row r="275" spans="1:10" ht="15" customHeight="1" x14ac:dyDescent="0.25">
      <c r="A275" s="55" t="s">
        <v>1727</v>
      </c>
      <c r="B275" s="55" t="s">
        <v>930</v>
      </c>
      <c r="C275" s="55" t="s">
        <v>931</v>
      </c>
      <c r="D275" s="55" t="s">
        <v>1434</v>
      </c>
      <c r="E275" s="55" t="s">
        <v>1270</v>
      </c>
      <c r="F275" s="55" t="s">
        <v>768</v>
      </c>
      <c r="G275" s="55" t="s">
        <v>107</v>
      </c>
      <c r="H275" s="55">
        <v>91</v>
      </c>
      <c r="I275" s="57">
        <v>94</v>
      </c>
      <c r="J275" s="57" t="s">
        <v>786</v>
      </c>
    </row>
    <row r="276" spans="1:10" ht="15" customHeight="1" x14ac:dyDescent="0.25">
      <c r="A276" s="55" t="s">
        <v>1728</v>
      </c>
      <c r="B276" s="55" t="s">
        <v>930</v>
      </c>
      <c r="C276" s="55" t="s">
        <v>931</v>
      </c>
      <c r="D276" s="55" t="s">
        <v>1435</v>
      </c>
      <c r="E276" s="55" t="s">
        <v>1276</v>
      </c>
      <c r="F276" s="55" t="s">
        <v>768</v>
      </c>
      <c r="G276" s="55" t="s">
        <v>107</v>
      </c>
      <c r="H276" s="55">
        <v>89</v>
      </c>
      <c r="I276" s="57">
        <v>92</v>
      </c>
      <c r="J276" s="57" t="s">
        <v>786</v>
      </c>
    </row>
    <row r="277" spans="1:10" ht="15" customHeight="1" x14ac:dyDescent="0.25">
      <c r="A277" s="55" t="s">
        <v>1729</v>
      </c>
      <c r="B277" s="55" t="s">
        <v>937</v>
      </c>
      <c r="C277" s="55" t="s">
        <v>938</v>
      </c>
      <c r="D277" s="55" t="s">
        <v>1434</v>
      </c>
      <c r="E277" s="55" t="s">
        <v>1270</v>
      </c>
      <c r="F277" s="55" t="s">
        <v>768</v>
      </c>
      <c r="G277" s="55" t="s">
        <v>1453</v>
      </c>
      <c r="H277" s="55">
        <v>82</v>
      </c>
      <c r="I277" s="57">
        <v>80</v>
      </c>
      <c r="J277" s="57" t="s">
        <v>786</v>
      </c>
    </row>
    <row r="278" spans="1:10" ht="15" customHeight="1" x14ac:dyDescent="0.25">
      <c r="A278" s="55" t="s">
        <v>1730</v>
      </c>
      <c r="B278" s="55" t="s">
        <v>937</v>
      </c>
      <c r="C278" s="55" t="s">
        <v>938</v>
      </c>
      <c r="D278" s="55" t="s">
        <v>1435</v>
      </c>
      <c r="E278" s="55" t="s">
        <v>1276</v>
      </c>
      <c r="F278" s="55" t="s">
        <v>768</v>
      </c>
      <c r="G278" s="55" t="s">
        <v>1453</v>
      </c>
      <c r="H278" s="55">
        <v>80</v>
      </c>
      <c r="I278" s="57">
        <v>78</v>
      </c>
      <c r="J278" s="57" t="s">
        <v>786</v>
      </c>
    </row>
    <row r="279" spans="1:10" ht="15" customHeight="1" x14ac:dyDescent="0.25">
      <c r="A279" s="55" t="s">
        <v>1731</v>
      </c>
      <c r="B279" s="55" t="s">
        <v>945</v>
      </c>
      <c r="C279" s="55" t="s">
        <v>946</v>
      </c>
      <c r="D279" s="55" t="s">
        <v>1434</v>
      </c>
      <c r="E279" s="55" t="s">
        <v>1270</v>
      </c>
      <c r="F279" s="55" t="s">
        <v>768</v>
      </c>
      <c r="G279" s="55" t="s">
        <v>1453</v>
      </c>
      <c r="H279" s="55">
        <v>90</v>
      </c>
      <c r="I279" s="57">
        <v>93</v>
      </c>
      <c r="J279" s="57" t="s">
        <v>786</v>
      </c>
    </row>
    <row r="280" spans="1:10" ht="15" customHeight="1" x14ac:dyDescent="0.25">
      <c r="A280" s="55" t="s">
        <v>1732</v>
      </c>
      <c r="B280" s="55" t="s">
        <v>945</v>
      </c>
      <c r="C280" s="55" t="s">
        <v>946</v>
      </c>
      <c r="D280" s="55" t="s">
        <v>1435</v>
      </c>
      <c r="E280" s="55" t="s">
        <v>1276</v>
      </c>
      <c r="F280" s="55" t="s">
        <v>768</v>
      </c>
      <c r="G280" s="55" t="s">
        <v>1453</v>
      </c>
      <c r="H280" s="55">
        <v>88</v>
      </c>
      <c r="I280" s="57">
        <v>91</v>
      </c>
      <c r="J280" s="57" t="s">
        <v>786</v>
      </c>
    </row>
    <row r="281" spans="1:10" ht="15" customHeight="1" x14ac:dyDescent="0.25">
      <c r="A281" s="55" t="s">
        <v>1733</v>
      </c>
      <c r="B281" s="55" t="s">
        <v>952</v>
      </c>
      <c r="C281" s="55" t="s">
        <v>953</v>
      </c>
      <c r="D281" s="55" t="s">
        <v>1434</v>
      </c>
      <c r="E281" s="55" t="s">
        <v>1270</v>
      </c>
      <c r="F281" s="55" t="s">
        <v>768</v>
      </c>
      <c r="G281" s="55" t="s">
        <v>1453</v>
      </c>
      <c r="H281" s="55">
        <v>87</v>
      </c>
      <c r="I281" s="57">
        <v>85</v>
      </c>
      <c r="J281" s="57" t="s">
        <v>786</v>
      </c>
    </row>
    <row r="282" spans="1:10" ht="15" customHeight="1" x14ac:dyDescent="0.25">
      <c r="A282" s="55" t="s">
        <v>1734</v>
      </c>
      <c r="B282" s="55" t="s">
        <v>952</v>
      </c>
      <c r="C282" s="55" t="s">
        <v>953</v>
      </c>
      <c r="D282" s="55" t="s">
        <v>1437</v>
      </c>
      <c r="E282" s="55" t="s">
        <v>1438</v>
      </c>
      <c r="F282" s="55" t="s">
        <v>768</v>
      </c>
      <c r="G282" s="55" t="s">
        <v>1453</v>
      </c>
      <c r="H282" s="55">
        <v>85</v>
      </c>
      <c r="I282" s="57">
        <v>83</v>
      </c>
      <c r="J282" s="57" t="s">
        <v>786</v>
      </c>
    </row>
    <row r="283" spans="1:10" ht="15" customHeight="1" x14ac:dyDescent="0.25">
      <c r="A283" s="55" t="s">
        <v>1735</v>
      </c>
      <c r="B283" s="55" t="s">
        <v>958</v>
      </c>
      <c r="C283" s="55" t="s">
        <v>959</v>
      </c>
      <c r="D283" s="55" t="s">
        <v>1436</v>
      </c>
      <c r="E283" s="55" t="s">
        <v>1279</v>
      </c>
      <c r="F283" s="55" t="s">
        <v>768</v>
      </c>
      <c r="G283" s="55" t="s">
        <v>1453</v>
      </c>
      <c r="H283" s="55">
        <v>93</v>
      </c>
      <c r="I283" s="57">
        <v>96</v>
      </c>
      <c r="J283" s="57" t="s">
        <v>786</v>
      </c>
    </row>
    <row r="284" spans="1:10" ht="15" customHeight="1" x14ac:dyDescent="0.25">
      <c r="A284" s="55" t="s">
        <v>1736</v>
      </c>
      <c r="B284" s="55" t="s">
        <v>966</v>
      </c>
      <c r="C284" s="55" t="s">
        <v>967</v>
      </c>
      <c r="D284" s="55" t="s">
        <v>1436</v>
      </c>
      <c r="E284" s="55" t="s">
        <v>1279</v>
      </c>
      <c r="F284" s="55" t="s">
        <v>768</v>
      </c>
      <c r="G284" s="55" t="s">
        <v>1453</v>
      </c>
      <c r="H284" s="55">
        <v>89</v>
      </c>
      <c r="I284" s="57">
        <v>92</v>
      </c>
      <c r="J284" s="57" t="s">
        <v>786</v>
      </c>
    </row>
    <row r="285" spans="1:10" ht="15" customHeight="1" x14ac:dyDescent="0.25">
      <c r="A285" s="55" t="s">
        <v>1737</v>
      </c>
      <c r="B285" s="55" t="s">
        <v>975</v>
      </c>
      <c r="C285" s="55" t="s">
        <v>976</v>
      </c>
      <c r="D285" s="55" t="s">
        <v>1436</v>
      </c>
      <c r="E285" s="55" t="s">
        <v>1279</v>
      </c>
      <c r="F285" s="55" t="s">
        <v>768</v>
      </c>
      <c r="G285" s="55" t="s">
        <v>1453</v>
      </c>
      <c r="H285" s="55">
        <v>90</v>
      </c>
      <c r="I285" s="57">
        <v>93</v>
      </c>
      <c r="J285" s="57" t="s">
        <v>786</v>
      </c>
    </row>
    <row r="286" spans="1:10" ht="15" customHeight="1" x14ac:dyDescent="0.25">
      <c r="A286" s="55" t="s">
        <v>1738</v>
      </c>
      <c r="B286" s="55" t="s">
        <v>983</v>
      </c>
      <c r="C286" s="55" t="s">
        <v>984</v>
      </c>
      <c r="D286" s="55" t="s">
        <v>1436</v>
      </c>
      <c r="E286" s="55" t="s">
        <v>1279</v>
      </c>
      <c r="F286" s="55" t="s">
        <v>768</v>
      </c>
      <c r="G286" s="55" t="s">
        <v>1497</v>
      </c>
      <c r="H286" s="55">
        <v>87</v>
      </c>
      <c r="I286" s="57">
        <v>85</v>
      </c>
      <c r="J286" s="57" t="s">
        <v>786</v>
      </c>
    </row>
    <row r="287" spans="1:10" ht="15" customHeight="1" x14ac:dyDescent="0.25">
      <c r="A287" s="55" t="s">
        <v>1739</v>
      </c>
      <c r="B287" s="55" t="s">
        <v>990</v>
      </c>
      <c r="C287" s="55" t="s">
        <v>991</v>
      </c>
      <c r="D287" s="55" t="s">
        <v>1436</v>
      </c>
      <c r="E287" s="55" t="s">
        <v>1279</v>
      </c>
      <c r="F287" s="55" t="s">
        <v>768</v>
      </c>
      <c r="G287" s="55" t="s">
        <v>107</v>
      </c>
      <c r="H287" s="55">
        <v>94</v>
      </c>
      <c r="I287" s="57">
        <v>97</v>
      </c>
      <c r="J287" s="57" t="s">
        <v>786</v>
      </c>
    </row>
    <row r="288" spans="1:10" ht="15" customHeight="1" x14ac:dyDescent="0.25">
      <c r="A288" s="55" t="s">
        <v>1740</v>
      </c>
      <c r="B288" s="55" t="s">
        <v>997</v>
      </c>
      <c r="C288" s="55" t="s">
        <v>998</v>
      </c>
      <c r="D288" s="55" t="s">
        <v>1436</v>
      </c>
      <c r="E288" s="55" t="s">
        <v>1279</v>
      </c>
      <c r="F288" s="55" t="s">
        <v>768</v>
      </c>
      <c r="G288" s="55" t="s">
        <v>1453</v>
      </c>
      <c r="H288" s="55">
        <v>89</v>
      </c>
      <c r="I288" s="57">
        <v>92</v>
      </c>
      <c r="J288" s="57" t="s">
        <v>786</v>
      </c>
    </row>
    <row r="289" spans="1:10" ht="15" customHeight="1" x14ac:dyDescent="0.25">
      <c r="A289" s="55" t="s">
        <v>1741</v>
      </c>
      <c r="B289" s="55" t="s">
        <v>997</v>
      </c>
      <c r="C289" s="55" t="s">
        <v>998</v>
      </c>
      <c r="D289" s="55" t="s">
        <v>1434</v>
      </c>
      <c r="E289" s="55" t="s">
        <v>1270</v>
      </c>
      <c r="F289" s="55" t="s">
        <v>768</v>
      </c>
      <c r="G289" s="55" t="s">
        <v>1453</v>
      </c>
      <c r="H289" s="55">
        <v>87</v>
      </c>
      <c r="I289" s="57">
        <v>90</v>
      </c>
      <c r="J289" s="57" t="s">
        <v>786</v>
      </c>
    </row>
    <row r="290" spans="1:10" ht="15" customHeight="1" x14ac:dyDescent="0.25">
      <c r="A290" s="55" t="s">
        <v>1742</v>
      </c>
      <c r="B290" s="55" t="s">
        <v>1003</v>
      </c>
      <c r="C290" s="55" t="s">
        <v>1004</v>
      </c>
      <c r="D290" s="55" t="s">
        <v>1444</v>
      </c>
      <c r="E290" s="55" t="s">
        <v>1305</v>
      </c>
      <c r="F290" s="55" t="s">
        <v>768</v>
      </c>
      <c r="G290" s="55" t="s">
        <v>1453</v>
      </c>
      <c r="H290" s="55">
        <v>92</v>
      </c>
      <c r="I290" s="57">
        <v>95</v>
      </c>
      <c r="J290" s="57" t="s">
        <v>786</v>
      </c>
    </row>
    <row r="291" spans="1:10" ht="15" customHeight="1" x14ac:dyDescent="0.25">
      <c r="A291" s="55" t="s">
        <v>1743</v>
      </c>
      <c r="B291" s="55" t="s">
        <v>1003</v>
      </c>
      <c r="C291" s="55" t="s">
        <v>1004</v>
      </c>
      <c r="D291" s="55" t="s">
        <v>1445</v>
      </c>
      <c r="E291" s="55" t="s">
        <v>1308</v>
      </c>
      <c r="F291" s="55" t="s">
        <v>768</v>
      </c>
      <c r="G291" s="55" t="s">
        <v>1453</v>
      </c>
      <c r="H291" s="55">
        <v>90</v>
      </c>
      <c r="I291" s="57">
        <v>93</v>
      </c>
      <c r="J291" s="57" t="s">
        <v>786</v>
      </c>
    </row>
    <row r="292" spans="1:10" ht="15" customHeight="1" x14ac:dyDescent="0.25">
      <c r="A292" s="55" t="s">
        <v>1744</v>
      </c>
      <c r="B292" s="55" t="s">
        <v>1012</v>
      </c>
      <c r="C292" s="55" t="s">
        <v>1013</v>
      </c>
      <c r="D292" s="55" t="s">
        <v>1444</v>
      </c>
      <c r="E292" s="55" t="s">
        <v>1305</v>
      </c>
      <c r="F292" s="55" t="s">
        <v>768</v>
      </c>
      <c r="G292" s="55" t="s">
        <v>1453</v>
      </c>
      <c r="H292" s="55">
        <v>93</v>
      </c>
      <c r="I292" s="57">
        <v>96</v>
      </c>
      <c r="J292" s="57" t="s">
        <v>786</v>
      </c>
    </row>
    <row r="293" spans="1:10" ht="15" customHeight="1" x14ac:dyDescent="0.25">
      <c r="A293" s="55" t="s">
        <v>1745</v>
      </c>
      <c r="B293" s="55" t="s">
        <v>1012</v>
      </c>
      <c r="C293" s="55" t="s">
        <v>1013</v>
      </c>
      <c r="D293" s="55" t="s">
        <v>1445</v>
      </c>
      <c r="E293" s="55" t="s">
        <v>1308</v>
      </c>
      <c r="F293" s="55" t="s">
        <v>768</v>
      </c>
      <c r="G293" s="55" t="s">
        <v>1453</v>
      </c>
      <c r="H293" s="55">
        <v>91</v>
      </c>
      <c r="I293" s="57">
        <v>94</v>
      </c>
      <c r="J293" s="57" t="s">
        <v>786</v>
      </c>
    </row>
    <row r="294" spans="1:10" ht="15" customHeight="1" x14ac:dyDescent="0.25">
      <c r="A294" s="55" t="s">
        <v>1746</v>
      </c>
      <c r="B294" s="55" t="s">
        <v>1020</v>
      </c>
      <c r="C294" s="55" t="s">
        <v>1021</v>
      </c>
      <c r="D294" s="55" t="s">
        <v>1444</v>
      </c>
      <c r="E294" s="55" t="s">
        <v>1305</v>
      </c>
      <c r="F294" s="55" t="s">
        <v>768</v>
      </c>
      <c r="G294" s="55" t="s">
        <v>1453</v>
      </c>
      <c r="H294" s="55">
        <v>91</v>
      </c>
      <c r="I294" s="57">
        <v>94</v>
      </c>
      <c r="J294" s="57" t="s">
        <v>786</v>
      </c>
    </row>
    <row r="295" spans="1:10" ht="15" customHeight="1" x14ac:dyDescent="0.25">
      <c r="A295" s="55" t="s">
        <v>1747</v>
      </c>
      <c r="B295" s="55" t="s">
        <v>1028</v>
      </c>
      <c r="C295" s="55" t="s">
        <v>1029</v>
      </c>
      <c r="D295" s="55" t="s">
        <v>1444</v>
      </c>
      <c r="E295" s="55" t="s">
        <v>1305</v>
      </c>
      <c r="F295" s="55" t="s">
        <v>768</v>
      </c>
      <c r="G295" s="55" t="s">
        <v>1453</v>
      </c>
      <c r="H295" s="55">
        <v>89</v>
      </c>
      <c r="I295" s="57">
        <v>92</v>
      </c>
      <c r="J295" s="57" t="s">
        <v>786</v>
      </c>
    </row>
    <row r="296" spans="1:10" ht="15" customHeight="1" x14ac:dyDescent="0.25">
      <c r="A296" s="55" t="s">
        <v>1748</v>
      </c>
      <c r="B296" s="55" t="s">
        <v>1028</v>
      </c>
      <c r="C296" s="55" t="s">
        <v>1029</v>
      </c>
      <c r="D296" s="55" t="s">
        <v>1445</v>
      </c>
      <c r="E296" s="55" t="s">
        <v>1308</v>
      </c>
      <c r="F296" s="55" t="s">
        <v>768</v>
      </c>
      <c r="G296" s="55" t="s">
        <v>1453</v>
      </c>
      <c r="H296" s="55">
        <v>87</v>
      </c>
      <c r="I296" s="57">
        <v>90</v>
      </c>
      <c r="J296" s="57" t="s">
        <v>786</v>
      </c>
    </row>
    <row r="297" spans="1:10" ht="15" customHeight="1" x14ac:dyDescent="0.25">
      <c r="A297" s="55" t="s">
        <v>1749</v>
      </c>
      <c r="B297" s="55" t="s">
        <v>1035</v>
      </c>
      <c r="C297" s="55" t="s">
        <v>1036</v>
      </c>
      <c r="D297" s="55" t="s">
        <v>1262</v>
      </c>
      <c r="E297" s="55" t="s">
        <v>1263</v>
      </c>
      <c r="F297" s="55" t="s">
        <v>768</v>
      </c>
      <c r="G297" s="55" t="s">
        <v>1453</v>
      </c>
      <c r="H297" s="55">
        <v>90</v>
      </c>
      <c r="I297" s="57">
        <v>93</v>
      </c>
      <c r="J297" s="57" t="s">
        <v>62</v>
      </c>
    </row>
    <row r="298" spans="1:10" ht="15" customHeight="1" x14ac:dyDescent="0.25">
      <c r="A298" s="55" t="s">
        <v>1750</v>
      </c>
      <c r="B298" s="55" t="s">
        <v>1035</v>
      </c>
      <c r="C298" s="55" t="s">
        <v>1036</v>
      </c>
      <c r="D298" s="55" t="s">
        <v>1188</v>
      </c>
      <c r="E298" s="55" t="s">
        <v>1189</v>
      </c>
      <c r="F298" s="55" t="s">
        <v>768</v>
      </c>
      <c r="G298" s="55" t="s">
        <v>1453</v>
      </c>
      <c r="H298" s="55">
        <v>88</v>
      </c>
      <c r="I298" s="57">
        <v>91</v>
      </c>
      <c r="J298" s="57" t="s">
        <v>62</v>
      </c>
    </row>
    <row r="299" spans="1:10" ht="15" customHeight="1" x14ac:dyDescent="0.25">
      <c r="A299" s="55" t="s">
        <v>1751</v>
      </c>
      <c r="B299" s="55" t="s">
        <v>1040</v>
      </c>
      <c r="C299" s="55" t="s">
        <v>1041</v>
      </c>
      <c r="D299" s="55" t="s">
        <v>1269</v>
      </c>
      <c r="E299" s="55" t="s">
        <v>1270</v>
      </c>
      <c r="F299" s="55" t="s">
        <v>768</v>
      </c>
      <c r="G299" s="55" t="s">
        <v>1453</v>
      </c>
      <c r="H299" s="55">
        <v>90</v>
      </c>
      <c r="I299" s="57">
        <v>93</v>
      </c>
      <c r="J299" s="57" t="s">
        <v>62</v>
      </c>
    </row>
    <row r="300" spans="1:10" ht="15" customHeight="1" x14ac:dyDescent="0.25">
      <c r="A300" s="55" t="s">
        <v>1752</v>
      </c>
      <c r="B300" s="55" t="s">
        <v>1040</v>
      </c>
      <c r="C300" s="55" t="s">
        <v>1041</v>
      </c>
      <c r="D300" s="55" t="s">
        <v>1275</v>
      </c>
      <c r="E300" s="55" t="s">
        <v>1276</v>
      </c>
      <c r="F300" s="55" t="s">
        <v>768</v>
      </c>
      <c r="G300" s="55" t="s">
        <v>1453</v>
      </c>
      <c r="H300" s="55">
        <v>88</v>
      </c>
      <c r="I300" s="57">
        <v>91</v>
      </c>
      <c r="J300" s="57" t="s">
        <v>62</v>
      </c>
    </row>
    <row r="301" spans="1:10" ht="15" customHeight="1" x14ac:dyDescent="0.25">
      <c r="A301" s="55" t="s">
        <v>1753</v>
      </c>
      <c r="B301" s="55" t="s">
        <v>1048</v>
      </c>
      <c r="C301" s="55" t="s">
        <v>1049</v>
      </c>
      <c r="D301" s="55" t="s">
        <v>1304</v>
      </c>
      <c r="E301" s="55" t="s">
        <v>1305</v>
      </c>
      <c r="F301" s="55" t="s">
        <v>768</v>
      </c>
      <c r="G301" s="55" t="s">
        <v>1453</v>
      </c>
      <c r="H301" s="55">
        <v>90</v>
      </c>
      <c r="I301" s="57">
        <v>93</v>
      </c>
      <c r="J301" s="57" t="s">
        <v>62</v>
      </c>
    </row>
    <row r="302" spans="1:10" ht="15" customHeight="1" x14ac:dyDescent="0.25">
      <c r="A302" s="55" t="s">
        <v>1754</v>
      </c>
      <c r="B302" s="55" t="s">
        <v>1057</v>
      </c>
      <c r="C302" s="55" t="s">
        <v>1036</v>
      </c>
      <c r="D302" s="55" t="s">
        <v>1313</v>
      </c>
      <c r="E302" s="55" t="s">
        <v>1263</v>
      </c>
      <c r="F302" s="55" t="s">
        <v>768</v>
      </c>
      <c r="G302" s="55" t="s">
        <v>1453</v>
      </c>
      <c r="H302" s="55">
        <v>90</v>
      </c>
      <c r="I302" s="57">
        <v>93</v>
      </c>
      <c r="J302" s="57" t="s">
        <v>484</v>
      </c>
    </row>
    <row r="303" spans="1:10" ht="15" customHeight="1" x14ac:dyDescent="0.25">
      <c r="A303" s="55" t="s">
        <v>1755</v>
      </c>
      <c r="B303" s="55" t="s">
        <v>1057</v>
      </c>
      <c r="C303" s="55" t="s">
        <v>1036</v>
      </c>
      <c r="D303" s="55" t="s">
        <v>1316</v>
      </c>
      <c r="E303" s="55" t="s">
        <v>1184</v>
      </c>
      <c r="F303" s="55" t="s">
        <v>768</v>
      </c>
      <c r="G303" s="55" t="s">
        <v>1453</v>
      </c>
      <c r="H303" s="55">
        <v>88</v>
      </c>
      <c r="I303" s="57">
        <v>91</v>
      </c>
      <c r="J303" s="57" t="s">
        <v>484</v>
      </c>
    </row>
    <row r="304" spans="1:10" ht="15" customHeight="1" x14ac:dyDescent="0.25">
      <c r="A304" s="55" t="s">
        <v>1756</v>
      </c>
      <c r="B304" s="55" t="s">
        <v>1060</v>
      </c>
      <c r="C304" s="55" t="s">
        <v>1041</v>
      </c>
      <c r="D304" s="55" t="s">
        <v>1364</v>
      </c>
      <c r="E304" s="55" t="s">
        <v>1270</v>
      </c>
      <c r="F304" s="55" t="s">
        <v>768</v>
      </c>
      <c r="G304" s="55" t="s">
        <v>1453</v>
      </c>
      <c r="H304" s="55">
        <v>90</v>
      </c>
      <c r="I304" s="57">
        <v>93</v>
      </c>
      <c r="J304" s="57" t="s">
        <v>484</v>
      </c>
    </row>
    <row r="305" spans="1:10" ht="15" customHeight="1" x14ac:dyDescent="0.25">
      <c r="A305" s="55" t="s">
        <v>1757</v>
      </c>
      <c r="B305" s="55" t="s">
        <v>1060</v>
      </c>
      <c r="C305" s="55" t="s">
        <v>1041</v>
      </c>
      <c r="D305" s="55" t="s">
        <v>1366</v>
      </c>
      <c r="E305" s="55" t="s">
        <v>1276</v>
      </c>
      <c r="F305" s="55" t="s">
        <v>768</v>
      </c>
      <c r="G305" s="55" t="s">
        <v>1453</v>
      </c>
      <c r="H305" s="55">
        <v>88</v>
      </c>
      <c r="I305" s="57">
        <v>91</v>
      </c>
      <c r="J305" s="57" t="s">
        <v>484</v>
      </c>
    </row>
    <row r="306" spans="1:10" ht="15" customHeight="1" x14ac:dyDescent="0.25">
      <c r="A306" s="55" t="s">
        <v>1758</v>
      </c>
      <c r="B306" s="55" t="s">
        <v>1063</v>
      </c>
      <c r="C306" s="55" t="s">
        <v>1049</v>
      </c>
      <c r="D306" s="55" t="s">
        <v>1376</v>
      </c>
      <c r="E306" s="55" t="s">
        <v>1305</v>
      </c>
      <c r="F306" s="55" t="s">
        <v>768</v>
      </c>
      <c r="G306" s="55" t="s">
        <v>1453</v>
      </c>
      <c r="H306" s="55">
        <v>90</v>
      </c>
      <c r="I306" s="57">
        <v>93</v>
      </c>
      <c r="J306" s="57" t="s">
        <v>484</v>
      </c>
    </row>
    <row r="307" spans="1:10" ht="15" customHeight="1" x14ac:dyDescent="0.25">
      <c r="A307" s="55" t="s">
        <v>1759</v>
      </c>
      <c r="B307" s="55" t="s">
        <v>1066</v>
      </c>
      <c r="C307" s="55" t="s">
        <v>1036</v>
      </c>
      <c r="D307" s="55" t="s">
        <v>1407</v>
      </c>
      <c r="E307" s="55" t="s">
        <v>1184</v>
      </c>
      <c r="F307" s="55" t="s">
        <v>768</v>
      </c>
      <c r="G307" s="55" t="s">
        <v>1453</v>
      </c>
      <c r="H307" s="55">
        <v>90</v>
      </c>
      <c r="I307" s="57">
        <v>93</v>
      </c>
      <c r="J307" s="57" t="s">
        <v>786</v>
      </c>
    </row>
    <row r="308" spans="1:10" ht="15" customHeight="1" x14ac:dyDescent="0.25">
      <c r="A308" s="55" t="s">
        <v>1760</v>
      </c>
      <c r="B308" s="55" t="s">
        <v>1066</v>
      </c>
      <c r="C308" s="55" t="s">
        <v>1036</v>
      </c>
      <c r="D308" s="55" t="s">
        <v>1409</v>
      </c>
      <c r="E308" s="55" t="s">
        <v>1410</v>
      </c>
      <c r="F308" s="55" t="s">
        <v>768</v>
      </c>
      <c r="G308" s="55" t="s">
        <v>1453</v>
      </c>
      <c r="H308" s="55">
        <v>88</v>
      </c>
      <c r="I308" s="57">
        <v>91</v>
      </c>
      <c r="J308" s="57" t="s">
        <v>786</v>
      </c>
    </row>
    <row r="309" spans="1:10" ht="15" customHeight="1" x14ac:dyDescent="0.25">
      <c r="A309" s="55" t="s">
        <v>1761</v>
      </c>
      <c r="B309" s="55" t="s">
        <v>1068</v>
      </c>
      <c r="C309" s="55" t="s">
        <v>1041</v>
      </c>
      <c r="D309" s="55" t="s">
        <v>1434</v>
      </c>
      <c r="E309" s="55" t="s">
        <v>1270</v>
      </c>
      <c r="F309" s="55" t="s">
        <v>768</v>
      </c>
      <c r="G309" s="55" t="s">
        <v>1453</v>
      </c>
      <c r="H309" s="55">
        <v>90</v>
      </c>
      <c r="I309" s="57">
        <v>93</v>
      </c>
      <c r="J309" s="57" t="s">
        <v>786</v>
      </c>
    </row>
    <row r="310" spans="1:10" ht="15" customHeight="1" x14ac:dyDescent="0.25">
      <c r="A310" s="55" t="s">
        <v>1762</v>
      </c>
      <c r="B310" s="55" t="s">
        <v>1068</v>
      </c>
      <c r="C310" s="55" t="s">
        <v>1041</v>
      </c>
      <c r="D310" s="55" t="s">
        <v>1435</v>
      </c>
      <c r="E310" s="55" t="s">
        <v>1276</v>
      </c>
      <c r="F310" s="55" t="s">
        <v>768</v>
      </c>
      <c r="G310" s="55" t="s">
        <v>1453</v>
      </c>
      <c r="H310" s="55">
        <v>88</v>
      </c>
      <c r="I310" s="57">
        <v>91</v>
      </c>
      <c r="J310" s="57" t="s">
        <v>786</v>
      </c>
    </row>
    <row r="311" spans="1:10" ht="15" customHeight="1" x14ac:dyDescent="0.25">
      <c r="A311" s="55" t="s">
        <v>1763</v>
      </c>
      <c r="B311" s="55" t="s">
        <v>1070</v>
      </c>
      <c r="C311" s="55" t="s">
        <v>1049</v>
      </c>
      <c r="D311" s="55" t="s">
        <v>1444</v>
      </c>
      <c r="E311" s="55" t="s">
        <v>1305</v>
      </c>
      <c r="F311" s="55" t="s">
        <v>768</v>
      </c>
      <c r="G311" s="55" t="s">
        <v>1453</v>
      </c>
      <c r="H311" s="55">
        <v>90</v>
      </c>
      <c r="I311" s="57">
        <v>93</v>
      </c>
      <c r="J311" s="57" t="s">
        <v>786</v>
      </c>
    </row>
    <row r="312" spans="1:10" ht="15" customHeight="1" x14ac:dyDescent="0.25">
      <c r="A312" s="59" t="s">
        <v>1764</v>
      </c>
      <c r="B312" s="59" t="s">
        <v>1072</v>
      </c>
      <c r="C312" s="59" t="s">
        <v>1073</v>
      </c>
      <c r="D312" s="59" t="s">
        <v>1183</v>
      </c>
      <c r="E312" s="59" t="s">
        <v>1184</v>
      </c>
      <c r="F312" s="60" t="s">
        <v>1045</v>
      </c>
      <c r="G312" s="60" t="s">
        <v>1453</v>
      </c>
      <c r="H312" s="60">
        <v>87</v>
      </c>
      <c r="I312" s="60">
        <v>83</v>
      </c>
      <c r="J312" s="59" t="s">
        <v>62</v>
      </c>
    </row>
    <row r="313" spans="1:10" ht="15" customHeight="1" x14ac:dyDescent="0.25">
      <c r="A313" s="59" t="s">
        <v>1765</v>
      </c>
      <c r="B313" s="59" t="s">
        <v>1072</v>
      </c>
      <c r="C313" s="59" t="s">
        <v>1073</v>
      </c>
      <c r="D313" s="59" t="s">
        <v>1246</v>
      </c>
      <c r="E313" s="59" t="s">
        <v>1247</v>
      </c>
      <c r="F313" s="60" t="s">
        <v>1045</v>
      </c>
      <c r="G313" s="60" t="s">
        <v>1453</v>
      </c>
      <c r="H313" s="60">
        <v>85</v>
      </c>
      <c r="I313" s="60">
        <v>85</v>
      </c>
      <c r="J313" s="59" t="s">
        <v>62</v>
      </c>
    </row>
    <row r="314" spans="1:10" ht="15" customHeight="1" x14ac:dyDescent="0.25">
      <c r="A314" s="59" t="s">
        <v>1766</v>
      </c>
      <c r="B314" s="59" t="s">
        <v>1078</v>
      </c>
      <c r="C314" s="59" t="s">
        <v>1079</v>
      </c>
      <c r="D314" s="59" t="s">
        <v>1192</v>
      </c>
      <c r="E314" s="59" t="s">
        <v>1193</v>
      </c>
      <c r="F314" s="60" t="s">
        <v>768</v>
      </c>
      <c r="G314" s="60" t="s">
        <v>1453</v>
      </c>
      <c r="H314" s="60">
        <v>57</v>
      </c>
      <c r="I314" s="60">
        <v>56</v>
      </c>
      <c r="J314" s="59" t="s">
        <v>62</v>
      </c>
    </row>
    <row r="315" spans="1:10" ht="15" customHeight="1" x14ac:dyDescent="0.25">
      <c r="A315" s="59" t="s">
        <v>1767</v>
      </c>
      <c r="B315" s="59" t="s">
        <v>1078</v>
      </c>
      <c r="C315" s="59" t="s">
        <v>1079</v>
      </c>
      <c r="D315" s="59" t="s">
        <v>1255</v>
      </c>
      <c r="E315" s="59" t="s">
        <v>1256</v>
      </c>
      <c r="F315" s="60" t="s">
        <v>768</v>
      </c>
      <c r="G315" s="60" t="s">
        <v>1453</v>
      </c>
      <c r="H315" s="60">
        <v>54</v>
      </c>
      <c r="I315" s="60">
        <v>58</v>
      </c>
      <c r="J315" s="59" t="s">
        <v>62</v>
      </c>
    </row>
    <row r="316" spans="1:10" ht="15" customHeight="1" x14ac:dyDescent="0.25">
      <c r="A316" s="59" t="s">
        <v>1768</v>
      </c>
      <c r="B316" s="59" t="s">
        <v>1082</v>
      </c>
      <c r="C316" s="59" t="s">
        <v>1083</v>
      </c>
      <c r="D316" s="59" t="s">
        <v>1220</v>
      </c>
      <c r="E316" s="59" t="s">
        <v>1221</v>
      </c>
      <c r="F316" s="60" t="s">
        <v>1086</v>
      </c>
      <c r="G316" s="60" t="s">
        <v>1453</v>
      </c>
      <c r="H316" s="60">
        <v>66</v>
      </c>
      <c r="I316" s="60">
        <v>69</v>
      </c>
      <c r="J316" s="59" t="s">
        <v>62</v>
      </c>
    </row>
    <row r="317" spans="1:10" ht="15" customHeight="1" x14ac:dyDescent="0.25">
      <c r="A317" s="59" t="s">
        <v>1769</v>
      </c>
      <c r="B317" s="59" t="s">
        <v>1082</v>
      </c>
      <c r="C317" s="59" t="s">
        <v>1083</v>
      </c>
      <c r="D317" s="59" t="s">
        <v>1265</v>
      </c>
      <c r="E317" s="59" t="s">
        <v>1266</v>
      </c>
      <c r="F317" s="60" t="s">
        <v>1086</v>
      </c>
      <c r="G317" s="60" t="s">
        <v>1453</v>
      </c>
      <c r="H317" s="60">
        <v>76</v>
      </c>
      <c r="I317" s="60">
        <v>71</v>
      </c>
      <c r="J317" s="59" t="s">
        <v>62</v>
      </c>
    </row>
    <row r="318" spans="1:10" ht="15" customHeight="1" x14ac:dyDescent="0.25">
      <c r="A318" s="59" t="s">
        <v>1770</v>
      </c>
      <c r="B318" s="59" t="s">
        <v>1089</v>
      </c>
      <c r="C318" s="59" t="s">
        <v>1090</v>
      </c>
      <c r="D318" s="59" t="s">
        <v>1210</v>
      </c>
      <c r="E318" s="59" t="s">
        <v>1211</v>
      </c>
      <c r="F318" s="60" t="s">
        <v>75</v>
      </c>
      <c r="G318" s="60" t="s">
        <v>1453</v>
      </c>
      <c r="H318" s="60">
        <v>93</v>
      </c>
      <c r="I318" s="60">
        <v>93</v>
      </c>
      <c r="J318" s="59" t="s">
        <v>62</v>
      </c>
    </row>
    <row r="319" spans="1:10" ht="15" customHeight="1" x14ac:dyDescent="0.25">
      <c r="A319" s="59" t="s">
        <v>1771</v>
      </c>
      <c r="B319" s="59" t="s">
        <v>1089</v>
      </c>
      <c r="C319" s="59" t="s">
        <v>1090</v>
      </c>
      <c r="D319" s="59" t="s">
        <v>1265</v>
      </c>
      <c r="E319" s="59" t="s">
        <v>1266</v>
      </c>
      <c r="F319" s="60" t="s">
        <v>75</v>
      </c>
      <c r="G319" s="60" t="s">
        <v>1453</v>
      </c>
      <c r="H319" s="60">
        <v>92</v>
      </c>
      <c r="I319" s="60">
        <v>92</v>
      </c>
      <c r="J319" s="59" t="s">
        <v>62</v>
      </c>
    </row>
    <row r="320" spans="1:10" ht="15" customHeight="1" x14ac:dyDescent="0.25">
      <c r="A320" s="59" t="s">
        <v>1772</v>
      </c>
      <c r="B320" s="59" t="s">
        <v>1094</v>
      </c>
      <c r="C320" s="59" t="s">
        <v>1095</v>
      </c>
      <c r="D320" s="59" t="s">
        <v>1224</v>
      </c>
      <c r="E320" s="59" t="s">
        <v>1225</v>
      </c>
      <c r="F320" s="60" t="s">
        <v>1045</v>
      </c>
      <c r="G320" s="60" t="s">
        <v>1453</v>
      </c>
      <c r="H320" s="60">
        <v>68</v>
      </c>
      <c r="I320" s="60">
        <v>72</v>
      </c>
      <c r="J320" s="59" t="s">
        <v>62</v>
      </c>
    </row>
    <row r="321" spans="1:10" ht="15" customHeight="1" x14ac:dyDescent="0.25">
      <c r="A321" s="59" t="s">
        <v>1773</v>
      </c>
      <c r="B321" s="59" t="s">
        <v>1094</v>
      </c>
      <c r="C321" s="59" t="s">
        <v>1095</v>
      </c>
      <c r="D321" s="59" t="s">
        <v>1265</v>
      </c>
      <c r="E321" s="59" t="s">
        <v>1266</v>
      </c>
      <c r="F321" s="60" t="s">
        <v>1045</v>
      </c>
      <c r="G321" s="60" t="s">
        <v>1453</v>
      </c>
      <c r="H321" s="60">
        <v>66</v>
      </c>
      <c r="I321" s="60">
        <v>69</v>
      </c>
      <c r="J321" s="59" t="s">
        <v>62</v>
      </c>
    </row>
    <row r="322" spans="1:10" ht="15" customHeight="1" x14ac:dyDescent="0.25">
      <c r="A322" s="59" t="s">
        <v>1774</v>
      </c>
      <c r="B322" s="59" t="s">
        <v>1099</v>
      </c>
      <c r="C322" s="59" t="s">
        <v>1100</v>
      </c>
      <c r="D322" s="59" t="s">
        <v>1196</v>
      </c>
      <c r="E322" s="59" t="s">
        <v>1197</v>
      </c>
      <c r="F322" s="60" t="s">
        <v>75</v>
      </c>
      <c r="G322" s="60" t="s">
        <v>1497</v>
      </c>
      <c r="H322" s="60">
        <v>47</v>
      </c>
      <c r="I322" s="60">
        <v>42</v>
      </c>
      <c r="J322" s="59" t="s">
        <v>62</v>
      </c>
    </row>
    <row r="323" spans="1:10" ht="15" customHeight="1" x14ac:dyDescent="0.25">
      <c r="A323" s="59" t="s">
        <v>1775</v>
      </c>
      <c r="B323" s="59" t="s">
        <v>1099</v>
      </c>
      <c r="C323" s="59" t="s">
        <v>1100</v>
      </c>
      <c r="D323" s="59" t="s">
        <v>1192</v>
      </c>
      <c r="E323" s="59" t="s">
        <v>1193</v>
      </c>
      <c r="F323" s="60" t="s">
        <v>75</v>
      </c>
      <c r="G323" s="60" t="s">
        <v>1453</v>
      </c>
      <c r="H323" s="60">
        <v>44</v>
      </c>
      <c r="I323" s="60">
        <v>44</v>
      </c>
      <c r="J323" s="59" t="s">
        <v>62</v>
      </c>
    </row>
    <row r="324" spans="1:10" ht="15" customHeight="1" x14ac:dyDescent="0.25">
      <c r="A324" s="59" t="s">
        <v>1776</v>
      </c>
      <c r="B324" s="59" t="s">
        <v>1104</v>
      </c>
      <c r="C324" s="59" t="s">
        <v>1105</v>
      </c>
      <c r="D324" s="59" t="s">
        <v>1201</v>
      </c>
      <c r="E324" s="59" t="s">
        <v>1202</v>
      </c>
      <c r="F324" s="60" t="s">
        <v>768</v>
      </c>
      <c r="G324" s="60" t="s">
        <v>1453</v>
      </c>
      <c r="H324" s="60">
        <v>82</v>
      </c>
      <c r="I324" s="60">
        <v>82</v>
      </c>
      <c r="J324" s="59" t="s">
        <v>62</v>
      </c>
    </row>
    <row r="325" spans="1:10" ht="15" customHeight="1" x14ac:dyDescent="0.25">
      <c r="A325" s="59" t="s">
        <v>1777</v>
      </c>
      <c r="B325" s="59" t="s">
        <v>1104</v>
      </c>
      <c r="C325" s="59" t="s">
        <v>1105</v>
      </c>
      <c r="D325" s="59" t="s">
        <v>1205</v>
      </c>
      <c r="E325" s="59" t="s">
        <v>1206</v>
      </c>
      <c r="F325" s="60" t="s">
        <v>768</v>
      </c>
      <c r="G325" s="60" t="s">
        <v>1453</v>
      </c>
      <c r="H325" s="60">
        <v>80</v>
      </c>
      <c r="I325" s="60">
        <v>83</v>
      </c>
      <c r="J325" s="59" t="s">
        <v>62</v>
      </c>
    </row>
    <row r="326" spans="1:10" ht="15" customHeight="1" x14ac:dyDescent="0.25">
      <c r="A326" s="59" t="s">
        <v>1778</v>
      </c>
      <c r="B326" s="59" t="s">
        <v>1110</v>
      </c>
      <c r="C326" s="59" t="s">
        <v>1111</v>
      </c>
      <c r="D326" s="59" t="s">
        <v>1246</v>
      </c>
      <c r="E326" s="59" t="s">
        <v>1247</v>
      </c>
      <c r="F326" s="60" t="s">
        <v>1086</v>
      </c>
      <c r="G326" s="60" t="s">
        <v>1453</v>
      </c>
      <c r="H326" s="60">
        <v>65</v>
      </c>
      <c r="I326" s="60">
        <v>69</v>
      </c>
      <c r="J326" s="59" t="s">
        <v>62</v>
      </c>
    </row>
    <row r="327" spans="1:10" ht="15" customHeight="1" x14ac:dyDescent="0.25">
      <c r="A327" s="59" t="s">
        <v>1779</v>
      </c>
      <c r="B327" s="59" t="s">
        <v>1110</v>
      </c>
      <c r="C327" s="59" t="s">
        <v>1111</v>
      </c>
      <c r="D327" s="59" t="s">
        <v>1188</v>
      </c>
      <c r="E327" s="59" t="s">
        <v>1189</v>
      </c>
      <c r="F327" s="60" t="s">
        <v>1086</v>
      </c>
      <c r="G327" s="60" t="s">
        <v>1453</v>
      </c>
      <c r="H327" s="60">
        <v>75</v>
      </c>
      <c r="I327" s="60">
        <v>71</v>
      </c>
      <c r="J327" s="59" t="s">
        <v>62</v>
      </c>
    </row>
    <row r="328" spans="1:10" ht="15" customHeight="1" x14ac:dyDescent="0.25">
      <c r="A328" s="59" t="s">
        <v>1780</v>
      </c>
      <c r="B328" s="59" t="s">
        <v>1115</v>
      </c>
      <c r="C328" s="59" t="s">
        <v>1116</v>
      </c>
      <c r="D328" s="59" t="s">
        <v>1220</v>
      </c>
      <c r="E328" s="59" t="s">
        <v>1221</v>
      </c>
      <c r="F328" s="60" t="s">
        <v>75</v>
      </c>
      <c r="G328" s="60" t="s">
        <v>107</v>
      </c>
      <c r="H328" s="60">
        <v>93</v>
      </c>
      <c r="I328" s="60">
        <v>93</v>
      </c>
      <c r="J328" s="59" t="s">
        <v>62</v>
      </c>
    </row>
    <row r="329" spans="1:10" ht="15" customHeight="1" x14ac:dyDescent="0.25">
      <c r="A329" s="59" t="s">
        <v>1781</v>
      </c>
      <c r="B329" s="59" t="s">
        <v>1115</v>
      </c>
      <c r="C329" s="59" t="s">
        <v>1116</v>
      </c>
      <c r="D329" s="59" t="s">
        <v>1265</v>
      </c>
      <c r="E329" s="59" t="s">
        <v>1266</v>
      </c>
      <c r="F329" s="60" t="s">
        <v>75</v>
      </c>
      <c r="G329" s="60" t="s">
        <v>107</v>
      </c>
      <c r="H329" s="60">
        <v>91</v>
      </c>
      <c r="I329" s="60">
        <v>91</v>
      </c>
      <c r="J329" s="59" t="s">
        <v>62</v>
      </c>
    </row>
    <row r="330" spans="1:10" ht="15" customHeight="1" x14ac:dyDescent="0.25">
      <c r="A330" s="59" t="s">
        <v>1782</v>
      </c>
      <c r="B330" s="59" t="s">
        <v>1120</v>
      </c>
      <c r="C330" s="59" t="s">
        <v>1121</v>
      </c>
      <c r="D330" s="59" t="s">
        <v>1237</v>
      </c>
      <c r="E330" s="59" t="s">
        <v>1238</v>
      </c>
      <c r="F330" s="60" t="s">
        <v>1045</v>
      </c>
      <c r="G330" s="60" t="s">
        <v>1453</v>
      </c>
      <c r="H330" s="60">
        <v>53</v>
      </c>
      <c r="I330" s="60">
        <v>57</v>
      </c>
      <c r="J330" s="59" t="s">
        <v>62</v>
      </c>
    </row>
    <row r="331" spans="1:10" ht="15" customHeight="1" x14ac:dyDescent="0.25">
      <c r="A331" s="59" t="s">
        <v>1783</v>
      </c>
      <c r="B331" s="59" t="s">
        <v>1120</v>
      </c>
      <c r="C331" s="59" t="s">
        <v>1121</v>
      </c>
      <c r="D331" s="59" t="s">
        <v>1242</v>
      </c>
      <c r="E331" s="59" t="s">
        <v>1243</v>
      </c>
      <c r="F331" s="60" t="s">
        <v>1045</v>
      </c>
      <c r="G331" s="60" t="s">
        <v>1453</v>
      </c>
      <c r="H331" s="60">
        <v>50</v>
      </c>
      <c r="I331" s="60">
        <v>54</v>
      </c>
      <c r="J331" s="59" t="s">
        <v>62</v>
      </c>
    </row>
    <row r="332" spans="1:10" ht="15" customHeight="1" x14ac:dyDescent="0.25">
      <c r="A332" s="59" t="s">
        <v>1784</v>
      </c>
      <c r="B332" s="59" t="s">
        <v>1125</v>
      </c>
      <c r="C332" s="59" t="s">
        <v>1126</v>
      </c>
      <c r="D332" s="59" t="s">
        <v>1228</v>
      </c>
      <c r="E332" s="59" t="s">
        <v>1229</v>
      </c>
      <c r="F332" s="60" t="s">
        <v>768</v>
      </c>
      <c r="G332" s="60" t="s">
        <v>1453</v>
      </c>
      <c r="H332" s="60">
        <v>86</v>
      </c>
      <c r="I332" s="60">
        <v>82</v>
      </c>
      <c r="J332" s="59" t="s">
        <v>62</v>
      </c>
    </row>
    <row r="333" spans="1:10" ht="15" customHeight="1" x14ac:dyDescent="0.25">
      <c r="A333" s="59" t="s">
        <v>1785</v>
      </c>
      <c r="B333" s="59" t="s">
        <v>1125</v>
      </c>
      <c r="C333" s="59" t="s">
        <v>1126</v>
      </c>
      <c r="D333" s="59" t="s">
        <v>1265</v>
      </c>
      <c r="E333" s="59" t="s">
        <v>1266</v>
      </c>
      <c r="F333" s="60" t="s">
        <v>768</v>
      </c>
      <c r="G333" s="60" t="s">
        <v>1453</v>
      </c>
      <c r="H333" s="60">
        <v>84</v>
      </c>
      <c r="I333" s="60">
        <v>84</v>
      </c>
      <c r="J333" s="59" t="s">
        <v>62</v>
      </c>
    </row>
    <row r="334" spans="1:10" ht="15" customHeight="1" x14ac:dyDescent="0.25">
      <c r="A334" s="59" t="s">
        <v>1786</v>
      </c>
      <c r="B334" s="59" t="s">
        <v>1130</v>
      </c>
      <c r="C334" s="59" t="s">
        <v>1131</v>
      </c>
      <c r="D334" s="59" t="s">
        <v>1237</v>
      </c>
      <c r="E334" s="59" t="s">
        <v>1238</v>
      </c>
      <c r="F334" s="60" t="s">
        <v>1086</v>
      </c>
      <c r="G334" s="60" t="s">
        <v>1453</v>
      </c>
      <c r="H334" s="60">
        <v>55</v>
      </c>
      <c r="I334" s="60">
        <v>55</v>
      </c>
      <c r="J334" s="59" t="s">
        <v>62</v>
      </c>
    </row>
    <row r="335" spans="1:10" ht="15" customHeight="1" x14ac:dyDescent="0.25">
      <c r="A335" s="59" t="s">
        <v>1787</v>
      </c>
      <c r="B335" s="59" t="s">
        <v>1130</v>
      </c>
      <c r="C335" s="59" t="s">
        <v>1131</v>
      </c>
      <c r="D335" s="59" t="s">
        <v>1242</v>
      </c>
      <c r="E335" s="59" t="s">
        <v>1243</v>
      </c>
      <c r="F335" s="60" t="s">
        <v>1086</v>
      </c>
      <c r="G335" s="60" t="s">
        <v>1453</v>
      </c>
      <c r="H335" s="60">
        <v>53</v>
      </c>
      <c r="I335" s="60">
        <v>57</v>
      </c>
      <c r="J335" s="59" t="s">
        <v>62</v>
      </c>
    </row>
    <row r="336" spans="1:10" ht="15" customHeight="1" x14ac:dyDescent="0.25">
      <c r="A336" s="59" t="s">
        <v>1788</v>
      </c>
      <c r="B336" s="59" t="s">
        <v>1135</v>
      </c>
      <c r="C336" s="59" t="s">
        <v>1136</v>
      </c>
      <c r="D336" s="59" t="s">
        <v>1215</v>
      </c>
      <c r="E336" s="59" t="s">
        <v>1216</v>
      </c>
      <c r="F336" s="60" t="s">
        <v>1045</v>
      </c>
      <c r="G336" s="60" t="s">
        <v>1453</v>
      </c>
      <c r="H336" s="60">
        <v>96</v>
      </c>
      <c r="I336" s="60">
        <v>93</v>
      </c>
      <c r="J336" s="59" t="s">
        <v>62</v>
      </c>
    </row>
    <row r="337" spans="1:10" ht="15" customHeight="1" x14ac:dyDescent="0.25">
      <c r="A337" s="59" t="s">
        <v>1789</v>
      </c>
      <c r="B337" s="59" t="s">
        <v>1135</v>
      </c>
      <c r="C337" s="59" t="s">
        <v>1136</v>
      </c>
      <c r="D337" s="59" t="s">
        <v>1237</v>
      </c>
      <c r="E337" s="59" t="s">
        <v>1238</v>
      </c>
      <c r="F337" s="60" t="s">
        <v>1045</v>
      </c>
      <c r="G337" s="60" t="s">
        <v>1453</v>
      </c>
      <c r="H337" s="60">
        <v>94</v>
      </c>
      <c r="I337" s="60">
        <v>91</v>
      </c>
      <c r="J337" s="59" t="s">
        <v>62</v>
      </c>
    </row>
    <row r="338" spans="1:10" ht="15" customHeight="1" x14ac:dyDescent="0.25">
      <c r="A338" s="59" t="s">
        <v>1790</v>
      </c>
      <c r="B338" s="59" t="s">
        <v>1140</v>
      </c>
      <c r="C338" s="59" t="s">
        <v>1141</v>
      </c>
      <c r="D338" s="59" t="s">
        <v>1228</v>
      </c>
      <c r="E338" s="59" t="s">
        <v>1229</v>
      </c>
      <c r="F338" s="60" t="s">
        <v>75</v>
      </c>
      <c r="G338" s="60" t="s">
        <v>1453</v>
      </c>
      <c r="H338" s="60">
        <v>72</v>
      </c>
      <c r="I338" s="60">
        <v>71</v>
      </c>
      <c r="J338" s="59" t="s">
        <v>62</v>
      </c>
    </row>
    <row r="339" spans="1:10" ht="15" customHeight="1" x14ac:dyDescent="0.25">
      <c r="A339" s="59" t="s">
        <v>1791</v>
      </c>
      <c r="B339" s="59" t="s">
        <v>1140</v>
      </c>
      <c r="C339" s="59" t="s">
        <v>1141</v>
      </c>
      <c r="D339" s="59" t="s">
        <v>1265</v>
      </c>
      <c r="E339" s="59" t="s">
        <v>1266</v>
      </c>
      <c r="F339" s="60" t="s">
        <v>75</v>
      </c>
      <c r="G339" s="60" t="s">
        <v>1453</v>
      </c>
      <c r="H339" s="60">
        <v>69</v>
      </c>
      <c r="I339" s="60">
        <v>69</v>
      </c>
      <c r="J339" s="59" t="s">
        <v>62</v>
      </c>
    </row>
    <row r="340" spans="1:10" ht="15" customHeight="1" x14ac:dyDescent="0.25">
      <c r="A340" s="59" t="s">
        <v>1792</v>
      </c>
      <c r="B340" s="59" t="s">
        <v>1145</v>
      </c>
      <c r="C340" s="59" t="s">
        <v>1146</v>
      </c>
      <c r="D340" s="59" t="s">
        <v>1250</v>
      </c>
      <c r="E340" s="59" t="s">
        <v>1251</v>
      </c>
      <c r="F340" s="60" t="s">
        <v>1045</v>
      </c>
      <c r="G340" s="60" t="s">
        <v>1453</v>
      </c>
      <c r="H340" s="60">
        <v>52</v>
      </c>
      <c r="I340" s="60">
        <v>56</v>
      </c>
      <c r="J340" s="59" t="s">
        <v>62</v>
      </c>
    </row>
    <row r="341" spans="1:10" ht="15" customHeight="1" x14ac:dyDescent="0.25">
      <c r="A341" s="59" t="s">
        <v>1793</v>
      </c>
      <c r="B341" s="59" t="s">
        <v>1145</v>
      </c>
      <c r="C341" s="59" t="s">
        <v>1146</v>
      </c>
      <c r="D341" s="59" t="s">
        <v>1242</v>
      </c>
      <c r="E341" s="59" t="s">
        <v>1243</v>
      </c>
      <c r="F341" s="60" t="s">
        <v>1045</v>
      </c>
      <c r="G341" s="60" t="s">
        <v>1453</v>
      </c>
      <c r="H341" s="60">
        <v>63</v>
      </c>
      <c r="I341" s="60">
        <v>58</v>
      </c>
      <c r="J341" s="59" t="s">
        <v>62</v>
      </c>
    </row>
    <row r="342" spans="1:10" ht="15" customHeight="1" x14ac:dyDescent="0.25">
      <c r="A342" s="59" t="s">
        <v>1794</v>
      </c>
      <c r="B342" s="59" t="s">
        <v>1150</v>
      </c>
      <c r="C342" s="59" t="s">
        <v>1151</v>
      </c>
      <c r="D342" s="59" t="s">
        <v>1255</v>
      </c>
      <c r="E342" s="59" t="s">
        <v>1256</v>
      </c>
      <c r="F342" s="60" t="s">
        <v>768</v>
      </c>
      <c r="G342" s="60" t="s">
        <v>1453</v>
      </c>
      <c r="H342" s="60">
        <v>85</v>
      </c>
      <c r="I342" s="60">
        <v>82</v>
      </c>
      <c r="J342" s="59" t="s">
        <v>62</v>
      </c>
    </row>
    <row r="343" spans="1:10" ht="15" customHeight="1" x14ac:dyDescent="0.25">
      <c r="A343" s="59" t="s">
        <v>1795</v>
      </c>
      <c r="B343" s="59" t="s">
        <v>1150</v>
      </c>
      <c r="C343" s="59" t="s">
        <v>1151</v>
      </c>
      <c r="D343" s="59" t="s">
        <v>1196</v>
      </c>
      <c r="E343" s="59" t="s">
        <v>1197</v>
      </c>
      <c r="F343" s="60" t="s">
        <v>768</v>
      </c>
      <c r="G343" s="60" t="s">
        <v>1453</v>
      </c>
      <c r="H343" s="60">
        <v>84</v>
      </c>
      <c r="I343" s="60">
        <v>83</v>
      </c>
      <c r="J343" s="59" t="s">
        <v>62</v>
      </c>
    </row>
    <row r="344" spans="1:10" ht="15" customHeight="1" x14ac:dyDescent="0.25">
      <c r="A344" s="59" t="s">
        <v>1796</v>
      </c>
      <c r="B344" s="59" t="s">
        <v>1155</v>
      </c>
      <c r="C344" s="59" t="s">
        <v>1156</v>
      </c>
      <c r="D344" s="59" t="s">
        <v>1201</v>
      </c>
      <c r="E344" s="59" t="s">
        <v>1202</v>
      </c>
      <c r="F344" s="60" t="s">
        <v>1086</v>
      </c>
      <c r="G344" s="60" t="s">
        <v>1453</v>
      </c>
      <c r="H344" s="60">
        <v>69</v>
      </c>
      <c r="I344" s="60">
        <v>73</v>
      </c>
      <c r="J344" s="59" t="s">
        <v>62</v>
      </c>
    </row>
    <row r="345" spans="1:10" ht="15" customHeight="1" x14ac:dyDescent="0.25">
      <c r="A345" s="59" t="s">
        <v>1797</v>
      </c>
      <c r="B345" s="59" t="s">
        <v>1155</v>
      </c>
      <c r="C345" s="59" t="s">
        <v>1156</v>
      </c>
      <c r="D345" s="59" t="s">
        <v>1205</v>
      </c>
      <c r="E345" s="59" t="s">
        <v>1206</v>
      </c>
      <c r="F345" s="60" t="s">
        <v>1086</v>
      </c>
      <c r="G345" s="60" t="s">
        <v>1453</v>
      </c>
      <c r="H345" s="60">
        <v>67</v>
      </c>
      <c r="I345" s="60">
        <v>70</v>
      </c>
      <c r="J345" s="59" t="s">
        <v>62</v>
      </c>
    </row>
    <row r="346" spans="1:10" ht="15" customHeight="1" x14ac:dyDescent="0.25">
      <c r="A346" s="59" t="s">
        <v>1798</v>
      </c>
      <c r="B346" s="59" t="s">
        <v>1160</v>
      </c>
      <c r="C346" s="59" t="s">
        <v>1161</v>
      </c>
      <c r="D346" s="59" t="s">
        <v>1233</v>
      </c>
      <c r="E346" s="59" t="s">
        <v>1234</v>
      </c>
      <c r="F346" s="60" t="s">
        <v>75</v>
      </c>
      <c r="G346" s="60" t="s">
        <v>1453</v>
      </c>
      <c r="H346" s="60">
        <v>63</v>
      </c>
      <c r="I346" s="60">
        <v>58</v>
      </c>
      <c r="J346" s="59" t="s">
        <v>62</v>
      </c>
    </row>
    <row r="347" spans="1:10" ht="15" customHeight="1" x14ac:dyDescent="0.25">
      <c r="A347" s="59" t="s">
        <v>1799</v>
      </c>
      <c r="B347" s="59" t="s">
        <v>1160</v>
      </c>
      <c r="C347" s="59" t="s">
        <v>1161</v>
      </c>
      <c r="D347" s="59" t="s">
        <v>1265</v>
      </c>
      <c r="E347" s="59" t="s">
        <v>1266</v>
      </c>
      <c r="F347" s="60" t="s">
        <v>75</v>
      </c>
      <c r="G347" s="60" t="s">
        <v>1453</v>
      </c>
      <c r="H347" s="60">
        <v>60</v>
      </c>
      <c r="I347" s="60">
        <v>60</v>
      </c>
      <c r="J347" s="59" t="s">
        <v>62</v>
      </c>
    </row>
    <row r="348" spans="1:10" ht="15" customHeight="1" x14ac:dyDescent="0.25">
      <c r="A348" s="59" t="s">
        <v>1800</v>
      </c>
      <c r="B348" s="59" t="s">
        <v>1165</v>
      </c>
      <c r="C348" s="59" t="s">
        <v>1166</v>
      </c>
      <c r="D348" s="59" t="s">
        <v>1220</v>
      </c>
      <c r="E348" s="59" t="s">
        <v>1221</v>
      </c>
      <c r="F348" s="60" t="s">
        <v>1045</v>
      </c>
      <c r="G348" s="60" t="s">
        <v>1453</v>
      </c>
      <c r="H348" s="60">
        <v>83</v>
      </c>
      <c r="I348" s="60">
        <v>83</v>
      </c>
      <c r="J348" s="59" t="s">
        <v>62</v>
      </c>
    </row>
    <row r="349" spans="1:10" ht="15" customHeight="1" x14ac:dyDescent="0.25">
      <c r="A349" s="59" t="s">
        <v>1801</v>
      </c>
      <c r="B349" s="59" t="s">
        <v>1165</v>
      </c>
      <c r="C349" s="59" t="s">
        <v>1166</v>
      </c>
      <c r="D349" s="59" t="s">
        <v>1265</v>
      </c>
      <c r="E349" s="59" t="s">
        <v>1266</v>
      </c>
      <c r="F349" s="60" t="s">
        <v>1045</v>
      </c>
      <c r="G349" s="60" t="s">
        <v>1453</v>
      </c>
      <c r="H349" s="60">
        <v>81</v>
      </c>
      <c r="I349" s="60">
        <v>84</v>
      </c>
      <c r="J349" s="59" t="s">
        <v>62</v>
      </c>
    </row>
    <row r="350" spans="1:10" ht="15" customHeight="1" x14ac:dyDescent="0.25">
      <c r="A350" s="59" t="s">
        <v>1802</v>
      </c>
      <c r="B350" s="59" t="s">
        <v>1170</v>
      </c>
      <c r="C350" s="59" t="s">
        <v>1171</v>
      </c>
      <c r="D350" s="59" t="s">
        <v>1246</v>
      </c>
      <c r="E350" s="59" t="s">
        <v>1247</v>
      </c>
      <c r="F350" s="60" t="s">
        <v>1045</v>
      </c>
      <c r="G350" s="60" t="s">
        <v>1453</v>
      </c>
      <c r="H350" s="60">
        <v>36</v>
      </c>
      <c r="I350" s="60">
        <v>40</v>
      </c>
      <c r="J350" s="59" t="s">
        <v>62</v>
      </c>
    </row>
    <row r="351" spans="1:10" ht="15" customHeight="1" x14ac:dyDescent="0.25">
      <c r="A351" s="59" t="s">
        <v>1803</v>
      </c>
      <c r="B351" s="59" t="s">
        <v>1170</v>
      </c>
      <c r="C351" s="59" t="s">
        <v>1171</v>
      </c>
      <c r="D351" s="59" t="s">
        <v>1188</v>
      </c>
      <c r="E351" s="59" t="s">
        <v>1189</v>
      </c>
      <c r="F351" s="60" t="s">
        <v>1045</v>
      </c>
      <c r="G351" s="60" t="s">
        <v>1453</v>
      </c>
      <c r="H351" s="60">
        <v>48</v>
      </c>
      <c r="I351" s="60">
        <v>43</v>
      </c>
      <c r="J351" s="59" t="s">
        <v>62</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79"/>
  <sheetViews>
    <sheetView showGridLines="0" zoomScaleNormal="100" workbookViewId="0">
      <pane ySplit="1" topLeftCell="A2" activePane="bottomLeft" state="frozen"/>
      <selection pane="bottomLeft"/>
    </sheetView>
  </sheetViews>
  <sheetFormatPr defaultColWidth="8.7109375" defaultRowHeight="15" x14ac:dyDescent="0.25"/>
  <cols>
    <col min="1" max="1" width="12" customWidth="1"/>
    <col min="2" max="2" width="16" customWidth="1"/>
    <col min="3" max="3" width="22" customWidth="1"/>
    <col min="4" max="9" width="10" customWidth="1"/>
    <col min="10" max="10" width="12" customWidth="1"/>
  </cols>
  <sheetData>
    <row r="1" spans="1:11" ht="30" customHeight="1" x14ac:dyDescent="0.25">
      <c r="A1" s="54" t="s">
        <v>1804</v>
      </c>
      <c r="B1" s="54" t="s">
        <v>0</v>
      </c>
      <c r="C1" s="54" t="s">
        <v>1447</v>
      </c>
      <c r="D1" s="54" t="s">
        <v>1175</v>
      </c>
      <c r="E1" s="54" t="s">
        <v>1805</v>
      </c>
      <c r="F1" s="54" t="s">
        <v>1806</v>
      </c>
      <c r="G1" s="54" t="s">
        <v>1807</v>
      </c>
      <c r="H1" s="54" t="s">
        <v>1808</v>
      </c>
      <c r="I1" s="54" t="s">
        <v>1809</v>
      </c>
      <c r="J1" s="54" t="s">
        <v>1810</v>
      </c>
      <c r="K1" s="54" t="s">
        <v>35</v>
      </c>
    </row>
    <row r="2" spans="1:11" ht="15" customHeight="1" x14ac:dyDescent="0.25">
      <c r="A2" s="55" t="s">
        <v>1811</v>
      </c>
      <c r="B2" s="55" t="s">
        <v>40</v>
      </c>
      <c r="C2" s="55" t="s">
        <v>41</v>
      </c>
      <c r="D2" s="55" t="s">
        <v>1183</v>
      </c>
      <c r="E2" s="55">
        <v>85</v>
      </c>
      <c r="F2" s="55">
        <v>88</v>
      </c>
      <c r="G2" s="55">
        <v>82</v>
      </c>
      <c r="H2" s="55"/>
      <c r="I2" s="55"/>
      <c r="J2" s="55" t="s">
        <v>1812</v>
      </c>
      <c r="K2" s="55" t="s">
        <v>62</v>
      </c>
    </row>
    <row r="3" spans="1:11" ht="15" customHeight="1" x14ac:dyDescent="0.25">
      <c r="A3" s="56" t="s">
        <v>1813</v>
      </c>
      <c r="B3" s="56" t="s">
        <v>40</v>
      </c>
      <c r="C3" s="56" t="s">
        <v>41</v>
      </c>
      <c r="D3" s="56" t="s">
        <v>1188</v>
      </c>
      <c r="E3" s="56">
        <v>90</v>
      </c>
      <c r="F3" s="56">
        <v>87</v>
      </c>
      <c r="G3" s="56">
        <v>88</v>
      </c>
      <c r="H3" s="56"/>
      <c r="I3" s="56"/>
      <c r="J3" s="56" t="s">
        <v>1812</v>
      </c>
      <c r="K3" s="56" t="s">
        <v>62</v>
      </c>
    </row>
    <row r="4" spans="1:11" ht="15" customHeight="1" x14ac:dyDescent="0.25">
      <c r="A4" s="55" t="s">
        <v>1814</v>
      </c>
      <c r="B4" s="55" t="s">
        <v>40</v>
      </c>
      <c r="C4" s="55" t="s">
        <v>41</v>
      </c>
      <c r="D4" s="55" t="s">
        <v>1237</v>
      </c>
      <c r="E4" s="55">
        <v>78</v>
      </c>
      <c r="F4" s="55">
        <v>80</v>
      </c>
      <c r="G4" s="55">
        <v>75</v>
      </c>
      <c r="H4" s="55"/>
      <c r="I4" s="55"/>
      <c r="J4" s="55" t="s">
        <v>1812</v>
      </c>
      <c r="K4" s="55" t="s">
        <v>62</v>
      </c>
    </row>
    <row r="5" spans="1:11" ht="15" customHeight="1" x14ac:dyDescent="0.25">
      <c r="A5" s="56" t="s">
        <v>1815</v>
      </c>
      <c r="B5" s="56" t="s">
        <v>40</v>
      </c>
      <c r="C5" s="56" t="s">
        <v>41</v>
      </c>
      <c r="D5" s="56" t="s">
        <v>1265</v>
      </c>
      <c r="E5" s="56">
        <v>92</v>
      </c>
      <c r="F5" s="56">
        <v>91</v>
      </c>
      <c r="G5" s="56">
        <v>90</v>
      </c>
      <c r="H5" s="56"/>
      <c r="I5" s="56"/>
      <c r="J5" s="56" t="s">
        <v>1816</v>
      </c>
      <c r="K5" s="56" t="s">
        <v>62</v>
      </c>
    </row>
    <row r="6" spans="1:11" ht="15" customHeight="1" x14ac:dyDescent="0.25">
      <c r="A6" s="55" t="s">
        <v>1817</v>
      </c>
      <c r="B6" s="55" t="s">
        <v>96</v>
      </c>
      <c r="C6" s="55" t="s">
        <v>97</v>
      </c>
      <c r="D6" s="55" t="s">
        <v>1220</v>
      </c>
      <c r="E6" s="55">
        <v>94</v>
      </c>
      <c r="F6" s="55">
        <v>93</v>
      </c>
      <c r="G6" s="55">
        <v>91</v>
      </c>
      <c r="H6" s="55">
        <v>95</v>
      </c>
      <c r="I6" s="55">
        <v>93</v>
      </c>
      <c r="J6" s="55" t="s">
        <v>1816</v>
      </c>
      <c r="K6" s="55" t="s">
        <v>62</v>
      </c>
    </row>
    <row r="7" spans="1:11" ht="15" customHeight="1" x14ac:dyDescent="0.25">
      <c r="A7" s="56" t="s">
        <v>1818</v>
      </c>
      <c r="B7" s="56" t="s">
        <v>96</v>
      </c>
      <c r="C7" s="56" t="s">
        <v>97</v>
      </c>
      <c r="D7" s="56" t="s">
        <v>1215</v>
      </c>
      <c r="E7" s="56">
        <v>91</v>
      </c>
      <c r="F7" s="56">
        <v>90</v>
      </c>
      <c r="G7" s="56">
        <v>88</v>
      </c>
      <c r="H7" s="56">
        <v>91</v>
      </c>
      <c r="I7" s="56">
        <v>90</v>
      </c>
      <c r="J7" s="56" t="s">
        <v>1816</v>
      </c>
      <c r="K7" s="56" t="s">
        <v>62</v>
      </c>
    </row>
    <row r="8" spans="1:11" ht="15" customHeight="1" x14ac:dyDescent="0.25">
      <c r="A8" s="55" t="s">
        <v>1819</v>
      </c>
      <c r="B8" s="55" t="s">
        <v>111</v>
      </c>
      <c r="C8" s="55" t="s">
        <v>112</v>
      </c>
      <c r="D8" s="55" t="s">
        <v>1237</v>
      </c>
      <c r="E8" s="55">
        <v>52</v>
      </c>
      <c r="F8" s="55">
        <v>55</v>
      </c>
      <c r="G8" s="55">
        <v>48</v>
      </c>
      <c r="H8" s="55"/>
      <c r="I8" s="55"/>
      <c r="J8" s="55" t="s">
        <v>1820</v>
      </c>
      <c r="K8" s="55" t="s">
        <v>62</v>
      </c>
    </row>
    <row r="9" spans="1:11" ht="15" customHeight="1" x14ac:dyDescent="0.25">
      <c r="A9" s="56" t="s">
        <v>1821</v>
      </c>
      <c r="B9" s="56" t="s">
        <v>213</v>
      </c>
      <c r="C9" s="56" t="s">
        <v>214</v>
      </c>
      <c r="D9" s="56" t="s">
        <v>1183</v>
      </c>
      <c r="E9" s="56">
        <v>97</v>
      </c>
      <c r="F9" s="56">
        <v>96</v>
      </c>
      <c r="G9" s="56">
        <v>95</v>
      </c>
      <c r="H9" s="56"/>
      <c r="I9" s="56"/>
      <c r="J9" s="56" t="s">
        <v>1816</v>
      </c>
      <c r="K9" s="56" t="s">
        <v>62</v>
      </c>
    </row>
    <row r="10" spans="1:11" ht="15" customHeight="1" x14ac:dyDescent="0.25">
      <c r="A10" s="55" t="s">
        <v>1822</v>
      </c>
      <c r="B10" s="55" t="s">
        <v>188</v>
      </c>
      <c r="C10" s="55" t="s">
        <v>189</v>
      </c>
      <c r="D10" s="55" t="s">
        <v>1215</v>
      </c>
      <c r="E10" s="55">
        <v>48</v>
      </c>
      <c r="F10" s="55">
        <v>46</v>
      </c>
      <c r="G10" s="55">
        <v>45</v>
      </c>
      <c r="H10" s="55"/>
      <c r="I10" s="55"/>
      <c r="J10" s="55" t="s">
        <v>1823</v>
      </c>
      <c r="K10" s="55" t="s">
        <v>62</v>
      </c>
    </row>
    <row r="11" spans="1:11" ht="15" customHeight="1" x14ac:dyDescent="0.25">
      <c r="A11" s="56" t="s">
        <v>1824</v>
      </c>
      <c r="B11" s="56" t="s">
        <v>231</v>
      </c>
      <c r="C11" s="56" t="s">
        <v>232</v>
      </c>
      <c r="D11" s="56" t="s">
        <v>1210</v>
      </c>
      <c r="E11" s="56">
        <v>86</v>
      </c>
      <c r="F11" s="56">
        <v>85</v>
      </c>
      <c r="G11" s="56">
        <v>84</v>
      </c>
      <c r="H11" s="56"/>
      <c r="I11" s="56"/>
      <c r="J11" s="56" t="s">
        <v>1812</v>
      </c>
      <c r="K11" s="56" t="s">
        <v>62</v>
      </c>
    </row>
    <row r="12" spans="1:11" ht="15" customHeight="1" x14ac:dyDescent="0.25">
      <c r="A12" s="55" t="s">
        <v>1825</v>
      </c>
      <c r="B12" s="55" t="s">
        <v>198</v>
      </c>
      <c r="C12" s="55" t="s">
        <v>199</v>
      </c>
      <c r="D12" s="55" t="s">
        <v>1233</v>
      </c>
      <c r="E12" s="55">
        <v>91</v>
      </c>
      <c r="F12" s="55">
        <v>90</v>
      </c>
      <c r="G12" s="55">
        <v>89</v>
      </c>
      <c r="H12" s="55"/>
      <c r="I12" s="55"/>
      <c r="J12" s="55" t="s">
        <v>1816</v>
      </c>
      <c r="K12" s="55" t="s">
        <v>62</v>
      </c>
    </row>
    <row r="13" spans="1:11" ht="15" customHeight="1" x14ac:dyDescent="0.25">
      <c r="A13" s="56" t="s">
        <v>1826</v>
      </c>
      <c r="B13" s="56" t="s">
        <v>242</v>
      </c>
      <c r="C13" s="56" t="s">
        <v>243</v>
      </c>
      <c r="D13" s="56" t="s">
        <v>1215</v>
      </c>
      <c r="E13" s="56">
        <v>93</v>
      </c>
      <c r="F13" s="56">
        <v>92</v>
      </c>
      <c r="G13" s="56">
        <v>90</v>
      </c>
      <c r="H13" s="56">
        <v>94</v>
      </c>
      <c r="I13" s="56">
        <v>93</v>
      </c>
      <c r="J13" s="56" t="s">
        <v>1816</v>
      </c>
      <c r="K13" s="56" t="s">
        <v>62</v>
      </c>
    </row>
    <row r="14" spans="1:11" ht="15" customHeight="1" x14ac:dyDescent="0.25">
      <c r="A14" s="55" t="s">
        <v>1827</v>
      </c>
      <c r="B14" s="55" t="s">
        <v>258</v>
      </c>
      <c r="C14" s="55" t="s">
        <v>259</v>
      </c>
      <c r="D14" s="55" t="s">
        <v>1262</v>
      </c>
      <c r="E14" s="55">
        <v>88</v>
      </c>
      <c r="F14" s="55">
        <v>85</v>
      </c>
      <c r="G14" s="55">
        <v>84</v>
      </c>
      <c r="H14" s="55"/>
      <c r="I14" s="55"/>
      <c r="J14" s="55" t="s">
        <v>1812</v>
      </c>
      <c r="K14" s="55" t="s">
        <v>62</v>
      </c>
    </row>
    <row r="15" spans="1:11" ht="15" customHeight="1" x14ac:dyDescent="0.25">
      <c r="A15" s="56" t="s">
        <v>1828</v>
      </c>
      <c r="B15" s="56" t="s">
        <v>258</v>
      </c>
      <c r="C15" s="56" t="s">
        <v>259</v>
      </c>
      <c r="D15" s="56" t="s">
        <v>1246</v>
      </c>
      <c r="E15" s="56">
        <v>80</v>
      </c>
      <c r="F15" s="56">
        <v>79</v>
      </c>
      <c r="G15" s="56">
        <v>78</v>
      </c>
      <c r="H15" s="56"/>
      <c r="I15" s="56"/>
      <c r="J15" s="56" t="s">
        <v>1812</v>
      </c>
      <c r="K15" s="56" t="s">
        <v>62</v>
      </c>
    </row>
    <row r="16" spans="1:11" ht="15" customHeight="1" x14ac:dyDescent="0.25">
      <c r="A16" s="55" t="s">
        <v>1829</v>
      </c>
      <c r="B16" s="55" t="s">
        <v>258</v>
      </c>
      <c r="C16" s="55" t="s">
        <v>259</v>
      </c>
      <c r="D16" s="55" t="s">
        <v>1237</v>
      </c>
      <c r="E16" s="55">
        <v>83</v>
      </c>
      <c r="F16" s="55">
        <v>82</v>
      </c>
      <c r="G16" s="55">
        <v>81</v>
      </c>
      <c r="H16" s="55"/>
      <c r="I16" s="55"/>
      <c r="J16" s="55" t="s">
        <v>1812</v>
      </c>
      <c r="K16" s="55" t="s">
        <v>62</v>
      </c>
    </row>
    <row r="17" spans="1:11" ht="15" customHeight="1" x14ac:dyDescent="0.25">
      <c r="A17" s="56" t="s">
        <v>1830</v>
      </c>
      <c r="B17" s="56" t="s">
        <v>258</v>
      </c>
      <c r="C17" s="56" t="s">
        <v>259</v>
      </c>
      <c r="D17" s="56" t="s">
        <v>1265</v>
      </c>
      <c r="E17" s="56">
        <v>89</v>
      </c>
      <c r="F17" s="56">
        <v>88</v>
      </c>
      <c r="G17" s="56">
        <v>87</v>
      </c>
      <c r="H17" s="56"/>
      <c r="I17" s="56"/>
      <c r="J17" s="56" t="s">
        <v>1812</v>
      </c>
      <c r="K17" s="56" t="s">
        <v>62</v>
      </c>
    </row>
    <row r="18" spans="1:11" ht="15" customHeight="1" x14ac:dyDescent="0.25">
      <c r="A18" t="s">
        <v>1831</v>
      </c>
      <c r="B18" t="s">
        <v>264</v>
      </c>
      <c r="C18" t="s">
        <v>265</v>
      </c>
      <c r="D18" t="s">
        <v>1297</v>
      </c>
      <c r="E18">
        <v>83</v>
      </c>
      <c r="F18">
        <v>85</v>
      </c>
      <c r="G18">
        <v>81</v>
      </c>
      <c r="J18" t="s">
        <v>1812</v>
      </c>
      <c r="K18" t="s">
        <v>62</v>
      </c>
    </row>
    <row r="19" spans="1:11" ht="15" customHeight="1" x14ac:dyDescent="0.25">
      <c r="A19" t="s">
        <v>1832</v>
      </c>
      <c r="B19" t="s">
        <v>264</v>
      </c>
      <c r="C19" t="s">
        <v>265</v>
      </c>
      <c r="D19" t="s">
        <v>1275</v>
      </c>
      <c r="E19">
        <v>80</v>
      </c>
      <c r="F19">
        <v>82</v>
      </c>
      <c r="G19">
        <v>78</v>
      </c>
      <c r="J19" t="s">
        <v>1812</v>
      </c>
      <c r="K19" t="s">
        <v>62</v>
      </c>
    </row>
    <row r="20" spans="1:11" ht="15" customHeight="1" x14ac:dyDescent="0.25">
      <c r="A20" t="s">
        <v>1833</v>
      </c>
      <c r="B20" t="s">
        <v>264</v>
      </c>
      <c r="C20" t="s">
        <v>265</v>
      </c>
      <c r="D20" t="s">
        <v>1278</v>
      </c>
      <c r="E20">
        <v>88</v>
      </c>
      <c r="F20">
        <v>87</v>
      </c>
      <c r="G20">
        <v>85</v>
      </c>
      <c r="J20" t="s">
        <v>1812</v>
      </c>
      <c r="K20" t="s">
        <v>62</v>
      </c>
    </row>
    <row r="21" spans="1:11" ht="15" customHeight="1" x14ac:dyDescent="0.25">
      <c r="A21" t="s">
        <v>1834</v>
      </c>
      <c r="B21" t="s">
        <v>281</v>
      </c>
      <c r="C21" t="s">
        <v>282</v>
      </c>
      <c r="D21" t="s">
        <v>1286</v>
      </c>
      <c r="E21">
        <v>76</v>
      </c>
      <c r="F21">
        <v>78</v>
      </c>
      <c r="G21">
        <v>74</v>
      </c>
      <c r="J21" t="s">
        <v>1812</v>
      </c>
      <c r="K21" t="s">
        <v>62</v>
      </c>
    </row>
    <row r="22" spans="1:11" ht="15" customHeight="1" x14ac:dyDescent="0.25">
      <c r="A22" t="s">
        <v>1835</v>
      </c>
      <c r="B22" t="s">
        <v>281</v>
      </c>
      <c r="C22" t="s">
        <v>282</v>
      </c>
      <c r="D22" t="s">
        <v>1290</v>
      </c>
      <c r="E22">
        <v>72</v>
      </c>
      <c r="F22">
        <v>75</v>
      </c>
      <c r="G22">
        <v>70</v>
      </c>
      <c r="J22" t="s">
        <v>1836</v>
      </c>
      <c r="K22" t="s">
        <v>62</v>
      </c>
    </row>
    <row r="23" spans="1:11" ht="15" customHeight="1" x14ac:dyDescent="0.25">
      <c r="A23" t="s">
        <v>1837</v>
      </c>
      <c r="B23" t="s">
        <v>281</v>
      </c>
      <c r="C23" t="s">
        <v>282</v>
      </c>
      <c r="D23" t="s">
        <v>1293</v>
      </c>
      <c r="E23">
        <v>79</v>
      </c>
      <c r="F23">
        <v>80</v>
      </c>
      <c r="G23">
        <v>77</v>
      </c>
      <c r="J23" t="s">
        <v>1812</v>
      </c>
      <c r="K23" t="s">
        <v>62</v>
      </c>
    </row>
    <row r="24" spans="1:11" ht="15" customHeight="1" x14ac:dyDescent="0.25">
      <c r="A24" t="s">
        <v>1838</v>
      </c>
      <c r="B24" t="s">
        <v>309</v>
      </c>
      <c r="C24" t="s">
        <v>310</v>
      </c>
      <c r="D24" t="s">
        <v>1301</v>
      </c>
      <c r="E24">
        <v>58</v>
      </c>
      <c r="F24">
        <v>60</v>
      </c>
      <c r="G24">
        <v>55</v>
      </c>
      <c r="J24" t="s">
        <v>1820</v>
      </c>
      <c r="K24" t="s">
        <v>62</v>
      </c>
    </row>
    <row r="25" spans="1:11" ht="15" customHeight="1" x14ac:dyDescent="0.25">
      <c r="A25" t="s">
        <v>1839</v>
      </c>
      <c r="B25" t="s">
        <v>309</v>
      </c>
      <c r="C25" t="s">
        <v>310</v>
      </c>
      <c r="D25" t="s">
        <v>1269</v>
      </c>
      <c r="E25">
        <v>62</v>
      </c>
      <c r="F25">
        <v>63</v>
      </c>
      <c r="G25">
        <v>60</v>
      </c>
      <c r="J25" t="s">
        <v>1820</v>
      </c>
      <c r="K25" t="s">
        <v>62</v>
      </c>
    </row>
    <row r="26" spans="1:11" ht="15" customHeight="1" x14ac:dyDescent="0.25">
      <c r="A26" t="s">
        <v>1840</v>
      </c>
      <c r="B26" t="s">
        <v>319</v>
      </c>
      <c r="C26" t="s">
        <v>320</v>
      </c>
      <c r="D26" t="s">
        <v>1275</v>
      </c>
      <c r="E26">
        <v>82</v>
      </c>
      <c r="F26">
        <v>84</v>
      </c>
      <c r="G26">
        <v>80</v>
      </c>
      <c r="J26" t="s">
        <v>1812</v>
      </c>
      <c r="K26" t="s">
        <v>62</v>
      </c>
    </row>
    <row r="27" spans="1:11" ht="15" customHeight="1" x14ac:dyDescent="0.25">
      <c r="A27" t="s">
        <v>1841</v>
      </c>
      <c r="B27" t="s">
        <v>319</v>
      </c>
      <c r="C27" t="s">
        <v>320</v>
      </c>
      <c r="D27" t="s">
        <v>1278</v>
      </c>
      <c r="E27">
        <v>85</v>
      </c>
      <c r="F27">
        <v>86</v>
      </c>
      <c r="G27">
        <v>84</v>
      </c>
      <c r="J27" t="s">
        <v>1812</v>
      </c>
      <c r="K27" t="s">
        <v>62</v>
      </c>
    </row>
    <row r="28" spans="1:11" ht="15" customHeight="1" x14ac:dyDescent="0.25">
      <c r="A28" t="s">
        <v>1842</v>
      </c>
      <c r="B28" t="s">
        <v>328</v>
      </c>
      <c r="C28" t="s">
        <v>329</v>
      </c>
      <c r="D28" t="s">
        <v>1286</v>
      </c>
      <c r="E28">
        <v>73</v>
      </c>
      <c r="F28">
        <v>75</v>
      </c>
      <c r="G28">
        <v>71</v>
      </c>
      <c r="J28" t="s">
        <v>1812</v>
      </c>
      <c r="K28" t="s">
        <v>62</v>
      </c>
    </row>
    <row r="29" spans="1:11" ht="15" customHeight="1" x14ac:dyDescent="0.25">
      <c r="A29" t="s">
        <v>1843</v>
      </c>
      <c r="B29" t="s">
        <v>328</v>
      </c>
      <c r="C29" t="s">
        <v>329</v>
      </c>
      <c r="D29" t="s">
        <v>1290</v>
      </c>
      <c r="E29">
        <v>70</v>
      </c>
      <c r="F29">
        <v>72</v>
      </c>
      <c r="G29">
        <v>68</v>
      </c>
      <c r="J29" t="s">
        <v>1836</v>
      </c>
      <c r="K29" t="s">
        <v>62</v>
      </c>
    </row>
    <row r="30" spans="1:11" ht="15" customHeight="1" x14ac:dyDescent="0.25">
      <c r="A30" t="s">
        <v>1844</v>
      </c>
      <c r="B30" t="s">
        <v>328</v>
      </c>
      <c r="C30" t="s">
        <v>329</v>
      </c>
      <c r="D30" t="s">
        <v>1293</v>
      </c>
      <c r="E30">
        <v>77</v>
      </c>
      <c r="F30">
        <v>78</v>
      </c>
      <c r="G30">
        <v>75</v>
      </c>
      <c r="J30" t="s">
        <v>1812</v>
      </c>
      <c r="K30" t="s">
        <v>62</v>
      </c>
    </row>
    <row r="31" spans="1:11" ht="15" customHeight="1" x14ac:dyDescent="0.25">
      <c r="A31" t="s">
        <v>1845</v>
      </c>
      <c r="B31" t="s">
        <v>337</v>
      </c>
      <c r="C31" t="s">
        <v>338</v>
      </c>
      <c r="D31" t="s">
        <v>1275</v>
      </c>
      <c r="E31">
        <v>90</v>
      </c>
      <c r="F31">
        <v>92</v>
      </c>
      <c r="G31">
        <v>88</v>
      </c>
      <c r="J31" t="s">
        <v>1816</v>
      </c>
      <c r="K31" t="s">
        <v>62</v>
      </c>
    </row>
    <row r="32" spans="1:11" ht="15" customHeight="1" x14ac:dyDescent="0.25">
      <c r="A32" t="s">
        <v>1846</v>
      </c>
      <c r="B32" t="s">
        <v>337</v>
      </c>
      <c r="C32" t="s">
        <v>338</v>
      </c>
      <c r="D32" t="s">
        <v>1278</v>
      </c>
      <c r="E32">
        <v>92</v>
      </c>
      <c r="F32">
        <v>93</v>
      </c>
      <c r="G32">
        <v>91</v>
      </c>
      <c r="J32" t="s">
        <v>1816</v>
      </c>
      <c r="K32" t="s">
        <v>62</v>
      </c>
    </row>
    <row r="33" spans="1:11" ht="15" customHeight="1" x14ac:dyDescent="0.25">
      <c r="A33" t="s">
        <v>1847</v>
      </c>
      <c r="B33" t="s">
        <v>354</v>
      </c>
      <c r="C33" t="s">
        <v>355</v>
      </c>
      <c r="D33" t="s">
        <v>1278</v>
      </c>
      <c r="E33">
        <v>80</v>
      </c>
      <c r="F33">
        <v>82</v>
      </c>
      <c r="G33">
        <v>78</v>
      </c>
      <c r="J33" t="s">
        <v>1812</v>
      </c>
      <c r="K33" t="s">
        <v>62</v>
      </c>
    </row>
    <row r="34" spans="1:11" ht="15" customHeight="1" x14ac:dyDescent="0.25">
      <c r="A34" t="s">
        <v>1848</v>
      </c>
      <c r="B34" t="s">
        <v>370</v>
      </c>
      <c r="C34" t="s">
        <v>371</v>
      </c>
      <c r="D34" t="s">
        <v>1275</v>
      </c>
      <c r="E34">
        <v>84</v>
      </c>
      <c r="F34">
        <v>86</v>
      </c>
      <c r="G34">
        <v>82</v>
      </c>
      <c r="J34" t="s">
        <v>1812</v>
      </c>
      <c r="K34" t="s">
        <v>62</v>
      </c>
    </row>
    <row r="35" spans="1:11" ht="15" customHeight="1" x14ac:dyDescent="0.25">
      <c r="A35" t="s">
        <v>1849</v>
      </c>
      <c r="B35" t="s">
        <v>370</v>
      </c>
      <c r="C35" t="s">
        <v>371</v>
      </c>
      <c r="D35" t="s">
        <v>1278</v>
      </c>
      <c r="E35">
        <v>81</v>
      </c>
      <c r="F35">
        <v>83</v>
      </c>
      <c r="G35">
        <v>79</v>
      </c>
      <c r="J35" t="s">
        <v>1812</v>
      </c>
      <c r="K35" t="s">
        <v>62</v>
      </c>
    </row>
    <row r="36" spans="1:11" ht="15" customHeight="1" x14ac:dyDescent="0.25">
      <c r="A36" t="s">
        <v>1850</v>
      </c>
      <c r="B36" t="s">
        <v>412</v>
      </c>
      <c r="C36" t="s">
        <v>413</v>
      </c>
      <c r="D36" t="s">
        <v>1269</v>
      </c>
      <c r="E36">
        <v>78</v>
      </c>
      <c r="F36">
        <v>80</v>
      </c>
      <c r="G36">
        <v>76</v>
      </c>
      <c r="J36" t="s">
        <v>1812</v>
      </c>
      <c r="K36" t="s">
        <v>62</v>
      </c>
    </row>
    <row r="37" spans="1:11" ht="15" customHeight="1" x14ac:dyDescent="0.25">
      <c r="A37" t="s">
        <v>1851</v>
      </c>
      <c r="B37" t="s">
        <v>412</v>
      </c>
      <c r="C37" t="s">
        <v>413</v>
      </c>
      <c r="D37" t="s">
        <v>1278</v>
      </c>
      <c r="E37">
        <v>74</v>
      </c>
      <c r="F37">
        <v>76</v>
      </c>
      <c r="G37">
        <v>72</v>
      </c>
      <c r="J37" t="s">
        <v>1812</v>
      </c>
      <c r="K37" t="s">
        <v>62</v>
      </c>
    </row>
    <row r="38" spans="1:11" ht="15" customHeight="1" x14ac:dyDescent="0.25">
      <c r="A38" t="s">
        <v>1852</v>
      </c>
      <c r="B38" t="s">
        <v>412</v>
      </c>
      <c r="C38" t="s">
        <v>413</v>
      </c>
      <c r="D38" t="s">
        <v>1282</v>
      </c>
      <c r="E38">
        <v>82</v>
      </c>
      <c r="F38">
        <v>84</v>
      </c>
      <c r="G38">
        <v>80</v>
      </c>
      <c r="J38" t="s">
        <v>1812</v>
      </c>
      <c r="K38" t="s">
        <v>62</v>
      </c>
    </row>
    <row r="39" spans="1:11" ht="15" customHeight="1" x14ac:dyDescent="0.25">
      <c r="A39" t="s">
        <v>1853</v>
      </c>
      <c r="B39" t="s">
        <v>451</v>
      </c>
      <c r="C39" t="s">
        <v>452</v>
      </c>
      <c r="D39" t="s">
        <v>1304</v>
      </c>
      <c r="E39">
        <v>85</v>
      </c>
      <c r="F39">
        <v>88</v>
      </c>
      <c r="G39">
        <v>82</v>
      </c>
      <c r="J39" t="s">
        <v>1816</v>
      </c>
      <c r="K39" t="s">
        <v>62</v>
      </c>
    </row>
    <row r="40" spans="1:11" ht="15" customHeight="1" x14ac:dyDescent="0.25">
      <c r="A40" t="s">
        <v>1854</v>
      </c>
      <c r="B40" t="s">
        <v>451</v>
      </c>
      <c r="C40" t="s">
        <v>452</v>
      </c>
      <c r="D40" t="s">
        <v>1307</v>
      </c>
      <c r="E40">
        <v>90</v>
      </c>
      <c r="F40">
        <v>91</v>
      </c>
      <c r="G40">
        <v>88</v>
      </c>
      <c r="J40" t="s">
        <v>1816</v>
      </c>
      <c r="K40" t="s">
        <v>62</v>
      </c>
    </row>
    <row r="41" spans="1:11" ht="15" customHeight="1" x14ac:dyDescent="0.25">
      <c r="A41" t="s">
        <v>1855</v>
      </c>
      <c r="B41" t="s">
        <v>451</v>
      </c>
      <c r="C41" t="s">
        <v>452</v>
      </c>
      <c r="D41" t="s">
        <v>1310</v>
      </c>
      <c r="E41">
        <v>80</v>
      </c>
      <c r="F41">
        <v>82</v>
      </c>
      <c r="G41">
        <v>79</v>
      </c>
      <c r="J41" t="s">
        <v>1812</v>
      </c>
      <c r="K41" t="s">
        <v>62</v>
      </c>
    </row>
    <row r="42" spans="1:11" ht="15" customHeight="1" x14ac:dyDescent="0.25">
      <c r="A42" t="s">
        <v>1856</v>
      </c>
      <c r="B42" t="s">
        <v>451</v>
      </c>
      <c r="C42" t="s">
        <v>452</v>
      </c>
      <c r="D42" t="s">
        <v>1269</v>
      </c>
      <c r="E42">
        <v>86</v>
      </c>
      <c r="F42">
        <v>88</v>
      </c>
      <c r="G42">
        <v>85</v>
      </c>
      <c r="J42" t="s">
        <v>1812</v>
      </c>
      <c r="K42" t="s">
        <v>62</v>
      </c>
    </row>
    <row r="43" spans="1:11" ht="15" customHeight="1" x14ac:dyDescent="0.25">
      <c r="A43" t="s">
        <v>1857</v>
      </c>
      <c r="B43" t="s">
        <v>464</v>
      </c>
      <c r="C43" t="s">
        <v>465</v>
      </c>
      <c r="D43" t="s">
        <v>1307</v>
      </c>
      <c r="E43">
        <v>77</v>
      </c>
      <c r="F43">
        <v>79</v>
      </c>
      <c r="G43">
        <v>76</v>
      </c>
      <c r="J43" t="s">
        <v>1812</v>
      </c>
      <c r="K43" t="s">
        <v>62</v>
      </c>
    </row>
    <row r="44" spans="1:11" ht="15" customHeight="1" x14ac:dyDescent="0.25">
      <c r="A44" t="s">
        <v>1858</v>
      </c>
      <c r="B44" t="s">
        <v>464</v>
      </c>
      <c r="C44" t="s">
        <v>465</v>
      </c>
      <c r="D44" t="s">
        <v>1310</v>
      </c>
      <c r="E44">
        <v>74</v>
      </c>
      <c r="F44">
        <v>76</v>
      </c>
      <c r="G44">
        <v>73</v>
      </c>
      <c r="J44" t="s">
        <v>1812</v>
      </c>
      <c r="K44" t="s">
        <v>62</v>
      </c>
    </row>
    <row r="45" spans="1:11" ht="15" customHeight="1" x14ac:dyDescent="0.25">
      <c r="A45" t="s">
        <v>1859</v>
      </c>
      <c r="B45" t="s">
        <v>425</v>
      </c>
      <c r="C45" t="s">
        <v>426</v>
      </c>
      <c r="D45" t="s">
        <v>1307</v>
      </c>
      <c r="E45">
        <v>91</v>
      </c>
      <c r="F45">
        <v>92</v>
      </c>
      <c r="G45">
        <v>90</v>
      </c>
      <c r="J45" t="s">
        <v>1816</v>
      </c>
      <c r="K45" t="s">
        <v>62</v>
      </c>
    </row>
    <row r="46" spans="1:11" ht="15" customHeight="1" x14ac:dyDescent="0.25">
      <c r="A46" t="s">
        <v>1860</v>
      </c>
      <c r="B46" t="s">
        <v>425</v>
      </c>
      <c r="C46" t="s">
        <v>426</v>
      </c>
      <c r="D46" t="s">
        <v>1275</v>
      </c>
      <c r="E46">
        <v>87</v>
      </c>
      <c r="F46">
        <v>89</v>
      </c>
      <c r="G46">
        <v>86</v>
      </c>
      <c r="J46" t="s">
        <v>1816</v>
      </c>
      <c r="K46" t="s">
        <v>62</v>
      </c>
    </row>
    <row r="47" spans="1:11" ht="15" customHeight="1" x14ac:dyDescent="0.25">
      <c r="A47" t="s">
        <v>1861</v>
      </c>
      <c r="B47" t="s">
        <v>438</v>
      </c>
      <c r="C47" t="s">
        <v>439</v>
      </c>
      <c r="D47" t="s">
        <v>1307</v>
      </c>
      <c r="E47">
        <v>89</v>
      </c>
      <c r="F47">
        <v>90</v>
      </c>
      <c r="G47">
        <v>88</v>
      </c>
      <c r="J47" t="s">
        <v>1816</v>
      </c>
      <c r="K47" t="s">
        <v>62</v>
      </c>
    </row>
    <row r="48" spans="1:11" ht="15" customHeight="1" x14ac:dyDescent="0.25">
      <c r="A48" t="s">
        <v>1862</v>
      </c>
      <c r="B48" t="s">
        <v>438</v>
      </c>
      <c r="C48" t="s">
        <v>439</v>
      </c>
      <c r="D48" t="s">
        <v>1275</v>
      </c>
      <c r="E48">
        <v>92</v>
      </c>
      <c r="F48">
        <v>94</v>
      </c>
      <c r="G48">
        <v>91</v>
      </c>
      <c r="J48" t="s">
        <v>1816</v>
      </c>
      <c r="K48" t="s">
        <v>62</v>
      </c>
    </row>
    <row r="49" spans="1:11" ht="15" customHeight="1" x14ac:dyDescent="0.25">
      <c r="A49" s="55" t="s">
        <v>1863</v>
      </c>
      <c r="B49" s="55" t="s">
        <v>476</v>
      </c>
      <c r="C49" s="55" t="s">
        <v>477</v>
      </c>
      <c r="D49" s="55" t="s">
        <v>1313</v>
      </c>
      <c r="E49" s="55">
        <v>95</v>
      </c>
      <c r="F49" s="55">
        <v>90</v>
      </c>
      <c r="G49" s="55">
        <v>92</v>
      </c>
      <c r="H49" s="55"/>
      <c r="I49" s="55"/>
      <c r="J49" s="55" t="s">
        <v>1816</v>
      </c>
      <c r="K49" s="55" t="s">
        <v>484</v>
      </c>
    </row>
    <row r="50" spans="1:11" ht="15" customHeight="1" x14ac:dyDescent="0.25">
      <c r="A50" s="55" t="s">
        <v>1864</v>
      </c>
      <c r="B50" s="55" t="s">
        <v>485</v>
      </c>
      <c r="C50" s="55" t="s">
        <v>486</v>
      </c>
      <c r="D50" s="55" t="s">
        <v>1322</v>
      </c>
      <c r="E50" s="55">
        <v>90</v>
      </c>
      <c r="F50" s="55">
        <v>85</v>
      </c>
      <c r="G50" s="55">
        <v>87</v>
      </c>
      <c r="H50" s="55"/>
      <c r="I50" s="55"/>
      <c r="J50" s="55" t="s">
        <v>1812</v>
      </c>
      <c r="K50" s="55" t="s">
        <v>484</v>
      </c>
    </row>
    <row r="51" spans="1:11" ht="15" customHeight="1" x14ac:dyDescent="0.25">
      <c r="A51" s="55" t="s">
        <v>1865</v>
      </c>
      <c r="B51" s="55" t="s">
        <v>494</v>
      </c>
      <c r="C51" s="55" t="s">
        <v>495</v>
      </c>
      <c r="D51" s="55" t="s">
        <v>1338</v>
      </c>
      <c r="E51" s="55">
        <v>93</v>
      </c>
      <c r="F51" s="55">
        <v>88</v>
      </c>
      <c r="G51" s="55">
        <v>90</v>
      </c>
      <c r="H51" s="55"/>
      <c r="I51" s="55"/>
      <c r="J51" s="55" t="s">
        <v>1816</v>
      </c>
      <c r="K51" s="55" t="s">
        <v>484</v>
      </c>
    </row>
    <row r="52" spans="1:11" ht="15" customHeight="1" x14ac:dyDescent="0.25">
      <c r="A52" s="55" t="s">
        <v>1866</v>
      </c>
      <c r="B52" s="55" t="s">
        <v>504</v>
      </c>
      <c r="C52" s="55" t="s">
        <v>505</v>
      </c>
      <c r="D52" s="55" t="s">
        <v>1328</v>
      </c>
      <c r="E52" s="55">
        <v>97</v>
      </c>
      <c r="F52" s="55">
        <v>92</v>
      </c>
      <c r="G52" s="55">
        <v>94</v>
      </c>
      <c r="H52" s="55">
        <v>97</v>
      </c>
      <c r="I52" s="55">
        <v>95</v>
      </c>
      <c r="J52" s="55" t="s">
        <v>1816</v>
      </c>
      <c r="K52" s="55" t="s">
        <v>484</v>
      </c>
    </row>
    <row r="53" spans="1:11" ht="15" customHeight="1" x14ac:dyDescent="0.25">
      <c r="A53" s="55" t="s">
        <v>1867</v>
      </c>
      <c r="B53" s="55" t="s">
        <v>512</v>
      </c>
      <c r="C53" s="55" t="s">
        <v>513</v>
      </c>
      <c r="D53" s="55" t="s">
        <v>1338</v>
      </c>
      <c r="E53" s="55">
        <v>82</v>
      </c>
      <c r="F53" s="55">
        <v>77</v>
      </c>
      <c r="G53" s="55">
        <v>79</v>
      </c>
      <c r="H53" s="55"/>
      <c r="I53" s="55"/>
      <c r="J53" s="55" t="s">
        <v>1836</v>
      </c>
      <c r="K53" s="55" t="s">
        <v>484</v>
      </c>
    </row>
    <row r="54" spans="1:11" ht="15" customHeight="1" x14ac:dyDescent="0.25">
      <c r="A54" s="55" t="s">
        <v>1868</v>
      </c>
      <c r="B54" s="55" t="s">
        <v>520</v>
      </c>
      <c r="C54" s="55" t="s">
        <v>521</v>
      </c>
      <c r="D54" s="55" t="s">
        <v>1313</v>
      </c>
      <c r="E54" s="55">
        <v>91</v>
      </c>
      <c r="F54" s="55">
        <v>86</v>
      </c>
      <c r="G54" s="55">
        <v>88</v>
      </c>
      <c r="H54" s="55"/>
      <c r="I54" s="55"/>
      <c r="J54" s="55" t="s">
        <v>1812</v>
      </c>
      <c r="K54" s="55" t="s">
        <v>484</v>
      </c>
    </row>
    <row r="55" spans="1:11" ht="15" customHeight="1" x14ac:dyDescent="0.25">
      <c r="A55" s="55" t="s">
        <v>1869</v>
      </c>
      <c r="B55" s="55" t="s">
        <v>526</v>
      </c>
      <c r="C55" s="55" t="s">
        <v>527</v>
      </c>
      <c r="D55" s="55" t="s">
        <v>1349</v>
      </c>
      <c r="E55" s="55">
        <v>94</v>
      </c>
      <c r="F55" s="55">
        <v>89</v>
      </c>
      <c r="G55" s="55">
        <v>91</v>
      </c>
      <c r="H55" s="55"/>
      <c r="I55" s="55"/>
      <c r="J55" s="55" t="s">
        <v>1816</v>
      </c>
      <c r="K55" s="55" t="s">
        <v>484</v>
      </c>
    </row>
    <row r="56" spans="1:11" ht="15" customHeight="1" x14ac:dyDescent="0.25">
      <c r="A56" s="55" t="s">
        <v>1870</v>
      </c>
      <c r="B56" s="55" t="s">
        <v>534</v>
      </c>
      <c r="C56" s="55" t="s">
        <v>535</v>
      </c>
      <c r="D56" s="55" t="s">
        <v>1322</v>
      </c>
      <c r="E56" s="55">
        <v>89</v>
      </c>
      <c r="F56" s="55">
        <v>84</v>
      </c>
      <c r="G56" s="55">
        <v>86</v>
      </c>
      <c r="H56" s="55"/>
      <c r="I56" s="55"/>
      <c r="J56" s="55" t="s">
        <v>1812</v>
      </c>
      <c r="K56" s="55" t="s">
        <v>484</v>
      </c>
    </row>
    <row r="57" spans="1:11" ht="15" customHeight="1" x14ac:dyDescent="0.25">
      <c r="A57" s="55" t="s">
        <v>1871</v>
      </c>
      <c r="B57" s="55" t="s">
        <v>540</v>
      </c>
      <c r="C57" s="55" t="s">
        <v>541</v>
      </c>
      <c r="D57" s="55" t="s">
        <v>1328</v>
      </c>
      <c r="E57" s="55">
        <v>85</v>
      </c>
      <c r="F57" s="55">
        <v>80</v>
      </c>
      <c r="G57" s="55">
        <v>82</v>
      </c>
      <c r="H57" s="55">
        <v>80</v>
      </c>
      <c r="I57" s="55">
        <v>82</v>
      </c>
      <c r="J57" s="55" t="s">
        <v>1812</v>
      </c>
      <c r="K57" s="55" t="s">
        <v>484</v>
      </c>
    </row>
    <row r="58" spans="1:11" ht="15" customHeight="1" x14ac:dyDescent="0.25">
      <c r="A58" s="55" t="s">
        <v>1872</v>
      </c>
      <c r="B58" s="55" t="s">
        <v>546</v>
      </c>
      <c r="C58" s="55" t="s">
        <v>547</v>
      </c>
      <c r="D58" s="55" t="s">
        <v>1338</v>
      </c>
      <c r="E58" s="55">
        <v>92</v>
      </c>
      <c r="F58" s="55">
        <v>87</v>
      </c>
      <c r="G58" s="55">
        <v>89</v>
      </c>
      <c r="H58" s="55"/>
      <c r="I58" s="55"/>
      <c r="J58" s="55" t="s">
        <v>1816</v>
      </c>
      <c r="K58" s="55" t="s">
        <v>484</v>
      </c>
    </row>
    <row r="59" spans="1:11" ht="15" customHeight="1" x14ac:dyDescent="0.25">
      <c r="A59" s="55" t="s">
        <v>1873</v>
      </c>
      <c r="B59" s="55" t="s">
        <v>552</v>
      </c>
      <c r="C59" s="55" t="s">
        <v>553</v>
      </c>
      <c r="D59" s="55" t="s">
        <v>1313</v>
      </c>
      <c r="E59" s="55">
        <v>88</v>
      </c>
      <c r="F59" s="55">
        <v>83</v>
      </c>
      <c r="G59" s="55">
        <v>85</v>
      </c>
      <c r="H59" s="55"/>
      <c r="I59" s="55"/>
      <c r="J59" s="55" t="s">
        <v>1812</v>
      </c>
      <c r="K59" s="55" t="s">
        <v>484</v>
      </c>
    </row>
    <row r="60" spans="1:11" ht="15" customHeight="1" x14ac:dyDescent="0.25">
      <c r="A60" s="55" t="s">
        <v>1874</v>
      </c>
      <c r="B60" s="55" t="s">
        <v>559</v>
      </c>
      <c r="C60" s="55" t="s">
        <v>560</v>
      </c>
      <c r="D60" s="55" t="s">
        <v>1322</v>
      </c>
      <c r="E60" s="55">
        <v>84</v>
      </c>
      <c r="F60" s="55">
        <v>79</v>
      </c>
      <c r="G60" s="55">
        <v>81</v>
      </c>
      <c r="H60" s="55">
        <v>79</v>
      </c>
      <c r="I60" s="55">
        <v>81</v>
      </c>
      <c r="J60" s="55" t="s">
        <v>1812</v>
      </c>
      <c r="K60" s="55" t="s">
        <v>484</v>
      </c>
    </row>
    <row r="61" spans="1:11" ht="15" customHeight="1" x14ac:dyDescent="0.25">
      <c r="A61" s="55" t="s">
        <v>1875</v>
      </c>
      <c r="B61" s="55" t="s">
        <v>565</v>
      </c>
      <c r="C61" s="55" t="s">
        <v>566</v>
      </c>
      <c r="D61" s="55" t="s">
        <v>1338</v>
      </c>
      <c r="E61" s="55">
        <v>93</v>
      </c>
      <c r="F61" s="55">
        <v>88</v>
      </c>
      <c r="G61" s="55">
        <v>90</v>
      </c>
      <c r="H61" s="55"/>
      <c r="I61" s="55"/>
      <c r="J61" s="55" t="s">
        <v>1816</v>
      </c>
      <c r="K61" s="55" t="s">
        <v>484</v>
      </c>
    </row>
    <row r="62" spans="1:11" ht="15" customHeight="1" x14ac:dyDescent="0.25">
      <c r="A62" s="55" t="s">
        <v>1876</v>
      </c>
      <c r="B62" s="55" t="s">
        <v>571</v>
      </c>
      <c r="C62" s="55" t="s">
        <v>572</v>
      </c>
      <c r="D62" s="55" t="s">
        <v>1349</v>
      </c>
      <c r="E62" s="55">
        <v>77</v>
      </c>
      <c r="F62" s="55">
        <v>72</v>
      </c>
      <c r="G62" s="55">
        <v>74</v>
      </c>
      <c r="H62" s="55"/>
      <c r="I62" s="55"/>
      <c r="J62" s="55" t="s">
        <v>1836</v>
      </c>
      <c r="K62" s="55" t="s">
        <v>484</v>
      </c>
    </row>
    <row r="63" spans="1:11" ht="15" customHeight="1" x14ac:dyDescent="0.25">
      <c r="A63" s="55" t="s">
        <v>1877</v>
      </c>
      <c r="B63" s="55" t="s">
        <v>576</v>
      </c>
      <c r="C63" s="55" t="s">
        <v>577</v>
      </c>
      <c r="D63" s="55" t="s">
        <v>1328</v>
      </c>
      <c r="E63" s="55">
        <v>96</v>
      </c>
      <c r="F63" s="55">
        <v>91</v>
      </c>
      <c r="G63" s="55">
        <v>93</v>
      </c>
      <c r="H63" s="55"/>
      <c r="I63" s="55"/>
      <c r="J63" s="55" t="s">
        <v>1816</v>
      </c>
      <c r="K63" s="55" t="s">
        <v>484</v>
      </c>
    </row>
    <row r="64" spans="1:11" ht="15" customHeight="1" x14ac:dyDescent="0.25">
      <c r="A64" s="55" t="s">
        <v>1878</v>
      </c>
      <c r="B64" s="55" t="s">
        <v>581</v>
      </c>
      <c r="C64" s="55" t="s">
        <v>582</v>
      </c>
      <c r="D64" s="55" t="s">
        <v>1313</v>
      </c>
      <c r="E64" s="55">
        <v>89</v>
      </c>
      <c r="F64" s="55">
        <v>84</v>
      </c>
      <c r="G64" s="55">
        <v>86</v>
      </c>
      <c r="H64" s="55"/>
      <c r="I64" s="55"/>
      <c r="J64" s="55" t="s">
        <v>1812</v>
      </c>
      <c r="K64" s="55" t="s">
        <v>484</v>
      </c>
    </row>
    <row r="65" spans="1:11" ht="15" customHeight="1" x14ac:dyDescent="0.25">
      <c r="A65" s="55" t="s">
        <v>1879</v>
      </c>
      <c r="B65" s="55" t="s">
        <v>586</v>
      </c>
      <c r="C65" s="55" t="s">
        <v>587</v>
      </c>
      <c r="D65" s="55" t="s">
        <v>1338</v>
      </c>
      <c r="E65" s="55">
        <v>94</v>
      </c>
      <c r="F65" s="55">
        <v>89</v>
      </c>
      <c r="G65" s="55">
        <v>91</v>
      </c>
      <c r="H65" s="55"/>
      <c r="I65" s="55"/>
      <c r="J65" s="55" t="s">
        <v>1816</v>
      </c>
      <c r="K65" s="55" t="s">
        <v>484</v>
      </c>
    </row>
    <row r="66" spans="1:11" ht="15" customHeight="1" x14ac:dyDescent="0.25">
      <c r="A66" s="55" t="s">
        <v>1880</v>
      </c>
      <c r="B66" s="55" t="s">
        <v>591</v>
      </c>
      <c r="C66" s="55" t="s">
        <v>592</v>
      </c>
      <c r="D66" s="55" t="s">
        <v>1322</v>
      </c>
      <c r="E66" s="55">
        <v>89</v>
      </c>
      <c r="F66" s="55">
        <v>84</v>
      </c>
      <c r="G66" s="55">
        <v>86</v>
      </c>
      <c r="H66" s="55"/>
      <c r="I66" s="55"/>
      <c r="J66" s="55" t="s">
        <v>1812</v>
      </c>
      <c r="K66" s="55" t="s">
        <v>484</v>
      </c>
    </row>
    <row r="67" spans="1:11" ht="15" customHeight="1" x14ac:dyDescent="0.25">
      <c r="A67" s="55" t="s">
        <v>1881</v>
      </c>
      <c r="B67" s="55" t="s">
        <v>598</v>
      </c>
      <c r="C67" s="55" t="s">
        <v>599</v>
      </c>
      <c r="D67" s="55" t="s">
        <v>1349</v>
      </c>
      <c r="E67" s="55">
        <v>92</v>
      </c>
      <c r="F67" s="55">
        <v>87</v>
      </c>
      <c r="G67" s="55">
        <v>89</v>
      </c>
      <c r="H67" s="55"/>
      <c r="I67" s="55"/>
      <c r="J67" s="55" t="s">
        <v>1816</v>
      </c>
      <c r="K67" s="55" t="s">
        <v>484</v>
      </c>
    </row>
    <row r="68" spans="1:11" ht="15" customHeight="1" x14ac:dyDescent="0.25">
      <c r="A68" s="55" t="s">
        <v>1882</v>
      </c>
      <c r="B68" s="55" t="s">
        <v>604</v>
      </c>
      <c r="C68" s="55" t="s">
        <v>605</v>
      </c>
      <c r="D68" s="55" t="s">
        <v>1313</v>
      </c>
      <c r="E68" s="55">
        <v>80</v>
      </c>
      <c r="F68" s="55">
        <v>75</v>
      </c>
      <c r="G68" s="55">
        <v>77</v>
      </c>
      <c r="H68" s="55"/>
      <c r="I68" s="55"/>
      <c r="J68" s="55" t="s">
        <v>1836</v>
      </c>
      <c r="K68" s="55" t="s">
        <v>484</v>
      </c>
    </row>
    <row r="69" spans="1:11" ht="15" customHeight="1" x14ac:dyDescent="0.25">
      <c r="A69" s="55" t="s">
        <v>1883</v>
      </c>
      <c r="B69" s="55" t="s">
        <v>610</v>
      </c>
      <c r="C69" s="55" t="s">
        <v>611</v>
      </c>
      <c r="D69" s="55" t="s">
        <v>1338</v>
      </c>
      <c r="E69" s="55">
        <v>94</v>
      </c>
      <c r="F69" s="55">
        <v>89</v>
      </c>
      <c r="G69" s="55">
        <v>91</v>
      </c>
      <c r="H69" s="55"/>
      <c r="I69" s="55"/>
      <c r="J69" s="55" t="s">
        <v>1816</v>
      </c>
      <c r="K69" s="55" t="s">
        <v>484</v>
      </c>
    </row>
    <row r="70" spans="1:11" ht="15" customHeight="1" x14ac:dyDescent="0.25">
      <c r="A70" s="55" t="s">
        <v>1884</v>
      </c>
      <c r="B70" s="55" t="s">
        <v>616</v>
      </c>
      <c r="C70" s="55" t="s">
        <v>617</v>
      </c>
      <c r="D70" s="55" t="s">
        <v>1328</v>
      </c>
      <c r="E70" s="55">
        <v>95</v>
      </c>
      <c r="F70" s="55">
        <v>90</v>
      </c>
      <c r="G70" s="55">
        <v>92</v>
      </c>
      <c r="H70" s="55"/>
      <c r="I70" s="55"/>
      <c r="J70" s="55" t="s">
        <v>1816</v>
      </c>
      <c r="K70" s="55" t="s">
        <v>484</v>
      </c>
    </row>
    <row r="71" spans="1:11" ht="15" customHeight="1" x14ac:dyDescent="0.25">
      <c r="A71" s="55" t="s">
        <v>1885</v>
      </c>
      <c r="B71" s="55" t="s">
        <v>622</v>
      </c>
      <c r="C71" s="55" t="s">
        <v>623</v>
      </c>
      <c r="D71" s="55" t="s">
        <v>1322</v>
      </c>
      <c r="E71" s="55">
        <v>86</v>
      </c>
      <c r="F71" s="55">
        <v>81</v>
      </c>
      <c r="G71" s="55">
        <v>83</v>
      </c>
      <c r="H71" s="55">
        <v>81</v>
      </c>
      <c r="I71" s="55">
        <v>83</v>
      </c>
      <c r="J71" s="55" t="s">
        <v>1812</v>
      </c>
      <c r="K71" s="55" t="s">
        <v>484</v>
      </c>
    </row>
    <row r="72" spans="1:11" ht="15" customHeight="1" x14ac:dyDescent="0.25">
      <c r="A72" s="55" t="s">
        <v>1886</v>
      </c>
      <c r="B72" s="55" t="s">
        <v>627</v>
      </c>
      <c r="C72" s="55" t="s">
        <v>628</v>
      </c>
      <c r="D72" s="55" t="s">
        <v>1338</v>
      </c>
      <c r="E72" s="55">
        <v>92</v>
      </c>
      <c r="F72" s="55">
        <v>87</v>
      </c>
      <c r="G72" s="55">
        <v>89</v>
      </c>
      <c r="H72" s="55"/>
      <c r="I72" s="55"/>
      <c r="J72" s="55" t="s">
        <v>1816</v>
      </c>
      <c r="K72" s="55" t="s">
        <v>484</v>
      </c>
    </row>
    <row r="73" spans="1:11" ht="15" customHeight="1" x14ac:dyDescent="0.25">
      <c r="A73" s="55" t="s">
        <v>1887</v>
      </c>
      <c r="B73" s="55" t="s">
        <v>632</v>
      </c>
      <c r="C73" s="55" t="s">
        <v>633</v>
      </c>
      <c r="D73" s="55" t="s">
        <v>1313</v>
      </c>
      <c r="E73" s="55">
        <v>94</v>
      </c>
      <c r="F73" s="55">
        <v>89</v>
      </c>
      <c r="G73" s="55">
        <v>91</v>
      </c>
      <c r="H73" s="55"/>
      <c r="I73" s="55"/>
      <c r="J73" s="55" t="s">
        <v>1816</v>
      </c>
      <c r="K73" s="55" t="s">
        <v>484</v>
      </c>
    </row>
    <row r="74" spans="1:11" ht="15" customHeight="1" x14ac:dyDescent="0.25">
      <c r="A74" s="55" t="s">
        <v>1888</v>
      </c>
      <c r="B74" s="55" t="s">
        <v>637</v>
      </c>
      <c r="C74" s="55" t="s">
        <v>638</v>
      </c>
      <c r="D74" s="55" t="s">
        <v>1364</v>
      </c>
      <c r="E74" s="55">
        <v>95</v>
      </c>
      <c r="F74" s="55">
        <v>90</v>
      </c>
      <c r="G74" s="55">
        <v>92</v>
      </c>
      <c r="H74" s="55"/>
      <c r="I74" s="55"/>
      <c r="J74" s="55" t="s">
        <v>1816</v>
      </c>
      <c r="K74" s="55" t="s">
        <v>484</v>
      </c>
    </row>
    <row r="75" spans="1:11" ht="15" customHeight="1" x14ac:dyDescent="0.25">
      <c r="A75" s="55" t="s">
        <v>1889</v>
      </c>
      <c r="B75" s="55" t="s">
        <v>645</v>
      </c>
      <c r="C75" s="55" t="s">
        <v>646</v>
      </c>
      <c r="D75" s="55" t="s">
        <v>1364</v>
      </c>
      <c r="E75" s="55">
        <v>91</v>
      </c>
      <c r="F75" s="55">
        <v>86</v>
      </c>
      <c r="G75" s="55">
        <v>88</v>
      </c>
      <c r="H75" s="55"/>
      <c r="I75" s="55"/>
      <c r="J75" s="55" t="s">
        <v>1816</v>
      </c>
      <c r="K75" s="55" t="s">
        <v>484</v>
      </c>
    </row>
    <row r="76" spans="1:11" ht="15" customHeight="1" x14ac:dyDescent="0.25">
      <c r="A76" s="55" t="s">
        <v>1890</v>
      </c>
      <c r="B76" s="55" t="s">
        <v>653</v>
      </c>
      <c r="C76" s="55" t="s">
        <v>654</v>
      </c>
      <c r="D76" s="55" t="s">
        <v>1364</v>
      </c>
      <c r="E76" s="55">
        <v>94</v>
      </c>
      <c r="F76" s="55">
        <v>89</v>
      </c>
      <c r="G76" s="55">
        <v>91</v>
      </c>
      <c r="H76" s="55">
        <v>94</v>
      </c>
      <c r="I76" s="55">
        <v>92</v>
      </c>
      <c r="J76" s="55" t="s">
        <v>1816</v>
      </c>
      <c r="K76" s="55" t="s">
        <v>484</v>
      </c>
    </row>
    <row r="77" spans="1:11" ht="15" customHeight="1" x14ac:dyDescent="0.25">
      <c r="A77" s="55" t="s">
        <v>1891</v>
      </c>
      <c r="B77" s="55" t="s">
        <v>661</v>
      </c>
      <c r="C77" s="55" t="s">
        <v>662</v>
      </c>
      <c r="D77" s="55" t="s">
        <v>1364</v>
      </c>
      <c r="E77" s="55">
        <v>86</v>
      </c>
      <c r="F77" s="55">
        <v>81</v>
      </c>
      <c r="G77" s="55">
        <v>83</v>
      </c>
      <c r="H77" s="55"/>
      <c r="I77" s="55"/>
      <c r="J77" s="55" t="s">
        <v>1812</v>
      </c>
      <c r="K77" s="55" t="s">
        <v>484</v>
      </c>
    </row>
    <row r="78" spans="1:11" ht="15" customHeight="1" x14ac:dyDescent="0.25">
      <c r="A78" s="55" t="s">
        <v>1892</v>
      </c>
      <c r="B78" s="55" t="s">
        <v>670</v>
      </c>
      <c r="C78" s="55" t="s">
        <v>671</v>
      </c>
      <c r="D78" s="55" t="s">
        <v>1364</v>
      </c>
      <c r="E78" s="55">
        <v>94</v>
      </c>
      <c r="F78" s="55">
        <v>89</v>
      </c>
      <c r="G78" s="55">
        <v>91</v>
      </c>
      <c r="H78" s="55"/>
      <c r="I78" s="55"/>
      <c r="J78" s="55" t="s">
        <v>1816</v>
      </c>
      <c r="K78" s="55" t="s">
        <v>484</v>
      </c>
    </row>
    <row r="79" spans="1:11" ht="15" customHeight="1" x14ac:dyDescent="0.25">
      <c r="A79" s="55" t="s">
        <v>1893</v>
      </c>
      <c r="B79" s="55" t="s">
        <v>678</v>
      </c>
      <c r="C79" s="55" t="s">
        <v>679</v>
      </c>
      <c r="D79" s="55" t="s">
        <v>1364</v>
      </c>
      <c r="E79" s="55">
        <v>90</v>
      </c>
      <c r="F79" s="55">
        <v>85</v>
      </c>
      <c r="G79" s="55">
        <v>87</v>
      </c>
      <c r="H79" s="55"/>
      <c r="I79" s="55"/>
      <c r="J79" s="55" t="s">
        <v>1812</v>
      </c>
      <c r="K79" s="55" t="s">
        <v>484</v>
      </c>
    </row>
    <row r="80" spans="1:11" ht="15" customHeight="1" x14ac:dyDescent="0.25">
      <c r="A80" s="55" t="s">
        <v>1894</v>
      </c>
      <c r="B80" s="55" t="s">
        <v>685</v>
      </c>
      <c r="C80" s="55" t="s">
        <v>686</v>
      </c>
      <c r="D80" s="55" t="s">
        <v>1368</v>
      </c>
      <c r="E80" s="55">
        <v>96</v>
      </c>
      <c r="F80" s="55">
        <v>91</v>
      </c>
      <c r="G80" s="55">
        <v>93</v>
      </c>
      <c r="H80" s="55"/>
      <c r="I80" s="55"/>
      <c r="J80" s="55" t="s">
        <v>1816</v>
      </c>
      <c r="K80" s="55" t="s">
        <v>484</v>
      </c>
    </row>
    <row r="81" spans="1:11" ht="15" customHeight="1" x14ac:dyDescent="0.25">
      <c r="A81" s="55" t="s">
        <v>1895</v>
      </c>
      <c r="B81" s="55" t="s">
        <v>697</v>
      </c>
      <c r="C81" s="55" t="s">
        <v>698</v>
      </c>
      <c r="D81" s="55" t="s">
        <v>1368</v>
      </c>
      <c r="E81" s="55">
        <v>93</v>
      </c>
      <c r="F81" s="55">
        <v>88</v>
      </c>
      <c r="G81" s="55">
        <v>90</v>
      </c>
      <c r="H81" s="55"/>
      <c r="I81" s="55"/>
      <c r="J81" s="55" t="s">
        <v>1816</v>
      </c>
      <c r="K81" s="55" t="s">
        <v>484</v>
      </c>
    </row>
    <row r="82" spans="1:11" ht="15" customHeight="1" x14ac:dyDescent="0.25">
      <c r="A82" s="55" t="s">
        <v>1896</v>
      </c>
      <c r="B82" s="55" t="s">
        <v>708</v>
      </c>
      <c r="C82" s="55" t="s">
        <v>709</v>
      </c>
      <c r="D82" s="55" t="s">
        <v>1368</v>
      </c>
      <c r="E82" s="55">
        <v>93</v>
      </c>
      <c r="F82" s="55">
        <v>88</v>
      </c>
      <c r="G82" s="55">
        <v>90</v>
      </c>
      <c r="H82" s="55"/>
      <c r="I82" s="55"/>
      <c r="J82" s="55" t="s">
        <v>1816</v>
      </c>
      <c r="K82" s="55" t="s">
        <v>484</v>
      </c>
    </row>
    <row r="83" spans="1:11" ht="15" customHeight="1" x14ac:dyDescent="0.25">
      <c r="A83" s="55" t="s">
        <v>1897</v>
      </c>
      <c r="B83" s="55" t="s">
        <v>718</v>
      </c>
      <c r="C83" s="55" t="s">
        <v>719</v>
      </c>
      <c r="D83" s="55" t="s">
        <v>1368</v>
      </c>
      <c r="E83" s="55">
        <v>91</v>
      </c>
      <c r="F83" s="55">
        <v>86</v>
      </c>
      <c r="G83" s="55">
        <v>88</v>
      </c>
      <c r="H83" s="55">
        <v>86</v>
      </c>
      <c r="I83" s="55">
        <v>88</v>
      </c>
      <c r="J83" s="55" t="s">
        <v>1812</v>
      </c>
      <c r="K83" s="55" t="s">
        <v>484</v>
      </c>
    </row>
    <row r="84" spans="1:11" ht="15" customHeight="1" x14ac:dyDescent="0.25">
      <c r="A84" s="55" t="s">
        <v>1898</v>
      </c>
      <c r="B84" s="55" t="s">
        <v>725</v>
      </c>
      <c r="C84" s="55" t="s">
        <v>726</v>
      </c>
      <c r="D84" s="55" t="s">
        <v>1368</v>
      </c>
      <c r="E84" s="55">
        <v>97</v>
      </c>
      <c r="F84" s="55">
        <v>92</v>
      </c>
      <c r="G84" s="55">
        <v>94</v>
      </c>
      <c r="H84" s="55">
        <v>97</v>
      </c>
      <c r="I84" s="55">
        <v>95</v>
      </c>
      <c r="J84" s="55" t="s">
        <v>1816</v>
      </c>
      <c r="K84" s="55" t="s">
        <v>484</v>
      </c>
    </row>
    <row r="85" spans="1:11" ht="15" customHeight="1" x14ac:dyDescent="0.25">
      <c r="A85" s="55" t="s">
        <v>1899</v>
      </c>
      <c r="B85" s="55" t="s">
        <v>734</v>
      </c>
      <c r="C85" s="55" t="s">
        <v>735</v>
      </c>
      <c r="D85" s="55" t="s">
        <v>1368</v>
      </c>
      <c r="E85" s="55">
        <v>93</v>
      </c>
      <c r="F85" s="55">
        <v>88</v>
      </c>
      <c r="G85" s="55">
        <v>90</v>
      </c>
      <c r="H85" s="55"/>
      <c r="I85" s="55"/>
      <c r="J85" s="55" t="s">
        <v>1816</v>
      </c>
      <c r="K85" s="55" t="s">
        <v>484</v>
      </c>
    </row>
    <row r="86" spans="1:11" ht="15" customHeight="1" x14ac:dyDescent="0.25">
      <c r="A86" s="55" t="s">
        <v>1900</v>
      </c>
      <c r="B86" s="55" t="s">
        <v>742</v>
      </c>
      <c r="C86" s="55" t="s">
        <v>743</v>
      </c>
      <c r="D86" s="55" t="s">
        <v>1376</v>
      </c>
      <c r="E86" s="55">
        <v>96</v>
      </c>
      <c r="F86" s="55">
        <v>91</v>
      </c>
      <c r="G86" s="55">
        <v>93</v>
      </c>
      <c r="H86" s="55"/>
      <c r="I86" s="55"/>
      <c r="J86" s="55" t="s">
        <v>1816</v>
      </c>
      <c r="K86" s="55" t="s">
        <v>484</v>
      </c>
    </row>
    <row r="87" spans="1:11" ht="15" customHeight="1" x14ac:dyDescent="0.25">
      <c r="A87" s="55" t="s">
        <v>1901</v>
      </c>
      <c r="B87" s="55" t="s">
        <v>753</v>
      </c>
      <c r="C87" s="55" t="s">
        <v>754</v>
      </c>
      <c r="D87" s="55" t="s">
        <v>1376</v>
      </c>
      <c r="E87" s="55">
        <v>95</v>
      </c>
      <c r="F87" s="55">
        <v>90</v>
      </c>
      <c r="G87" s="55">
        <v>92</v>
      </c>
      <c r="H87" s="55"/>
      <c r="I87" s="55"/>
      <c r="J87" s="55" t="s">
        <v>1816</v>
      </c>
      <c r="K87" s="55" t="s">
        <v>484</v>
      </c>
    </row>
    <row r="88" spans="1:11" ht="15" customHeight="1" x14ac:dyDescent="0.25">
      <c r="A88" s="55" t="s">
        <v>1902</v>
      </c>
      <c r="B88" s="55" t="s">
        <v>763</v>
      </c>
      <c r="C88" s="55" t="s">
        <v>764</v>
      </c>
      <c r="D88" s="55" t="s">
        <v>1376</v>
      </c>
      <c r="E88" s="55">
        <v>93</v>
      </c>
      <c r="F88" s="55">
        <v>88</v>
      </c>
      <c r="G88" s="55">
        <v>90</v>
      </c>
      <c r="H88" s="55"/>
      <c r="I88" s="55"/>
      <c r="J88" s="55" t="s">
        <v>1816</v>
      </c>
      <c r="K88" s="55" t="s">
        <v>484</v>
      </c>
    </row>
    <row r="89" spans="1:11" ht="15" customHeight="1" x14ac:dyDescent="0.25">
      <c r="A89" s="55" t="s">
        <v>1903</v>
      </c>
      <c r="B89" s="55" t="s">
        <v>773</v>
      </c>
      <c r="C89" s="55" t="s">
        <v>774</v>
      </c>
      <c r="D89" s="55" t="s">
        <v>1376</v>
      </c>
      <c r="E89" s="55">
        <v>92</v>
      </c>
      <c r="F89" s="55">
        <v>87</v>
      </c>
      <c r="G89" s="55">
        <v>89</v>
      </c>
      <c r="H89" s="55"/>
      <c r="I89" s="55"/>
      <c r="J89" s="55" t="s">
        <v>1816</v>
      </c>
      <c r="K89" s="55" t="s">
        <v>484</v>
      </c>
    </row>
    <row r="90" spans="1:11" ht="15" customHeight="1" x14ac:dyDescent="0.25">
      <c r="A90" s="55" t="s">
        <v>1904</v>
      </c>
      <c r="B90" s="55" t="s">
        <v>782</v>
      </c>
      <c r="C90" s="55" t="s">
        <v>783</v>
      </c>
      <c r="D90" s="55" t="s">
        <v>1380</v>
      </c>
      <c r="E90" s="55">
        <v>92</v>
      </c>
      <c r="F90" s="55">
        <v>87</v>
      </c>
      <c r="G90" s="55">
        <v>89</v>
      </c>
      <c r="H90" s="55"/>
      <c r="I90" s="55"/>
      <c r="J90" s="55" t="s">
        <v>1816</v>
      </c>
      <c r="K90" s="55" t="s">
        <v>786</v>
      </c>
    </row>
    <row r="91" spans="1:11" ht="15" customHeight="1" x14ac:dyDescent="0.25">
      <c r="A91" s="55" t="s">
        <v>1905</v>
      </c>
      <c r="B91" s="55" t="s">
        <v>787</v>
      </c>
      <c r="C91" s="55" t="s">
        <v>788</v>
      </c>
      <c r="D91" s="55" t="s">
        <v>1386</v>
      </c>
      <c r="E91" s="55">
        <v>89</v>
      </c>
      <c r="F91" s="55">
        <v>84</v>
      </c>
      <c r="G91" s="55">
        <v>86</v>
      </c>
      <c r="H91" s="55"/>
      <c r="I91" s="55"/>
      <c r="J91" s="55" t="s">
        <v>1812</v>
      </c>
      <c r="K91" s="55" t="s">
        <v>786</v>
      </c>
    </row>
    <row r="92" spans="1:11" ht="15" customHeight="1" x14ac:dyDescent="0.25">
      <c r="A92" s="55" t="s">
        <v>1906</v>
      </c>
      <c r="B92" s="55" t="s">
        <v>794</v>
      </c>
      <c r="C92" s="55" t="s">
        <v>795</v>
      </c>
      <c r="D92" s="55" t="s">
        <v>1393</v>
      </c>
      <c r="E92" s="55">
        <v>93</v>
      </c>
      <c r="F92" s="55">
        <v>88</v>
      </c>
      <c r="G92" s="55">
        <v>90</v>
      </c>
      <c r="H92" s="55"/>
      <c r="I92" s="55"/>
      <c r="J92" s="55" t="s">
        <v>1816</v>
      </c>
      <c r="K92" s="55" t="s">
        <v>786</v>
      </c>
    </row>
    <row r="93" spans="1:11" ht="15" customHeight="1" x14ac:dyDescent="0.25">
      <c r="A93" s="55" t="s">
        <v>1907</v>
      </c>
      <c r="B93" s="55" t="s">
        <v>803</v>
      </c>
      <c r="C93" s="55" t="s">
        <v>804</v>
      </c>
      <c r="D93" s="55" t="s">
        <v>1407</v>
      </c>
      <c r="E93" s="55">
        <v>97</v>
      </c>
      <c r="F93" s="55">
        <v>92</v>
      </c>
      <c r="G93" s="55">
        <v>94</v>
      </c>
      <c r="H93" s="55">
        <v>97</v>
      </c>
      <c r="I93" s="55">
        <v>95</v>
      </c>
      <c r="J93" s="55" t="s">
        <v>1816</v>
      </c>
      <c r="K93" s="55" t="s">
        <v>786</v>
      </c>
    </row>
    <row r="94" spans="1:11" ht="15" customHeight="1" x14ac:dyDescent="0.25">
      <c r="A94" s="55" t="s">
        <v>1908</v>
      </c>
      <c r="B94" s="55" t="s">
        <v>809</v>
      </c>
      <c r="C94" s="55" t="s">
        <v>810</v>
      </c>
      <c r="D94" s="55" t="s">
        <v>1399</v>
      </c>
      <c r="E94" s="55">
        <v>81</v>
      </c>
      <c r="F94" s="55">
        <v>76</v>
      </c>
      <c r="G94" s="55">
        <v>78</v>
      </c>
      <c r="H94" s="55"/>
      <c r="I94" s="55"/>
      <c r="J94" s="55" t="s">
        <v>1836</v>
      </c>
      <c r="K94" s="55" t="s">
        <v>786</v>
      </c>
    </row>
    <row r="95" spans="1:11" ht="15" customHeight="1" x14ac:dyDescent="0.25">
      <c r="A95" s="55" t="s">
        <v>1909</v>
      </c>
      <c r="B95" s="55" t="s">
        <v>814</v>
      </c>
      <c r="C95" s="55" t="s">
        <v>815</v>
      </c>
      <c r="D95" s="55" t="s">
        <v>1420</v>
      </c>
      <c r="E95" s="55">
        <v>90</v>
      </c>
      <c r="F95" s="55">
        <v>85</v>
      </c>
      <c r="G95" s="55">
        <v>87</v>
      </c>
      <c r="H95" s="55"/>
      <c r="I95" s="55"/>
      <c r="J95" s="55" t="s">
        <v>1812</v>
      </c>
      <c r="K95" s="55" t="s">
        <v>786</v>
      </c>
    </row>
    <row r="96" spans="1:11" ht="15" customHeight="1" x14ac:dyDescent="0.25">
      <c r="A96" s="55" t="s">
        <v>1910</v>
      </c>
      <c r="B96" s="55" t="s">
        <v>820</v>
      </c>
      <c r="C96" s="55" t="s">
        <v>821</v>
      </c>
      <c r="D96" s="55" t="s">
        <v>1386</v>
      </c>
      <c r="E96" s="55">
        <v>94</v>
      </c>
      <c r="F96" s="55">
        <v>89</v>
      </c>
      <c r="G96" s="55">
        <v>91</v>
      </c>
      <c r="H96" s="55"/>
      <c r="I96" s="55"/>
      <c r="J96" s="55" t="s">
        <v>1816</v>
      </c>
      <c r="K96" s="55" t="s">
        <v>786</v>
      </c>
    </row>
    <row r="97" spans="1:11" ht="15" customHeight="1" x14ac:dyDescent="0.25">
      <c r="A97" s="55" t="s">
        <v>1911</v>
      </c>
      <c r="B97" s="55" t="s">
        <v>824</v>
      </c>
      <c r="C97" s="55" t="s">
        <v>825</v>
      </c>
      <c r="D97" s="55" t="s">
        <v>1380</v>
      </c>
      <c r="E97" s="55">
        <v>90</v>
      </c>
      <c r="F97" s="55">
        <v>85</v>
      </c>
      <c r="G97" s="55">
        <v>87</v>
      </c>
      <c r="H97" s="55"/>
      <c r="I97" s="55"/>
      <c r="J97" s="55" t="s">
        <v>1812</v>
      </c>
      <c r="K97" s="55" t="s">
        <v>786</v>
      </c>
    </row>
    <row r="98" spans="1:11" ht="15" customHeight="1" x14ac:dyDescent="0.25">
      <c r="A98" s="55" t="s">
        <v>1912</v>
      </c>
      <c r="B98" s="55" t="s">
        <v>830</v>
      </c>
      <c r="C98" s="55" t="s">
        <v>831</v>
      </c>
      <c r="D98" s="55" t="s">
        <v>1420</v>
      </c>
      <c r="E98" s="55">
        <v>86</v>
      </c>
      <c r="F98" s="55">
        <v>81</v>
      </c>
      <c r="G98" s="55">
        <v>83</v>
      </c>
      <c r="H98" s="55">
        <v>81</v>
      </c>
      <c r="I98" s="55">
        <v>83</v>
      </c>
      <c r="J98" s="55" t="s">
        <v>1812</v>
      </c>
      <c r="K98" s="55" t="s">
        <v>786</v>
      </c>
    </row>
    <row r="99" spans="1:11" ht="15" customHeight="1" x14ac:dyDescent="0.25">
      <c r="A99" s="55" t="s">
        <v>1913</v>
      </c>
      <c r="B99" s="55" t="s">
        <v>834</v>
      </c>
      <c r="C99" s="55" t="s">
        <v>835</v>
      </c>
      <c r="D99" s="55" t="s">
        <v>1393</v>
      </c>
      <c r="E99" s="55">
        <v>93</v>
      </c>
      <c r="F99" s="55">
        <v>88</v>
      </c>
      <c r="G99" s="55">
        <v>90</v>
      </c>
      <c r="H99" s="55"/>
      <c r="I99" s="55"/>
      <c r="J99" s="55" t="s">
        <v>1816</v>
      </c>
      <c r="K99" s="55" t="s">
        <v>786</v>
      </c>
    </row>
    <row r="100" spans="1:11" ht="15" customHeight="1" x14ac:dyDescent="0.25">
      <c r="A100" s="55" t="s">
        <v>1914</v>
      </c>
      <c r="B100" s="55" t="s">
        <v>838</v>
      </c>
      <c r="C100" s="55" t="s">
        <v>839</v>
      </c>
      <c r="D100" s="55" t="s">
        <v>1407</v>
      </c>
      <c r="E100" s="55">
        <v>89</v>
      </c>
      <c r="F100" s="55">
        <v>84</v>
      </c>
      <c r="G100" s="55">
        <v>86</v>
      </c>
      <c r="H100" s="55"/>
      <c r="I100" s="55"/>
      <c r="J100" s="55" t="s">
        <v>1812</v>
      </c>
      <c r="K100" s="55" t="s">
        <v>786</v>
      </c>
    </row>
    <row r="101" spans="1:11" ht="15" customHeight="1" x14ac:dyDescent="0.25">
      <c r="A101" s="55" t="s">
        <v>1915</v>
      </c>
      <c r="B101" s="55" t="s">
        <v>842</v>
      </c>
      <c r="C101" s="55" t="s">
        <v>843</v>
      </c>
      <c r="D101" s="55" t="s">
        <v>1380</v>
      </c>
      <c r="E101" s="55">
        <v>84</v>
      </c>
      <c r="F101" s="55">
        <v>79</v>
      </c>
      <c r="G101" s="55">
        <v>81</v>
      </c>
      <c r="H101" s="55">
        <v>79</v>
      </c>
      <c r="I101" s="55">
        <v>81</v>
      </c>
      <c r="J101" s="55" t="s">
        <v>1812</v>
      </c>
      <c r="K101" s="55" t="s">
        <v>786</v>
      </c>
    </row>
    <row r="102" spans="1:11" ht="15" customHeight="1" x14ac:dyDescent="0.25">
      <c r="A102" s="55" t="s">
        <v>1916</v>
      </c>
      <c r="B102" s="55" t="s">
        <v>848</v>
      </c>
      <c r="C102" s="55" t="s">
        <v>849</v>
      </c>
      <c r="D102" s="55" t="s">
        <v>1399</v>
      </c>
      <c r="E102" s="55">
        <v>93</v>
      </c>
      <c r="F102" s="55">
        <v>88</v>
      </c>
      <c r="G102" s="55">
        <v>90</v>
      </c>
      <c r="H102" s="55"/>
      <c r="I102" s="55"/>
      <c r="J102" s="55" t="s">
        <v>1816</v>
      </c>
      <c r="K102" s="55" t="s">
        <v>786</v>
      </c>
    </row>
    <row r="103" spans="1:11" ht="15" customHeight="1" x14ac:dyDescent="0.25">
      <c r="A103" s="55" t="s">
        <v>1917</v>
      </c>
      <c r="B103" s="55" t="s">
        <v>852</v>
      </c>
      <c r="C103" s="55" t="s">
        <v>853</v>
      </c>
      <c r="D103" s="55" t="s">
        <v>1420</v>
      </c>
      <c r="E103" s="55">
        <v>78</v>
      </c>
      <c r="F103" s="55">
        <v>73</v>
      </c>
      <c r="G103" s="55">
        <v>75</v>
      </c>
      <c r="H103" s="55"/>
      <c r="I103" s="55"/>
      <c r="J103" s="55" t="s">
        <v>1836</v>
      </c>
      <c r="K103" s="55" t="s">
        <v>786</v>
      </c>
    </row>
    <row r="104" spans="1:11" ht="15" customHeight="1" x14ac:dyDescent="0.25">
      <c r="A104" s="55" t="s">
        <v>1918</v>
      </c>
      <c r="B104" s="55" t="s">
        <v>857</v>
      </c>
      <c r="C104" s="55" t="s">
        <v>858</v>
      </c>
      <c r="D104" s="55" t="s">
        <v>1407</v>
      </c>
      <c r="E104" s="55">
        <v>95</v>
      </c>
      <c r="F104" s="55">
        <v>90</v>
      </c>
      <c r="G104" s="55">
        <v>92</v>
      </c>
      <c r="H104" s="55"/>
      <c r="I104" s="55"/>
      <c r="J104" s="55" t="s">
        <v>1816</v>
      </c>
      <c r="K104" s="55" t="s">
        <v>786</v>
      </c>
    </row>
    <row r="105" spans="1:11" ht="15" customHeight="1" x14ac:dyDescent="0.25">
      <c r="A105" s="55" t="s">
        <v>1919</v>
      </c>
      <c r="B105" s="55" t="s">
        <v>862</v>
      </c>
      <c r="C105" s="55" t="s">
        <v>863</v>
      </c>
      <c r="D105" s="55" t="s">
        <v>1386</v>
      </c>
      <c r="E105" s="55">
        <v>89</v>
      </c>
      <c r="F105" s="55">
        <v>84</v>
      </c>
      <c r="G105" s="55">
        <v>86</v>
      </c>
      <c r="H105" s="55"/>
      <c r="I105" s="55"/>
      <c r="J105" s="55" t="s">
        <v>1812</v>
      </c>
      <c r="K105" s="55" t="s">
        <v>786</v>
      </c>
    </row>
    <row r="106" spans="1:11" ht="15" customHeight="1" x14ac:dyDescent="0.25">
      <c r="A106" s="55" t="s">
        <v>1920</v>
      </c>
      <c r="B106" s="55" t="s">
        <v>867</v>
      </c>
      <c r="C106" s="55" t="s">
        <v>868</v>
      </c>
      <c r="D106" s="55" t="s">
        <v>1407</v>
      </c>
      <c r="E106" s="55">
        <v>94</v>
      </c>
      <c r="F106" s="55">
        <v>89</v>
      </c>
      <c r="G106" s="55">
        <v>91</v>
      </c>
      <c r="H106" s="55"/>
      <c r="I106" s="55"/>
      <c r="J106" s="55" t="s">
        <v>1816</v>
      </c>
      <c r="K106" s="55" t="s">
        <v>786</v>
      </c>
    </row>
    <row r="107" spans="1:11" ht="15" customHeight="1" x14ac:dyDescent="0.25">
      <c r="A107" s="55" t="s">
        <v>1921</v>
      </c>
      <c r="B107" s="55" t="s">
        <v>874</v>
      </c>
      <c r="C107" s="55" t="s">
        <v>875</v>
      </c>
      <c r="D107" s="55" t="s">
        <v>1399</v>
      </c>
      <c r="E107" s="55">
        <v>88</v>
      </c>
      <c r="F107" s="55">
        <v>83</v>
      </c>
      <c r="G107" s="55">
        <v>85</v>
      </c>
      <c r="H107" s="55"/>
      <c r="I107" s="55"/>
      <c r="J107" s="55" t="s">
        <v>1812</v>
      </c>
      <c r="K107" s="55" t="s">
        <v>786</v>
      </c>
    </row>
    <row r="108" spans="1:11" ht="15" customHeight="1" x14ac:dyDescent="0.25">
      <c r="A108" s="55" t="s">
        <v>1922</v>
      </c>
      <c r="B108" s="55" t="s">
        <v>879</v>
      </c>
      <c r="C108" s="55" t="s">
        <v>880</v>
      </c>
      <c r="D108" s="55" t="s">
        <v>1380</v>
      </c>
      <c r="E108" s="55">
        <v>91</v>
      </c>
      <c r="F108" s="55">
        <v>86</v>
      </c>
      <c r="G108" s="55">
        <v>88</v>
      </c>
      <c r="H108" s="55"/>
      <c r="I108" s="55"/>
      <c r="J108" s="55" t="s">
        <v>1816</v>
      </c>
      <c r="K108" s="55" t="s">
        <v>786</v>
      </c>
    </row>
    <row r="109" spans="1:11" ht="15" customHeight="1" x14ac:dyDescent="0.25">
      <c r="A109" s="55" t="s">
        <v>1923</v>
      </c>
      <c r="B109" s="55" t="s">
        <v>884</v>
      </c>
      <c r="C109" s="55" t="s">
        <v>885</v>
      </c>
      <c r="D109" s="55" t="s">
        <v>1420</v>
      </c>
      <c r="E109" s="55">
        <v>80</v>
      </c>
      <c r="F109" s="55">
        <v>75</v>
      </c>
      <c r="G109" s="55">
        <v>77</v>
      </c>
      <c r="H109" s="55"/>
      <c r="I109" s="55"/>
      <c r="J109" s="55" t="s">
        <v>1836</v>
      </c>
      <c r="K109" s="55" t="s">
        <v>786</v>
      </c>
    </row>
    <row r="110" spans="1:11" ht="15" customHeight="1" x14ac:dyDescent="0.25">
      <c r="A110" s="55" t="s">
        <v>1924</v>
      </c>
      <c r="B110" s="55" t="s">
        <v>890</v>
      </c>
      <c r="C110" s="55" t="s">
        <v>891</v>
      </c>
      <c r="D110" s="55" t="s">
        <v>1393</v>
      </c>
      <c r="E110" s="55">
        <v>92</v>
      </c>
      <c r="F110" s="55">
        <v>87</v>
      </c>
      <c r="G110" s="55">
        <v>89</v>
      </c>
      <c r="H110" s="55"/>
      <c r="I110" s="55"/>
      <c r="J110" s="55" t="s">
        <v>1816</v>
      </c>
      <c r="K110" s="55" t="s">
        <v>786</v>
      </c>
    </row>
    <row r="111" spans="1:11" ht="15" customHeight="1" x14ac:dyDescent="0.25">
      <c r="A111" s="55" t="s">
        <v>1925</v>
      </c>
      <c r="B111" s="55" t="s">
        <v>896</v>
      </c>
      <c r="C111" s="55" t="s">
        <v>897</v>
      </c>
      <c r="D111" s="55" t="s">
        <v>1407</v>
      </c>
      <c r="E111" s="55">
        <v>94</v>
      </c>
      <c r="F111" s="55">
        <v>89</v>
      </c>
      <c r="G111" s="55">
        <v>91</v>
      </c>
      <c r="H111" s="55"/>
      <c r="I111" s="55"/>
      <c r="J111" s="55" t="s">
        <v>1816</v>
      </c>
      <c r="K111" s="55" t="s">
        <v>786</v>
      </c>
    </row>
    <row r="112" spans="1:11" ht="15" customHeight="1" x14ac:dyDescent="0.25">
      <c r="A112" s="55" t="s">
        <v>1926</v>
      </c>
      <c r="B112" s="55" t="s">
        <v>900</v>
      </c>
      <c r="C112" s="55" t="s">
        <v>901</v>
      </c>
      <c r="D112" s="55" t="s">
        <v>1386</v>
      </c>
      <c r="E112" s="55">
        <v>87</v>
      </c>
      <c r="F112" s="55">
        <v>82</v>
      </c>
      <c r="G112" s="55">
        <v>84</v>
      </c>
      <c r="H112" s="55">
        <v>82</v>
      </c>
      <c r="I112" s="55">
        <v>84</v>
      </c>
      <c r="J112" s="55" t="s">
        <v>1812</v>
      </c>
      <c r="K112" s="55" t="s">
        <v>786</v>
      </c>
    </row>
    <row r="113" spans="1:11" ht="15" customHeight="1" x14ac:dyDescent="0.25">
      <c r="A113" s="55" t="s">
        <v>1927</v>
      </c>
      <c r="B113" s="55" t="s">
        <v>904</v>
      </c>
      <c r="C113" s="55" t="s">
        <v>905</v>
      </c>
      <c r="D113" s="55" t="s">
        <v>1420</v>
      </c>
      <c r="E113" s="55">
        <v>92</v>
      </c>
      <c r="F113" s="55">
        <v>87</v>
      </c>
      <c r="G113" s="55">
        <v>89</v>
      </c>
      <c r="H113" s="55"/>
      <c r="I113" s="55"/>
      <c r="J113" s="55" t="s">
        <v>1816</v>
      </c>
      <c r="K113" s="55" t="s">
        <v>786</v>
      </c>
    </row>
    <row r="114" spans="1:11" ht="15" customHeight="1" x14ac:dyDescent="0.25">
      <c r="A114" s="55" t="s">
        <v>1928</v>
      </c>
      <c r="B114" s="55" t="s">
        <v>909</v>
      </c>
      <c r="C114" s="55" t="s">
        <v>910</v>
      </c>
      <c r="D114" s="55" t="s">
        <v>1393</v>
      </c>
      <c r="E114" s="55">
        <v>94</v>
      </c>
      <c r="F114" s="55">
        <v>89</v>
      </c>
      <c r="G114" s="55">
        <v>91</v>
      </c>
      <c r="H114" s="55"/>
      <c r="I114" s="55"/>
      <c r="J114" s="55" t="s">
        <v>1816</v>
      </c>
      <c r="K114" s="55" t="s">
        <v>786</v>
      </c>
    </row>
    <row r="115" spans="1:11" ht="15" customHeight="1" x14ac:dyDescent="0.25">
      <c r="A115" s="55" t="s">
        <v>1929</v>
      </c>
      <c r="B115" s="55" t="s">
        <v>913</v>
      </c>
      <c r="C115" s="55" t="s">
        <v>914</v>
      </c>
      <c r="D115" s="55" t="s">
        <v>1434</v>
      </c>
      <c r="E115" s="55">
        <v>95</v>
      </c>
      <c r="F115" s="55">
        <v>90</v>
      </c>
      <c r="G115" s="55">
        <v>92</v>
      </c>
      <c r="H115" s="55"/>
      <c r="I115" s="55"/>
      <c r="J115" s="55" t="s">
        <v>1816</v>
      </c>
      <c r="K115" s="55" t="s">
        <v>786</v>
      </c>
    </row>
    <row r="116" spans="1:11" ht="15" customHeight="1" x14ac:dyDescent="0.25">
      <c r="A116" s="55" t="s">
        <v>1930</v>
      </c>
      <c r="B116" s="55" t="s">
        <v>923</v>
      </c>
      <c r="C116" s="55" t="s">
        <v>924</v>
      </c>
      <c r="D116" s="55" t="s">
        <v>1434</v>
      </c>
      <c r="E116" s="55">
        <v>91</v>
      </c>
      <c r="F116" s="55">
        <v>86</v>
      </c>
      <c r="G116" s="55">
        <v>88</v>
      </c>
      <c r="H116" s="55"/>
      <c r="I116" s="55"/>
      <c r="J116" s="55" t="s">
        <v>1812</v>
      </c>
      <c r="K116" s="55" t="s">
        <v>786</v>
      </c>
    </row>
    <row r="117" spans="1:11" ht="15" customHeight="1" x14ac:dyDescent="0.25">
      <c r="A117" s="55" t="s">
        <v>1931</v>
      </c>
      <c r="B117" s="55" t="s">
        <v>930</v>
      </c>
      <c r="C117" s="55" t="s">
        <v>931</v>
      </c>
      <c r="D117" s="55" t="s">
        <v>1434</v>
      </c>
      <c r="E117" s="55">
        <v>94</v>
      </c>
      <c r="F117" s="55">
        <v>89</v>
      </c>
      <c r="G117" s="55">
        <v>91</v>
      </c>
      <c r="H117" s="55">
        <v>94</v>
      </c>
      <c r="I117" s="55">
        <v>92</v>
      </c>
      <c r="J117" s="55" t="s">
        <v>1816</v>
      </c>
      <c r="K117" s="55" t="s">
        <v>786</v>
      </c>
    </row>
    <row r="118" spans="1:11" ht="15" customHeight="1" x14ac:dyDescent="0.25">
      <c r="A118" s="55" t="s">
        <v>1932</v>
      </c>
      <c r="B118" s="55" t="s">
        <v>937</v>
      </c>
      <c r="C118" s="55" t="s">
        <v>938</v>
      </c>
      <c r="D118" s="55" t="s">
        <v>1434</v>
      </c>
      <c r="E118" s="55">
        <v>85</v>
      </c>
      <c r="F118" s="55">
        <v>80</v>
      </c>
      <c r="G118" s="55">
        <v>82</v>
      </c>
      <c r="H118" s="55"/>
      <c r="I118" s="55"/>
      <c r="J118" s="55" t="s">
        <v>1812</v>
      </c>
      <c r="K118" s="55" t="s">
        <v>786</v>
      </c>
    </row>
    <row r="119" spans="1:11" ht="15" customHeight="1" x14ac:dyDescent="0.25">
      <c r="A119" s="55" t="s">
        <v>1933</v>
      </c>
      <c r="B119" s="55" t="s">
        <v>945</v>
      </c>
      <c r="C119" s="55" t="s">
        <v>946</v>
      </c>
      <c r="D119" s="55" t="s">
        <v>1434</v>
      </c>
      <c r="E119" s="55">
        <v>93</v>
      </c>
      <c r="F119" s="55">
        <v>88</v>
      </c>
      <c r="G119" s="55">
        <v>90</v>
      </c>
      <c r="H119" s="55"/>
      <c r="I119" s="55"/>
      <c r="J119" s="55" t="s">
        <v>1816</v>
      </c>
      <c r="K119" s="55" t="s">
        <v>786</v>
      </c>
    </row>
    <row r="120" spans="1:11" ht="15" customHeight="1" x14ac:dyDescent="0.25">
      <c r="A120" s="55" t="s">
        <v>1934</v>
      </c>
      <c r="B120" s="55" t="s">
        <v>952</v>
      </c>
      <c r="C120" s="55" t="s">
        <v>953</v>
      </c>
      <c r="D120" s="55" t="s">
        <v>1434</v>
      </c>
      <c r="E120" s="55">
        <v>90</v>
      </c>
      <c r="F120" s="55">
        <v>85</v>
      </c>
      <c r="G120" s="55">
        <v>87</v>
      </c>
      <c r="H120" s="55"/>
      <c r="I120" s="55"/>
      <c r="J120" s="55" t="s">
        <v>1812</v>
      </c>
      <c r="K120" s="55" t="s">
        <v>786</v>
      </c>
    </row>
    <row r="121" spans="1:11" ht="15" customHeight="1" x14ac:dyDescent="0.25">
      <c r="A121" s="55" t="s">
        <v>1935</v>
      </c>
      <c r="B121" s="55" t="s">
        <v>958</v>
      </c>
      <c r="C121" s="55" t="s">
        <v>959</v>
      </c>
      <c r="D121" s="55" t="s">
        <v>1436</v>
      </c>
      <c r="E121" s="55">
        <v>96</v>
      </c>
      <c r="F121" s="55">
        <v>91</v>
      </c>
      <c r="G121" s="55">
        <v>93</v>
      </c>
      <c r="H121" s="55"/>
      <c r="I121" s="55"/>
      <c r="J121" s="55" t="s">
        <v>1816</v>
      </c>
      <c r="K121" s="55" t="s">
        <v>786</v>
      </c>
    </row>
    <row r="122" spans="1:11" ht="15" customHeight="1" x14ac:dyDescent="0.25">
      <c r="A122" s="55" t="s">
        <v>1936</v>
      </c>
      <c r="B122" s="55" t="s">
        <v>966</v>
      </c>
      <c r="C122" s="55" t="s">
        <v>967</v>
      </c>
      <c r="D122" s="55" t="s">
        <v>1436</v>
      </c>
      <c r="E122" s="55">
        <v>92</v>
      </c>
      <c r="F122" s="55">
        <v>87</v>
      </c>
      <c r="G122" s="55">
        <v>89</v>
      </c>
      <c r="H122" s="55"/>
      <c r="I122" s="55"/>
      <c r="J122" s="55" t="s">
        <v>1816</v>
      </c>
      <c r="K122" s="55" t="s">
        <v>786</v>
      </c>
    </row>
    <row r="123" spans="1:11" ht="15" customHeight="1" x14ac:dyDescent="0.25">
      <c r="A123" s="55" t="s">
        <v>1937</v>
      </c>
      <c r="B123" s="55" t="s">
        <v>975</v>
      </c>
      <c r="C123" s="55" t="s">
        <v>976</v>
      </c>
      <c r="D123" s="55" t="s">
        <v>1436</v>
      </c>
      <c r="E123" s="55">
        <v>93</v>
      </c>
      <c r="F123" s="55">
        <v>88</v>
      </c>
      <c r="G123" s="55">
        <v>90</v>
      </c>
      <c r="H123" s="55"/>
      <c r="I123" s="55"/>
      <c r="J123" s="55" t="s">
        <v>1816</v>
      </c>
      <c r="K123" s="55" t="s">
        <v>786</v>
      </c>
    </row>
    <row r="124" spans="1:11" ht="15" customHeight="1" x14ac:dyDescent="0.25">
      <c r="A124" s="55" t="s">
        <v>1938</v>
      </c>
      <c r="B124" s="55" t="s">
        <v>983</v>
      </c>
      <c r="C124" s="55" t="s">
        <v>984</v>
      </c>
      <c r="D124" s="55" t="s">
        <v>1436</v>
      </c>
      <c r="E124" s="55">
        <v>90</v>
      </c>
      <c r="F124" s="55">
        <v>85</v>
      </c>
      <c r="G124" s="55">
        <v>87</v>
      </c>
      <c r="H124" s="55">
        <v>85</v>
      </c>
      <c r="I124" s="55">
        <v>87</v>
      </c>
      <c r="J124" s="55" t="s">
        <v>1812</v>
      </c>
      <c r="K124" s="55" t="s">
        <v>786</v>
      </c>
    </row>
    <row r="125" spans="1:11" ht="15" customHeight="1" x14ac:dyDescent="0.25">
      <c r="A125" s="55" t="s">
        <v>1939</v>
      </c>
      <c r="B125" s="55" t="s">
        <v>990</v>
      </c>
      <c r="C125" s="55" t="s">
        <v>991</v>
      </c>
      <c r="D125" s="55" t="s">
        <v>1436</v>
      </c>
      <c r="E125" s="55">
        <v>97</v>
      </c>
      <c r="F125" s="55">
        <v>92</v>
      </c>
      <c r="G125" s="55">
        <v>94</v>
      </c>
      <c r="H125" s="55">
        <v>97</v>
      </c>
      <c r="I125" s="55">
        <v>95</v>
      </c>
      <c r="J125" s="55" t="s">
        <v>1816</v>
      </c>
      <c r="K125" s="55" t="s">
        <v>786</v>
      </c>
    </row>
    <row r="126" spans="1:11" ht="15" customHeight="1" x14ac:dyDescent="0.25">
      <c r="A126" s="55" t="s">
        <v>1940</v>
      </c>
      <c r="B126" s="55" t="s">
        <v>997</v>
      </c>
      <c r="C126" s="55" t="s">
        <v>998</v>
      </c>
      <c r="D126" s="55" t="s">
        <v>1436</v>
      </c>
      <c r="E126" s="55">
        <v>92</v>
      </c>
      <c r="F126" s="55">
        <v>87</v>
      </c>
      <c r="G126" s="55">
        <v>89</v>
      </c>
      <c r="H126" s="55"/>
      <c r="I126" s="55"/>
      <c r="J126" s="55" t="s">
        <v>1816</v>
      </c>
      <c r="K126" s="55" t="s">
        <v>786</v>
      </c>
    </row>
    <row r="127" spans="1:11" ht="15" customHeight="1" x14ac:dyDescent="0.25">
      <c r="A127" s="55" t="s">
        <v>1941</v>
      </c>
      <c r="B127" s="55" t="s">
        <v>1003</v>
      </c>
      <c r="C127" s="55" t="s">
        <v>1004</v>
      </c>
      <c r="D127" s="55" t="s">
        <v>1444</v>
      </c>
      <c r="E127" s="55">
        <v>95</v>
      </c>
      <c r="F127" s="55">
        <v>90</v>
      </c>
      <c r="G127" s="55">
        <v>92</v>
      </c>
      <c r="H127" s="55"/>
      <c r="I127" s="55"/>
      <c r="J127" s="55" t="s">
        <v>1816</v>
      </c>
      <c r="K127" s="55" t="s">
        <v>786</v>
      </c>
    </row>
    <row r="128" spans="1:11" ht="15" customHeight="1" x14ac:dyDescent="0.25">
      <c r="A128" s="55" t="s">
        <v>1942</v>
      </c>
      <c r="B128" s="55" t="s">
        <v>1012</v>
      </c>
      <c r="C128" s="55" t="s">
        <v>1013</v>
      </c>
      <c r="D128" s="55" t="s">
        <v>1444</v>
      </c>
      <c r="E128" s="55">
        <v>96</v>
      </c>
      <c r="F128" s="55">
        <v>91</v>
      </c>
      <c r="G128" s="55">
        <v>93</v>
      </c>
      <c r="H128" s="55"/>
      <c r="I128" s="55"/>
      <c r="J128" s="55" t="s">
        <v>1816</v>
      </c>
      <c r="K128" s="55" t="s">
        <v>786</v>
      </c>
    </row>
    <row r="129" spans="1:11" ht="15" customHeight="1" x14ac:dyDescent="0.25">
      <c r="A129" s="55" t="s">
        <v>1943</v>
      </c>
      <c r="B129" s="55" t="s">
        <v>1020</v>
      </c>
      <c r="C129" s="55" t="s">
        <v>1021</v>
      </c>
      <c r="D129" s="55" t="s">
        <v>1444</v>
      </c>
      <c r="E129" s="55">
        <v>94</v>
      </c>
      <c r="F129" s="55">
        <v>89</v>
      </c>
      <c r="G129" s="55">
        <v>91</v>
      </c>
      <c r="H129" s="55"/>
      <c r="I129" s="55"/>
      <c r="J129" s="55" t="s">
        <v>1816</v>
      </c>
      <c r="K129" s="55" t="s">
        <v>786</v>
      </c>
    </row>
    <row r="130" spans="1:11" ht="15" customHeight="1" x14ac:dyDescent="0.25">
      <c r="A130" s="55" t="s">
        <v>1944</v>
      </c>
      <c r="B130" s="55" t="s">
        <v>1028</v>
      </c>
      <c r="C130" s="55" t="s">
        <v>1029</v>
      </c>
      <c r="D130" s="55" t="s">
        <v>1444</v>
      </c>
      <c r="E130" s="55">
        <v>92</v>
      </c>
      <c r="F130" s="55">
        <v>87</v>
      </c>
      <c r="G130" s="55">
        <v>89</v>
      </c>
      <c r="H130" s="55"/>
      <c r="I130" s="55"/>
      <c r="J130" s="55" t="s">
        <v>1816</v>
      </c>
      <c r="K130" s="55" t="s">
        <v>786</v>
      </c>
    </row>
    <row r="131" spans="1:11" ht="15" customHeight="1" x14ac:dyDescent="0.25">
      <c r="A131" s="55" t="s">
        <v>1945</v>
      </c>
      <c r="B131" s="55" t="s">
        <v>1035</v>
      </c>
      <c r="C131" s="55" t="s">
        <v>1036</v>
      </c>
      <c r="D131" s="55" t="s">
        <v>1262</v>
      </c>
      <c r="E131" s="55">
        <v>93</v>
      </c>
      <c r="F131" s="55">
        <v>88</v>
      </c>
      <c r="G131" s="55">
        <v>90</v>
      </c>
      <c r="H131" s="55">
        <v>93</v>
      </c>
      <c r="I131" s="55">
        <v>91</v>
      </c>
      <c r="J131" s="55" t="s">
        <v>1816</v>
      </c>
      <c r="K131" s="55" t="s">
        <v>62</v>
      </c>
    </row>
    <row r="132" spans="1:11" ht="15" customHeight="1" x14ac:dyDescent="0.25">
      <c r="A132" s="55" t="s">
        <v>1946</v>
      </c>
      <c r="B132" s="55" t="s">
        <v>1040</v>
      </c>
      <c r="C132" s="55" t="s">
        <v>1041</v>
      </c>
      <c r="D132" s="55" t="s">
        <v>1269</v>
      </c>
      <c r="E132" s="55">
        <v>93</v>
      </c>
      <c r="F132" s="55">
        <v>88</v>
      </c>
      <c r="G132" s="55">
        <v>90</v>
      </c>
      <c r="H132" s="55">
        <v>93</v>
      </c>
      <c r="I132" s="55">
        <v>91</v>
      </c>
      <c r="J132" s="55" t="s">
        <v>1816</v>
      </c>
      <c r="K132" s="55" t="s">
        <v>62</v>
      </c>
    </row>
    <row r="133" spans="1:11" ht="15" customHeight="1" x14ac:dyDescent="0.25">
      <c r="A133" s="55" t="s">
        <v>1947</v>
      </c>
      <c r="B133" s="55" t="s">
        <v>1048</v>
      </c>
      <c r="C133" s="55" t="s">
        <v>1049</v>
      </c>
      <c r="D133" s="55" t="s">
        <v>1304</v>
      </c>
      <c r="E133" s="55">
        <v>93</v>
      </c>
      <c r="F133" s="55">
        <v>88</v>
      </c>
      <c r="G133" s="55">
        <v>90</v>
      </c>
      <c r="H133" s="55">
        <v>93</v>
      </c>
      <c r="I133" s="55">
        <v>91</v>
      </c>
      <c r="J133" s="55" t="s">
        <v>1816</v>
      </c>
      <c r="K133" s="55" t="s">
        <v>62</v>
      </c>
    </row>
    <row r="134" spans="1:11" ht="15" customHeight="1" x14ac:dyDescent="0.25">
      <c r="A134" s="55" t="s">
        <v>1948</v>
      </c>
      <c r="B134" s="55" t="s">
        <v>1057</v>
      </c>
      <c r="C134" s="55" t="s">
        <v>1036</v>
      </c>
      <c r="D134" s="55" t="s">
        <v>1313</v>
      </c>
      <c r="E134" s="55">
        <v>93</v>
      </c>
      <c r="F134" s="55">
        <v>88</v>
      </c>
      <c r="G134" s="55">
        <v>90</v>
      </c>
      <c r="H134" s="55">
        <v>93</v>
      </c>
      <c r="I134" s="55">
        <v>91</v>
      </c>
      <c r="J134" s="55" t="s">
        <v>1816</v>
      </c>
      <c r="K134" s="55" t="s">
        <v>484</v>
      </c>
    </row>
    <row r="135" spans="1:11" ht="15" customHeight="1" x14ac:dyDescent="0.25">
      <c r="A135" s="55" t="s">
        <v>1949</v>
      </c>
      <c r="B135" s="55" t="s">
        <v>1060</v>
      </c>
      <c r="C135" s="55" t="s">
        <v>1041</v>
      </c>
      <c r="D135" s="55" t="s">
        <v>1364</v>
      </c>
      <c r="E135" s="55">
        <v>93</v>
      </c>
      <c r="F135" s="55">
        <v>88</v>
      </c>
      <c r="G135" s="55">
        <v>90</v>
      </c>
      <c r="H135" s="55">
        <v>93</v>
      </c>
      <c r="I135" s="55">
        <v>91</v>
      </c>
      <c r="J135" s="55" t="s">
        <v>1816</v>
      </c>
      <c r="K135" s="55" t="s">
        <v>484</v>
      </c>
    </row>
    <row r="136" spans="1:11" ht="15" customHeight="1" x14ac:dyDescent="0.25">
      <c r="A136" s="55" t="s">
        <v>1950</v>
      </c>
      <c r="B136" s="55" t="s">
        <v>1063</v>
      </c>
      <c r="C136" s="55" t="s">
        <v>1049</v>
      </c>
      <c r="D136" s="55" t="s">
        <v>1376</v>
      </c>
      <c r="E136" s="55">
        <v>93</v>
      </c>
      <c r="F136" s="55">
        <v>88</v>
      </c>
      <c r="G136" s="55">
        <v>90</v>
      </c>
      <c r="H136" s="55">
        <v>93</v>
      </c>
      <c r="I136" s="55">
        <v>91</v>
      </c>
      <c r="J136" s="55" t="s">
        <v>1816</v>
      </c>
      <c r="K136" s="55" t="s">
        <v>484</v>
      </c>
    </row>
    <row r="137" spans="1:11" ht="15" customHeight="1" x14ac:dyDescent="0.25">
      <c r="A137" s="55" t="s">
        <v>1951</v>
      </c>
      <c r="B137" s="55" t="s">
        <v>1066</v>
      </c>
      <c r="C137" s="55" t="s">
        <v>1036</v>
      </c>
      <c r="D137" s="55" t="s">
        <v>1407</v>
      </c>
      <c r="E137" s="55">
        <v>93</v>
      </c>
      <c r="F137" s="55">
        <v>88</v>
      </c>
      <c r="G137" s="55">
        <v>90</v>
      </c>
      <c r="H137" s="55">
        <v>93</v>
      </c>
      <c r="I137" s="55">
        <v>91</v>
      </c>
      <c r="J137" s="55" t="s">
        <v>1816</v>
      </c>
      <c r="K137" s="55" t="s">
        <v>786</v>
      </c>
    </row>
    <row r="138" spans="1:11" ht="15" customHeight="1" x14ac:dyDescent="0.25">
      <c r="A138" s="55" t="s">
        <v>1952</v>
      </c>
      <c r="B138" s="55" t="s">
        <v>1068</v>
      </c>
      <c r="C138" s="55" t="s">
        <v>1041</v>
      </c>
      <c r="D138" s="55" t="s">
        <v>1434</v>
      </c>
      <c r="E138" s="55">
        <v>93</v>
      </c>
      <c r="F138" s="55">
        <v>88</v>
      </c>
      <c r="G138" s="55">
        <v>90</v>
      </c>
      <c r="H138" s="55">
        <v>93</v>
      </c>
      <c r="I138" s="55">
        <v>91</v>
      </c>
      <c r="J138" s="55" t="s">
        <v>1816</v>
      </c>
      <c r="K138" s="55" t="s">
        <v>786</v>
      </c>
    </row>
    <row r="139" spans="1:11" ht="15" customHeight="1" x14ac:dyDescent="0.25">
      <c r="A139" s="55" t="s">
        <v>1953</v>
      </c>
      <c r="B139" s="55" t="s">
        <v>1070</v>
      </c>
      <c r="C139" s="55" t="s">
        <v>1049</v>
      </c>
      <c r="D139" s="55" t="s">
        <v>1444</v>
      </c>
      <c r="E139" s="55">
        <v>93</v>
      </c>
      <c r="F139" s="55">
        <v>88</v>
      </c>
      <c r="G139" s="55">
        <v>90</v>
      </c>
      <c r="H139" s="55">
        <v>93</v>
      </c>
      <c r="I139" s="55">
        <v>91</v>
      </c>
      <c r="J139" s="55" t="s">
        <v>1816</v>
      </c>
      <c r="K139" s="55" t="s">
        <v>786</v>
      </c>
    </row>
    <row r="140" spans="1:11" ht="15" customHeight="1" x14ac:dyDescent="0.25">
      <c r="A140" s="59" t="s">
        <v>1954</v>
      </c>
      <c r="B140" s="59" t="s">
        <v>1072</v>
      </c>
      <c r="C140" s="59" t="s">
        <v>1073</v>
      </c>
      <c r="D140" s="59" t="s">
        <v>1183</v>
      </c>
      <c r="E140" s="60">
        <v>80</v>
      </c>
      <c r="F140" s="60">
        <v>83</v>
      </c>
      <c r="G140" s="60">
        <v>87</v>
      </c>
      <c r="H140" s="60"/>
      <c r="I140" s="60"/>
      <c r="J140" s="60" t="s">
        <v>1812</v>
      </c>
      <c r="K140" s="59" t="s">
        <v>62</v>
      </c>
    </row>
    <row r="141" spans="1:11" ht="15" customHeight="1" x14ac:dyDescent="0.25">
      <c r="A141" s="59" t="s">
        <v>1955</v>
      </c>
      <c r="B141" s="59" t="s">
        <v>1072</v>
      </c>
      <c r="C141" s="59" t="s">
        <v>1073</v>
      </c>
      <c r="D141" s="59" t="s">
        <v>1246</v>
      </c>
      <c r="E141" s="60">
        <v>88</v>
      </c>
      <c r="F141" s="60">
        <v>81</v>
      </c>
      <c r="G141" s="60">
        <v>85</v>
      </c>
      <c r="H141" s="60"/>
      <c r="I141" s="60"/>
      <c r="J141" s="60" t="s">
        <v>1816</v>
      </c>
      <c r="K141" s="59" t="s">
        <v>62</v>
      </c>
    </row>
    <row r="142" spans="1:11" ht="15" customHeight="1" x14ac:dyDescent="0.25">
      <c r="A142" s="59" t="s">
        <v>1956</v>
      </c>
      <c r="B142" s="59" t="s">
        <v>1078</v>
      </c>
      <c r="C142" s="59" t="s">
        <v>1079</v>
      </c>
      <c r="D142" s="59" t="s">
        <v>1192</v>
      </c>
      <c r="E142" s="60">
        <v>60</v>
      </c>
      <c r="F142" s="60">
        <v>52</v>
      </c>
      <c r="G142" s="60">
        <v>57</v>
      </c>
      <c r="H142" s="60"/>
      <c r="I142" s="60"/>
      <c r="J142" s="60" t="s">
        <v>1836</v>
      </c>
      <c r="K142" s="59" t="s">
        <v>62</v>
      </c>
    </row>
    <row r="143" spans="1:11" ht="15" customHeight="1" x14ac:dyDescent="0.25">
      <c r="A143" s="59" t="s">
        <v>1957</v>
      </c>
      <c r="B143" s="59" t="s">
        <v>1078</v>
      </c>
      <c r="C143" s="59" t="s">
        <v>1079</v>
      </c>
      <c r="D143" s="59" t="s">
        <v>1255</v>
      </c>
      <c r="E143" s="60">
        <v>58</v>
      </c>
      <c r="F143" s="60">
        <v>63</v>
      </c>
      <c r="G143" s="60">
        <v>54</v>
      </c>
      <c r="H143" s="60"/>
      <c r="I143" s="60"/>
      <c r="J143" s="60" t="s">
        <v>1836</v>
      </c>
      <c r="K143" s="59" t="s">
        <v>62</v>
      </c>
    </row>
    <row r="144" spans="1:11" ht="15" customHeight="1" x14ac:dyDescent="0.25">
      <c r="A144" s="59" t="s">
        <v>1958</v>
      </c>
      <c r="B144" s="59" t="s">
        <v>1082</v>
      </c>
      <c r="C144" s="59" t="s">
        <v>1083</v>
      </c>
      <c r="D144" s="59" t="s">
        <v>1220</v>
      </c>
      <c r="E144" s="60">
        <v>69</v>
      </c>
      <c r="F144" s="60">
        <v>73</v>
      </c>
      <c r="G144" s="60">
        <v>66</v>
      </c>
      <c r="H144" s="60"/>
      <c r="I144" s="60"/>
      <c r="J144" s="60" t="s">
        <v>1836</v>
      </c>
      <c r="K144" s="59" t="s">
        <v>62</v>
      </c>
    </row>
    <row r="145" spans="1:11" ht="15" customHeight="1" x14ac:dyDescent="0.25">
      <c r="A145" s="59" t="s">
        <v>1959</v>
      </c>
      <c r="B145" s="59" t="s">
        <v>1082</v>
      </c>
      <c r="C145" s="59" t="s">
        <v>1083</v>
      </c>
      <c r="D145" s="59" t="s">
        <v>1265</v>
      </c>
      <c r="E145" s="60">
        <v>67</v>
      </c>
      <c r="F145" s="60">
        <v>71</v>
      </c>
      <c r="G145" s="60">
        <v>76</v>
      </c>
      <c r="H145" s="60"/>
      <c r="I145" s="60"/>
      <c r="J145" s="60" t="s">
        <v>1812</v>
      </c>
      <c r="K145" s="59" t="s">
        <v>62</v>
      </c>
    </row>
    <row r="146" spans="1:11" ht="15" customHeight="1" x14ac:dyDescent="0.25">
      <c r="A146" s="59" t="s">
        <v>1960</v>
      </c>
      <c r="B146" s="59" t="s">
        <v>1089</v>
      </c>
      <c r="C146" s="59" t="s">
        <v>1090</v>
      </c>
      <c r="D146" s="59" t="s">
        <v>1210</v>
      </c>
      <c r="E146" s="60">
        <v>95</v>
      </c>
      <c r="F146" s="60">
        <v>90</v>
      </c>
      <c r="G146" s="60">
        <v>93</v>
      </c>
      <c r="H146" s="60"/>
      <c r="I146" s="60"/>
      <c r="J146" s="60" t="s">
        <v>1816</v>
      </c>
      <c r="K146" s="59" t="s">
        <v>62</v>
      </c>
    </row>
    <row r="147" spans="1:11" ht="15" customHeight="1" x14ac:dyDescent="0.25">
      <c r="A147" s="59" t="s">
        <v>1961</v>
      </c>
      <c r="B147" s="59" t="s">
        <v>1089</v>
      </c>
      <c r="C147" s="59" t="s">
        <v>1090</v>
      </c>
      <c r="D147" s="59" t="s">
        <v>1265</v>
      </c>
      <c r="E147" s="60">
        <v>94</v>
      </c>
      <c r="F147" s="60">
        <v>89</v>
      </c>
      <c r="G147" s="60">
        <v>92</v>
      </c>
      <c r="H147" s="60"/>
      <c r="I147" s="60"/>
      <c r="J147" s="60" t="s">
        <v>1816</v>
      </c>
      <c r="K147" s="59" t="s">
        <v>62</v>
      </c>
    </row>
    <row r="148" spans="1:11" ht="15" customHeight="1" x14ac:dyDescent="0.25">
      <c r="A148" s="59" t="s">
        <v>1962</v>
      </c>
      <c r="B148" s="59" t="s">
        <v>1094</v>
      </c>
      <c r="C148" s="59" t="s">
        <v>1095</v>
      </c>
      <c r="D148" s="59" t="s">
        <v>1224</v>
      </c>
      <c r="E148" s="60">
        <v>71</v>
      </c>
      <c r="F148" s="60">
        <v>76</v>
      </c>
      <c r="G148" s="60">
        <v>68</v>
      </c>
      <c r="H148" s="60"/>
      <c r="I148" s="60"/>
      <c r="J148" s="60" t="s">
        <v>1812</v>
      </c>
      <c r="K148" s="59" t="s">
        <v>62</v>
      </c>
    </row>
    <row r="149" spans="1:11" ht="15" customHeight="1" x14ac:dyDescent="0.25">
      <c r="A149" s="59" t="s">
        <v>1963</v>
      </c>
      <c r="B149" s="59" t="s">
        <v>1094</v>
      </c>
      <c r="C149" s="59" t="s">
        <v>1095</v>
      </c>
      <c r="D149" s="59" t="s">
        <v>1265</v>
      </c>
      <c r="E149" s="60">
        <v>69</v>
      </c>
      <c r="F149" s="60">
        <v>73</v>
      </c>
      <c r="G149" s="60">
        <v>66</v>
      </c>
      <c r="H149" s="60"/>
      <c r="I149" s="60"/>
      <c r="J149" s="60" t="s">
        <v>1836</v>
      </c>
      <c r="K149" s="59" t="s">
        <v>62</v>
      </c>
    </row>
    <row r="150" spans="1:11" ht="15" customHeight="1" x14ac:dyDescent="0.25">
      <c r="A150" s="59" t="s">
        <v>1964</v>
      </c>
      <c r="B150" s="59" t="s">
        <v>1099</v>
      </c>
      <c r="C150" s="59" t="s">
        <v>1100</v>
      </c>
      <c r="D150" s="59" t="s">
        <v>1196</v>
      </c>
      <c r="E150" s="60">
        <v>36</v>
      </c>
      <c r="F150" s="60">
        <v>42</v>
      </c>
      <c r="G150" s="60">
        <v>47</v>
      </c>
      <c r="H150" s="60"/>
      <c r="I150" s="60"/>
      <c r="J150" s="60" t="s">
        <v>1823</v>
      </c>
      <c r="K150" s="59" t="s">
        <v>62</v>
      </c>
    </row>
    <row r="151" spans="1:11" ht="15" customHeight="1" x14ac:dyDescent="0.25">
      <c r="A151" s="59" t="s">
        <v>1965</v>
      </c>
      <c r="B151" s="59" t="s">
        <v>1099</v>
      </c>
      <c r="C151" s="59" t="s">
        <v>1100</v>
      </c>
      <c r="D151" s="59" t="s">
        <v>1192</v>
      </c>
      <c r="E151" s="60">
        <v>48</v>
      </c>
      <c r="F151" s="60">
        <v>39</v>
      </c>
      <c r="G151" s="60">
        <v>44</v>
      </c>
      <c r="H151" s="60"/>
      <c r="I151" s="60"/>
      <c r="J151" s="60" t="s">
        <v>1823</v>
      </c>
      <c r="K151" s="59" t="s">
        <v>62</v>
      </c>
    </row>
    <row r="152" spans="1:11" ht="15" customHeight="1" x14ac:dyDescent="0.25">
      <c r="A152" s="59" t="s">
        <v>1966</v>
      </c>
      <c r="B152" s="59" t="s">
        <v>1104</v>
      </c>
      <c r="C152" s="59" t="s">
        <v>1105</v>
      </c>
      <c r="D152" s="59" t="s">
        <v>1201</v>
      </c>
      <c r="E152" s="60">
        <v>85</v>
      </c>
      <c r="F152" s="60">
        <v>79</v>
      </c>
      <c r="G152" s="60">
        <v>82</v>
      </c>
      <c r="H152" s="60"/>
      <c r="I152" s="60"/>
      <c r="J152" s="60" t="s">
        <v>1812</v>
      </c>
      <c r="K152" s="59" t="s">
        <v>62</v>
      </c>
    </row>
    <row r="153" spans="1:11" ht="15" customHeight="1" x14ac:dyDescent="0.25">
      <c r="A153" s="59" t="s">
        <v>1967</v>
      </c>
      <c r="B153" s="59" t="s">
        <v>1104</v>
      </c>
      <c r="C153" s="59" t="s">
        <v>1105</v>
      </c>
      <c r="D153" s="59" t="s">
        <v>1205</v>
      </c>
      <c r="E153" s="60">
        <v>83</v>
      </c>
      <c r="F153" s="60">
        <v>87</v>
      </c>
      <c r="G153" s="60">
        <v>80</v>
      </c>
      <c r="H153" s="60"/>
      <c r="I153" s="60"/>
      <c r="J153" s="60" t="s">
        <v>1812</v>
      </c>
      <c r="K153" s="59" t="s">
        <v>62</v>
      </c>
    </row>
    <row r="154" spans="1:11" ht="15" customHeight="1" x14ac:dyDescent="0.25">
      <c r="A154" s="59" t="s">
        <v>1968</v>
      </c>
      <c r="B154" s="59" t="s">
        <v>1110</v>
      </c>
      <c r="C154" s="59" t="s">
        <v>1111</v>
      </c>
      <c r="D154" s="59" t="s">
        <v>1246</v>
      </c>
      <c r="E154" s="60">
        <v>68</v>
      </c>
      <c r="F154" s="60">
        <v>73</v>
      </c>
      <c r="G154" s="60">
        <v>65</v>
      </c>
      <c r="H154" s="60"/>
      <c r="I154" s="60"/>
      <c r="J154" s="60" t="s">
        <v>1836</v>
      </c>
      <c r="K154" s="59" t="s">
        <v>62</v>
      </c>
    </row>
    <row r="155" spans="1:11" ht="15" customHeight="1" x14ac:dyDescent="0.25">
      <c r="A155" s="59" t="s">
        <v>1969</v>
      </c>
      <c r="B155" s="59" t="s">
        <v>1110</v>
      </c>
      <c r="C155" s="59" t="s">
        <v>1111</v>
      </c>
      <c r="D155" s="59" t="s">
        <v>1188</v>
      </c>
      <c r="E155" s="60">
        <v>66</v>
      </c>
      <c r="F155" s="60">
        <v>71</v>
      </c>
      <c r="G155" s="60">
        <v>75</v>
      </c>
      <c r="H155" s="60"/>
      <c r="I155" s="60"/>
      <c r="J155" s="60" t="s">
        <v>1812</v>
      </c>
      <c r="K155" s="59" t="s">
        <v>62</v>
      </c>
    </row>
    <row r="156" spans="1:11" ht="15" customHeight="1" x14ac:dyDescent="0.25">
      <c r="A156" s="59" t="s">
        <v>1970</v>
      </c>
      <c r="B156" s="59" t="s">
        <v>1115</v>
      </c>
      <c r="C156" s="59" t="s">
        <v>1116</v>
      </c>
      <c r="D156" s="59" t="s">
        <v>1220</v>
      </c>
      <c r="E156" s="60">
        <v>95</v>
      </c>
      <c r="F156" s="60">
        <v>90</v>
      </c>
      <c r="G156" s="60">
        <v>93</v>
      </c>
      <c r="H156" s="60">
        <v>93</v>
      </c>
      <c r="I156" s="60">
        <v>93</v>
      </c>
      <c r="J156" s="60" t="s">
        <v>1816</v>
      </c>
      <c r="K156" s="59" t="s">
        <v>62</v>
      </c>
    </row>
    <row r="157" spans="1:11" ht="15" customHeight="1" x14ac:dyDescent="0.25">
      <c r="A157" s="59" t="s">
        <v>1971</v>
      </c>
      <c r="B157" s="59" t="s">
        <v>1115</v>
      </c>
      <c r="C157" s="59" t="s">
        <v>1116</v>
      </c>
      <c r="D157" s="59" t="s">
        <v>1265</v>
      </c>
      <c r="E157" s="60">
        <v>93</v>
      </c>
      <c r="F157" s="60">
        <v>88</v>
      </c>
      <c r="G157" s="60">
        <v>91</v>
      </c>
      <c r="H157" s="60">
        <v>91</v>
      </c>
      <c r="I157" s="60">
        <v>91</v>
      </c>
      <c r="J157" s="60" t="s">
        <v>1816</v>
      </c>
      <c r="K157" s="59" t="s">
        <v>62</v>
      </c>
    </row>
    <row r="158" spans="1:11" ht="15" customHeight="1" x14ac:dyDescent="0.25">
      <c r="A158" s="59" t="s">
        <v>1972</v>
      </c>
      <c r="B158" s="59" t="s">
        <v>1120</v>
      </c>
      <c r="C158" s="59" t="s">
        <v>1121</v>
      </c>
      <c r="D158" s="59" t="s">
        <v>1237</v>
      </c>
      <c r="E158" s="60">
        <v>56</v>
      </c>
      <c r="F158" s="60">
        <v>62</v>
      </c>
      <c r="G158" s="60">
        <v>53</v>
      </c>
      <c r="H158" s="60"/>
      <c r="I158" s="60"/>
      <c r="J158" s="60" t="s">
        <v>1836</v>
      </c>
      <c r="K158" s="59" t="s">
        <v>62</v>
      </c>
    </row>
    <row r="159" spans="1:11" ht="15" customHeight="1" x14ac:dyDescent="0.25">
      <c r="A159" s="59" t="s">
        <v>1973</v>
      </c>
      <c r="B159" s="59" t="s">
        <v>1120</v>
      </c>
      <c r="C159" s="59" t="s">
        <v>1121</v>
      </c>
      <c r="D159" s="59" t="s">
        <v>1242</v>
      </c>
      <c r="E159" s="60">
        <v>54</v>
      </c>
      <c r="F159" s="60">
        <v>59</v>
      </c>
      <c r="G159" s="60">
        <v>50</v>
      </c>
      <c r="H159" s="60"/>
      <c r="I159" s="60"/>
      <c r="J159" s="60" t="s">
        <v>1820</v>
      </c>
      <c r="K159" s="59" t="s">
        <v>62</v>
      </c>
    </row>
    <row r="160" spans="1:11" ht="15" customHeight="1" x14ac:dyDescent="0.25">
      <c r="A160" s="59" t="s">
        <v>1974</v>
      </c>
      <c r="B160" s="59" t="s">
        <v>1125</v>
      </c>
      <c r="C160" s="59" t="s">
        <v>1126</v>
      </c>
      <c r="D160" s="59" t="s">
        <v>1228</v>
      </c>
      <c r="E160" s="60">
        <v>78</v>
      </c>
      <c r="F160" s="60">
        <v>82</v>
      </c>
      <c r="G160" s="60">
        <v>86</v>
      </c>
      <c r="H160" s="60"/>
      <c r="I160" s="60"/>
      <c r="J160" s="60" t="s">
        <v>1812</v>
      </c>
      <c r="K160" s="59" t="s">
        <v>62</v>
      </c>
    </row>
    <row r="161" spans="1:11" ht="15" customHeight="1" x14ac:dyDescent="0.25">
      <c r="A161" s="59" t="s">
        <v>1975</v>
      </c>
      <c r="B161" s="59" t="s">
        <v>1125</v>
      </c>
      <c r="C161" s="59" t="s">
        <v>1126</v>
      </c>
      <c r="D161" s="59" t="s">
        <v>1265</v>
      </c>
      <c r="E161" s="60">
        <v>87</v>
      </c>
      <c r="F161" s="60">
        <v>80</v>
      </c>
      <c r="G161" s="60">
        <v>84</v>
      </c>
      <c r="H161" s="60"/>
      <c r="I161" s="60"/>
      <c r="J161" s="60" t="s">
        <v>1812</v>
      </c>
      <c r="K161" s="59" t="s">
        <v>62</v>
      </c>
    </row>
    <row r="162" spans="1:11" ht="15" customHeight="1" x14ac:dyDescent="0.25">
      <c r="A162" s="59" t="s">
        <v>1976</v>
      </c>
      <c r="B162" s="59" t="s">
        <v>1130</v>
      </c>
      <c r="C162" s="59" t="s">
        <v>1131</v>
      </c>
      <c r="D162" s="59" t="s">
        <v>1237</v>
      </c>
      <c r="E162" s="60">
        <v>59</v>
      </c>
      <c r="F162" s="60">
        <v>50</v>
      </c>
      <c r="G162" s="60">
        <v>55</v>
      </c>
      <c r="H162" s="60"/>
      <c r="I162" s="60"/>
      <c r="J162" s="60" t="s">
        <v>1836</v>
      </c>
      <c r="K162" s="59" t="s">
        <v>62</v>
      </c>
    </row>
    <row r="163" spans="1:11" ht="15" customHeight="1" x14ac:dyDescent="0.25">
      <c r="A163" s="59" t="s">
        <v>1977</v>
      </c>
      <c r="B163" s="59" t="s">
        <v>1130</v>
      </c>
      <c r="C163" s="59" t="s">
        <v>1131</v>
      </c>
      <c r="D163" s="59" t="s">
        <v>1242</v>
      </c>
      <c r="E163" s="60">
        <v>56</v>
      </c>
      <c r="F163" s="60">
        <v>61</v>
      </c>
      <c r="G163" s="60">
        <v>53</v>
      </c>
      <c r="H163" s="60"/>
      <c r="I163" s="60"/>
      <c r="J163" s="60" t="s">
        <v>1836</v>
      </c>
      <c r="K163" s="59" t="s">
        <v>62</v>
      </c>
    </row>
    <row r="164" spans="1:11" ht="15" customHeight="1" x14ac:dyDescent="0.25">
      <c r="A164" s="59" t="s">
        <v>1978</v>
      </c>
      <c r="B164" s="59" t="s">
        <v>1135</v>
      </c>
      <c r="C164" s="59" t="s">
        <v>1136</v>
      </c>
      <c r="D164" s="59" t="s">
        <v>1215</v>
      </c>
      <c r="E164" s="60">
        <v>90</v>
      </c>
      <c r="F164" s="60">
        <v>93</v>
      </c>
      <c r="G164" s="60">
        <v>96</v>
      </c>
      <c r="H164" s="60"/>
      <c r="I164" s="60"/>
      <c r="J164" s="60" t="s">
        <v>1816</v>
      </c>
      <c r="K164" s="59" t="s">
        <v>62</v>
      </c>
    </row>
    <row r="165" spans="1:11" ht="15" customHeight="1" x14ac:dyDescent="0.25">
      <c r="A165" s="59" t="s">
        <v>1979</v>
      </c>
      <c r="B165" s="59" t="s">
        <v>1135</v>
      </c>
      <c r="C165" s="59" t="s">
        <v>1136</v>
      </c>
      <c r="D165" s="59" t="s">
        <v>1237</v>
      </c>
      <c r="E165" s="60">
        <v>88</v>
      </c>
      <c r="F165" s="60">
        <v>91</v>
      </c>
      <c r="G165" s="60">
        <v>94</v>
      </c>
      <c r="H165" s="60"/>
      <c r="I165" s="60"/>
      <c r="J165" s="60" t="s">
        <v>1816</v>
      </c>
      <c r="K165" s="59" t="s">
        <v>62</v>
      </c>
    </row>
    <row r="166" spans="1:11" ht="15" customHeight="1" x14ac:dyDescent="0.25">
      <c r="A166" s="59" t="s">
        <v>1980</v>
      </c>
      <c r="B166" s="59" t="s">
        <v>1140</v>
      </c>
      <c r="C166" s="59" t="s">
        <v>1141</v>
      </c>
      <c r="D166" s="59" t="s">
        <v>1228</v>
      </c>
      <c r="E166" s="60">
        <v>75</v>
      </c>
      <c r="F166" s="60">
        <v>67</v>
      </c>
      <c r="G166" s="60">
        <v>72</v>
      </c>
      <c r="H166" s="60"/>
      <c r="I166" s="60"/>
      <c r="J166" s="60" t="s">
        <v>1812</v>
      </c>
      <c r="K166" s="59" t="s">
        <v>62</v>
      </c>
    </row>
    <row r="167" spans="1:11" ht="15" customHeight="1" x14ac:dyDescent="0.25">
      <c r="A167" s="59" t="s">
        <v>1981</v>
      </c>
      <c r="B167" s="59" t="s">
        <v>1140</v>
      </c>
      <c r="C167" s="59" t="s">
        <v>1141</v>
      </c>
      <c r="D167" s="59" t="s">
        <v>1265</v>
      </c>
      <c r="E167" s="60">
        <v>73</v>
      </c>
      <c r="F167" s="60">
        <v>65</v>
      </c>
      <c r="G167" s="60">
        <v>69</v>
      </c>
      <c r="H167" s="60"/>
      <c r="I167" s="60"/>
      <c r="J167" s="60" t="s">
        <v>1836</v>
      </c>
      <c r="K167" s="59" t="s">
        <v>62</v>
      </c>
    </row>
    <row r="168" spans="1:11" ht="15" customHeight="1" x14ac:dyDescent="0.25">
      <c r="A168" s="59" t="s">
        <v>1982</v>
      </c>
      <c r="B168" s="59" t="s">
        <v>1145</v>
      </c>
      <c r="C168" s="59" t="s">
        <v>1146</v>
      </c>
      <c r="D168" s="59" t="s">
        <v>1250</v>
      </c>
      <c r="E168" s="60">
        <v>56</v>
      </c>
      <c r="F168" s="60">
        <v>61</v>
      </c>
      <c r="G168" s="60">
        <v>52</v>
      </c>
      <c r="H168" s="60"/>
      <c r="I168" s="60"/>
      <c r="J168" s="60" t="s">
        <v>1836</v>
      </c>
      <c r="K168" s="59" t="s">
        <v>62</v>
      </c>
    </row>
    <row r="169" spans="1:11" ht="15" customHeight="1" x14ac:dyDescent="0.25">
      <c r="A169" s="59" t="s">
        <v>1983</v>
      </c>
      <c r="B169" s="59" t="s">
        <v>1145</v>
      </c>
      <c r="C169" s="59" t="s">
        <v>1146</v>
      </c>
      <c r="D169" s="59" t="s">
        <v>1242</v>
      </c>
      <c r="E169" s="60">
        <v>53</v>
      </c>
      <c r="F169" s="60">
        <v>58</v>
      </c>
      <c r="G169" s="60">
        <v>63</v>
      </c>
      <c r="H169" s="60"/>
      <c r="I169" s="60"/>
      <c r="J169" s="60" t="s">
        <v>1836</v>
      </c>
      <c r="K169" s="59" t="s">
        <v>62</v>
      </c>
    </row>
    <row r="170" spans="1:11" ht="15" customHeight="1" x14ac:dyDescent="0.25">
      <c r="A170" s="59" t="s">
        <v>1984</v>
      </c>
      <c r="B170" s="59" t="s">
        <v>1150</v>
      </c>
      <c r="C170" s="59" t="s">
        <v>1151</v>
      </c>
      <c r="D170" s="59" t="s">
        <v>1255</v>
      </c>
      <c r="E170" s="60">
        <v>78</v>
      </c>
      <c r="F170" s="60">
        <v>82</v>
      </c>
      <c r="G170" s="60">
        <v>85</v>
      </c>
      <c r="H170" s="60"/>
      <c r="I170" s="60"/>
      <c r="J170" s="60" t="s">
        <v>1812</v>
      </c>
      <c r="K170" s="59" t="s">
        <v>62</v>
      </c>
    </row>
    <row r="171" spans="1:11" ht="15" customHeight="1" x14ac:dyDescent="0.25">
      <c r="A171" s="59" t="s">
        <v>1985</v>
      </c>
      <c r="B171" s="59" t="s">
        <v>1150</v>
      </c>
      <c r="C171" s="59" t="s">
        <v>1151</v>
      </c>
      <c r="D171" s="59" t="s">
        <v>1196</v>
      </c>
      <c r="E171" s="60">
        <v>86</v>
      </c>
      <c r="F171" s="60">
        <v>80</v>
      </c>
      <c r="G171" s="60">
        <v>84</v>
      </c>
      <c r="H171" s="60"/>
      <c r="I171" s="60"/>
      <c r="J171" s="60" t="s">
        <v>1812</v>
      </c>
      <c r="K171" s="59" t="s">
        <v>62</v>
      </c>
    </row>
    <row r="172" spans="1:11" ht="15" customHeight="1" x14ac:dyDescent="0.25">
      <c r="A172" s="59" t="s">
        <v>1986</v>
      </c>
      <c r="B172" s="59" t="s">
        <v>1155</v>
      </c>
      <c r="C172" s="59" t="s">
        <v>1156</v>
      </c>
      <c r="D172" s="59" t="s">
        <v>1201</v>
      </c>
      <c r="E172" s="60">
        <v>72</v>
      </c>
      <c r="F172" s="60">
        <v>77</v>
      </c>
      <c r="G172" s="60">
        <v>69</v>
      </c>
      <c r="H172" s="60"/>
      <c r="I172" s="60"/>
      <c r="J172" s="60" t="s">
        <v>1812</v>
      </c>
      <c r="K172" s="59" t="s">
        <v>62</v>
      </c>
    </row>
    <row r="173" spans="1:11" ht="15" customHeight="1" x14ac:dyDescent="0.25">
      <c r="A173" s="59" t="s">
        <v>1987</v>
      </c>
      <c r="B173" s="59" t="s">
        <v>1155</v>
      </c>
      <c r="C173" s="59" t="s">
        <v>1156</v>
      </c>
      <c r="D173" s="59" t="s">
        <v>1205</v>
      </c>
      <c r="E173" s="60">
        <v>70</v>
      </c>
      <c r="F173" s="60">
        <v>74</v>
      </c>
      <c r="G173" s="60">
        <v>67</v>
      </c>
      <c r="H173" s="60"/>
      <c r="I173" s="60"/>
      <c r="J173" s="60" t="s">
        <v>1812</v>
      </c>
      <c r="K173" s="59" t="s">
        <v>62</v>
      </c>
    </row>
    <row r="174" spans="1:11" ht="15" customHeight="1" x14ac:dyDescent="0.25">
      <c r="A174" s="59" t="s">
        <v>1988</v>
      </c>
      <c r="B174" s="59" t="s">
        <v>1160</v>
      </c>
      <c r="C174" s="59" t="s">
        <v>1161</v>
      </c>
      <c r="D174" s="59" t="s">
        <v>1233</v>
      </c>
      <c r="E174" s="60">
        <v>53</v>
      </c>
      <c r="F174" s="60">
        <v>58</v>
      </c>
      <c r="G174" s="60">
        <v>63</v>
      </c>
      <c r="H174" s="60"/>
      <c r="I174" s="60"/>
      <c r="J174" s="60" t="s">
        <v>1836</v>
      </c>
      <c r="K174" s="59" t="s">
        <v>62</v>
      </c>
    </row>
    <row r="175" spans="1:11" ht="15" customHeight="1" x14ac:dyDescent="0.25">
      <c r="A175" s="59" t="s">
        <v>1989</v>
      </c>
      <c r="B175" s="59" t="s">
        <v>1160</v>
      </c>
      <c r="C175" s="59" t="s">
        <v>1161</v>
      </c>
      <c r="D175" s="59" t="s">
        <v>1265</v>
      </c>
      <c r="E175" s="60">
        <v>64</v>
      </c>
      <c r="F175" s="60">
        <v>55</v>
      </c>
      <c r="G175" s="60">
        <v>60</v>
      </c>
      <c r="H175" s="60"/>
      <c r="I175" s="60"/>
      <c r="J175" s="60" t="s">
        <v>1836</v>
      </c>
      <c r="K175" s="59" t="s">
        <v>62</v>
      </c>
    </row>
    <row r="176" spans="1:11" ht="15" customHeight="1" x14ac:dyDescent="0.25">
      <c r="A176" s="59" t="s">
        <v>1990</v>
      </c>
      <c r="B176" s="59" t="s">
        <v>1165</v>
      </c>
      <c r="C176" s="59" t="s">
        <v>1166</v>
      </c>
      <c r="D176" s="59" t="s">
        <v>1220</v>
      </c>
      <c r="E176" s="60">
        <v>86</v>
      </c>
      <c r="F176" s="60">
        <v>79</v>
      </c>
      <c r="G176" s="60">
        <v>83</v>
      </c>
      <c r="H176" s="60"/>
      <c r="I176" s="60"/>
      <c r="J176" s="60" t="s">
        <v>1812</v>
      </c>
      <c r="K176" s="59" t="s">
        <v>62</v>
      </c>
    </row>
    <row r="177" spans="1:11" ht="15" customHeight="1" x14ac:dyDescent="0.25">
      <c r="A177" s="59" t="s">
        <v>1991</v>
      </c>
      <c r="B177" s="59" t="s">
        <v>1165</v>
      </c>
      <c r="C177" s="59" t="s">
        <v>1166</v>
      </c>
      <c r="D177" s="59" t="s">
        <v>1265</v>
      </c>
      <c r="E177" s="60">
        <v>84</v>
      </c>
      <c r="F177" s="60">
        <v>88</v>
      </c>
      <c r="G177" s="60">
        <v>81</v>
      </c>
      <c r="H177" s="60"/>
      <c r="I177" s="60"/>
      <c r="J177" s="60" t="s">
        <v>1812</v>
      </c>
      <c r="K177" s="59" t="s">
        <v>62</v>
      </c>
    </row>
    <row r="178" spans="1:11" ht="15" customHeight="1" x14ac:dyDescent="0.25">
      <c r="A178" s="59" t="s">
        <v>1992</v>
      </c>
      <c r="B178" s="59" t="s">
        <v>1170</v>
      </c>
      <c r="C178" s="59" t="s">
        <v>1171</v>
      </c>
      <c r="D178" s="59" t="s">
        <v>1246</v>
      </c>
      <c r="E178" s="60">
        <v>40</v>
      </c>
      <c r="F178" s="60">
        <v>45</v>
      </c>
      <c r="G178" s="60">
        <v>36</v>
      </c>
      <c r="H178" s="60"/>
      <c r="I178" s="60"/>
      <c r="J178" s="60" t="s">
        <v>1823</v>
      </c>
      <c r="K178" s="59" t="s">
        <v>62</v>
      </c>
    </row>
    <row r="179" spans="1:11" ht="15" customHeight="1" x14ac:dyDescent="0.25">
      <c r="A179" s="59" t="s">
        <v>1993</v>
      </c>
      <c r="B179" s="59" t="s">
        <v>1170</v>
      </c>
      <c r="C179" s="59" t="s">
        <v>1171</v>
      </c>
      <c r="D179" s="59" t="s">
        <v>1188</v>
      </c>
      <c r="E179" s="60">
        <v>37</v>
      </c>
      <c r="F179" s="60">
        <v>43</v>
      </c>
      <c r="G179" s="60">
        <v>48</v>
      </c>
      <c r="H179" s="60"/>
      <c r="I179" s="60"/>
      <c r="J179" s="60" t="s">
        <v>1823</v>
      </c>
      <c r="K179" s="59" t="s">
        <v>62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79"/>
  <sheetViews>
    <sheetView showGridLines="0" zoomScaleNormal="100" workbookViewId="0">
      <pane ySplit="1" topLeftCell="A2" activePane="bottomLeft" state="frozen"/>
      <selection pane="bottomLeft"/>
    </sheetView>
  </sheetViews>
  <sheetFormatPr defaultColWidth="8.7109375" defaultRowHeight="15" x14ac:dyDescent="0.25"/>
  <cols>
    <col min="1" max="1" width="12" customWidth="1"/>
    <col min="2" max="2" width="16" customWidth="1"/>
    <col min="3" max="3" width="22" customWidth="1"/>
    <col min="4" max="4" width="10" customWidth="1"/>
    <col min="5" max="5" width="28" customWidth="1"/>
    <col min="6" max="8" width="10" customWidth="1"/>
    <col min="9" max="9" width="8" customWidth="1"/>
    <col min="10" max="11" width="10" customWidth="1"/>
  </cols>
  <sheetData>
    <row r="1" spans="1:12" ht="30" customHeight="1" x14ac:dyDescent="0.25">
      <c r="A1" s="54" t="s">
        <v>1994</v>
      </c>
      <c r="B1" s="54" t="s">
        <v>0</v>
      </c>
      <c r="C1" s="54" t="s">
        <v>1447</v>
      </c>
      <c r="D1" s="54" t="s">
        <v>1175</v>
      </c>
      <c r="E1" s="54" t="s">
        <v>1448</v>
      </c>
      <c r="F1" s="54" t="s">
        <v>1995</v>
      </c>
      <c r="G1" s="54" t="s">
        <v>1996</v>
      </c>
      <c r="H1" s="54" t="s">
        <v>1997</v>
      </c>
      <c r="I1" s="54" t="s">
        <v>1998</v>
      </c>
      <c r="J1" s="54" t="s">
        <v>1999</v>
      </c>
      <c r="K1" s="54" t="s">
        <v>2000</v>
      </c>
      <c r="L1" s="54" t="s">
        <v>35</v>
      </c>
    </row>
    <row r="2" spans="1:12" ht="15" customHeight="1" x14ac:dyDescent="0.25">
      <c r="A2" s="55" t="s">
        <v>2001</v>
      </c>
      <c r="B2" s="55" t="s">
        <v>40</v>
      </c>
      <c r="C2" s="55" t="s">
        <v>41</v>
      </c>
      <c r="D2" s="55" t="s">
        <v>1183</v>
      </c>
      <c r="E2" s="55" t="s">
        <v>1184</v>
      </c>
      <c r="F2" s="55">
        <v>28</v>
      </c>
      <c r="G2" s="55">
        <v>26</v>
      </c>
      <c r="H2" s="55">
        <v>2</v>
      </c>
      <c r="I2" s="55">
        <v>1</v>
      </c>
      <c r="J2" s="57">
        <f t="shared" ref="J2:J17" si="0">ROUND(G2/F2*100,0)</f>
        <v>93</v>
      </c>
      <c r="K2" s="55" t="s">
        <v>2002</v>
      </c>
      <c r="L2" s="55" t="s">
        <v>62</v>
      </c>
    </row>
    <row r="3" spans="1:12" ht="15" customHeight="1" x14ac:dyDescent="0.25">
      <c r="A3" s="56" t="s">
        <v>2003</v>
      </c>
      <c r="B3" s="56" t="s">
        <v>40</v>
      </c>
      <c r="C3" s="56" t="s">
        <v>41</v>
      </c>
      <c r="D3" s="56" t="s">
        <v>1188</v>
      </c>
      <c r="E3" s="56" t="s">
        <v>1189</v>
      </c>
      <c r="F3" s="56">
        <v>26</v>
      </c>
      <c r="G3" s="56">
        <v>25</v>
      </c>
      <c r="H3" s="56">
        <v>1</v>
      </c>
      <c r="I3" s="56">
        <v>2</v>
      </c>
      <c r="J3" s="58">
        <f t="shared" si="0"/>
        <v>96</v>
      </c>
      <c r="K3" s="56" t="s">
        <v>2002</v>
      </c>
      <c r="L3" s="56" t="s">
        <v>62</v>
      </c>
    </row>
    <row r="4" spans="1:12" ht="15" customHeight="1" x14ac:dyDescent="0.25">
      <c r="A4" s="55" t="s">
        <v>2004</v>
      </c>
      <c r="B4" s="55" t="s">
        <v>111</v>
      </c>
      <c r="C4" s="55" t="s">
        <v>112</v>
      </c>
      <c r="D4" s="55" t="s">
        <v>1237</v>
      </c>
      <c r="E4" s="55" t="s">
        <v>1238</v>
      </c>
      <c r="F4" s="55">
        <v>30</v>
      </c>
      <c r="G4" s="55">
        <v>17</v>
      </c>
      <c r="H4" s="55">
        <v>13</v>
      </c>
      <c r="I4" s="55">
        <v>3</v>
      </c>
      <c r="J4" s="57">
        <f t="shared" si="0"/>
        <v>57</v>
      </c>
      <c r="K4" s="55" t="s">
        <v>2005</v>
      </c>
      <c r="L4" s="55" t="s">
        <v>62</v>
      </c>
    </row>
    <row r="5" spans="1:12" ht="15" customHeight="1" x14ac:dyDescent="0.25">
      <c r="A5" s="56" t="s">
        <v>2006</v>
      </c>
      <c r="B5" s="56" t="s">
        <v>188</v>
      </c>
      <c r="C5" s="56" t="s">
        <v>189</v>
      </c>
      <c r="D5" s="56" t="s">
        <v>1215</v>
      </c>
      <c r="E5" s="56" t="s">
        <v>1216</v>
      </c>
      <c r="F5" s="56">
        <v>26</v>
      </c>
      <c r="G5" s="56">
        <v>14</v>
      </c>
      <c r="H5" s="56">
        <v>12</v>
      </c>
      <c r="I5" s="56">
        <v>2</v>
      </c>
      <c r="J5" s="58">
        <f t="shared" si="0"/>
        <v>54</v>
      </c>
      <c r="K5" s="56" t="s">
        <v>2005</v>
      </c>
      <c r="L5" s="56" t="s">
        <v>62</v>
      </c>
    </row>
    <row r="6" spans="1:12" ht="15" customHeight="1" x14ac:dyDescent="0.25">
      <c r="A6" s="55" t="s">
        <v>2007</v>
      </c>
      <c r="B6" s="55" t="s">
        <v>213</v>
      </c>
      <c r="C6" s="55" t="s">
        <v>214</v>
      </c>
      <c r="D6" s="55" t="s">
        <v>1183</v>
      </c>
      <c r="E6" s="55" t="s">
        <v>1184</v>
      </c>
      <c r="F6" s="55">
        <v>28</v>
      </c>
      <c r="G6" s="55">
        <v>28</v>
      </c>
      <c r="H6" s="55">
        <v>0</v>
      </c>
      <c r="I6" s="55">
        <v>0</v>
      </c>
      <c r="J6" s="57">
        <f t="shared" si="0"/>
        <v>100</v>
      </c>
      <c r="K6" s="55" t="s">
        <v>2002</v>
      </c>
      <c r="L6" s="55" t="s">
        <v>62</v>
      </c>
    </row>
    <row r="7" spans="1:12" ht="15" customHeight="1" x14ac:dyDescent="0.25">
      <c r="A7" s="56" t="s">
        <v>2008</v>
      </c>
      <c r="B7" s="56" t="s">
        <v>65</v>
      </c>
      <c r="C7" s="56" t="s">
        <v>66</v>
      </c>
      <c r="D7" s="56" t="s">
        <v>1192</v>
      </c>
      <c r="E7" s="56" t="s">
        <v>1193</v>
      </c>
      <c r="F7" s="56">
        <v>26</v>
      </c>
      <c r="G7" s="56">
        <v>21</v>
      </c>
      <c r="H7" s="56">
        <v>5</v>
      </c>
      <c r="I7" s="56">
        <v>2</v>
      </c>
      <c r="J7" s="58">
        <f t="shared" si="0"/>
        <v>81</v>
      </c>
      <c r="K7" s="56" t="s">
        <v>2002</v>
      </c>
      <c r="L7" s="56" t="s">
        <v>62</v>
      </c>
    </row>
    <row r="8" spans="1:12" ht="15" customHeight="1" x14ac:dyDescent="0.25">
      <c r="A8" s="55" t="s">
        <v>2009</v>
      </c>
      <c r="B8" s="55" t="s">
        <v>247</v>
      </c>
      <c r="C8" s="55" t="s">
        <v>248</v>
      </c>
      <c r="D8" s="55" t="s">
        <v>1255</v>
      </c>
      <c r="E8" s="55" t="s">
        <v>1256</v>
      </c>
      <c r="F8" s="55">
        <v>26</v>
      </c>
      <c r="G8" s="55">
        <v>16</v>
      </c>
      <c r="H8" s="55">
        <v>10</v>
      </c>
      <c r="I8" s="55">
        <v>3</v>
      </c>
      <c r="J8" s="57">
        <f t="shared" si="0"/>
        <v>62</v>
      </c>
      <c r="K8" s="55" t="s">
        <v>2010</v>
      </c>
      <c r="L8" s="55" t="s">
        <v>62</v>
      </c>
    </row>
    <row r="9" spans="1:12" ht="15" customHeight="1" x14ac:dyDescent="0.25">
      <c r="A9" s="56" t="s">
        <v>2011</v>
      </c>
      <c r="B9" s="56" t="s">
        <v>198</v>
      </c>
      <c r="C9" s="56" t="s">
        <v>199</v>
      </c>
      <c r="D9" s="56" t="s">
        <v>1233</v>
      </c>
      <c r="E9" s="56" t="s">
        <v>1234</v>
      </c>
      <c r="F9" s="56">
        <v>24</v>
      </c>
      <c r="G9" s="56">
        <v>24</v>
      </c>
      <c r="H9" s="56">
        <v>0</v>
      </c>
      <c r="I9" s="56">
        <v>1</v>
      </c>
      <c r="J9" s="58">
        <f t="shared" si="0"/>
        <v>100</v>
      </c>
      <c r="K9" s="56" t="s">
        <v>2002</v>
      </c>
      <c r="L9" s="56" t="s">
        <v>62</v>
      </c>
    </row>
    <row r="10" spans="1:12" ht="15" customHeight="1" x14ac:dyDescent="0.25">
      <c r="A10" s="55" t="s">
        <v>2012</v>
      </c>
      <c r="B10" s="55" t="s">
        <v>142</v>
      </c>
      <c r="C10" s="55" t="s">
        <v>143</v>
      </c>
      <c r="D10" s="55" t="s">
        <v>1210</v>
      </c>
      <c r="E10" s="55" t="s">
        <v>1211</v>
      </c>
      <c r="F10" s="55">
        <v>26</v>
      </c>
      <c r="G10" s="55">
        <v>22</v>
      </c>
      <c r="H10" s="55">
        <v>4</v>
      </c>
      <c r="I10" s="55">
        <v>1</v>
      </c>
      <c r="J10" s="57">
        <f t="shared" si="0"/>
        <v>85</v>
      </c>
      <c r="K10" s="55" t="s">
        <v>2002</v>
      </c>
      <c r="L10" s="55" t="s">
        <v>62</v>
      </c>
    </row>
    <row r="11" spans="1:12" ht="15" customHeight="1" x14ac:dyDescent="0.25">
      <c r="A11" s="56" t="s">
        <v>2013</v>
      </c>
      <c r="B11" s="56" t="s">
        <v>151</v>
      </c>
      <c r="C11" s="56" t="s">
        <v>152</v>
      </c>
      <c r="D11" s="56" t="s">
        <v>1196</v>
      </c>
      <c r="E11" s="56" t="s">
        <v>1197</v>
      </c>
      <c r="F11" s="56">
        <v>26</v>
      </c>
      <c r="G11" s="56">
        <v>16</v>
      </c>
      <c r="H11" s="56">
        <v>10</v>
      </c>
      <c r="I11" s="56">
        <v>2</v>
      </c>
      <c r="J11" s="58">
        <f t="shared" si="0"/>
        <v>62</v>
      </c>
      <c r="K11" s="56" t="s">
        <v>2010</v>
      </c>
      <c r="L11" s="56" t="s">
        <v>62</v>
      </c>
    </row>
    <row r="12" spans="1:12" ht="15" customHeight="1" x14ac:dyDescent="0.25">
      <c r="A12" s="55" t="s">
        <v>2014</v>
      </c>
      <c r="B12" s="55" t="s">
        <v>236</v>
      </c>
      <c r="C12" s="55" t="s">
        <v>237</v>
      </c>
      <c r="D12" s="55" t="s">
        <v>1228</v>
      </c>
      <c r="E12" s="55" t="s">
        <v>1229</v>
      </c>
      <c r="F12" s="55">
        <v>24</v>
      </c>
      <c r="G12" s="55">
        <v>15</v>
      </c>
      <c r="H12" s="55">
        <v>9</v>
      </c>
      <c r="I12" s="55">
        <v>2</v>
      </c>
      <c r="J12" s="57">
        <f t="shared" si="0"/>
        <v>63</v>
      </c>
      <c r="K12" s="55" t="s">
        <v>2010</v>
      </c>
      <c r="L12" s="55" t="s">
        <v>62</v>
      </c>
    </row>
    <row r="13" spans="1:12" ht="15" customHeight="1" x14ac:dyDescent="0.25">
      <c r="A13" s="56" t="s">
        <v>2015</v>
      </c>
      <c r="B13" s="56" t="s">
        <v>253</v>
      </c>
      <c r="C13" s="56" t="s">
        <v>254</v>
      </c>
      <c r="D13" s="56" t="s">
        <v>1246</v>
      </c>
      <c r="E13" s="56" t="s">
        <v>1247</v>
      </c>
      <c r="F13" s="56">
        <v>24</v>
      </c>
      <c r="G13" s="56">
        <v>22</v>
      </c>
      <c r="H13" s="56">
        <v>2</v>
      </c>
      <c r="I13" s="56">
        <v>1</v>
      </c>
      <c r="J13" s="58">
        <f t="shared" si="0"/>
        <v>92</v>
      </c>
      <c r="K13" s="56" t="s">
        <v>2002</v>
      </c>
      <c r="L13" s="56" t="s">
        <v>62</v>
      </c>
    </row>
    <row r="14" spans="1:12" ht="15" customHeight="1" x14ac:dyDescent="0.25">
      <c r="A14" s="55" t="s">
        <v>2016</v>
      </c>
      <c r="B14" s="55" t="s">
        <v>258</v>
      </c>
      <c r="C14" s="55" t="s">
        <v>259</v>
      </c>
      <c r="D14" s="55" t="s">
        <v>1262</v>
      </c>
      <c r="E14" s="55" t="s">
        <v>1263</v>
      </c>
      <c r="F14" s="55">
        <v>26</v>
      </c>
      <c r="G14" s="55">
        <v>25</v>
      </c>
      <c r="H14" s="55">
        <v>1</v>
      </c>
      <c r="I14" s="55">
        <v>1</v>
      </c>
      <c r="J14" s="57">
        <f t="shared" si="0"/>
        <v>96</v>
      </c>
      <c r="K14" s="55" t="s">
        <v>2002</v>
      </c>
      <c r="L14" s="55" t="s">
        <v>62</v>
      </c>
    </row>
    <row r="15" spans="1:12" ht="15" customHeight="1" x14ac:dyDescent="0.25">
      <c r="A15" s="56" t="s">
        <v>2017</v>
      </c>
      <c r="B15" s="56" t="s">
        <v>258</v>
      </c>
      <c r="C15" s="56" t="s">
        <v>259</v>
      </c>
      <c r="D15" s="56" t="s">
        <v>1246</v>
      </c>
      <c r="E15" s="56" t="s">
        <v>1247</v>
      </c>
      <c r="F15" s="56">
        <v>24</v>
      </c>
      <c r="G15" s="56">
        <v>22</v>
      </c>
      <c r="H15" s="56">
        <v>2</v>
      </c>
      <c r="I15" s="56">
        <v>0</v>
      </c>
      <c r="J15" s="58">
        <f t="shared" si="0"/>
        <v>92</v>
      </c>
      <c r="K15" s="56" t="s">
        <v>2002</v>
      </c>
      <c r="L15" s="56" t="s">
        <v>62</v>
      </c>
    </row>
    <row r="16" spans="1:12" ht="15" customHeight="1" x14ac:dyDescent="0.25">
      <c r="A16" s="55" t="s">
        <v>2018</v>
      </c>
      <c r="B16" s="55" t="s">
        <v>258</v>
      </c>
      <c r="C16" s="55" t="s">
        <v>259</v>
      </c>
      <c r="D16" s="55" t="s">
        <v>1237</v>
      </c>
      <c r="E16" s="55" t="s">
        <v>1238</v>
      </c>
      <c r="F16" s="55">
        <v>30</v>
      </c>
      <c r="G16" s="55">
        <v>28</v>
      </c>
      <c r="H16" s="55">
        <v>2</v>
      </c>
      <c r="I16" s="55">
        <v>1</v>
      </c>
      <c r="J16" s="57">
        <f t="shared" si="0"/>
        <v>93</v>
      </c>
      <c r="K16" s="55" t="s">
        <v>2002</v>
      </c>
      <c r="L16" s="55" t="s">
        <v>62</v>
      </c>
    </row>
    <row r="17" spans="1:12" ht="15" customHeight="1" x14ac:dyDescent="0.25">
      <c r="A17" s="56" t="s">
        <v>2019</v>
      </c>
      <c r="B17" s="56" t="s">
        <v>258</v>
      </c>
      <c r="C17" s="56" t="s">
        <v>259</v>
      </c>
      <c r="D17" s="56" t="s">
        <v>1265</v>
      </c>
      <c r="E17" s="56" t="s">
        <v>1266</v>
      </c>
      <c r="F17" s="56">
        <v>24</v>
      </c>
      <c r="G17" s="56">
        <v>23</v>
      </c>
      <c r="H17" s="56">
        <v>1</v>
      </c>
      <c r="I17" s="56">
        <v>0</v>
      </c>
      <c r="J17" s="58">
        <f t="shared" si="0"/>
        <v>96</v>
      </c>
      <c r="K17" s="56" t="s">
        <v>2002</v>
      </c>
      <c r="L17" s="56" t="s">
        <v>62</v>
      </c>
    </row>
    <row r="18" spans="1:12" ht="15" customHeight="1" x14ac:dyDescent="0.25">
      <c r="A18" t="s">
        <v>2020</v>
      </c>
      <c r="B18" t="s">
        <v>264</v>
      </c>
      <c r="C18" t="s">
        <v>265</v>
      </c>
      <c r="D18" t="s">
        <v>1297</v>
      </c>
      <c r="E18" t="s">
        <v>1298</v>
      </c>
      <c r="F18">
        <v>24</v>
      </c>
      <c r="G18">
        <v>22</v>
      </c>
      <c r="H18">
        <v>2</v>
      </c>
      <c r="I18">
        <v>1</v>
      </c>
      <c r="J18">
        <v>92</v>
      </c>
      <c r="K18" t="s">
        <v>2002</v>
      </c>
      <c r="L18" t="s">
        <v>62</v>
      </c>
    </row>
    <row r="19" spans="1:12" ht="15" customHeight="1" x14ac:dyDescent="0.25">
      <c r="A19" t="s">
        <v>2021</v>
      </c>
      <c r="B19" t="s">
        <v>264</v>
      </c>
      <c r="C19" t="s">
        <v>265</v>
      </c>
      <c r="D19" t="s">
        <v>1275</v>
      </c>
      <c r="E19" t="s">
        <v>1276</v>
      </c>
      <c r="F19">
        <v>20</v>
      </c>
      <c r="G19">
        <v>19</v>
      </c>
      <c r="H19">
        <v>1</v>
      </c>
      <c r="I19">
        <v>1</v>
      </c>
      <c r="J19">
        <v>95</v>
      </c>
      <c r="K19" t="s">
        <v>2002</v>
      </c>
      <c r="L19" t="s">
        <v>62</v>
      </c>
    </row>
    <row r="20" spans="1:12" ht="15" customHeight="1" x14ac:dyDescent="0.25">
      <c r="A20" t="s">
        <v>2022</v>
      </c>
      <c r="B20" t="s">
        <v>264</v>
      </c>
      <c r="C20" t="s">
        <v>265</v>
      </c>
      <c r="D20" t="s">
        <v>1278</v>
      </c>
      <c r="E20" t="s">
        <v>1279</v>
      </c>
      <c r="F20">
        <v>16</v>
      </c>
      <c r="G20">
        <v>15</v>
      </c>
      <c r="H20">
        <v>1</v>
      </c>
      <c r="I20">
        <v>0</v>
      </c>
      <c r="J20">
        <v>94</v>
      </c>
      <c r="K20" t="s">
        <v>2002</v>
      </c>
      <c r="L20" t="s">
        <v>62</v>
      </c>
    </row>
    <row r="21" spans="1:12" ht="15" customHeight="1" x14ac:dyDescent="0.25">
      <c r="A21" t="s">
        <v>2023</v>
      </c>
      <c r="B21" t="s">
        <v>281</v>
      </c>
      <c r="C21" t="s">
        <v>282</v>
      </c>
      <c r="D21" t="s">
        <v>1286</v>
      </c>
      <c r="E21" t="s">
        <v>1287</v>
      </c>
      <c r="F21">
        <v>22</v>
      </c>
      <c r="G21">
        <v>19</v>
      </c>
      <c r="H21">
        <v>3</v>
      </c>
      <c r="I21">
        <v>1</v>
      </c>
      <c r="J21">
        <v>86</v>
      </c>
      <c r="K21" t="s">
        <v>2002</v>
      </c>
      <c r="L21" t="s">
        <v>62</v>
      </c>
    </row>
    <row r="22" spans="1:12" ht="15" customHeight="1" x14ac:dyDescent="0.25">
      <c r="A22" t="s">
        <v>2024</v>
      </c>
      <c r="B22" t="s">
        <v>281</v>
      </c>
      <c r="C22" t="s">
        <v>282</v>
      </c>
      <c r="D22" t="s">
        <v>1290</v>
      </c>
      <c r="E22" t="s">
        <v>1291</v>
      </c>
      <c r="F22">
        <v>22</v>
      </c>
      <c r="G22">
        <v>18</v>
      </c>
      <c r="H22">
        <v>4</v>
      </c>
      <c r="I22">
        <v>1</v>
      </c>
      <c r="J22">
        <v>82</v>
      </c>
      <c r="K22" t="s">
        <v>2002</v>
      </c>
      <c r="L22" t="s">
        <v>62</v>
      </c>
    </row>
    <row r="23" spans="1:12" ht="15" customHeight="1" x14ac:dyDescent="0.25">
      <c r="A23" t="s">
        <v>2025</v>
      </c>
      <c r="B23" t="s">
        <v>281</v>
      </c>
      <c r="C23" t="s">
        <v>282</v>
      </c>
      <c r="D23" t="s">
        <v>1293</v>
      </c>
      <c r="E23" t="s">
        <v>1294</v>
      </c>
      <c r="F23">
        <v>20</v>
      </c>
      <c r="G23">
        <v>18</v>
      </c>
      <c r="H23">
        <v>2</v>
      </c>
      <c r="I23">
        <v>1</v>
      </c>
      <c r="J23">
        <v>90</v>
      </c>
      <c r="K23" t="s">
        <v>2002</v>
      </c>
      <c r="L23" t="s">
        <v>62</v>
      </c>
    </row>
    <row r="24" spans="1:12" ht="15" customHeight="1" x14ac:dyDescent="0.25">
      <c r="A24" t="s">
        <v>2026</v>
      </c>
      <c r="B24" t="s">
        <v>309</v>
      </c>
      <c r="C24" t="s">
        <v>310</v>
      </c>
      <c r="D24" t="s">
        <v>1301</v>
      </c>
      <c r="E24" t="s">
        <v>1302</v>
      </c>
      <c r="F24">
        <v>22</v>
      </c>
      <c r="G24">
        <v>13</v>
      </c>
      <c r="H24">
        <v>9</v>
      </c>
      <c r="I24">
        <v>2</v>
      </c>
      <c r="J24">
        <v>59</v>
      </c>
      <c r="K24" t="s">
        <v>2005</v>
      </c>
      <c r="L24" t="s">
        <v>62</v>
      </c>
    </row>
    <row r="25" spans="1:12" ht="15" customHeight="1" x14ac:dyDescent="0.25">
      <c r="A25" t="s">
        <v>2027</v>
      </c>
      <c r="B25" t="s">
        <v>309</v>
      </c>
      <c r="C25" t="s">
        <v>310</v>
      </c>
      <c r="D25" t="s">
        <v>1269</v>
      </c>
      <c r="E25" t="s">
        <v>1270</v>
      </c>
      <c r="F25">
        <v>18</v>
      </c>
      <c r="G25">
        <v>11</v>
      </c>
      <c r="H25">
        <v>7</v>
      </c>
      <c r="I25">
        <v>2</v>
      </c>
      <c r="J25">
        <v>61</v>
      </c>
      <c r="K25" t="s">
        <v>2010</v>
      </c>
      <c r="L25" t="s">
        <v>62</v>
      </c>
    </row>
    <row r="26" spans="1:12" ht="15" customHeight="1" x14ac:dyDescent="0.25">
      <c r="A26" t="s">
        <v>2028</v>
      </c>
      <c r="B26" t="s">
        <v>319</v>
      </c>
      <c r="C26" t="s">
        <v>320</v>
      </c>
      <c r="D26" t="s">
        <v>1275</v>
      </c>
      <c r="E26" t="s">
        <v>1276</v>
      </c>
      <c r="F26">
        <v>20</v>
      </c>
      <c r="G26">
        <v>19</v>
      </c>
      <c r="H26">
        <v>1</v>
      </c>
      <c r="I26">
        <v>0</v>
      </c>
      <c r="J26">
        <v>95</v>
      </c>
      <c r="K26" t="s">
        <v>2002</v>
      </c>
      <c r="L26" t="s">
        <v>62</v>
      </c>
    </row>
    <row r="27" spans="1:12" ht="15" customHeight="1" x14ac:dyDescent="0.25">
      <c r="A27" t="s">
        <v>2029</v>
      </c>
      <c r="B27" t="s">
        <v>319</v>
      </c>
      <c r="C27" t="s">
        <v>320</v>
      </c>
      <c r="D27" t="s">
        <v>1278</v>
      </c>
      <c r="E27" t="s">
        <v>1279</v>
      </c>
      <c r="F27">
        <v>16</v>
      </c>
      <c r="G27">
        <v>15</v>
      </c>
      <c r="H27">
        <v>1</v>
      </c>
      <c r="I27">
        <v>1</v>
      </c>
      <c r="J27">
        <v>94</v>
      </c>
      <c r="K27" t="s">
        <v>2002</v>
      </c>
      <c r="L27" t="s">
        <v>62</v>
      </c>
    </row>
    <row r="28" spans="1:12" ht="15" customHeight="1" x14ac:dyDescent="0.25">
      <c r="A28" t="s">
        <v>2030</v>
      </c>
      <c r="B28" t="s">
        <v>328</v>
      </c>
      <c r="C28" t="s">
        <v>329</v>
      </c>
      <c r="D28" t="s">
        <v>1286</v>
      </c>
      <c r="E28" t="s">
        <v>1287</v>
      </c>
      <c r="F28">
        <v>22</v>
      </c>
      <c r="G28">
        <v>20</v>
      </c>
      <c r="H28">
        <v>2</v>
      </c>
      <c r="I28">
        <v>0</v>
      </c>
      <c r="J28">
        <v>91</v>
      </c>
      <c r="K28" t="s">
        <v>2002</v>
      </c>
      <c r="L28" t="s">
        <v>62</v>
      </c>
    </row>
    <row r="29" spans="1:12" ht="15" customHeight="1" x14ac:dyDescent="0.25">
      <c r="A29" t="s">
        <v>2031</v>
      </c>
      <c r="B29" t="s">
        <v>328</v>
      </c>
      <c r="C29" t="s">
        <v>329</v>
      </c>
      <c r="D29" t="s">
        <v>1290</v>
      </c>
      <c r="E29" t="s">
        <v>1291</v>
      </c>
      <c r="F29">
        <v>22</v>
      </c>
      <c r="G29">
        <v>19</v>
      </c>
      <c r="H29">
        <v>3</v>
      </c>
      <c r="I29">
        <v>1</v>
      </c>
      <c r="J29">
        <v>86</v>
      </c>
      <c r="K29" t="s">
        <v>2002</v>
      </c>
      <c r="L29" t="s">
        <v>62</v>
      </c>
    </row>
    <row r="30" spans="1:12" ht="15" customHeight="1" x14ac:dyDescent="0.25">
      <c r="A30" t="s">
        <v>2032</v>
      </c>
      <c r="B30" t="s">
        <v>328</v>
      </c>
      <c r="C30" t="s">
        <v>329</v>
      </c>
      <c r="D30" t="s">
        <v>1293</v>
      </c>
      <c r="E30" t="s">
        <v>1294</v>
      </c>
      <c r="F30">
        <v>20</v>
      </c>
      <c r="G30">
        <v>18</v>
      </c>
      <c r="H30">
        <v>2</v>
      </c>
      <c r="I30">
        <v>1</v>
      </c>
      <c r="J30">
        <v>90</v>
      </c>
      <c r="K30" t="s">
        <v>2002</v>
      </c>
      <c r="L30" t="s">
        <v>62</v>
      </c>
    </row>
    <row r="31" spans="1:12" ht="15" customHeight="1" x14ac:dyDescent="0.25">
      <c r="A31" t="s">
        <v>2033</v>
      </c>
      <c r="B31" t="s">
        <v>337</v>
      </c>
      <c r="C31" t="s">
        <v>338</v>
      </c>
      <c r="D31" t="s">
        <v>1275</v>
      </c>
      <c r="E31" t="s">
        <v>1276</v>
      </c>
      <c r="F31">
        <v>20</v>
      </c>
      <c r="G31">
        <v>20</v>
      </c>
      <c r="H31">
        <v>0</v>
      </c>
      <c r="I31">
        <v>0</v>
      </c>
      <c r="J31">
        <v>100</v>
      </c>
      <c r="K31" t="s">
        <v>2002</v>
      </c>
      <c r="L31" t="s">
        <v>62</v>
      </c>
    </row>
    <row r="32" spans="1:12" ht="15" customHeight="1" x14ac:dyDescent="0.25">
      <c r="A32" t="s">
        <v>2034</v>
      </c>
      <c r="B32" t="s">
        <v>337</v>
      </c>
      <c r="C32" t="s">
        <v>338</v>
      </c>
      <c r="D32" t="s">
        <v>1278</v>
      </c>
      <c r="E32" t="s">
        <v>1279</v>
      </c>
      <c r="F32">
        <v>16</v>
      </c>
      <c r="G32">
        <v>15</v>
      </c>
      <c r="H32">
        <v>1</v>
      </c>
      <c r="I32">
        <v>0</v>
      </c>
      <c r="J32">
        <v>94</v>
      </c>
      <c r="K32" t="s">
        <v>2002</v>
      </c>
      <c r="L32" t="s">
        <v>62</v>
      </c>
    </row>
    <row r="33" spans="1:12" ht="15" customHeight="1" x14ac:dyDescent="0.25">
      <c r="A33" t="s">
        <v>2035</v>
      </c>
      <c r="B33" t="s">
        <v>354</v>
      </c>
      <c r="C33" t="s">
        <v>355</v>
      </c>
      <c r="D33" t="s">
        <v>1278</v>
      </c>
      <c r="E33" t="s">
        <v>1279</v>
      </c>
      <c r="F33">
        <v>16</v>
      </c>
      <c r="G33">
        <v>14</v>
      </c>
      <c r="H33">
        <v>2</v>
      </c>
      <c r="I33">
        <v>0</v>
      </c>
      <c r="J33">
        <v>88</v>
      </c>
      <c r="K33" t="s">
        <v>2002</v>
      </c>
      <c r="L33" t="s">
        <v>62</v>
      </c>
    </row>
    <row r="34" spans="1:12" ht="15" customHeight="1" x14ac:dyDescent="0.25">
      <c r="A34" t="s">
        <v>2036</v>
      </c>
      <c r="B34" t="s">
        <v>370</v>
      </c>
      <c r="C34" t="s">
        <v>371</v>
      </c>
      <c r="D34" t="s">
        <v>1275</v>
      </c>
      <c r="E34" t="s">
        <v>1276</v>
      </c>
      <c r="F34">
        <v>20</v>
      </c>
      <c r="G34">
        <v>19</v>
      </c>
      <c r="H34">
        <v>1</v>
      </c>
      <c r="I34">
        <v>0</v>
      </c>
      <c r="J34">
        <v>95</v>
      </c>
      <c r="K34" t="s">
        <v>2002</v>
      </c>
      <c r="L34" t="s">
        <v>62</v>
      </c>
    </row>
    <row r="35" spans="1:12" ht="15" customHeight="1" x14ac:dyDescent="0.25">
      <c r="A35" t="s">
        <v>2037</v>
      </c>
      <c r="B35" t="s">
        <v>370</v>
      </c>
      <c r="C35" t="s">
        <v>371</v>
      </c>
      <c r="D35" t="s">
        <v>1278</v>
      </c>
      <c r="E35" t="s">
        <v>1279</v>
      </c>
      <c r="F35">
        <v>16</v>
      </c>
      <c r="G35">
        <v>15</v>
      </c>
      <c r="H35">
        <v>1</v>
      </c>
      <c r="I35">
        <v>1</v>
      </c>
      <c r="J35">
        <v>94</v>
      </c>
      <c r="K35" t="s">
        <v>2002</v>
      </c>
      <c r="L35" t="s">
        <v>62</v>
      </c>
    </row>
    <row r="36" spans="1:12" ht="15" customHeight="1" x14ac:dyDescent="0.25">
      <c r="A36" t="s">
        <v>2038</v>
      </c>
      <c r="B36" t="s">
        <v>412</v>
      </c>
      <c r="C36" t="s">
        <v>413</v>
      </c>
      <c r="D36" t="s">
        <v>1269</v>
      </c>
      <c r="E36" t="s">
        <v>1270</v>
      </c>
      <c r="F36">
        <v>18</v>
      </c>
      <c r="G36">
        <v>17</v>
      </c>
      <c r="H36">
        <v>1</v>
      </c>
      <c r="I36">
        <v>0</v>
      </c>
      <c r="J36">
        <v>94</v>
      </c>
      <c r="K36" t="s">
        <v>2002</v>
      </c>
      <c r="L36" t="s">
        <v>62</v>
      </c>
    </row>
    <row r="37" spans="1:12" ht="15" customHeight="1" x14ac:dyDescent="0.25">
      <c r="A37" t="s">
        <v>2039</v>
      </c>
      <c r="B37" t="s">
        <v>412</v>
      </c>
      <c r="C37" t="s">
        <v>413</v>
      </c>
      <c r="D37" t="s">
        <v>1278</v>
      </c>
      <c r="E37" t="s">
        <v>1279</v>
      </c>
      <c r="F37">
        <v>16</v>
      </c>
      <c r="G37">
        <v>15</v>
      </c>
      <c r="H37">
        <v>1</v>
      </c>
      <c r="I37">
        <v>0</v>
      </c>
      <c r="J37">
        <v>94</v>
      </c>
      <c r="K37" t="s">
        <v>2002</v>
      </c>
      <c r="L37" t="s">
        <v>62</v>
      </c>
    </row>
    <row r="38" spans="1:12" ht="15" customHeight="1" x14ac:dyDescent="0.25">
      <c r="A38" t="s">
        <v>2040</v>
      </c>
      <c r="B38" t="s">
        <v>412</v>
      </c>
      <c r="C38" t="s">
        <v>413</v>
      </c>
      <c r="D38" t="s">
        <v>1282</v>
      </c>
      <c r="E38" t="s">
        <v>1283</v>
      </c>
      <c r="F38">
        <v>14</v>
      </c>
      <c r="G38">
        <v>13</v>
      </c>
      <c r="H38">
        <v>1</v>
      </c>
      <c r="I38">
        <v>0</v>
      </c>
      <c r="J38">
        <v>93</v>
      </c>
      <c r="K38" t="s">
        <v>2002</v>
      </c>
      <c r="L38" t="s">
        <v>62</v>
      </c>
    </row>
    <row r="39" spans="1:12" ht="15" customHeight="1" x14ac:dyDescent="0.25">
      <c r="A39" t="s">
        <v>2041</v>
      </c>
      <c r="B39" t="s">
        <v>451</v>
      </c>
      <c r="C39" t="s">
        <v>452</v>
      </c>
      <c r="D39" t="s">
        <v>1304</v>
      </c>
      <c r="E39" t="s">
        <v>1305</v>
      </c>
      <c r="F39">
        <v>22</v>
      </c>
      <c r="G39">
        <v>21</v>
      </c>
      <c r="H39">
        <v>1</v>
      </c>
      <c r="I39">
        <v>0</v>
      </c>
      <c r="J39">
        <v>95</v>
      </c>
      <c r="K39" t="s">
        <v>2002</v>
      </c>
      <c r="L39" t="s">
        <v>62</v>
      </c>
    </row>
    <row r="40" spans="1:12" ht="15" customHeight="1" x14ac:dyDescent="0.25">
      <c r="A40" t="s">
        <v>2042</v>
      </c>
      <c r="B40" t="s">
        <v>451</v>
      </c>
      <c r="C40" t="s">
        <v>452</v>
      </c>
      <c r="D40" t="s">
        <v>1307</v>
      </c>
      <c r="E40" t="s">
        <v>1308</v>
      </c>
      <c r="F40">
        <v>14</v>
      </c>
      <c r="G40">
        <v>14</v>
      </c>
      <c r="H40">
        <v>0</v>
      </c>
      <c r="I40">
        <v>0</v>
      </c>
      <c r="J40">
        <v>100</v>
      </c>
      <c r="K40" t="s">
        <v>2002</v>
      </c>
      <c r="L40" t="s">
        <v>62</v>
      </c>
    </row>
    <row r="41" spans="1:12" ht="15" customHeight="1" x14ac:dyDescent="0.25">
      <c r="A41" t="s">
        <v>2043</v>
      </c>
      <c r="B41" t="s">
        <v>451</v>
      </c>
      <c r="C41" t="s">
        <v>452</v>
      </c>
      <c r="D41" t="s">
        <v>1310</v>
      </c>
      <c r="E41" t="s">
        <v>1311</v>
      </c>
      <c r="F41">
        <v>18</v>
      </c>
      <c r="G41">
        <v>17</v>
      </c>
      <c r="H41">
        <v>1</v>
      </c>
      <c r="I41">
        <v>0</v>
      </c>
      <c r="J41">
        <v>94</v>
      </c>
      <c r="K41" t="s">
        <v>2002</v>
      </c>
      <c r="L41" t="s">
        <v>62</v>
      </c>
    </row>
    <row r="42" spans="1:12" ht="15" customHeight="1" x14ac:dyDescent="0.25">
      <c r="A42" t="s">
        <v>2044</v>
      </c>
      <c r="B42" t="s">
        <v>451</v>
      </c>
      <c r="C42" t="s">
        <v>452</v>
      </c>
      <c r="D42" t="s">
        <v>1269</v>
      </c>
      <c r="E42" t="s">
        <v>1270</v>
      </c>
      <c r="F42">
        <v>18</v>
      </c>
      <c r="G42">
        <v>17</v>
      </c>
      <c r="H42">
        <v>1</v>
      </c>
      <c r="I42">
        <v>0</v>
      </c>
      <c r="J42">
        <v>94</v>
      </c>
      <c r="K42" t="s">
        <v>2002</v>
      </c>
      <c r="L42" t="s">
        <v>62</v>
      </c>
    </row>
    <row r="43" spans="1:12" ht="15" customHeight="1" x14ac:dyDescent="0.25">
      <c r="A43" t="s">
        <v>2045</v>
      </c>
      <c r="B43" t="s">
        <v>464</v>
      </c>
      <c r="C43" t="s">
        <v>465</v>
      </c>
      <c r="D43" t="s">
        <v>1307</v>
      </c>
      <c r="E43" t="s">
        <v>1308</v>
      </c>
      <c r="F43">
        <v>14</v>
      </c>
      <c r="G43">
        <v>13</v>
      </c>
      <c r="H43">
        <v>1</v>
      </c>
      <c r="I43">
        <v>0</v>
      </c>
      <c r="J43">
        <v>93</v>
      </c>
      <c r="K43" t="s">
        <v>2002</v>
      </c>
      <c r="L43" t="s">
        <v>62</v>
      </c>
    </row>
    <row r="44" spans="1:12" ht="15" customHeight="1" x14ac:dyDescent="0.25">
      <c r="A44" t="s">
        <v>2046</v>
      </c>
      <c r="B44" t="s">
        <v>464</v>
      </c>
      <c r="C44" t="s">
        <v>465</v>
      </c>
      <c r="D44" t="s">
        <v>1310</v>
      </c>
      <c r="E44" t="s">
        <v>1311</v>
      </c>
      <c r="F44">
        <v>18</v>
      </c>
      <c r="G44">
        <v>16</v>
      </c>
      <c r="H44">
        <v>2</v>
      </c>
      <c r="I44">
        <v>0</v>
      </c>
      <c r="J44">
        <v>89</v>
      </c>
      <c r="K44" t="s">
        <v>2002</v>
      </c>
      <c r="L44" t="s">
        <v>62</v>
      </c>
    </row>
    <row r="45" spans="1:12" ht="15" customHeight="1" x14ac:dyDescent="0.25">
      <c r="A45" t="s">
        <v>2047</v>
      </c>
      <c r="B45" t="s">
        <v>425</v>
      </c>
      <c r="C45" t="s">
        <v>426</v>
      </c>
      <c r="D45" t="s">
        <v>1307</v>
      </c>
      <c r="E45" t="s">
        <v>1308</v>
      </c>
      <c r="F45">
        <v>14</v>
      </c>
      <c r="G45">
        <v>14</v>
      </c>
      <c r="H45">
        <v>0</v>
      </c>
      <c r="I45">
        <v>0</v>
      </c>
      <c r="J45">
        <v>100</v>
      </c>
      <c r="K45" t="s">
        <v>2002</v>
      </c>
      <c r="L45" t="s">
        <v>62</v>
      </c>
    </row>
    <row r="46" spans="1:12" ht="15" customHeight="1" x14ac:dyDescent="0.25">
      <c r="A46" t="s">
        <v>2048</v>
      </c>
      <c r="B46" t="s">
        <v>425</v>
      </c>
      <c r="C46" t="s">
        <v>426</v>
      </c>
      <c r="D46" t="s">
        <v>1275</v>
      </c>
      <c r="E46" t="s">
        <v>1276</v>
      </c>
      <c r="F46">
        <v>20</v>
      </c>
      <c r="G46">
        <v>19</v>
      </c>
      <c r="H46">
        <v>1</v>
      </c>
      <c r="I46">
        <v>0</v>
      </c>
      <c r="J46">
        <v>95</v>
      </c>
      <c r="K46" t="s">
        <v>2002</v>
      </c>
      <c r="L46" t="s">
        <v>62</v>
      </c>
    </row>
    <row r="47" spans="1:12" ht="15" customHeight="1" x14ac:dyDescent="0.25">
      <c r="A47" t="s">
        <v>2049</v>
      </c>
      <c r="B47" t="s">
        <v>438</v>
      </c>
      <c r="C47" t="s">
        <v>439</v>
      </c>
      <c r="D47" t="s">
        <v>1307</v>
      </c>
      <c r="E47" t="s">
        <v>1308</v>
      </c>
      <c r="F47">
        <v>14</v>
      </c>
      <c r="G47">
        <v>13</v>
      </c>
      <c r="H47">
        <v>1</v>
      </c>
      <c r="I47">
        <v>1</v>
      </c>
      <c r="J47">
        <v>93</v>
      </c>
      <c r="K47" t="s">
        <v>2002</v>
      </c>
      <c r="L47" t="s">
        <v>62</v>
      </c>
    </row>
    <row r="48" spans="1:12" ht="15" customHeight="1" x14ac:dyDescent="0.25">
      <c r="A48" t="s">
        <v>2050</v>
      </c>
      <c r="B48" t="s">
        <v>438</v>
      </c>
      <c r="C48" t="s">
        <v>439</v>
      </c>
      <c r="D48" t="s">
        <v>1275</v>
      </c>
      <c r="E48" t="s">
        <v>1276</v>
      </c>
      <c r="F48">
        <v>20</v>
      </c>
      <c r="G48">
        <v>20</v>
      </c>
      <c r="H48">
        <v>0</v>
      </c>
      <c r="I48">
        <v>0</v>
      </c>
      <c r="J48">
        <v>100</v>
      </c>
      <c r="K48" t="s">
        <v>2002</v>
      </c>
      <c r="L48" t="s">
        <v>62</v>
      </c>
    </row>
    <row r="49" spans="1:12" ht="15" customHeight="1" x14ac:dyDescent="0.25">
      <c r="A49" s="55" t="s">
        <v>2051</v>
      </c>
      <c r="B49" s="55" t="s">
        <v>476</v>
      </c>
      <c r="C49" s="55" t="s">
        <v>477</v>
      </c>
      <c r="D49" s="55" t="s">
        <v>1313</v>
      </c>
      <c r="E49" s="55" t="s">
        <v>1263</v>
      </c>
      <c r="F49" s="55">
        <v>26</v>
      </c>
      <c r="G49" s="55">
        <v>25</v>
      </c>
      <c r="H49" s="55">
        <v>0</v>
      </c>
      <c r="I49" s="55">
        <v>1</v>
      </c>
      <c r="J49" s="57">
        <f t="shared" ref="J49:J80" si="1">ROUND(G49/F49*100,0)</f>
        <v>96</v>
      </c>
      <c r="K49" s="55" t="s">
        <v>2002</v>
      </c>
      <c r="L49" s="55" t="s">
        <v>484</v>
      </c>
    </row>
    <row r="50" spans="1:12" ht="15" customHeight="1" x14ac:dyDescent="0.25">
      <c r="A50" s="55" t="s">
        <v>2052</v>
      </c>
      <c r="B50" s="55" t="s">
        <v>485</v>
      </c>
      <c r="C50" s="55" t="s">
        <v>486</v>
      </c>
      <c r="D50" s="55" t="s">
        <v>1322</v>
      </c>
      <c r="E50" s="55" t="s">
        <v>1323</v>
      </c>
      <c r="F50" s="55">
        <v>28</v>
      </c>
      <c r="G50" s="55">
        <v>27</v>
      </c>
      <c r="H50" s="55">
        <v>0</v>
      </c>
      <c r="I50" s="55">
        <v>1</v>
      </c>
      <c r="J50" s="57">
        <f t="shared" si="1"/>
        <v>96</v>
      </c>
      <c r="K50" s="55" t="s">
        <v>2002</v>
      </c>
      <c r="L50" s="55" t="s">
        <v>484</v>
      </c>
    </row>
    <row r="51" spans="1:12" ht="15" customHeight="1" x14ac:dyDescent="0.25">
      <c r="A51" s="55" t="s">
        <v>2053</v>
      </c>
      <c r="B51" s="55" t="s">
        <v>494</v>
      </c>
      <c r="C51" s="55" t="s">
        <v>495</v>
      </c>
      <c r="D51" s="55" t="s">
        <v>1338</v>
      </c>
      <c r="E51" s="55" t="s">
        <v>1339</v>
      </c>
      <c r="F51" s="55">
        <v>30</v>
      </c>
      <c r="G51" s="55">
        <v>29</v>
      </c>
      <c r="H51" s="55">
        <v>0</v>
      </c>
      <c r="I51" s="55">
        <v>1</v>
      </c>
      <c r="J51" s="57">
        <f t="shared" si="1"/>
        <v>97</v>
      </c>
      <c r="K51" s="55" t="s">
        <v>2002</v>
      </c>
      <c r="L51" s="55" t="s">
        <v>484</v>
      </c>
    </row>
    <row r="52" spans="1:12" ht="15" customHeight="1" x14ac:dyDescent="0.25">
      <c r="A52" s="55" t="s">
        <v>2054</v>
      </c>
      <c r="B52" s="55" t="s">
        <v>504</v>
      </c>
      <c r="C52" s="55" t="s">
        <v>505</v>
      </c>
      <c r="D52" s="55" t="s">
        <v>1328</v>
      </c>
      <c r="E52" s="55" t="s">
        <v>1329</v>
      </c>
      <c r="F52" s="55">
        <v>26</v>
      </c>
      <c r="G52" s="55">
        <v>25</v>
      </c>
      <c r="H52" s="55">
        <v>0</v>
      </c>
      <c r="I52" s="55">
        <v>1</v>
      </c>
      <c r="J52" s="57">
        <f t="shared" si="1"/>
        <v>96</v>
      </c>
      <c r="K52" s="55" t="s">
        <v>2002</v>
      </c>
      <c r="L52" s="55" t="s">
        <v>484</v>
      </c>
    </row>
    <row r="53" spans="1:12" ht="15" customHeight="1" x14ac:dyDescent="0.25">
      <c r="A53" s="55" t="s">
        <v>2055</v>
      </c>
      <c r="B53" s="55" t="s">
        <v>512</v>
      </c>
      <c r="C53" s="55" t="s">
        <v>513</v>
      </c>
      <c r="D53" s="55" t="s">
        <v>1338</v>
      </c>
      <c r="E53" s="55" t="s">
        <v>1339</v>
      </c>
      <c r="F53" s="55">
        <v>27</v>
      </c>
      <c r="G53" s="55">
        <v>26</v>
      </c>
      <c r="H53" s="55">
        <v>0</v>
      </c>
      <c r="I53" s="55">
        <v>1</v>
      </c>
      <c r="J53" s="57">
        <f t="shared" si="1"/>
        <v>96</v>
      </c>
      <c r="K53" s="55" t="s">
        <v>2002</v>
      </c>
      <c r="L53" s="55" t="s">
        <v>484</v>
      </c>
    </row>
    <row r="54" spans="1:12" ht="15" customHeight="1" x14ac:dyDescent="0.25">
      <c r="A54" s="55" t="s">
        <v>2056</v>
      </c>
      <c r="B54" s="55" t="s">
        <v>520</v>
      </c>
      <c r="C54" s="55" t="s">
        <v>521</v>
      </c>
      <c r="D54" s="55" t="s">
        <v>1313</v>
      </c>
      <c r="E54" s="55" t="s">
        <v>1263</v>
      </c>
      <c r="F54" s="55">
        <v>30</v>
      </c>
      <c r="G54" s="55">
        <v>29</v>
      </c>
      <c r="H54" s="55">
        <v>0</v>
      </c>
      <c r="I54" s="55">
        <v>1</v>
      </c>
      <c r="J54" s="57">
        <f t="shared" si="1"/>
        <v>97</v>
      </c>
      <c r="K54" s="55" t="s">
        <v>2002</v>
      </c>
      <c r="L54" s="55" t="s">
        <v>484</v>
      </c>
    </row>
    <row r="55" spans="1:12" ht="15" customHeight="1" x14ac:dyDescent="0.25">
      <c r="A55" s="55" t="s">
        <v>2057</v>
      </c>
      <c r="B55" s="55" t="s">
        <v>526</v>
      </c>
      <c r="C55" s="55" t="s">
        <v>527</v>
      </c>
      <c r="D55" s="55" t="s">
        <v>1349</v>
      </c>
      <c r="E55" s="55" t="s">
        <v>1350</v>
      </c>
      <c r="F55" s="55">
        <v>30</v>
      </c>
      <c r="G55" s="55">
        <v>29</v>
      </c>
      <c r="H55" s="55">
        <v>0</v>
      </c>
      <c r="I55" s="55">
        <v>1</v>
      </c>
      <c r="J55" s="57">
        <f t="shared" si="1"/>
        <v>97</v>
      </c>
      <c r="K55" s="55" t="s">
        <v>2002</v>
      </c>
      <c r="L55" s="55" t="s">
        <v>484</v>
      </c>
    </row>
    <row r="56" spans="1:12" ht="15" customHeight="1" x14ac:dyDescent="0.25">
      <c r="A56" s="55" t="s">
        <v>2058</v>
      </c>
      <c r="B56" s="55" t="s">
        <v>534</v>
      </c>
      <c r="C56" s="55" t="s">
        <v>535</v>
      </c>
      <c r="D56" s="55" t="s">
        <v>1322</v>
      </c>
      <c r="E56" s="55" t="s">
        <v>1323</v>
      </c>
      <c r="F56" s="55">
        <v>27</v>
      </c>
      <c r="G56" s="55">
        <v>26</v>
      </c>
      <c r="H56" s="55">
        <v>0</v>
      </c>
      <c r="I56" s="55">
        <v>1</v>
      </c>
      <c r="J56" s="57">
        <f t="shared" si="1"/>
        <v>96</v>
      </c>
      <c r="K56" s="55" t="s">
        <v>2002</v>
      </c>
      <c r="L56" s="55" t="s">
        <v>484</v>
      </c>
    </row>
    <row r="57" spans="1:12" ht="15" customHeight="1" x14ac:dyDescent="0.25">
      <c r="A57" s="55" t="s">
        <v>2059</v>
      </c>
      <c r="B57" s="55" t="s">
        <v>540</v>
      </c>
      <c r="C57" s="55" t="s">
        <v>541</v>
      </c>
      <c r="D57" s="55" t="s">
        <v>1328</v>
      </c>
      <c r="E57" s="55" t="s">
        <v>1329</v>
      </c>
      <c r="F57" s="55">
        <v>29</v>
      </c>
      <c r="G57" s="55">
        <v>28</v>
      </c>
      <c r="H57" s="55">
        <v>0</v>
      </c>
      <c r="I57" s="55">
        <v>1</v>
      </c>
      <c r="J57" s="57">
        <f t="shared" si="1"/>
        <v>97</v>
      </c>
      <c r="K57" s="55" t="s">
        <v>2002</v>
      </c>
      <c r="L57" s="55" t="s">
        <v>484</v>
      </c>
    </row>
    <row r="58" spans="1:12" ht="15" customHeight="1" x14ac:dyDescent="0.25">
      <c r="A58" s="55" t="s">
        <v>2060</v>
      </c>
      <c r="B58" s="55" t="s">
        <v>546</v>
      </c>
      <c r="C58" s="55" t="s">
        <v>547</v>
      </c>
      <c r="D58" s="55" t="s">
        <v>1338</v>
      </c>
      <c r="E58" s="55" t="s">
        <v>1339</v>
      </c>
      <c r="F58" s="55">
        <v>29</v>
      </c>
      <c r="G58" s="55">
        <v>28</v>
      </c>
      <c r="H58" s="55">
        <v>0</v>
      </c>
      <c r="I58" s="55">
        <v>1</v>
      </c>
      <c r="J58" s="57">
        <f t="shared" si="1"/>
        <v>97</v>
      </c>
      <c r="K58" s="55" t="s">
        <v>2002</v>
      </c>
      <c r="L58" s="55" t="s">
        <v>484</v>
      </c>
    </row>
    <row r="59" spans="1:12" ht="15" customHeight="1" x14ac:dyDescent="0.25">
      <c r="A59" s="55" t="s">
        <v>2061</v>
      </c>
      <c r="B59" s="55" t="s">
        <v>552</v>
      </c>
      <c r="C59" s="55" t="s">
        <v>553</v>
      </c>
      <c r="D59" s="55" t="s">
        <v>1313</v>
      </c>
      <c r="E59" s="55" t="s">
        <v>1263</v>
      </c>
      <c r="F59" s="55">
        <v>28</v>
      </c>
      <c r="G59" s="55">
        <v>27</v>
      </c>
      <c r="H59" s="55">
        <v>0</v>
      </c>
      <c r="I59" s="55">
        <v>1</v>
      </c>
      <c r="J59" s="57">
        <f t="shared" si="1"/>
        <v>96</v>
      </c>
      <c r="K59" s="55" t="s">
        <v>2002</v>
      </c>
      <c r="L59" s="55" t="s">
        <v>484</v>
      </c>
    </row>
    <row r="60" spans="1:12" ht="15" customHeight="1" x14ac:dyDescent="0.25">
      <c r="A60" s="55" t="s">
        <v>2062</v>
      </c>
      <c r="B60" s="55" t="s">
        <v>559</v>
      </c>
      <c r="C60" s="55" t="s">
        <v>560</v>
      </c>
      <c r="D60" s="55" t="s">
        <v>1322</v>
      </c>
      <c r="E60" s="55" t="s">
        <v>1323</v>
      </c>
      <c r="F60" s="55">
        <v>26</v>
      </c>
      <c r="G60" s="55">
        <v>25</v>
      </c>
      <c r="H60" s="55">
        <v>0</v>
      </c>
      <c r="I60" s="55">
        <v>1</v>
      </c>
      <c r="J60" s="57">
        <f t="shared" si="1"/>
        <v>96</v>
      </c>
      <c r="K60" s="55" t="s">
        <v>2002</v>
      </c>
      <c r="L60" s="55" t="s">
        <v>484</v>
      </c>
    </row>
    <row r="61" spans="1:12" ht="15" customHeight="1" x14ac:dyDescent="0.25">
      <c r="A61" s="55" t="s">
        <v>2063</v>
      </c>
      <c r="B61" s="55" t="s">
        <v>565</v>
      </c>
      <c r="C61" s="55" t="s">
        <v>566</v>
      </c>
      <c r="D61" s="55" t="s">
        <v>1338</v>
      </c>
      <c r="E61" s="55" t="s">
        <v>1339</v>
      </c>
      <c r="F61" s="55">
        <v>27</v>
      </c>
      <c r="G61" s="55">
        <v>26</v>
      </c>
      <c r="H61" s="55">
        <v>0</v>
      </c>
      <c r="I61" s="55">
        <v>1</v>
      </c>
      <c r="J61" s="57">
        <f t="shared" si="1"/>
        <v>96</v>
      </c>
      <c r="K61" s="55" t="s">
        <v>2002</v>
      </c>
      <c r="L61" s="55" t="s">
        <v>484</v>
      </c>
    </row>
    <row r="62" spans="1:12" ht="15" customHeight="1" x14ac:dyDescent="0.25">
      <c r="A62" s="55" t="s">
        <v>2064</v>
      </c>
      <c r="B62" s="55" t="s">
        <v>571</v>
      </c>
      <c r="C62" s="55" t="s">
        <v>572</v>
      </c>
      <c r="D62" s="55" t="s">
        <v>1349</v>
      </c>
      <c r="E62" s="55" t="s">
        <v>1350</v>
      </c>
      <c r="F62" s="55">
        <v>27</v>
      </c>
      <c r="G62" s="55">
        <v>25</v>
      </c>
      <c r="H62" s="55">
        <v>1</v>
      </c>
      <c r="I62" s="55">
        <v>1</v>
      </c>
      <c r="J62" s="57">
        <f t="shared" si="1"/>
        <v>93</v>
      </c>
      <c r="K62" s="55" t="s">
        <v>2002</v>
      </c>
      <c r="L62" s="55" t="s">
        <v>484</v>
      </c>
    </row>
    <row r="63" spans="1:12" ht="15" customHeight="1" x14ac:dyDescent="0.25">
      <c r="A63" s="55" t="s">
        <v>2065</v>
      </c>
      <c r="B63" s="55" t="s">
        <v>576</v>
      </c>
      <c r="C63" s="55" t="s">
        <v>577</v>
      </c>
      <c r="D63" s="55" t="s">
        <v>1328</v>
      </c>
      <c r="E63" s="55" t="s">
        <v>1329</v>
      </c>
      <c r="F63" s="55">
        <v>26</v>
      </c>
      <c r="G63" s="55">
        <v>25</v>
      </c>
      <c r="H63" s="55">
        <v>0</v>
      </c>
      <c r="I63" s="55">
        <v>1</v>
      </c>
      <c r="J63" s="57">
        <f t="shared" si="1"/>
        <v>96</v>
      </c>
      <c r="K63" s="55" t="s">
        <v>2002</v>
      </c>
      <c r="L63" s="55" t="s">
        <v>484</v>
      </c>
    </row>
    <row r="64" spans="1:12" ht="15" customHeight="1" x14ac:dyDescent="0.25">
      <c r="A64" s="55" t="s">
        <v>2066</v>
      </c>
      <c r="B64" s="55" t="s">
        <v>581</v>
      </c>
      <c r="C64" s="55" t="s">
        <v>582</v>
      </c>
      <c r="D64" s="55" t="s">
        <v>1313</v>
      </c>
      <c r="E64" s="55" t="s">
        <v>1263</v>
      </c>
      <c r="F64" s="55">
        <v>30</v>
      </c>
      <c r="G64" s="55">
        <v>29</v>
      </c>
      <c r="H64" s="55">
        <v>0</v>
      </c>
      <c r="I64" s="55">
        <v>1</v>
      </c>
      <c r="J64" s="57">
        <f t="shared" si="1"/>
        <v>97</v>
      </c>
      <c r="K64" s="55" t="s">
        <v>2002</v>
      </c>
      <c r="L64" s="55" t="s">
        <v>484</v>
      </c>
    </row>
    <row r="65" spans="1:12" ht="15" customHeight="1" x14ac:dyDescent="0.25">
      <c r="A65" s="55" t="s">
        <v>2067</v>
      </c>
      <c r="B65" s="55" t="s">
        <v>586</v>
      </c>
      <c r="C65" s="55" t="s">
        <v>587</v>
      </c>
      <c r="D65" s="55" t="s">
        <v>1338</v>
      </c>
      <c r="E65" s="55" t="s">
        <v>1339</v>
      </c>
      <c r="F65" s="55">
        <v>29</v>
      </c>
      <c r="G65" s="55">
        <v>28</v>
      </c>
      <c r="H65" s="55">
        <v>0</v>
      </c>
      <c r="I65" s="55">
        <v>1</v>
      </c>
      <c r="J65" s="57">
        <f t="shared" si="1"/>
        <v>97</v>
      </c>
      <c r="K65" s="55" t="s">
        <v>2002</v>
      </c>
      <c r="L65" s="55" t="s">
        <v>484</v>
      </c>
    </row>
    <row r="66" spans="1:12" ht="15" customHeight="1" x14ac:dyDescent="0.25">
      <c r="A66" s="55" t="s">
        <v>2068</v>
      </c>
      <c r="B66" s="55" t="s">
        <v>591</v>
      </c>
      <c r="C66" s="55" t="s">
        <v>592</v>
      </c>
      <c r="D66" s="55" t="s">
        <v>1322</v>
      </c>
      <c r="E66" s="55" t="s">
        <v>1323</v>
      </c>
      <c r="F66" s="55">
        <v>27</v>
      </c>
      <c r="G66" s="55">
        <v>26</v>
      </c>
      <c r="H66" s="55">
        <v>0</v>
      </c>
      <c r="I66" s="55">
        <v>1</v>
      </c>
      <c r="J66" s="57">
        <f t="shared" si="1"/>
        <v>96</v>
      </c>
      <c r="K66" s="55" t="s">
        <v>2002</v>
      </c>
      <c r="L66" s="55" t="s">
        <v>484</v>
      </c>
    </row>
    <row r="67" spans="1:12" ht="15" customHeight="1" x14ac:dyDescent="0.25">
      <c r="A67" s="55" t="s">
        <v>2069</v>
      </c>
      <c r="B67" s="55" t="s">
        <v>598</v>
      </c>
      <c r="C67" s="55" t="s">
        <v>599</v>
      </c>
      <c r="D67" s="55" t="s">
        <v>1349</v>
      </c>
      <c r="E67" s="55" t="s">
        <v>1350</v>
      </c>
      <c r="F67" s="55">
        <v>26</v>
      </c>
      <c r="G67" s="55">
        <v>25</v>
      </c>
      <c r="H67" s="55">
        <v>0</v>
      </c>
      <c r="I67" s="55">
        <v>1</v>
      </c>
      <c r="J67" s="57">
        <f t="shared" si="1"/>
        <v>96</v>
      </c>
      <c r="K67" s="55" t="s">
        <v>2002</v>
      </c>
      <c r="L67" s="55" t="s">
        <v>484</v>
      </c>
    </row>
    <row r="68" spans="1:12" ht="15" customHeight="1" x14ac:dyDescent="0.25">
      <c r="A68" s="55" t="s">
        <v>2070</v>
      </c>
      <c r="B68" s="55" t="s">
        <v>604</v>
      </c>
      <c r="C68" s="55" t="s">
        <v>605</v>
      </c>
      <c r="D68" s="55" t="s">
        <v>1313</v>
      </c>
      <c r="E68" s="55" t="s">
        <v>1263</v>
      </c>
      <c r="F68" s="55">
        <v>29</v>
      </c>
      <c r="G68" s="55">
        <v>27</v>
      </c>
      <c r="H68" s="55">
        <v>1</v>
      </c>
      <c r="I68" s="55">
        <v>1</v>
      </c>
      <c r="J68" s="57">
        <f t="shared" si="1"/>
        <v>93</v>
      </c>
      <c r="K68" s="55" t="s">
        <v>2002</v>
      </c>
      <c r="L68" s="55" t="s">
        <v>484</v>
      </c>
    </row>
    <row r="69" spans="1:12" ht="15" customHeight="1" x14ac:dyDescent="0.25">
      <c r="A69" s="55" t="s">
        <v>2071</v>
      </c>
      <c r="B69" s="55" t="s">
        <v>610</v>
      </c>
      <c r="C69" s="55" t="s">
        <v>611</v>
      </c>
      <c r="D69" s="55" t="s">
        <v>1338</v>
      </c>
      <c r="E69" s="55" t="s">
        <v>1339</v>
      </c>
      <c r="F69" s="55">
        <v>30</v>
      </c>
      <c r="G69" s="55">
        <v>29</v>
      </c>
      <c r="H69" s="55">
        <v>0</v>
      </c>
      <c r="I69" s="55">
        <v>1</v>
      </c>
      <c r="J69" s="57">
        <f t="shared" si="1"/>
        <v>97</v>
      </c>
      <c r="K69" s="55" t="s">
        <v>2002</v>
      </c>
      <c r="L69" s="55" t="s">
        <v>484</v>
      </c>
    </row>
    <row r="70" spans="1:12" ht="15" customHeight="1" x14ac:dyDescent="0.25">
      <c r="A70" s="55" t="s">
        <v>2072</v>
      </c>
      <c r="B70" s="55" t="s">
        <v>616</v>
      </c>
      <c r="C70" s="55" t="s">
        <v>617</v>
      </c>
      <c r="D70" s="55" t="s">
        <v>1328</v>
      </c>
      <c r="E70" s="55" t="s">
        <v>1329</v>
      </c>
      <c r="F70" s="55">
        <v>29</v>
      </c>
      <c r="G70" s="55">
        <v>28</v>
      </c>
      <c r="H70" s="55">
        <v>0</v>
      </c>
      <c r="I70" s="55">
        <v>1</v>
      </c>
      <c r="J70" s="57">
        <f t="shared" si="1"/>
        <v>97</v>
      </c>
      <c r="K70" s="55" t="s">
        <v>2002</v>
      </c>
      <c r="L70" s="55" t="s">
        <v>484</v>
      </c>
    </row>
    <row r="71" spans="1:12" ht="15" customHeight="1" x14ac:dyDescent="0.25">
      <c r="A71" s="55" t="s">
        <v>2073</v>
      </c>
      <c r="B71" s="55" t="s">
        <v>622</v>
      </c>
      <c r="C71" s="55" t="s">
        <v>623</v>
      </c>
      <c r="D71" s="55" t="s">
        <v>1322</v>
      </c>
      <c r="E71" s="55" t="s">
        <v>1323</v>
      </c>
      <c r="F71" s="55">
        <v>29</v>
      </c>
      <c r="G71" s="55">
        <v>28</v>
      </c>
      <c r="H71" s="55">
        <v>0</v>
      </c>
      <c r="I71" s="55">
        <v>1</v>
      </c>
      <c r="J71" s="57">
        <f t="shared" si="1"/>
        <v>97</v>
      </c>
      <c r="K71" s="55" t="s">
        <v>2002</v>
      </c>
      <c r="L71" s="55" t="s">
        <v>484</v>
      </c>
    </row>
    <row r="72" spans="1:12" ht="15" customHeight="1" x14ac:dyDescent="0.25">
      <c r="A72" s="55" t="s">
        <v>2074</v>
      </c>
      <c r="B72" s="55" t="s">
        <v>627</v>
      </c>
      <c r="C72" s="55" t="s">
        <v>628</v>
      </c>
      <c r="D72" s="55" t="s">
        <v>1338</v>
      </c>
      <c r="E72" s="55" t="s">
        <v>1339</v>
      </c>
      <c r="F72" s="55">
        <v>28</v>
      </c>
      <c r="G72" s="55">
        <v>27</v>
      </c>
      <c r="H72" s="55">
        <v>0</v>
      </c>
      <c r="I72" s="55">
        <v>1</v>
      </c>
      <c r="J72" s="57">
        <f t="shared" si="1"/>
        <v>96</v>
      </c>
      <c r="K72" s="55" t="s">
        <v>2002</v>
      </c>
      <c r="L72" s="55" t="s">
        <v>484</v>
      </c>
    </row>
    <row r="73" spans="1:12" ht="15" customHeight="1" x14ac:dyDescent="0.25">
      <c r="A73" s="55" t="s">
        <v>2075</v>
      </c>
      <c r="B73" s="55" t="s">
        <v>632</v>
      </c>
      <c r="C73" s="55" t="s">
        <v>633</v>
      </c>
      <c r="D73" s="55" t="s">
        <v>1313</v>
      </c>
      <c r="E73" s="55" t="s">
        <v>1263</v>
      </c>
      <c r="F73" s="55">
        <v>29</v>
      </c>
      <c r="G73" s="55">
        <v>28</v>
      </c>
      <c r="H73" s="55">
        <v>0</v>
      </c>
      <c r="I73" s="55">
        <v>1</v>
      </c>
      <c r="J73" s="57">
        <f t="shared" si="1"/>
        <v>97</v>
      </c>
      <c r="K73" s="55" t="s">
        <v>2002</v>
      </c>
      <c r="L73" s="55" t="s">
        <v>484</v>
      </c>
    </row>
    <row r="74" spans="1:12" ht="15" customHeight="1" x14ac:dyDescent="0.25">
      <c r="A74" s="55" t="s">
        <v>2076</v>
      </c>
      <c r="B74" s="55" t="s">
        <v>637</v>
      </c>
      <c r="C74" s="55" t="s">
        <v>638</v>
      </c>
      <c r="D74" s="55" t="s">
        <v>1364</v>
      </c>
      <c r="E74" s="55" t="s">
        <v>1270</v>
      </c>
      <c r="F74" s="55">
        <v>28</v>
      </c>
      <c r="G74" s="55">
        <v>27</v>
      </c>
      <c r="H74" s="55">
        <v>0</v>
      </c>
      <c r="I74" s="55">
        <v>1</v>
      </c>
      <c r="J74" s="57">
        <f t="shared" si="1"/>
        <v>96</v>
      </c>
      <c r="K74" s="55" t="s">
        <v>2002</v>
      </c>
      <c r="L74" s="55" t="s">
        <v>484</v>
      </c>
    </row>
    <row r="75" spans="1:12" ht="15" customHeight="1" x14ac:dyDescent="0.25">
      <c r="A75" s="55" t="s">
        <v>2077</v>
      </c>
      <c r="B75" s="55" t="s">
        <v>645</v>
      </c>
      <c r="C75" s="55" t="s">
        <v>646</v>
      </c>
      <c r="D75" s="55" t="s">
        <v>1364</v>
      </c>
      <c r="E75" s="55" t="s">
        <v>1270</v>
      </c>
      <c r="F75" s="55">
        <v>26</v>
      </c>
      <c r="G75" s="55">
        <v>25</v>
      </c>
      <c r="H75" s="55">
        <v>0</v>
      </c>
      <c r="I75" s="55">
        <v>1</v>
      </c>
      <c r="J75" s="57">
        <f t="shared" si="1"/>
        <v>96</v>
      </c>
      <c r="K75" s="55" t="s">
        <v>2002</v>
      </c>
      <c r="L75" s="55" t="s">
        <v>484</v>
      </c>
    </row>
    <row r="76" spans="1:12" ht="15" customHeight="1" x14ac:dyDescent="0.25">
      <c r="A76" s="55" t="s">
        <v>2078</v>
      </c>
      <c r="B76" s="55" t="s">
        <v>653</v>
      </c>
      <c r="C76" s="55" t="s">
        <v>654</v>
      </c>
      <c r="D76" s="55" t="s">
        <v>1364</v>
      </c>
      <c r="E76" s="55" t="s">
        <v>1270</v>
      </c>
      <c r="F76" s="55">
        <v>30</v>
      </c>
      <c r="G76" s="55">
        <v>29</v>
      </c>
      <c r="H76" s="55">
        <v>0</v>
      </c>
      <c r="I76" s="55">
        <v>1</v>
      </c>
      <c r="J76" s="57">
        <f t="shared" si="1"/>
        <v>97</v>
      </c>
      <c r="K76" s="55" t="s">
        <v>2002</v>
      </c>
      <c r="L76" s="55" t="s">
        <v>484</v>
      </c>
    </row>
    <row r="77" spans="1:12" ht="15" customHeight="1" x14ac:dyDescent="0.25">
      <c r="A77" s="55" t="s">
        <v>2079</v>
      </c>
      <c r="B77" s="55" t="s">
        <v>661</v>
      </c>
      <c r="C77" s="55" t="s">
        <v>662</v>
      </c>
      <c r="D77" s="55" t="s">
        <v>1364</v>
      </c>
      <c r="E77" s="55" t="s">
        <v>1270</v>
      </c>
      <c r="F77" s="55">
        <v>26</v>
      </c>
      <c r="G77" s="55">
        <v>25</v>
      </c>
      <c r="H77" s="55">
        <v>0</v>
      </c>
      <c r="I77" s="55">
        <v>1</v>
      </c>
      <c r="J77" s="57">
        <f t="shared" si="1"/>
        <v>96</v>
      </c>
      <c r="K77" s="55" t="s">
        <v>2002</v>
      </c>
      <c r="L77" s="55" t="s">
        <v>484</v>
      </c>
    </row>
    <row r="78" spans="1:12" ht="15" customHeight="1" x14ac:dyDescent="0.25">
      <c r="A78" s="55" t="s">
        <v>2080</v>
      </c>
      <c r="B78" s="55" t="s">
        <v>670</v>
      </c>
      <c r="C78" s="55" t="s">
        <v>671</v>
      </c>
      <c r="D78" s="55" t="s">
        <v>1364</v>
      </c>
      <c r="E78" s="55" t="s">
        <v>1270</v>
      </c>
      <c r="F78" s="55">
        <v>26</v>
      </c>
      <c r="G78" s="55">
        <v>25</v>
      </c>
      <c r="H78" s="55">
        <v>0</v>
      </c>
      <c r="I78" s="55">
        <v>1</v>
      </c>
      <c r="J78" s="57">
        <f t="shared" si="1"/>
        <v>96</v>
      </c>
      <c r="K78" s="55" t="s">
        <v>2002</v>
      </c>
      <c r="L78" s="55" t="s">
        <v>484</v>
      </c>
    </row>
    <row r="79" spans="1:12" ht="15" customHeight="1" x14ac:dyDescent="0.25">
      <c r="A79" s="55" t="s">
        <v>2081</v>
      </c>
      <c r="B79" s="55" t="s">
        <v>678</v>
      </c>
      <c r="C79" s="55" t="s">
        <v>679</v>
      </c>
      <c r="D79" s="55" t="s">
        <v>1364</v>
      </c>
      <c r="E79" s="55" t="s">
        <v>1270</v>
      </c>
      <c r="F79" s="55">
        <v>29</v>
      </c>
      <c r="G79" s="55">
        <v>28</v>
      </c>
      <c r="H79" s="55">
        <v>0</v>
      </c>
      <c r="I79" s="55">
        <v>1</v>
      </c>
      <c r="J79" s="57">
        <f t="shared" si="1"/>
        <v>97</v>
      </c>
      <c r="K79" s="55" t="s">
        <v>2002</v>
      </c>
      <c r="L79" s="55" t="s">
        <v>484</v>
      </c>
    </row>
    <row r="80" spans="1:12" ht="15" customHeight="1" x14ac:dyDescent="0.25">
      <c r="A80" s="55" t="s">
        <v>2082</v>
      </c>
      <c r="B80" s="55" t="s">
        <v>685</v>
      </c>
      <c r="C80" s="55" t="s">
        <v>686</v>
      </c>
      <c r="D80" s="55" t="s">
        <v>1368</v>
      </c>
      <c r="E80" s="55" t="s">
        <v>1279</v>
      </c>
      <c r="F80" s="55">
        <v>28</v>
      </c>
      <c r="G80" s="55">
        <v>27</v>
      </c>
      <c r="H80" s="55">
        <v>0</v>
      </c>
      <c r="I80" s="55">
        <v>1</v>
      </c>
      <c r="J80" s="57">
        <f t="shared" si="1"/>
        <v>96</v>
      </c>
      <c r="K80" s="55" t="s">
        <v>2002</v>
      </c>
      <c r="L80" s="55" t="s">
        <v>484</v>
      </c>
    </row>
    <row r="81" spans="1:12" ht="15" customHeight="1" x14ac:dyDescent="0.25">
      <c r="A81" s="55" t="s">
        <v>2083</v>
      </c>
      <c r="B81" s="55" t="s">
        <v>697</v>
      </c>
      <c r="C81" s="55" t="s">
        <v>698</v>
      </c>
      <c r="D81" s="55" t="s">
        <v>1368</v>
      </c>
      <c r="E81" s="55" t="s">
        <v>1279</v>
      </c>
      <c r="F81" s="55">
        <v>29</v>
      </c>
      <c r="G81" s="55">
        <v>28</v>
      </c>
      <c r="H81" s="55">
        <v>0</v>
      </c>
      <c r="I81" s="55">
        <v>1</v>
      </c>
      <c r="J81" s="57">
        <f t="shared" ref="J81:J112" si="2">ROUND(G81/F81*100,0)</f>
        <v>97</v>
      </c>
      <c r="K81" s="55" t="s">
        <v>2002</v>
      </c>
      <c r="L81" s="55" t="s">
        <v>484</v>
      </c>
    </row>
    <row r="82" spans="1:12" ht="15" customHeight="1" x14ac:dyDescent="0.25">
      <c r="A82" s="55" t="s">
        <v>2084</v>
      </c>
      <c r="B82" s="55" t="s">
        <v>708</v>
      </c>
      <c r="C82" s="55" t="s">
        <v>709</v>
      </c>
      <c r="D82" s="55" t="s">
        <v>1368</v>
      </c>
      <c r="E82" s="55" t="s">
        <v>1279</v>
      </c>
      <c r="F82" s="55">
        <v>27</v>
      </c>
      <c r="G82" s="55">
        <v>26</v>
      </c>
      <c r="H82" s="55">
        <v>0</v>
      </c>
      <c r="I82" s="55">
        <v>1</v>
      </c>
      <c r="J82" s="57">
        <f t="shared" si="2"/>
        <v>96</v>
      </c>
      <c r="K82" s="55" t="s">
        <v>2002</v>
      </c>
      <c r="L82" s="55" t="s">
        <v>484</v>
      </c>
    </row>
    <row r="83" spans="1:12" ht="15" customHeight="1" x14ac:dyDescent="0.25">
      <c r="A83" s="55" t="s">
        <v>2085</v>
      </c>
      <c r="B83" s="55" t="s">
        <v>718</v>
      </c>
      <c r="C83" s="55" t="s">
        <v>719</v>
      </c>
      <c r="D83" s="55" t="s">
        <v>1368</v>
      </c>
      <c r="E83" s="55" t="s">
        <v>1279</v>
      </c>
      <c r="F83" s="55">
        <v>29</v>
      </c>
      <c r="G83" s="55">
        <v>28</v>
      </c>
      <c r="H83" s="55">
        <v>0</v>
      </c>
      <c r="I83" s="55">
        <v>1</v>
      </c>
      <c r="J83" s="57">
        <f t="shared" si="2"/>
        <v>97</v>
      </c>
      <c r="K83" s="55" t="s">
        <v>2002</v>
      </c>
      <c r="L83" s="55" t="s">
        <v>484</v>
      </c>
    </row>
    <row r="84" spans="1:12" ht="15" customHeight="1" x14ac:dyDescent="0.25">
      <c r="A84" s="55" t="s">
        <v>2086</v>
      </c>
      <c r="B84" s="55" t="s">
        <v>725</v>
      </c>
      <c r="C84" s="55" t="s">
        <v>726</v>
      </c>
      <c r="D84" s="55" t="s">
        <v>1368</v>
      </c>
      <c r="E84" s="55" t="s">
        <v>1279</v>
      </c>
      <c r="F84" s="55">
        <v>30</v>
      </c>
      <c r="G84" s="55">
        <v>29</v>
      </c>
      <c r="H84" s="55">
        <v>0</v>
      </c>
      <c r="I84" s="55">
        <v>1</v>
      </c>
      <c r="J84" s="57">
        <f t="shared" si="2"/>
        <v>97</v>
      </c>
      <c r="K84" s="55" t="s">
        <v>2002</v>
      </c>
      <c r="L84" s="55" t="s">
        <v>484</v>
      </c>
    </row>
    <row r="85" spans="1:12" ht="15" customHeight="1" x14ac:dyDescent="0.25">
      <c r="A85" s="55" t="s">
        <v>2087</v>
      </c>
      <c r="B85" s="55" t="s">
        <v>734</v>
      </c>
      <c r="C85" s="55" t="s">
        <v>735</v>
      </c>
      <c r="D85" s="55" t="s">
        <v>1368</v>
      </c>
      <c r="E85" s="55" t="s">
        <v>1279</v>
      </c>
      <c r="F85" s="55">
        <v>30</v>
      </c>
      <c r="G85" s="55">
        <v>29</v>
      </c>
      <c r="H85" s="55">
        <v>0</v>
      </c>
      <c r="I85" s="55">
        <v>1</v>
      </c>
      <c r="J85" s="57">
        <f t="shared" si="2"/>
        <v>97</v>
      </c>
      <c r="K85" s="55" t="s">
        <v>2002</v>
      </c>
      <c r="L85" s="55" t="s">
        <v>484</v>
      </c>
    </row>
    <row r="86" spans="1:12" ht="15" customHeight="1" x14ac:dyDescent="0.25">
      <c r="A86" s="55" t="s">
        <v>2088</v>
      </c>
      <c r="B86" s="55" t="s">
        <v>742</v>
      </c>
      <c r="C86" s="55" t="s">
        <v>743</v>
      </c>
      <c r="D86" s="55" t="s">
        <v>1376</v>
      </c>
      <c r="E86" s="55" t="s">
        <v>1305</v>
      </c>
      <c r="F86" s="55">
        <v>28</v>
      </c>
      <c r="G86" s="55">
        <v>27</v>
      </c>
      <c r="H86" s="55">
        <v>0</v>
      </c>
      <c r="I86" s="55">
        <v>1</v>
      </c>
      <c r="J86" s="57">
        <f t="shared" si="2"/>
        <v>96</v>
      </c>
      <c r="K86" s="55" t="s">
        <v>2002</v>
      </c>
      <c r="L86" s="55" t="s">
        <v>484</v>
      </c>
    </row>
    <row r="87" spans="1:12" ht="15" customHeight="1" x14ac:dyDescent="0.25">
      <c r="A87" s="55" t="s">
        <v>2089</v>
      </c>
      <c r="B87" s="55" t="s">
        <v>753</v>
      </c>
      <c r="C87" s="55" t="s">
        <v>754</v>
      </c>
      <c r="D87" s="55" t="s">
        <v>1376</v>
      </c>
      <c r="E87" s="55" t="s">
        <v>1305</v>
      </c>
      <c r="F87" s="55">
        <v>30</v>
      </c>
      <c r="G87" s="55">
        <v>29</v>
      </c>
      <c r="H87" s="55">
        <v>0</v>
      </c>
      <c r="I87" s="55">
        <v>1</v>
      </c>
      <c r="J87" s="57">
        <f t="shared" si="2"/>
        <v>97</v>
      </c>
      <c r="K87" s="55" t="s">
        <v>2002</v>
      </c>
      <c r="L87" s="55" t="s">
        <v>484</v>
      </c>
    </row>
    <row r="88" spans="1:12" ht="15" customHeight="1" x14ac:dyDescent="0.25">
      <c r="A88" s="55" t="s">
        <v>2090</v>
      </c>
      <c r="B88" s="55" t="s">
        <v>763</v>
      </c>
      <c r="C88" s="55" t="s">
        <v>764</v>
      </c>
      <c r="D88" s="55" t="s">
        <v>1376</v>
      </c>
      <c r="E88" s="55" t="s">
        <v>1305</v>
      </c>
      <c r="F88" s="55">
        <v>27</v>
      </c>
      <c r="G88" s="55">
        <v>26</v>
      </c>
      <c r="H88" s="55">
        <v>0</v>
      </c>
      <c r="I88" s="55">
        <v>1</v>
      </c>
      <c r="J88" s="57">
        <f t="shared" si="2"/>
        <v>96</v>
      </c>
      <c r="K88" s="55" t="s">
        <v>2002</v>
      </c>
      <c r="L88" s="55" t="s">
        <v>484</v>
      </c>
    </row>
    <row r="89" spans="1:12" ht="15" customHeight="1" x14ac:dyDescent="0.25">
      <c r="A89" s="55" t="s">
        <v>2091</v>
      </c>
      <c r="B89" s="55" t="s">
        <v>773</v>
      </c>
      <c r="C89" s="55" t="s">
        <v>774</v>
      </c>
      <c r="D89" s="55" t="s">
        <v>1376</v>
      </c>
      <c r="E89" s="55" t="s">
        <v>1305</v>
      </c>
      <c r="F89" s="55">
        <v>29</v>
      </c>
      <c r="G89" s="55">
        <v>28</v>
      </c>
      <c r="H89" s="55">
        <v>0</v>
      </c>
      <c r="I89" s="55">
        <v>1</v>
      </c>
      <c r="J89" s="57">
        <f t="shared" si="2"/>
        <v>97</v>
      </c>
      <c r="K89" s="55" t="s">
        <v>2002</v>
      </c>
      <c r="L89" s="55" t="s">
        <v>484</v>
      </c>
    </row>
    <row r="90" spans="1:12" ht="15" customHeight="1" x14ac:dyDescent="0.25">
      <c r="A90" s="55" t="s">
        <v>2092</v>
      </c>
      <c r="B90" s="55" t="s">
        <v>782</v>
      </c>
      <c r="C90" s="55" t="s">
        <v>783</v>
      </c>
      <c r="D90" s="55" t="s">
        <v>1380</v>
      </c>
      <c r="E90" s="55" t="s">
        <v>1381</v>
      </c>
      <c r="F90" s="55">
        <v>28</v>
      </c>
      <c r="G90" s="55">
        <v>27</v>
      </c>
      <c r="H90" s="55">
        <v>0</v>
      </c>
      <c r="I90" s="55">
        <v>1</v>
      </c>
      <c r="J90" s="57">
        <f t="shared" si="2"/>
        <v>96</v>
      </c>
      <c r="K90" s="55" t="s">
        <v>2002</v>
      </c>
      <c r="L90" s="55" t="s">
        <v>786</v>
      </c>
    </row>
    <row r="91" spans="1:12" ht="15" customHeight="1" x14ac:dyDescent="0.25">
      <c r="A91" s="55" t="s">
        <v>2093</v>
      </c>
      <c r="B91" s="55" t="s">
        <v>787</v>
      </c>
      <c r="C91" s="55" t="s">
        <v>788</v>
      </c>
      <c r="D91" s="55" t="s">
        <v>1386</v>
      </c>
      <c r="E91" s="55" t="s">
        <v>1387</v>
      </c>
      <c r="F91" s="55">
        <v>28</v>
      </c>
      <c r="G91" s="55">
        <v>27</v>
      </c>
      <c r="H91" s="55">
        <v>0</v>
      </c>
      <c r="I91" s="55">
        <v>1</v>
      </c>
      <c r="J91" s="57">
        <f t="shared" si="2"/>
        <v>96</v>
      </c>
      <c r="K91" s="55" t="s">
        <v>2002</v>
      </c>
      <c r="L91" s="55" t="s">
        <v>786</v>
      </c>
    </row>
    <row r="92" spans="1:12" ht="15" customHeight="1" x14ac:dyDescent="0.25">
      <c r="A92" s="55" t="s">
        <v>2094</v>
      </c>
      <c r="B92" s="55" t="s">
        <v>794</v>
      </c>
      <c r="C92" s="55" t="s">
        <v>795</v>
      </c>
      <c r="D92" s="55" t="s">
        <v>1393</v>
      </c>
      <c r="E92" s="55" t="s">
        <v>1394</v>
      </c>
      <c r="F92" s="55">
        <v>29</v>
      </c>
      <c r="G92" s="55">
        <v>28</v>
      </c>
      <c r="H92" s="55">
        <v>0</v>
      </c>
      <c r="I92" s="55">
        <v>1</v>
      </c>
      <c r="J92" s="57">
        <f t="shared" si="2"/>
        <v>97</v>
      </c>
      <c r="K92" s="55" t="s">
        <v>2002</v>
      </c>
      <c r="L92" s="55" t="s">
        <v>786</v>
      </c>
    </row>
    <row r="93" spans="1:12" ht="15" customHeight="1" x14ac:dyDescent="0.25">
      <c r="A93" s="55" t="s">
        <v>2095</v>
      </c>
      <c r="B93" s="55" t="s">
        <v>803</v>
      </c>
      <c r="C93" s="55" t="s">
        <v>804</v>
      </c>
      <c r="D93" s="55" t="s">
        <v>1407</v>
      </c>
      <c r="E93" s="55" t="s">
        <v>1184</v>
      </c>
      <c r="F93" s="55">
        <v>28</v>
      </c>
      <c r="G93" s="55">
        <v>27</v>
      </c>
      <c r="H93" s="55">
        <v>0</v>
      </c>
      <c r="I93" s="55">
        <v>1</v>
      </c>
      <c r="J93" s="57">
        <f t="shared" si="2"/>
        <v>96</v>
      </c>
      <c r="K93" s="55" t="s">
        <v>2002</v>
      </c>
      <c r="L93" s="55" t="s">
        <v>786</v>
      </c>
    </row>
    <row r="94" spans="1:12" ht="15" customHeight="1" x14ac:dyDescent="0.25">
      <c r="A94" s="55" t="s">
        <v>2096</v>
      </c>
      <c r="B94" s="55" t="s">
        <v>809</v>
      </c>
      <c r="C94" s="55" t="s">
        <v>810</v>
      </c>
      <c r="D94" s="55" t="s">
        <v>1399</v>
      </c>
      <c r="E94" s="55" t="s">
        <v>1400</v>
      </c>
      <c r="F94" s="55">
        <v>28</v>
      </c>
      <c r="G94" s="55">
        <v>26</v>
      </c>
      <c r="H94" s="55">
        <v>1</v>
      </c>
      <c r="I94" s="55">
        <v>1</v>
      </c>
      <c r="J94" s="57">
        <f t="shared" si="2"/>
        <v>93</v>
      </c>
      <c r="K94" s="55" t="s">
        <v>2002</v>
      </c>
      <c r="L94" s="55" t="s">
        <v>786</v>
      </c>
    </row>
    <row r="95" spans="1:12" ht="15" customHeight="1" x14ac:dyDescent="0.25">
      <c r="A95" s="55" t="s">
        <v>2097</v>
      </c>
      <c r="B95" s="55" t="s">
        <v>814</v>
      </c>
      <c r="C95" s="55" t="s">
        <v>815</v>
      </c>
      <c r="D95" s="55" t="s">
        <v>1420</v>
      </c>
      <c r="E95" s="55" t="s">
        <v>1421</v>
      </c>
      <c r="F95" s="55">
        <v>27</v>
      </c>
      <c r="G95" s="55">
        <v>26</v>
      </c>
      <c r="H95" s="55">
        <v>0</v>
      </c>
      <c r="I95" s="55">
        <v>1</v>
      </c>
      <c r="J95" s="57">
        <f t="shared" si="2"/>
        <v>96</v>
      </c>
      <c r="K95" s="55" t="s">
        <v>2002</v>
      </c>
      <c r="L95" s="55" t="s">
        <v>786</v>
      </c>
    </row>
    <row r="96" spans="1:12" ht="15" customHeight="1" x14ac:dyDescent="0.25">
      <c r="A96" s="55" t="s">
        <v>2098</v>
      </c>
      <c r="B96" s="55" t="s">
        <v>820</v>
      </c>
      <c r="C96" s="55" t="s">
        <v>821</v>
      </c>
      <c r="D96" s="55" t="s">
        <v>1386</v>
      </c>
      <c r="E96" s="55" t="s">
        <v>1387</v>
      </c>
      <c r="F96" s="55">
        <v>26</v>
      </c>
      <c r="G96" s="55">
        <v>25</v>
      </c>
      <c r="H96" s="55">
        <v>0</v>
      </c>
      <c r="I96" s="55">
        <v>1</v>
      </c>
      <c r="J96" s="57">
        <f t="shared" si="2"/>
        <v>96</v>
      </c>
      <c r="K96" s="55" t="s">
        <v>2002</v>
      </c>
      <c r="L96" s="55" t="s">
        <v>786</v>
      </c>
    </row>
    <row r="97" spans="1:12" ht="15" customHeight="1" x14ac:dyDescent="0.25">
      <c r="A97" s="55" t="s">
        <v>2099</v>
      </c>
      <c r="B97" s="55" t="s">
        <v>824</v>
      </c>
      <c r="C97" s="55" t="s">
        <v>825</v>
      </c>
      <c r="D97" s="55" t="s">
        <v>1380</v>
      </c>
      <c r="E97" s="55" t="s">
        <v>1381</v>
      </c>
      <c r="F97" s="55">
        <v>29</v>
      </c>
      <c r="G97" s="55">
        <v>28</v>
      </c>
      <c r="H97" s="55">
        <v>0</v>
      </c>
      <c r="I97" s="55">
        <v>1</v>
      </c>
      <c r="J97" s="57">
        <f t="shared" si="2"/>
        <v>97</v>
      </c>
      <c r="K97" s="55" t="s">
        <v>2002</v>
      </c>
      <c r="L97" s="55" t="s">
        <v>786</v>
      </c>
    </row>
    <row r="98" spans="1:12" ht="15" customHeight="1" x14ac:dyDescent="0.25">
      <c r="A98" s="55" t="s">
        <v>2100</v>
      </c>
      <c r="B98" s="55" t="s">
        <v>830</v>
      </c>
      <c r="C98" s="55" t="s">
        <v>831</v>
      </c>
      <c r="D98" s="55" t="s">
        <v>1420</v>
      </c>
      <c r="E98" s="55" t="s">
        <v>1421</v>
      </c>
      <c r="F98" s="55">
        <v>27</v>
      </c>
      <c r="G98" s="55">
        <v>26</v>
      </c>
      <c r="H98" s="55">
        <v>0</v>
      </c>
      <c r="I98" s="55">
        <v>1</v>
      </c>
      <c r="J98" s="57">
        <f t="shared" si="2"/>
        <v>96</v>
      </c>
      <c r="K98" s="55" t="s">
        <v>2002</v>
      </c>
      <c r="L98" s="55" t="s">
        <v>786</v>
      </c>
    </row>
    <row r="99" spans="1:12" ht="15" customHeight="1" x14ac:dyDescent="0.25">
      <c r="A99" s="55" t="s">
        <v>2101</v>
      </c>
      <c r="B99" s="55" t="s">
        <v>834</v>
      </c>
      <c r="C99" s="55" t="s">
        <v>835</v>
      </c>
      <c r="D99" s="55" t="s">
        <v>1393</v>
      </c>
      <c r="E99" s="55" t="s">
        <v>1394</v>
      </c>
      <c r="F99" s="55">
        <v>29</v>
      </c>
      <c r="G99" s="55">
        <v>28</v>
      </c>
      <c r="H99" s="55">
        <v>0</v>
      </c>
      <c r="I99" s="55">
        <v>1</v>
      </c>
      <c r="J99" s="57">
        <f t="shared" si="2"/>
        <v>97</v>
      </c>
      <c r="K99" s="55" t="s">
        <v>2002</v>
      </c>
      <c r="L99" s="55" t="s">
        <v>786</v>
      </c>
    </row>
    <row r="100" spans="1:12" ht="15" customHeight="1" x14ac:dyDescent="0.25">
      <c r="A100" s="55" t="s">
        <v>2102</v>
      </c>
      <c r="B100" s="55" t="s">
        <v>838</v>
      </c>
      <c r="C100" s="55" t="s">
        <v>839</v>
      </c>
      <c r="D100" s="55" t="s">
        <v>1407</v>
      </c>
      <c r="E100" s="55" t="s">
        <v>1184</v>
      </c>
      <c r="F100" s="55">
        <v>27</v>
      </c>
      <c r="G100" s="55">
        <v>26</v>
      </c>
      <c r="H100" s="55">
        <v>0</v>
      </c>
      <c r="I100" s="55">
        <v>1</v>
      </c>
      <c r="J100" s="57">
        <f t="shared" si="2"/>
        <v>96</v>
      </c>
      <c r="K100" s="55" t="s">
        <v>2002</v>
      </c>
      <c r="L100" s="55" t="s">
        <v>786</v>
      </c>
    </row>
    <row r="101" spans="1:12" ht="15" customHeight="1" x14ac:dyDescent="0.25">
      <c r="A101" s="55" t="s">
        <v>2103</v>
      </c>
      <c r="B101" s="55" t="s">
        <v>842</v>
      </c>
      <c r="C101" s="55" t="s">
        <v>843</v>
      </c>
      <c r="D101" s="55" t="s">
        <v>1380</v>
      </c>
      <c r="E101" s="55" t="s">
        <v>1381</v>
      </c>
      <c r="F101" s="55">
        <v>29</v>
      </c>
      <c r="G101" s="55">
        <v>28</v>
      </c>
      <c r="H101" s="55">
        <v>0</v>
      </c>
      <c r="I101" s="55">
        <v>1</v>
      </c>
      <c r="J101" s="57">
        <f t="shared" si="2"/>
        <v>97</v>
      </c>
      <c r="K101" s="55" t="s">
        <v>2002</v>
      </c>
      <c r="L101" s="55" t="s">
        <v>786</v>
      </c>
    </row>
    <row r="102" spans="1:12" ht="15" customHeight="1" x14ac:dyDescent="0.25">
      <c r="A102" s="55" t="s">
        <v>2104</v>
      </c>
      <c r="B102" s="55" t="s">
        <v>848</v>
      </c>
      <c r="C102" s="55" t="s">
        <v>849</v>
      </c>
      <c r="D102" s="55" t="s">
        <v>1399</v>
      </c>
      <c r="E102" s="55" t="s">
        <v>1400</v>
      </c>
      <c r="F102" s="55">
        <v>29</v>
      </c>
      <c r="G102" s="55">
        <v>28</v>
      </c>
      <c r="H102" s="55">
        <v>0</v>
      </c>
      <c r="I102" s="55">
        <v>1</v>
      </c>
      <c r="J102" s="57">
        <f t="shared" si="2"/>
        <v>97</v>
      </c>
      <c r="K102" s="55" t="s">
        <v>2002</v>
      </c>
      <c r="L102" s="55" t="s">
        <v>786</v>
      </c>
    </row>
    <row r="103" spans="1:12" ht="15" customHeight="1" x14ac:dyDescent="0.25">
      <c r="A103" s="55" t="s">
        <v>2105</v>
      </c>
      <c r="B103" s="55" t="s">
        <v>852</v>
      </c>
      <c r="C103" s="55" t="s">
        <v>853</v>
      </c>
      <c r="D103" s="55" t="s">
        <v>1420</v>
      </c>
      <c r="E103" s="55" t="s">
        <v>1421</v>
      </c>
      <c r="F103" s="55">
        <v>27</v>
      </c>
      <c r="G103" s="55">
        <v>25</v>
      </c>
      <c r="H103" s="55">
        <v>1</v>
      </c>
      <c r="I103" s="55">
        <v>1</v>
      </c>
      <c r="J103" s="57">
        <f t="shared" si="2"/>
        <v>93</v>
      </c>
      <c r="K103" s="55" t="s">
        <v>2002</v>
      </c>
      <c r="L103" s="55" t="s">
        <v>786</v>
      </c>
    </row>
    <row r="104" spans="1:12" ht="15" customHeight="1" x14ac:dyDescent="0.25">
      <c r="A104" s="55" t="s">
        <v>2106</v>
      </c>
      <c r="B104" s="55" t="s">
        <v>857</v>
      </c>
      <c r="C104" s="55" t="s">
        <v>858</v>
      </c>
      <c r="D104" s="55" t="s">
        <v>1407</v>
      </c>
      <c r="E104" s="55" t="s">
        <v>1184</v>
      </c>
      <c r="F104" s="55">
        <v>30</v>
      </c>
      <c r="G104" s="55">
        <v>29</v>
      </c>
      <c r="H104" s="55">
        <v>0</v>
      </c>
      <c r="I104" s="55">
        <v>1</v>
      </c>
      <c r="J104" s="57">
        <f t="shared" si="2"/>
        <v>97</v>
      </c>
      <c r="K104" s="55" t="s">
        <v>2002</v>
      </c>
      <c r="L104" s="55" t="s">
        <v>786</v>
      </c>
    </row>
    <row r="105" spans="1:12" ht="15" customHeight="1" x14ac:dyDescent="0.25">
      <c r="A105" s="55" t="s">
        <v>2107</v>
      </c>
      <c r="B105" s="55" t="s">
        <v>862</v>
      </c>
      <c r="C105" s="55" t="s">
        <v>863</v>
      </c>
      <c r="D105" s="55" t="s">
        <v>1386</v>
      </c>
      <c r="E105" s="55" t="s">
        <v>1387</v>
      </c>
      <c r="F105" s="55">
        <v>29</v>
      </c>
      <c r="G105" s="55">
        <v>28</v>
      </c>
      <c r="H105" s="55">
        <v>0</v>
      </c>
      <c r="I105" s="55">
        <v>1</v>
      </c>
      <c r="J105" s="57">
        <f t="shared" si="2"/>
        <v>97</v>
      </c>
      <c r="K105" s="55" t="s">
        <v>2002</v>
      </c>
      <c r="L105" s="55" t="s">
        <v>786</v>
      </c>
    </row>
    <row r="106" spans="1:12" ht="15" customHeight="1" x14ac:dyDescent="0.25">
      <c r="A106" s="55" t="s">
        <v>2108</v>
      </c>
      <c r="B106" s="55" t="s">
        <v>867</v>
      </c>
      <c r="C106" s="55" t="s">
        <v>868</v>
      </c>
      <c r="D106" s="55" t="s">
        <v>1407</v>
      </c>
      <c r="E106" s="55" t="s">
        <v>1184</v>
      </c>
      <c r="F106" s="55">
        <v>28</v>
      </c>
      <c r="G106" s="55">
        <v>27</v>
      </c>
      <c r="H106" s="55">
        <v>0</v>
      </c>
      <c r="I106" s="55">
        <v>1</v>
      </c>
      <c r="J106" s="57">
        <f t="shared" si="2"/>
        <v>96</v>
      </c>
      <c r="K106" s="55" t="s">
        <v>2002</v>
      </c>
      <c r="L106" s="55" t="s">
        <v>786</v>
      </c>
    </row>
    <row r="107" spans="1:12" ht="15" customHeight="1" x14ac:dyDescent="0.25">
      <c r="A107" s="55" t="s">
        <v>2109</v>
      </c>
      <c r="B107" s="55" t="s">
        <v>874</v>
      </c>
      <c r="C107" s="55" t="s">
        <v>875</v>
      </c>
      <c r="D107" s="55" t="s">
        <v>1399</v>
      </c>
      <c r="E107" s="55" t="s">
        <v>1400</v>
      </c>
      <c r="F107" s="55">
        <v>30</v>
      </c>
      <c r="G107" s="55">
        <v>29</v>
      </c>
      <c r="H107" s="55">
        <v>0</v>
      </c>
      <c r="I107" s="55">
        <v>1</v>
      </c>
      <c r="J107" s="57">
        <f t="shared" si="2"/>
        <v>97</v>
      </c>
      <c r="K107" s="55" t="s">
        <v>2002</v>
      </c>
      <c r="L107" s="55" t="s">
        <v>786</v>
      </c>
    </row>
    <row r="108" spans="1:12" ht="15" customHeight="1" x14ac:dyDescent="0.25">
      <c r="A108" s="55" t="s">
        <v>2110</v>
      </c>
      <c r="B108" s="55" t="s">
        <v>879</v>
      </c>
      <c r="C108" s="55" t="s">
        <v>880</v>
      </c>
      <c r="D108" s="55" t="s">
        <v>1380</v>
      </c>
      <c r="E108" s="55" t="s">
        <v>1381</v>
      </c>
      <c r="F108" s="55">
        <v>26</v>
      </c>
      <c r="G108" s="55">
        <v>25</v>
      </c>
      <c r="H108" s="55">
        <v>0</v>
      </c>
      <c r="I108" s="55">
        <v>1</v>
      </c>
      <c r="J108" s="57">
        <f t="shared" si="2"/>
        <v>96</v>
      </c>
      <c r="K108" s="55" t="s">
        <v>2002</v>
      </c>
      <c r="L108" s="55" t="s">
        <v>786</v>
      </c>
    </row>
    <row r="109" spans="1:12" ht="15" customHeight="1" x14ac:dyDescent="0.25">
      <c r="A109" s="55" t="s">
        <v>2111</v>
      </c>
      <c r="B109" s="55" t="s">
        <v>884</v>
      </c>
      <c r="C109" s="55" t="s">
        <v>885</v>
      </c>
      <c r="D109" s="55" t="s">
        <v>1420</v>
      </c>
      <c r="E109" s="55" t="s">
        <v>1421</v>
      </c>
      <c r="F109" s="55">
        <v>26</v>
      </c>
      <c r="G109" s="55">
        <v>24</v>
      </c>
      <c r="H109" s="55">
        <v>1</v>
      </c>
      <c r="I109" s="55">
        <v>1</v>
      </c>
      <c r="J109" s="57">
        <f t="shared" si="2"/>
        <v>92</v>
      </c>
      <c r="K109" s="55" t="s">
        <v>2002</v>
      </c>
      <c r="L109" s="55" t="s">
        <v>786</v>
      </c>
    </row>
    <row r="110" spans="1:12" ht="15" customHeight="1" x14ac:dyDescent="0.25">
      <c r="A110" s="55" t="s">
        <v>2112</v>
      </c>
      <c r="B110" s="55" t="s">
        <v>890</v>
      </c>
      <c r="C110" s="55" t="s">
        <v>891</v>
      </c>
      <c r="D110" s="55" t="s">
        <v>1393</v>
      </c>
      <c r="E110" s="55" t="s">
        <v>1394</v>
      </c>
      <c r="F110" s="55">
        <v>30</v>
      </c>
      <c r="G110" s="55">
        <v>29</v>
      </c>
      <c r="H110" s="55">
        <v>0</v>
      </c>
      <c r="I110" s="55">
        <v>1</v>
      </c>
      <c r="J110" s="57">
        <f t="shared" si="2"/>
        <v>97</v>
      </c>
      <c r="K110" s="55" t="s">
        <v>2002</v>
      </c>
      <c r="L110" s="55" t="s">
        <v>786</v>
      </c>
    </row>
    <row r="111" spans="1:12" ht="15" customHeight="1" x14ac:dyDescent="0.25">
      <c r="A111" s="55" t="s">
        <v>2113</v>
      </c>
      <c r="B111" s="55" t="s">
        <v>896</v>
      </c>
      <c r="C111" s="55" t="s">
        <v>897</v>
      </c>
      <c r="D111" s="55" t="s">
        <v>1407</v>
      </c>
      <c r="E111" s="55" t="s">
        <v>1184</v>
      </c>
      <c r="F111" s="55">
        <v>30</v>
      </c>
      <c r="G111" s="55">
        <v>29</v>
      </c>
      <c r="H111" s="55">
        <v>0</v>
      </c>
      <c r="I111" s="55">
        <v>1</v>
      </c>
      <c r="J111" s="57">
        <f t="shared" si="2"/>
        <v>97</v>
      </c>
      <c r="K111" s="55" t="s">
        <v>2002</v>
      </c>
      <c r="L111" s="55" t="s">
        <v>786</v>
      </c>
    </row>
    <row r="112" spans="1:12" ht="15" customHeight="1" x14ac:dyDescent="0.25">
      <c r="A112" s="55" t="s">
        <v>2114</v>
      </c>
      <c r="B112" s="55" t="s">
        <v>900</v>
      </c>
      <c r="C112" s="55" t="s">
        <v>901</v>
      </c>
      <c r="D112" s="55" t="s">
        <v>1386</v>
      </c>
      <c r="E112" s="55" t="s">
        <v>1387</v>
      </c>
      <c r="F112" s="55">
        <v>26</v>
      </c>
      <c r="G112" s="55">
        <v>25</v>
      </c>
      <c r="H112" s="55">
        <v>0</v>
      </c>
      <c r="I112" s="55">
        <v>1</v>
      </c>
      <c r="J112" s="57">
        <f t="shared" si="2"/>
        <v>96</v>
      </c>
      <c r="K112" s="55" t="s">
        <v>2002</v>
      </c>
      <c r="L112" s="55" t="s">
        <v>786</v>
      </c>
    </row>
    <row r="113" spans="1:12" ht="15" customHeight="1" x14ac:dyDescent="0.25">
      <c r="A113" s="55" t="s">
        <v>2115</v>
      </c>
      <c r="B113" s="55" t="s">
        <v>904</v>
      </c>
      <c r="C113" s="55" t="s">
        <v>905</v>
      </c>
      <c r="D113" s="55" t="s">
        <v>1420</v>
      </c>
      <c r="E113" s="55" t="s">
        <v>1421</v>
      </c>
      <c r="F113" s="55">
        <v>26</v>
      </c>
      <c r="G113" s="55">
        <v>25</v>
      </c>
      <c r="H113" s="55">
        <v>0</v>
      </c>
      <c r="I113" s="55">
        <v>1</v>
      </c>
      <c r="J113" s="57">
        <f t="shared" ref="J113:J144" si="3">ROUND(G113/F113*100,0)</f>
        <v>96</v>
      </c>
      <c r="K113" s="55" t="s">
        <v>2002</v>
      </c>
      <c r="L113" s="55" t="s">
        <v>786</v>
      </c>
    </row>
    <row r="114" spans="1:12" ht="15" customHeight="1" x14ac:dyDescent="0.25">
      <c r="A114" s="55" t="s">
        <v>2116</v>
      </c>
      <c r="B114" s="55" t="s">
        <v>909</v>
      </c>
      <c r="C114" s="55" t="s">
        <v>910</v>
      </c>
      <c r="D114" s="55" t="s">
        <v>1393</v>
      </c>
      <c r="E114" s="55" t="s">
        <v>1394</v>
      </c>
      <c r="F114" s="55">
        <v>29</v>
      </c>
      <c r="G114" s="55">
        <v>28</v>
      </c>
      <c r="H114" s="55">
        <v>0</v>
      </c>
      <c r="I114" s="55">
        <v>1</v>
      </c>
      <c r="J114" s="57">
        <f t="shared" si="3"/>
        <v>97</v>
      </c>
      <c r="K114" s="55" t="s">
        <v>2002</v>
      </c>
      <c r="L114" s="55" t="s">
        <v>786</v>
      </c>
    </row>
    <row r="115" spans="1:12" ht="15" customHeight="1" x14ac:dyDescent="0.25">
      <c r="A115" s="55" t="s">
        <v>2117</v>
      </c>
      <c r="B115" s="55" t="s">
        <v>913</v>
      </c>
      <c r="C115" s="55" t="s">
        <v>914</v>
      </c>
      <c r="D115" s="55" t="s">
        <v>1434</v>
      </c>
      <c r="E115" s="55" t="s">
        <v>1270</v>
      </c>
      <c r="F115" s="55">
        <v>30</v>
      </c>
      <c r="G115" s="55">
        <v>29</v>
      </c>
      <c r="H115" s="55">
        <v>0</v>
      </c>
      <c r="I115" s="55">
        <v>1</v>
      </c>
      <c r="J115" s="57">
        <f t="shared" si="3"/>
        <v>97</v>
      </c>
      <c r="K115" s="55" t="s">
        <v>2002</v>
      </c>
      <c r="L115" s="55" t="s">
        <v>786</v>
      </c>
    </row>
    <row r="116" spans="1:12" ht="15" customHeight="1" x14ac:dyDescent="0.25">
      <c r="A116" s="55" t="s">
        <v>2118</v>
      </c>
      <c r="B116" s="55" t="s">
        <v>923</v>
      </c>
      <c r="C116" s="55" t="s">
        <v>924</v>
      </c>
      <c r="D116" s="55" t="s">
        <v>1434</v>
      </c>
      <c r="E116" s="55" t="s">
        <v>1270</v>
      </c>
      <c r="F116" s="55">
        <v>30</v>
      </c>
      <c r="G116" s="55">
        <v>29</v>
      </c>
      <c r="H116" s="55">
        <v>0</v>
      </c>
      <c r="I116" s="55">
        <v>1</v>
      </c>
      <c r="J116" s="57">
        <f t="shared" si="3"/>
        <v>97</v>
      </c>
      <c r="K116" s="55" t="s">
        <v>2002</v>
      </c>
      <c r="L116" s="55" t="s">
        <v>786</v>
      </c>
    </row>
    <row r="117" spans="1:12" ht="15" customHeight="1" x14ac:dyDescent="0.25">
      <c r="A117" s="55" t="s">
        <v>2119</v>
      </c>
      <c r="B117" s="55" t="s">
        <v>930</v>
      </c>
      <c r="C117" s="55" t="s">
        <v>931</v>
      </c>
      <c r="D117" s="55" t="s">
        <v>1434</v>
      </c>
      <c r="E117" s="55" t="s">
        <v>1270</v>
      </c>
      <c r="F117" s="55">
        <v>29</v>
      </c>
      <c r="G117" s="55">
        <v>28</v>
      </c>
      <c r="H117" s="55">
        <v>0</v>
      </c>
      <c r="I117" s="55">
        <v>1</v>
      </c>
      <c r="J117" s="57">
        <f t="shared" si="3"/>
        <v>97</v>
      </c>
      <c r="K117" s="55" t="s">
        <v>2002</v>
      </c>
      <c r="L117" s="55" t="s">
        <v>786</v>
      </c>
    </row>
    <row r="118" spans="1:12" ht="15" customHeight="1" x14ac:dyDescent="0.25">
      <c r="A118" s="55" t="s">
        <v>2120</v>
      </c>
      <c r="B118" s="55" t="s">
        <v>937</v>
      </c>
      <c r="C118" s="55" t="s">
        <v>938</v>
      </c>
      <c r="D118" s="55" t="s">
        <v>1434</v>
      </c>
      <c r="E118" s="55" t="s">
        <v>1270</v>
      </c>
      <c r="F118" s="55">
        <v>29</v>
      </c>
      <c r="G118" s="55">
        <v>28</v>
      </c>
      <c r="H118" s="55">
        <v>0</v>
      </c>
      <c r="I118" s="55">
        <v>1</v>
      </c>
      <c r="J118" s="57">
        <f t="shared" si="3"/>
        <v>97</v>
      </c>
      <c r="K118" s="55" t="s">
        <v>2002</v>
      </c>
      <c r="L118" s="55" t="s">
        <v>786</v>
      </c>
    </row>
    <row r="119" spans="1:12" ht="15" customHeight="1" x14ac:dyDescent="0.25">
      <c r="A119" s="55" t="s">
        <v>2121</v>
      </c>
      <c r="B119" s="55" t="s">
        <v>945</v>
      </c>
      <c r="C119" s="55" t="s">
        <v>946</v>
      </c>
      <c r="D119" s="55" t="s">
        <v>1434</v>
      </c>
      <c r="E119" s="55" t="s">
        <v>1270</v>
      </c>
      <c r="F119" s="55">
        <v>27</v>
      </c>
      <c r="G119" s="55">
        <v>26</v>
      </c>
      <c r="H119" s="55">
        <v>0</v>
      </c>
      <c r="I119" s="55">
        <v>1</v>
      </c>
      <c r="J119" s="57">
        <f t="shared" si="3"/>
        <v>96</v>
      </c>
      <c r="K119" s="55" t="s">
        <v>2002</v>
      </c>
      <c r="L119" s="55" t="s">
        <v>786</v>
      </c>
    </row>
    <row r="120" spans="1:12" ht="15" customHeight="1" x14ac:dyDescent="0.25">
      <c r="A120" s="55" t="s">
        <v>2122</v>
      </c>
      <c r="B120" s="55" t="s">
        <v>952</v>
      </c>
      <c r="C120" s="55" t="s">
        <v>953</v>
      </c>
      <c r="D120" s="55" t="s">
        <v>1434</v>
      </c>
      <c r="E120" s="55" t="s">
        <v>1270</v>
      </c>
      <c r="F120" s="55">
        <v>26</v>
      </c>
      <c r="G120" s="55">
        <v>25</v>
      </c>
      <c r="H120" s="55">
        <v>0</v>
      </c>
      <c r="I120" s="55">
        <v>1</v>
      </c>
      <c r="J120" s="57">
        <f t="shared" si="3"/>
        <v>96</v>
      </c>
      <c r="K120" s="55" t="s">
        <v>2002</v>
      </c>
      <c r="L120" s="55" t="s">
        <v>786</v>
      </c>
    </row>
    <row r="121" spans="1:12" ht="15" customHeight="1" x14ac:dyDescent="0.25">
      <c r="A121" s="55" t="s">
        <v>2123</v>
      </c>
      <c r="B121" s="55" t="s">
        <v>958</v>
      </c>
      <c r="C121" s="55" t="s">
        <v>959</v>
      </c>
      <c r="D121" s="55" t="s">
        <v>1436</v>
      </c>
      <c r="E121" s="55" t="s">
        <v>1279</v>
      </c>
      <c r="F121" s="55">
        <v>29</v>
      </c>
      <c r="G121" s="55">
        <v>28</v>
      </c>
      <c r="H121" s="55">
        <v>0</v>
      </c>
      <c r="I121" s="55">
        <v>1</v>
      </c>
      <c r="J121" s="57">
        <f t="shared" si="3"/>
        <v>97</v>
      </c>
      <c r="K121" s="55" t="s">
        <v>2002</v>
      </c>
      <c r="L121" s="55" t="s">
        <v>786</v>
      </c>
    </row>
    <row r="122" spans="1:12" ht="15" customHeight="1" x14ac:dyDescent="0.25">
      <c r="A122" s="55" t="s">
        <v>2124</v>
      </c>
      <c r="B122" s="55" t="s">
        <v>966</v>
      </c>
      <c r="C122" s="55" t="s">
        <v>967</v>
      </c>
      <c r="D122" s="55" t="s">
        <v>1436</v>
      </c>
      <c r="E122" s="55" t="s">
        <v>1279</v>
      </c>
      <c r="F122" s="55">
        <v>29</v>
      </c>
      <c r="G122" s="55">
        <v>28</v>
      </c>
      <c r="H122" s="55">
        <v>0</v>
      </c>
      <c r="I122" s="55">
        <v>1</v>
      </c>
      <c r="J122" s="57">
        <f t="shared" si="3"/>
        <v>97</v>
      </c>
      <c r="K122" s="55" t="s">
        <v>2002</v>
      </c>
      <c r="L122" s="55" t="s">
        <v>786</v>
      </c>
    </row>
    <row r="123" spans="1:12" ht="15" customHeight="1" x14ac:dyDescent="0.25">
      <c r="A123" s="55" t="s">
        <v>2125</v>
      </c>
      <c r="B123" s="55" t="s">
        <v>975</v>
      </c>
      <c r="C123" s="55" t="s">
        <v>976</v>
      </c>
      <c r="D123" s="55" t="s">
        <v>1436</v>
      </c>
      <c r="E123" s="55" t="s">
        <v>1279</v>
      </c>
      <c r="F123" s="55">
        <v>27</v>
      </c>
      <c r="G123" s="55">
        <v>26</v>
      </c>
      <c r="H123" s="55">
        <v>0</v>
      </c>
      <c r="I123" s="55">
        <v>1</v>
      </c>
      <c r="J123" s="57">
        <f t="shared" si="3"/>
        <v>96</v>
      </c>
      <c r="K123" s="55" t="s">
        <v>2002</v>
      </c>
      <c r="L123" s="55" t="s">
        <v>786</v>
      </c>
    </row>
    <row r="124" spans="1:12" ht="15" customHeight="1" x14ac:dyDescent="0.25">
      <c r="A124" s="55" t="s">
        <v>2126</v>
      </c>
      <c r="B124" s="55" t="s">
        <v>983</v>
      </c>
      <c r="C124" s="55" t="s">
        <v>984</v>
      </c>
      <c r="D124" s="55" t="s">
        <v>1436</v>
      </c>
      <c r="E124" s="55" t="s">
        <v>1279</v>
      </c>
      <c r="F124" s="55">
        <v>30</v>
      </c>
      <c r="G124" s="55">
        <v>29</v>
      </c>
      <c r="H124" s="55">
        <v>0</v>
      </c>
      <c r="I124" s="55">
        <v>1</v>
      </c>
      <c r="J124" s="57">
        <f t="shared" si="3"/>
        <v>97</v>
      </c>
      <c r="K124" s="55" t="s">
        <v>2002</v>
      </c>
      <c r="L124" s="55" t="s">
        <v>786</v>
      </c>
    </row>
    <row r="125" spans="1:12" ht="15" customHeight="1" x14ac:dyDescent="0.25">
      <c r="A125" s="55" t="s">
        <v>2127</v>
      </c>
      <c r="B125" s="55" t="s">
        <v>990</v>
      </c>
      <c r="C125" s="55" t="s">
        <v>991</v>
      </c>
      <c r="D125" s="55" t="s">
        <v>1436</v>
      </c>
      <c r="E125" s="55" t="s">
        <v>1279</v>
      </c>
      <c r="F125" s="55">
        <v>26</v>
      </c>
      <c r="G125" s="55">
        <v>25</v>
      </c>
      <c r="H125" s="55">
        <v>0</v>
      </c>
      <c r="I125" s="55">
        <v>1</v>
      </c>
      <c r="J125" s="57">
        <f t="shared" si="3"/>
        <v>96</v>
      </c>
      <c r="K125" s="55" t="s">
        <v>2002</v>
      </c>
      <c r="L125" s="55" t="s">
        <v>786</v>
      </c>
    </row>
    <row r="126" spans="1:12" ht="15" customHeight="1" x14ac:dyDescent="0.25">
      <c r="A126" s="55" t="s">
        <v>2128</v>
      </c>
      <c r="B126" s="55" t="s">
        <v>997</v>
      </c>
      <c r="C126" s="55" t="s">
        <v>998</v>
      </c>
      <c r="D126" s="55" t="s">
        <v>1436</v>
      </c>
      <c r="E126" s="55" t="s">
        <v>1279</v>
      </c>
      <c r="F126" s="55">
        <v>29</v>
      </c>
      <c r="G126" s="55">
        <v>28</v>
      </c>
      <c r="H126" s="55">
        <v>0</v>
      </c>
      <c r="I126" s="55">
        <v>1</v>
      </c>
      <c r="J126" s="57">
        <f t="shared" si="3"/>
        <v>97</v>
      </c>
      <c r="K126" s="55" t="s">
        <v>2002</v>
      </c>
      <c r="L126" s="55" t="s">
        <v>786</v>
      </c>
    </row>
    <row r="127" spans="1:12" ht="15" customHeight="1" x14ac:dyDescent="0.25">
      <c r="A127" s="55" t="s">
        <v>2129</v>
      </c>
      <c r="B127" s="55" t="s">
        <v>1003</v>
      </c>
      <c r="C127" s="55" t="s">
        <v>1004</v>
      </c>
      <c r="D127" s="55" t="s">
        <v>1444</v>
      </c>
      <c r="E127" s="55" t="s">
        <v>1305</v>
      </c>
      <c r="F127" s="55">
        <v>29</v>
      </c>
      <c r="G127" s="55">
        <v>28</v>
      </c>
      <c r="H127" s="55">
        <v>0</v>
      </c>
      <c r="I127" s="55">
        <v>1</v>
      </c>
      <c r="J127" s="57">
        <f t="shared" si="3"/>
        <v>97</v>
      </c>
      <c r="K127" s="55" t="s">
        <v>2002</v>
      </c>
      <c r="L127" s="55" t="s">
        <v>786</v>
      </c>
    </row>
    <row r="128" spans="1:12" ht="15" customHeight="1" x14ac:dyDescent="0.25">
      <c r="A128" s="55" t="s">
        <v>2130</v>
      </c>
      <c r="B128" s="55" t="s">
        <v>1012</v>
      </c>
      <c r="C128" s="55" t="s">
        <v>1013</v>
      </c>
      <c r="D128" s="55" t="s">
        <v>1444</v>
      </c>
      <c r="E128" s="55" t="s">
        <v>1305</v>
      </c>
      <c r="F128" s="55">
        <v>29</v>
      </c>
      <c r="G128" s="55">
        <v>28</v>
      </c>
      <c r="H128" s="55">
        <v>0</v>
      </c>
      <c r="I128" s="55">
        <v>1</v>
      </c>
      <c r="J128" s="57">
        <f t="shared" si="3"/>
        <v>97</v>
      </c>
      <c r="K128" s="55" t="s">
        <v>2002</v>
      </c>
      <c r="L128" s="55" t="s">
        <v>786</v>
      </c>
    </row>
    <row r="129" spans="1:12" ht="15" customHeight="1" x14ac:dyDescent="0.25">
      <c r="A129" s="55" t="s">
        <v>2131</v>
      </c>
      <c r="B129" s="55" t="s">
        <v>1020</v>
      </c>
      <c r="C129" s="55" t="s">
        <v>1021</v>
      </c>
      <c r="D129" s="55" t="s">
        <v>1444</v>
      </c>
      <c r="E129" s="55" t="s">
        <v>1305</v>
      </c>
      <c r="F129" s="55">
        <v>29</v>
      </c>
      <c r="G129" s="55">
        <v>28</v>
      </c>
      <c r="H129" s="55">
        <v>0</v>
      </c>
      <c r="I129" s="55">
        <v>1</v>
      </c>
      <c r="J129" s="57">
        <f t="shared" si="3"/>
        <v>97</v>
      </c>
      <c r="K129" s="55" t="s">
        <v>2002</v>
      </c>
      <c r="L129" s="55" t="s">
        <v>786</v>
      </c>
    </row>
    <row r="130" spans="1:12" ht="15" customHeight="1" x14ac:dyDescent="0.25">
      <c r="A130" s="55" t="s">
        <v>2132</v>
      </c>
      <c r="B130" s="55" t="s">
        <v>1028</v>
      </c>
      <c r="C130" s="55" t="s">
        <v>1029</v>
      </c>
      <c r="D130" s="55" t="s">
        <v>1444</v>
      </c>
      <c r="E130" s="55" t="s">
        <v>1305</v>
      </c>
      <c r="F130" s="55">
        <v>30</v>
      </c>
      <c r="G130" s="55">
        <v>29</v>
      </c>
      <c r="H130" s="55">
        <v>0</v>
      </c>
      <c r="I130" s="55">
        <v>1</v>
      </c>
      <c r="J130" s="57">
        <f t="shared" si="3"/>
        <v>97</v>
      </c>
      <c r="K130" s="55" t="s">
        <v>2002</v>
      </c>
      <c r="L130" s="55" t="s">
        <v>786</v>
      </c>
    </row>
    <row r="131" spans="1:12" ht="15" customHeight="1" x14ac:dyDescent="0.25">
      <c r="A131" s="55" t="s">
        <v>2133</v>
      </c>
      <c r="B131" s="55" t="s">
        <v>1035</v>
      </c>
      <c r="C131" s="55" t="s">
        <v>1036</v>
      </c>
      <c r="D131" s="55" t="s">
        <v>1262</v>
      </c>
      <c r="E131" s="55" t="s">
        <v>1263</v>
      </c>
      <c r="F131" s="55">
        <v>28</v>
      </c>
      <c r="G131" s="55">
        <v>27</v>
      </c>
      <c r="H131" s="55">
        <v>0</v>
      </c>
      <c r="I131" s="55">
        <v>1</v>
      </c>
      <c r="J131" s="57">
        <f t="shared" si="3"/>
        <v>96</v>
      </c>
      <c r="K131" s="55" t="s">
        <v>2002</v>
      </c>
      <c r="L131" s="55" t="s">
        <v>62</v>
      </c>
    </row>
    <row r="132" spans="1:12" ht="15" customHeight="1" x14ac:dyDescent="0.25">
      <c r="A132" s="55" t="s">
        <v>2134</v>
      </c>
      <c r="B132" s="55" t="s">
        <v>1040</v>
      </c>
      <c r="C132" s="55" t="s">
        <v>1041</v>
      </c>
      <c r="D132" s="55" t="s">
        <v>1269</v>
      </c>
      <c r="E132" s="55" t="s">
        <v>1270</v>
      </c>
      <c r="F132" s="55">
        <v>28</v>
      </c>
      <c r="G132" s="55">
        <v>27</v>
      </c>
      <c r="H132" s="55">
        <v>0</v>
      </c>
      <c r="I132" s="55">
        <v>1</v>
      </c>
      <c r="J132" s="57">
        <f t="shared" si="3"/>
        <v>96</v>
      </c>
      <c r="K132" s="55" t="s">
        <v>2002</v>
      </c>
      <c r="L132" s="55" t="s">
        <v>62</v>
      </c>
    </row>
    <row r="133" spans="1:12" ht="15" customHeight="1" x14ac:dyDescent="0.25">
      <c r="A133" s="55" t="s">
        <v>2135</v>
      </c>
      <c r="B133" s="55" t="s">
        <v>1048</v>
      </c>
      <c r="C133" s="55" t="s">
        <v>1049</v>
      </c>
      <c r="D133" s="55" t="s">
        <v>1304</v>
      </c>
      <c r="E133" s="55" t="s">
        <v>1305</v>
      </c>
      <c r="F133" s="55">
        <v>28</v>
      </c>
      <c r="G133" s="55">
        <v>27</v>
      </c>
      <c r="H133" s="55">
        <v>0</v>
      </c>
      <c r="I133" s="55">
        <v>1</v>
      </c>
      <c r="J133" s="57">
        <f t="shared" si="3"/>
        <v>96</v>
      </c>
      <c r="K133" s="55" t="s">
        <v>2002</v>
      </c>
      <c r="L133" s="55" t="s">
        <v>62</v>
      </c>
    </row>
    <row r="134" spans="1:12" ht="15" customHeight="1" x14ac:dyDescent="0.25">
      <c r="A134" s="55" t="s">
        <v>2136</v>
      </c>
      <c r="B134" s="55" t="s">
        <v>1057</v>
      </c>
      <c r="C134" s="55" t="s">
        <v>1036</v>
      </c>
      <c r="D134" s="55" t="s">
        <v>1313</v>
      </c>
      <c r="E134" s="55" t="s">
        <v>1263</v>
      </c>
      <c r="F134" s="55">
        <v>28</v>
      </c>
      <c r="G134" s="55">
        <v>27</v>
      </c>
      <c r="H134" s="55">
        <v>0</v>
      </c>
      <c r="I134" s="55">
        <v>1</v>
      </c>
      <c r="J134" s="57">
        <f t="shared" si="3"/>
        <v>96</v>
      </c>
      <c r="K134" s="55" t="s">
        <v>2002</v>
      </c>
      <c r="L134" s="55" t="s">
        <v>484</v>
      </c>
    </row>
    <row r="135" spans="1:12" ht="15" customHeight="1" x14ac:dyDescent="0.25">
      <c r="A135" s="55" t="s">
        <v>2137</v>
      </c>
      <c r="B135" s="55" t="s">
        <v>1060</v>
      </c>
      <c r="C135" s="55" t="s">
        <v>1041</v>
      </c>
      <c r="D135" s="55" t="s">
        <v>1364</v>
      </c>
      <c r="E135" s="55" t="s">
        <v>1270</v>
      </c>
      <c r="F135" s="55">
        <v>28</v>
      </c>
      <c r="G135" s="55">
        <v>27</v>
      </c>
      <c r="H135" s="55">
        <v>0</v>
      </c>
      <c r="I135" s="55">
        <v>1</v>
      </c>
      <c r="J135" s="57">
        <f t="shared" si="3"/>
        <v>96</v>
      </c>
      <c r="K135" s="55" t="s">
        <v>2002</v>
      </c>
      <c r="L135" s="55" t="s">
        <v>484</v>
      </c>
    </row>
    <row r="136" spans="1:12" ht="15" customHeight="1" x14ac:dyDescent="0.25">
      <c r="A136" s="55" t="s">
        <v>2138</v>
      </c>
      <c r="B136" s="55" t="s">
        <v>1063</v>
      </c>
      <c r="C136" s="55" t="s">
        <v>1049</v>
      </c>
      <c r="D136" s="55" t="s">
        <v>1376</v>
      </c>
      <c r="E136" s="55" t="s">
        <v>1305</v>
      </c>
      <c r="F136" s="55">
        <v>28</v>
      </c>
      <c r="G136" s="55">
        <v>27</v>
      </c>
      <c r="H136" s="55">
        <v>0</v>
      </c>
      <c r="I136" s="55">
        <v>1</v>
      </c>
      <c r="J136" s="57">
        <f t="shared" si="3"/>
        <v>96</v>
      </c>
      <c r="K136" s="55" t="s">
        <v>2002</v>
      </c>
      <c r="L136" s="55" t="s">
        <v>484</v>
      </c>
    </row>
    <row r="137" spans="1:12" ht="15" customHeight="1" x14ac:dyDescent="0.25">
      <c r="A137" s="55" t="s">
        <v>2139</v>
      </c>
      <c r="B137" s="55" t="s">
        <v>1066</v>
      </c>
      <c r="C137" s="55" t="s">
        <v>1036</v>
      </c>
      <c r="D137" s="55" t="s">
        <v>1407</v>
      </c>
      <c r="E137" s="55" t="s">
        <v>1184</v>
      </c>
      <c r="F137" s="55">
        <v>28</v>
      </c>
      <c r="G137" s="55">
        <v>27</v>
      </c>
      <c r="H137" s="55">
        <v>0</v>
      </c>
      <c r="I137" s="55">
        <v>1</v>
      </c>
      <c r="J137" s="57">
        <f t="shared" si="3"/>
        <v>96</v>
      </c>
      <c r="K137" s="55" t="s">
        <v>2002</v>
      </c>
      <c r="L137" s="55" t="s">
        <v>786</v>
      </c>
    </row>
    <row r="138" spans="1:12" ht="15" customHeight="1" x14ac:dyDescent="0.25">
      <c r="A138" s="55" t="s">
        <v>2140</v>
      </c>
      <c r="B138" s="55" t="s">
        <v>1068</v>
      </c>
      <c r="C138" s="55" t="s">
        <v>1041</v>
      </c>
      <c r="D138" s="55" t="s">
        <v>1434</v>
      </c>
      <c r="E138" s="55" t="s">
        <v>1270</v>
      </c>
      <c r="F138" s="55">
        <v>28</v>
      </c>
      <c r="G138" s="55">
        <v>27</v>
      </c>
      <c r="H138" s="55">
        <v>0</v>
      </c>
      <c r="I138" s="55">
        <v>1</v>
      </c>
      <c r="J138" s="57">
        <f t="shared" si="3"/>
        <v>96</v>
      </c>
      <c r="K138" s="55" t="s">
        <v>2002</v>
      </c>
      <c r="L138" s="55" t="s">
        <v>786</v>
      </c>
    </row>
    <row r="139" spans="1:12" ht="15" customHeight="1" x14ac:dyDescent="0.25">
      <c r="A139" s="55" t="s">
        <v>2141</v>
      </c>
      <c r="B139" s="55" t="s">
        <v>1070</v>
      </c>
      <c r="C139" s="55" t="s">
        <v>1049</v>
      </c>
      <c r="D139" s="55" t="s">
        <v>1444</v>
      </c>
      <c r="E139" s="55" t="s">
        <v>1305</v>
      </c>
      <c r="F139" s="55">
        <v>28</v>
      </c>
      <c r="G139" s="55">
        <v>27</v>
      </c>
      <c r="H139" s="55">
        <v>0</v>
      </c>
      <c r="I139" s="55">
        <v>1</v>
      </c>
      <c r="J139" s="57">
        <f t="shared" si="3"/>
        <v>96</v>
      </c>
      <c r="K139" s="55" t="s">
        <v>2002</v>
      </c>
      <c r="L139" s="55" t="s">
        <v>786</v>
      </c>
    </row>
    <row r="140" spans="1:12" ht="15" customHeight="1" x14ac:dyDescent="0.25">
      <c r="A140" s="59" t="s">
        <v>2142</v>
      </c>
      <c r="B140" s="59" t="s">
        <v>1072</v>
      </c>
      <c r="C140" s="59" t="s">
        <v>1073</v>
      </c>
      <c r="D140" s="59" t="s">
        <v>1183</v>
      </c>
      <c r="E140" s="59" t="s">
        <v>1184</v>
      </c>
      <c r="F140" s="60">
        <v>26</v>
      </c>
      <c r="G140" s="60">
        <v>23</v>
      </c>
      <c r="H140" s="60">
        <v>2</v>
      </c>
      <c r="I140" s="60">
        <v>1</v>
      </c>
      <c r="J140" s="60">
        <f t="shared" si="3"/>
        <v>88</v>
      </c>
      <c r="K140" s="60" t="s">
        <v>2002</v>
      </c>
      <c r="L140" s="59" t="s">
        <v>62</v>
      </c>
    </row>
    <row r="141" spans="1:12" ht="15" customHeight="1" x14ac:dyDescent="0.25">
      <c r="A141" s="59" t="s">
        <v>2143</v>
      </c>
      <c r="B141" s="59" t="s">
        <v>1072</v>
      </c>
      <c r="C141" s="59" t="s">
        <v>1073</v>
      </c>
      <c r="D141" s="59" t="s">
        <v>1246</v>
      </c>
      <c r="E141" s="59" t="s">
        <v>1247</v>
      </c>
      <c r="F141" s="60">
        <v>27</v>
      </c>
      <c r="G141" s="60">
        <v>23</v>
      </c>
      <c r="H141" s="60">
        <v>3</v>
      </c>
      <c r="I141" s="60">
        <v>1</v>
      </c>
      <c r="J141" s="60">
        <f t="shared" si="3"/>
        <v>85</v>
      </c>
      <c r="K141" s="60" t="s">
        <v>2002</v>
      </c>
      <c r="L141" s="59" t="s">
        <v>62</v>
      </c>
    </row>
    <row r="142" spans="1:12" ht="15" customHeight="1" x14ac:dyDescent="0.25">
      <c r="A142" s="59" t="s">
        <v>2144</v>
      </c>
      <c r="B142" s="59" t="s">
        <v>1078</v>
      </c>
      <c r="C142" s="59" t="s">
        <v>1079</v>
      </c>
      <c r="D142" s="59" t="s">
        <v>1192</v>
      </c>
      <c r="E142" s="59" t="s">
        <v>1193</v>
      </c>
      <c r="F142" s="60">
        <v>26</v>
      </c>
      <c r="G142" s="60">
        <v>18</v>
      </c>
      <c r="H142" s="60">
        <v>7</v>
      </c>
      <c r="I142" s="60">
        <v>1</v>
      </c>
      <c r="J142" s="60">
        <f t="shared" si="3"/>
        <v>69</v>
      </c>
      <c r="K142" s="60" t="s">
        <v>2010</v>
      </c>
      <c r="L142" s="59" t="s">
        <v>62</v>
      </c>
    </row>
    <row r="143" spans="1:12" ht="15" customHeight="1" x14ac:dyDescent="0.25">
      <c r="A143" s="59" t="s">
        <v>2145</v>
      </c>
      <c r="B143" s="59" t="s">
        <v>1078</v>
      </c>
      <c r="C143" s="59" t="s">
        <v>1079</v>
      </c>
      <c r="D143" s="59" t="s">
        <v>1255</v>
      </c>
      <c r="E143" s="59" t="s">
        <v>1256</v>
      </c>
      <c r="F143" s="60">
        <v>27</v>
      </c>
      <c r="G143" s="60">
        <v>18</v>
      </c>
      <c r="H143" s="60">
        <v>8</v>
      </c>
      <c r="I143" s="60">
        <v>1</v>
      </c>
      <c r="J143" s="60">
        <f t="shared" si="3"/>
        <v>67</v>
      </c>
      <c r="K143" s="60" t="s">
        <v>2010</v>
      </c>
      <c r="L143" s="59" t="s">
        <v>62</v>
      </c>
    </row>
    <row r="144" spans="1:12" ht="15" customHeight="1" x14ac:dyDescent="0.25">
      <c r="A144" s="59" t="s">
        <v>2146</v>
      </c>
      <c r="B144" s="59" t="s">
        <v>1082</v>
      </c>
      <c r="C144" s="59" t="s">
        <v>1083</v>
      </c>
      <c r="D144" s="59" t="s">
        <v>1220</v>
      </c>
      <c r="E144" s="59" t="s">
        <v>1221</v>
      </c>
      <c r="F144" s="60">
        <v>26</v>
      </c>
      <c r="G144" s="60">
        <v>20</v>
      </c>
      <c r="H144" s="60">
        <v>5</v>
      </c>
      <c r="I144" s="60">
        <v>1</v>
      </c>
      <c r="J144" s="60">
        <f t="shared" si="3"/>
        <v>77</v>
      </c>
      <c r="K144" s="60" t="s">
        <v>2010</v>
      </c>
      <c r="L144" s="59" t="s">
        <v>62</v>
      </c>
    </row>
    <row r="145" spans="1:12" ht="15" customHeight="1" x14ac:dyDescent="0.25">
      <c r="A145" s="59" t="s">
        <v>2147</v>
      </c>
      <c r="B145" s="59" t="s">
        <v>1082</v>
      </c>
      <c r="C145" s="59" t="s">
        <v>1083</v>
      </c>
      <c r="D145" s="59" t="s">
        <v>1265</v>
      </c>
      <c r="E145" s="59" t="s">
        <v>1266</v>
      </c>
      <c r="F145" s="60">
        <v>27</v>
      </c>
      <c r="G145" s="60">
        <v>20</v>
      </c>
      <c r="H145" s="60">
        <v>6</v>
      </c>
      <c r="I145" s="60">
        <v>1</v>
      </c>
      <c r="J145" s="60">
        <f t="shared" ref="J145:J179" si="4">ROUND(G145/F145*100,0)</f>
        <v>74</v>
      </c>
      <c r="K145" s="60" t="s">
        <v>2010</v>
      </c>
      <c r="L145" s="59" t="s">
        <v>62</v>
      </c>
    </row>
    <row r="146" spans="1:12" ht="15" customHeight="1" x14ac:dyDescent="0.25">
      <c r="A146" s="59" t="s">
        <v>2148</v>
      </c>
      <c r="B146" s="59" t="s">
        <v>1089</v>
      </c>
      <c r="C146" s="59" t="s">
        <v>1090</v>
      </c>
      <c r="D146" s="59" t="s">
        <v>1210</v>
      </c>
      <c r="E146" s="59" t="s">
        <v>1211</v>
      </c>
      <c r="F146" s="60">
        <v>26</v>
      </c>
      <c r="G146" s="60">
        <v>24</v>
      </c>
      <c r="H146" s="60">
        <v>1</v>
      </c>
      <c r="I146" s="60">
        <v>1</v>
      </c>
      <c r="J146" s="60">
        <f t="shared" si="4"/>
        <v>92</v>
      </c>
      <c r="K146" s="60" t="s">
        <v>2002</v>
      </c>
      <c r="L146" s="59" t="s">
        <v>62</v>
      </c>
    </row>
    <row r="147" spans="1:12" ht="15" customHeight="1" x14ac:dyDescent="0.25">
      <c r="A147" s="59" t="s">
        <v>2149</v>
      </c>
      <c r="B147" s="59" t="s">
        <v>1089</v>
      </c>
      <c r="C147" s="59" t="s">
        <v>1090</v>
      </c>
      <c r="D147" s="59" t="s">
        <v>1265</v>
      </c>
      <c r="E147" s="59" t="s">
        <v>1266</v>
      </c>
      <c r="F147" s="60">
        <v>27</v>
      </c>
      <c r="G147" s="60">
        <v>26</v>
      </c>
      <c r="H147" s="60">
        <v>0</v>
      </c>
      <c r="I147" s="60">
        <v>1</v>
      </c>
      <c r="J147" s="60">
        <f t="shared" si="4"/>
        <v>96</v>
      </c>
      <c r="K147" s="60" t="s">
        <v>2002</v>
      </c>
      <c r="L147" s="59" t="s">
        <v>62</v>
      </c>
    </row>
    <row r="148" spans="1:12" ht="15" customHeight="1" x14ac:dyDescent="0.25">
      <c r="A148" s="59" t="s">
        <v>2150</v>
      </c>
      <c r="B148" s="59" t="s">
        <v>1094</v>
      </c>
      <c r="C148" s="59" t="s">
        <v>1095</v>
      </c>
      <c r="D148" s="59" t="s">
        <v>1224</v>
      </c>
      <c r="E148" s="59" t="s">
        <v>1225</v>
      </c>
      <c r="F148" s="60">
        <v>26</v>
      </c>
      <c r="G148" s="60">
        <v>21</v>
      </c>
      <c r="H148" s="60">
        <v>4</v>
      </c>
      <c r="I148" s="60">
        <v>1</v>
      </c>
      <c r="J148" s="60">
        <f t="shared" si="4"/>
        <v>81</v>
      </c>
      <c r="K148" s="60" t="s">
        <v>2010</v>
      </c>
      <c r="L148" s="59" t="s">
        <v>62</v>
      </c>
    </row>
    <row r="149" spans="1:12" ht="15" customHeight="1" x14ac:dyDescent="0.25">
      <c r="A149" s="59" t="s">
        <v>2151</v>
      </c>
      <c r="B149" s="59" t="s">
        <v>1094</v>
      </c>
      <c r="C149" s="59" t="s">
        <v>1095</v>
      </c>
      <c r="D149" s="59" t="s">
        <v>1265</v>
      </c>
      <c r="E149" s="59" t="s">
        <v>1266</v>
      </c>
      <c r="F149" s="60">
        <v>27</v>
      </c>
      <c r="G149" s="60">
        <v>21</v>
      </c>
      <c r="H149" s="60">
        <v>5</v>
      </c>
      <c r="I149" s="60">
        <v>1</v>
      </c>
      <c r="J149" s="60">
        <f t="shared" si="4"/>
        <v>78</v>
      </c>
      <c r="K149" s="60" t="s">
        <v>2010</v>
      </c>
      <c r="L149" s="59" t="s">
        <v>62</v>
      </c>
    </row>
    <row r="150" spans="1:12" ht="15" customHeight="1" x14ac:dyDescent="0.25">
      <c r="A150" s="59" t="s">
        <v>2152</v>
      </c>
      <c r="B150" s="59" t="s">
        <v>1099</v>
      </c>
      <c r="C150" s="59" t="s">
        <v>1100</v>
      </c>
      <c r="D150" s="59" t="s">
        <v>1196</v>
      </c>
      <c r="E150" s="59" t="s">
        <v>1197</v>
      </c>
      <c r="F150" s="60">
        <v>26</v>
      </c>
      <c r="G150" s="60">
        <v>12</v>
      </c>
      <c r="H150" s="60">
        <v>13</v>
      </c>
      <c r="I150" s="60">
        <v>1</v>
      </c>
      <c r="J150" s="60">
        <f t="shared" si="4"/>
        <v>46</v>
      </c>
      <c r="K150" s="60" t="s">
        <v>2005</v>
      </c>
      <c r="L150" s="59" t="s">
        <v>62</v>
      </c>
    </row>
    <row r="151" spans="1:12" ht="15" customHeight="1" x14ac:dyDescent="0.25">
      <c r="A151" s="59" t="s">
        <v>2153</v>
      </c>
      <c r="B151" s="59" t="s">
        <v>1099</v>
      </c>
      <c r="C151" s="59" t="s">
        <v>1100</v>
      </c>
      <c r="D151" s="59" t="s">
        <v>1192</v>
      </c>
      <c r="E151" s="59" t="s">
        <v>1193</v>
      </c>
      <c r="F151" s="60">
        <v>27</v>
      </c>
      <c r="G151" s="60">
        <v>12</v>
      </c>
      <c r="H151" s="60">
        <v>14</v>
      </c>
      <c r="I151" s="60">
        <v>1</v>
      </c>
      <c r="J151" s="60">
        <f t="shared" si="4"/>
        <v>44</v>
      </c>
      <c r="K151" s="60" t="s">
        <v>2005</v>
      </c>
      <c r="L151" s="59" t="s">
        <v>62</v>
      </c>
    </row>
    <row r="152" spans="1:12" ht="15" customHeight="1" x14ac:dyDescent="0.25">
      <c r="A152" s="59" t="s">
        <v>2154</v>
      </c>
      <c r="B152" s="59" t="s">
        <v>1104</v>
      </c>
      <c r="C152" s="59" t="s">
        <v>1105</v>
      </c>
      <c r="D152" s="59" t="s">
        <v>1201</v>
      </c>
      <c r="E152" s="59" t="s">
        <v>1202</v>
      </c>
      <c r="F152" s="60">
        <v>26</v>
      </c>
      <c r="G152" s="60">
        <v>24</v>
      </c>
      <c r="H152" s="60">
        <v>1</v>
      </c>
      <c r="I152" s="60">
        <v>1</v>
      </c>
      <c r="J152" s="60">
        <f t="shared" si="4"/>
        <v>92</v>
      </c>
      <c r="K152" s="60" t="s">
        <v>2002</v>
      </c>
      <c r="L152" s="59" t="s">
        <v>62</v>
      </c>
    </row>
    <row r="153" spans="1:12" ht="15" customHeight="1" x14ac:dyDescent="0.25">
      <c r="A153" s="59" t="s">
        <v>2155</v>
      </c>
      <c r="B153" s="59" t="s">
        <v>1104</v>
      </c>
      <c r="C153" s="59" t="s">
        <v>1105</v>
      </c>
      <c r="D153" s="59" t="s">
        <v>1205</v>
      </c>
      <c r="E153" s="59" t="s">
        <v>1206</v>
      </c>
      <c r="F153" s="60">
        <v>27</v>
      </c>
      <c r="G153" s="60">
        <v>24</v>
      </c>
      <c r="H153" s="60">
        <v>2</v>
      </c>
      <c r="I153" s="60">
        <v>1</v>
      </c>
      <c r="J153" s="60">
        <f t="shared" si="4"/>
        <v>89</v>
      </c>
      <c r="K153" s="60" t="s">
        <v>2002</v>
      </c>
      <c r="L153" s="59" t="s">
        <v>62</v>
      </c>
    </row>
    <row r="154" spans="1:12" ht="15" customHeight="1" x14ac:dyDescent="0.25">
      <c r="A154" s="59" t="s">
        <v>2156</v>
      </c>
      <c r="B154" s="59" t="s">
        <v>1110</v>
      </c>
      <c r="C154" s="59" t="s">
        <v>1111</v>
      </c>
      <c r="D154" s="59" t="s">
        <v>1246</v>
      </c>
      <c r="E154" s="59" t="s">
        <v>1247</v>
      </c>
      <c r="F154" s="60">
        <v>26</v>
      </c>
      <c r="G154" s="60">
        <v>20</v>
      </c>
      <c r="H154" s="60">
        <v>5</v>
      </c>
      <c r="I154" s="60">
        <v>1</v>
      </c>
      <c r="J154" s="60">
        <f t="shared" si="4"/>
        <v>77</v>
      </c>
      <c r="K154" s="60" t="s">
        <v>2010</v>
      </c>
      <c r="L154" s="59" t="s">
        <v>62</v>
      </c>
    </row>
    <row r="155" spans="1:12" ht="15" customHeight="1" x14ac:dyDescent="0.25">
      <c r="A155" s="59" t="s">
        <v>2157</v>
      </c>
      <c r="B155" s="59" t="s">
        <v>1110</v>
      </c>
      <c r="C155" s="59" t="s">
        <v>1111</v>
      </c>
      <c r="D155" s="59" t="s">
        <v>1188</v>
      </c>
      <c r="E155" s="59" t="s">
        <v>1189</v>
      </c>
      <c r="F155" s="60">
        <v>27</v>
      </c>
      <c r="G155" s="60">
        <v>20</v>
      </c>
      <c r="H155" s="60">
        <v>6</v>
      </c>
      <c r="I155" s="60">
        <v>1</v>
      </c>
      <c r="J155" s="60">
        <f t="shared" si="4"/>
        <v>74</v>
      </c>
      <c r="K155" s="60" t="s">
        <v>2010</v>
      </c>
      <c r="L155" s="59" t="s">
        <v>62</v>
      </c>
    </row>
    <row r="156" spans="1:12" ht="15" customHeight="1" x14ac:dyDescent="0.25">
      <c r="A156" s="59" t="s">
        <v>2158</v>
      </c>
      <c r="B156" s="59" t="s">
        <v>1115</v>
      </c>
      <c r="C156" s="59" t="s">
        <v>1116</v>
      </c>
      <c r="D156" s="59" t="s">
        <v>1220</v>
      </c>
      <c r="E156" s="59" t="s">
        <v>1221</v>
      </c>
      <c r="F156" s="60">
        <v>26</v>
      </c>
      <c r="G156" s="60">
        <v>25</v>
      </c>
      <c r="H156" s="60">
        <v>0</v>
      </c>
      <c r="I156" s="60">
        <v>1</v>
      </c>
      <c r="J156" s="60">
        <f t="shared" si="4"/>
        <v>96</v>
      </c>
      <c r="K156" s="60" t="s">
        <v>2002</v>
      </c>
      <c r="L156" s="59" t="s">
        <v>62</v>
      </c>
    </row>
    <row r="157" spans="1:12" ht="15" customHeight="1" x14ac:dyDescent="0.25">
      <c r="A157" s="59" t="s">
        <v>2159</v>
      </c>
      <c r="B157" s="59" t="s">
        <v>1115</v>
      </c>
      <c r="C157" s="59" t="s">
        <v>1116</v>
      </c>
      <c r="D157" s="59" t="s">
        <v>1265</v>
      </c>
      <c r="E157" s="59" t="s">
        <v>1266</v>
      </c>
      <c r="F157" s="60">
        <v>27</v>
      </c>
      <c r="G157" s="60">
        <v>26</v>
      </c>
      <c r="H157" s="60">
        <v>0</v>
      </c>
      <c r="I157" s="60">
        <v>1</v>
      </c>
      <c r="J157" s="60">
        <f t="shared" si="4"/>
        <v>96</v>
      </c>
      <c r="K157" s="60" t="s">
        <v>2002</v>
      </c>
      <c r="L157" s="59" t="s">
        <v>62</v>
      </c>
    </row>
    <row r="158" spans="1:12" ht="15" customHeight="1" x14ac:dyDescent="0.25">
      <c r="A158" s="59" t="s">
        <v>2160</v>
      </c>
      <c r="B158" s="59" t="s">
        <v>1120</v>
      </c>
      <c r="C158" s="59" t="s">
        <v>1121</v>
      </c>
      <c r="D158" s="59" t="s">
        <v>1237</v>
      </c>
      <c r="E158" s="59" t="s">
        <v>1238</v>
      </c>
      <c r="F158" s="60">
        <v>26</v>
      </c>
      <c r="G158" s="60">
        <v>17</v>
      </c>
      <c r="H158" s="60">
        <v>8</v>
      </c>
      <c r="I158" s="60">
        <v>1</v>
      </c>
      <c r="J158" s="60">
        <f t="shared" si="4"/>
        <v>65</v>
      </c>
      <c r="K158" s="60" t="s">
        <v>2010</v>
      </c>
      <c r="L158" s="59" t="s">
        <v>62</v>
      </c>
    </row>
    <row r="159" spans="1:12" ht="15" customHeight="1" x14ac:dyDescent="0.25">
      <c r="A159" s="59" t="s">
        <v>2161</v>
      </c>
      <c r="B159" s="59" t="s">
        <v>1120</v>
      </c>
      <c r="C159" s="59" t="s">
        <v>1121</v>
      </c>
      <c r="D159" s="59" t="s">
        <v>1242</v>
      </c>
      <c r="E159" s="59" t="s">
        <v>1243</v>
      </c>
      <c r="F159" s="60">
        <v>27</v>
      </c>
      <c r="G159" s="60">
        <v>17</v>
      </c>
      <c r="H159" s="60">
        <v>9</v>
      </c>
      <c r="I159" s="60">
        <v>1</v>
      </c>
      <c r="J159" s="60">
        <f t="shared" si="4"/>
        <v>63</v>
      </c>
      <c r="K159" s="60" t="s">
        <v>2010</v>
      </c>
      <c r="L159" s="59" t="s">
        <v>62</v>
      </c>
    </row>
    <row r="160" spans="1:12" ht="15" customHeight="1" x14ac:dyDescent="0.25">
      <c r="A160" s="59" t="s">
        <v>2162</v>
      </c>
      <c r="B160" s="59" t="s">
        <v>1125</v>
      </c>
      <c r="C160" s="59" t="s">
        <v>1126</v>
      </c>
      <c r="D160" s="59" t="s">
        <v>1228</v>
      </c>
      <c r="E160" s="59" t="s">
        <v>1229</v>
      </c>
      <c r="F160" s="60">
        <v>26</v>
      </c>
      <c r="G160" s="60">
        <v>22</v>
      </c>
      <c r="H160" s="60">
        <v>3</v>
      </c>
      <c r="I160" s="60">
        <v>1</v>
      </c>
      <c r="J160" s="60">
        <f t="shared" si="4"/>
        <v>85</v>
      </c>
      <c r="K160" s="60" t="s">
        <v>2002</v>
      </c>
      <c r="L160" s="59" t="s">
        <v>62</v>
      </c>
    </row>
    <row r="161" spans="1:12" ht="15" customHeight="1" x14ac:dyDescent="0.25">
      <c r="A161" s="59" t="s">
        <v>2163</v>
      </c>
      <c r="B161" s="59" t="s">
        <v>1125</v>
      </c>
      <c r="C161" s="59" t="s">
        <v>1126</v>
      </c>
      <c r="D161" s="59" t="s">
        <v>1265</v>
      </c>
      <c r="E161" s="59" t="s">
        <v>1266</v>
      </c>
      <c r="F161" s="60">
        <v>27</v>
      </c>
      <c r="G161" s="60">
        <v>25</v>
      </c>
      <c r="H161" s="60">
        <v>1</v>
      </c>
      <c r="I161" s="60">
        <v>1</v>
      </c>
      <c r="J161" s="60">
        <f t="shared" si="4"/>
        <v>93</v>
      </c>
      <c r="K161" s="60" t="s">
        <v>2002</v>
      </c>
      <c r="L161" s="59" t="s">
        <v>62</v>
      </c>
    </row>
    <row r="162" spans="1:12" ht="15" customHeight="1" x14ac:dyDescent="0.25">
      <c r="A162" s="59" t="s">
        <v>2164</v>
      </c>
      <c r="B162" s="59" t="s">
        <v>1130</v>
      </c>
      <c r="C162" s="59" t="s">
        <v>1131</v>
      </c>
      <c r="D162" s="59" t="s">
        <v>1237</v>
      </c>
      <c r="E162" s="59" t="s">
        <v>1238</v>
      </c>
      <c r="F162" s="60">
        <v>26</v>
      </c>
      <c r="G162" s="60">
        <v>18</v>
      </c>
      <c r="H162" s="60">
        <v>7</v>
      </c>
      <c r="I162" s="60">
        <v>1</v>
      </c>
      <c r="J162" s="60">
        <f t="shared" si="4"/>
        <v>69</v>
      </c>
      <c r="K162" s="60" t="s">
        <v>2010</v>
      </c>
      <c r="L162" s="59" t="s">
        <v>62</v>
      </c>
    </row>
    <row r="163" spans="1:12" ht="15" customHeight="1" x14ac:dyDescent="0.25">
      <c r="A163" s="59" t="s">
        <v>2165</v>
      </c>
      <c r="B163" s="59" t="s">
        <v>1130</v>
      </c>
      <c r="C163" s="59" t="s">
        <v>1131</v>
      </c>
      <c r="D163" s="59" t="s">
        <v>1242</v>
      </c>
      <c r="E163" s="59" t="s">
        <v>1243</v>
      </c>
      <c r="F163" s="60">
        <v>27</v>
      </c>
      <c r="G163" s="60">
        <v>18</v>
      </c>
      <c r="H163" s="60">
        <v>8</v>
      </c>
      <c r="I163" s="60">
        <v>1</v>
      </c>
      <c r="J163" s="60">
        <f t="shared" si="4"/>
        <v>67</v>
      </c>
      <c r="K163" s="60" t="s">
        <v>2010</v>
      </c>
      <c r="L163" s="59" t="s">
        <v>62</v>
      </c>
    </row>
    <row r="164" spans="1:12" ht="15" customHeight="1" x14ac:dyDescent="0.25">
      <c r="A164" s="59" t="s">
        <v>2166</v>
      </c>
      <c r="B164" s="59" t="s">
        <v>1135</v>
      </c>
      <c r="C164" s="59" t="s">
        <v>1136</v>
      </c>
      <c r="D164" s="59" t="s">
        <v>1215</v>
      </c>
      <c r="E164" s="59" t="s">
        <v>1216</v>
      </c>
      <c r="F164" s="60">
        <v>26</v>
      </c>
      <c r="G164" s="60">
        <v>25</v>
      </c>
      <c r="H164" s="60">
        <v>0</v>
      </c>
      <c r="I164" s="60">
        <v>1</v>
      </c>
      <c r="J164" s="60">
        <f t="shared" si="4"/>
        <v>96</v>
      </c>
      <c r="K164" s="60" t="s">
        <v>2002</v>
      </c>
      <c r="L164" s="59" t="s">
        <v>62</v>
      </c>
    </row>
    <row r="165" spans="1:12" ht="15" customHeight="1" x14ac:dyDescent="0.25">
      <c r="A165" s="59" t="s">
        <v>2167</v>
      </c>
      <c r="B165" s="59" t="s">
        <v>1135</v>
      </c>
      <c r="C165" s="59" t="s">
        <v>1136</v>
      </c>
      <c r="D165" s="59" t="s">
        <v>1237</v>
      </c>
      <c r="E165" s="59" t="s">
        <v>1238</v>
      </c>
      <c r="F165" s="60">
        <v>27</v>
      </c>
      <c r="G165" s="60">
        <v>25</v>
      </c>
      <c r="H165" s="60">
        <v>1</v>
      </c>
      <c r="I165" s="60">
        <v>1</v>
      </c>
      <c r="J165" s="60">
        <f t="shared" si="4"/>
        <v>93</v>
      </c>
      <c r="K165" s="60" t="s">
        <v>2002</v>
      </c>
      <c r="L165" s="59" t="s">
        <v>62</v>
      </c>
    </row>
    <row r="166" spans="1:12" ht="15" customHeight="1" x14ac:dyDescent="0.25">
      <c r="A166" s="59" t="s">
        <v>2168</v>
      </c>
      <c r="B166" s="59" t="s">
        <v>1140</v>
      </c>
      <c r="C166" s="59" t="s">
        <v>1141</v>
      </c>
      <c r="D166" s="59" t="s">
        <v>1228</v>
      </c>
      <c r="E166" s="59" t="s">
        <v>1229</v>
      </c>
      <c r="F166" s="60">
        <v>26</v>
      </c>
      <c r="G166" s="60">
        <v>22</v>
      </c>
      <c r="H166" s="60">
        <v>3</v>
      </c>
      <c r="I166" s="60">
        <v>1</v>
      </c>
      <c r="J166" s="60">
        <f t="shared" si="4"/>
        <v>85</v>
      </c>
      <c r="K166" s="60" t="s">
        <v>2002</v>
      </c>
      <c r="L166" s="59" t="s">
        <v>62</v>
      </c>
    </row>
    <row r="167" spans="1:12" ht="15" customHeight="1" x14ac:dyDescent="0.25">
      <c r="A167" s="59" t="s">
        <v>2169</v>
      </c>
      <c r="B167" s="59" t="s">
        <v>1140</v>
      </c>
      <c r="C167" s="59" t="s">
        <v>1141</v>
      </c>
      <c r="D167" s="59" t="s">
        <v>1265</v>
      </c>
      <c r="E167" s="59" t="s">
        <v>1266</v>
      </c>
      <c r="F167" s="60">
        <v>27</v>
      </c>
      <c r="G167" s="60">
        <v>22</v>
      </c>
      <c r="H167" s="60">
        <v>4</v>
      </c>
      <c r="I167" s="60">
        <v>1</v>
      </c>
      <c r="J167" s="60">
        <f t="shared" si="4"/>
        <v>81</v>
      </c>
      <c r="K167" s="60" t="s">
        <v>2002</v>
      </c>
      <c r="L167" s="59" t="s">
        <v>62</v>
      </c>
    </row>
    <row r="168" spans="1:12" ht="15" customHeight="1" x14ac:dyDescent="0.25">
      <c r="A168" s="59" t="s">
        <v>2170</v>
      </c>
      <c r="B168" s="59" t="s">
        <v>1145</v>
      </c>
      <c r="C168" s="59" t="s">
        <v>1146</v>
      </c>
      <c r="D168" s="59" t="s">
        <v>1250</v>
      </c>
      <c r="E168" s="59" t="s">
        <v>1251</v>
      </c>
      <c r="F168" s="60">
        <v>26</v>
      </c>
      <c r="G168" s="60">
        <v>17</v>
      </c>
      <c r="H168" s="60">
        <v>8</v>
      </c>
      <c r="I168" s="60">
        <v>1</v>
      </c>
      <c r="J168" s="60">
        <f t="shared" si="4"/>
        <v>65</v>
      </c>
      <c r="K168" s="60" t="s">
        <v>2010</v>
      </c>
      <c r="L168" s="59" t="s">
        <v>62</v>
      </c>
    </row>
    <row r="169" spans="1:12" ht="15" customHeight="1" x14ac:dyDescent="0.25">
      <c r="A169" s="59" t="s">
        <v>2171</v>
      </c>
      <c r="B169" s="59" t="s">
        <v>1145</v>
      </c>
      <c r="C169" s="59" t="s">
        <v>1146</v>
      </c>
      <c r="D169" s="59" t="s">
        <v>1242</v>
      </c>
      <c r="E169" s="59" t="s">
        <v>1243</v>
      </c>
      <c r="F169" s="60">
        <v>27</v>
      </c>
      <c r="G169" s="60">
        <v>17</v>
      </c>
      <c r="H169" s="60">
        <v>9</v>
      </c>
      <c r="I169" s="60">
        <v>1</v>
      </c>
      <c r="J169" s="60">
        <f t="shared" si="4"/>
        <v>63</v>
      </c>
      <c r="K169" s="60" t="s">
        <v>2010</v>
      </c>
      <c r="L169" s="59" t="s">
        <v>62</v>
      </c>
    </row>
    <row r="170" spans="1:12" ht="15" customHeight="1" x14ac:dyDescent="0.25">
      <c r="A170" s="59" t="s">
        <v>2172</v>
      </c>
      <c r="B170" s="59" t="s">
        <v>1150</v>
      </c>
      <c r="C170" s="59" t="s">
        <v>1151</v>
      </c>
      <c r="D170" s="59" t="s">
        <v>1255</v>
      </c>
      <c r="E170" s="59" t="s">
        <v>1256</v>
      </c>
      <c r="F170" s="60">
        <v>26</v>
      </c>
      <c r="G170" s="60">
        <v>22</v>
      </c>
      <c r="H170" s="60">
        <v>3</v>
      </c>
      <c r="I170" s="60">
        <v>1</v>
      </c>
      <c r="J170" s="60">
        <f t="shared" si="4"/>
        <v>85</v>
      </c>
      <c r="K170" s="60" t="s">
        <v>2002</v>
      </c>
      <c r="L170" s="59" t="s">
        <v>62</v>
      </c>
    </row>
    <row r="171" spans="1:12" ht="15" customHeight="1" x14ac:dyDescent="0.25">
      <c r="A171" s="59" t="s">
        <v>2173</v>
      </c>
      <c r="B171" s="59" t="s">
        <v>1150</v>
      </c>
      <c r="C171" s="59" t="s">
        <v>1151</v>
      </c>
      <c r="D171" s="59" t="s">
        <v>1196</v>
      </c>
      <c r="E171" s="59" t="s">
        <v>1197</v>
      </c>
      <c r="F171" s="60">
        <v>27</v>
      </c>
      <c r="G171" s="60">
        <v>25</v>
      </c>
      <c r="H171" s="60">
        <v>1</v>
      </c>
      <c r="I171" s="60">
        <v>1</v>
      </c>
      <c r="J171" s="60">
        <f t="shared" si="4"/>
        <v>93</v>
      </c>
      <c r="K171" s="60" t="s">
        <v>2002</v>
      </c>
      <c r="L171" s="59" t="s">
        <v>62</v>
      </c>
    </row>
    <row r="172" spans="1:12" ht="15" customHeight="1" x14ac:dyDescent="0.25">
      <c r="A172" s="59" t="s">
        <v>2174</v>
      </c>
      <c r="B172" s="59" t="s">
        <v>1155</v>
      </c>
      <c r="C172" s="59" t="s">
        <v>1156</v>
      </c>
      <c r="D172" s="59" t="s">
        <v>1201</v>
      </c>
      <c r="E172" s="59" t="s">
        <v>1202</v>
      </c>
      <c r="F172" s="60">
        <v>26</v>
      </c>
      <c r="G172" s="60">
        <v>21</v>
      </c>
      <c r="H172" s="60">
        <v>4</v>
      </c>
      <c r="I172" s="60">
        <v>1</v>
      </c>
      <c r="J172" s="60">
        <f t="shared" si="4"/>
        <v>81</v>
      </c>
      <c r="K172" s="60" t="s">
        <v>2002</v>
      </c>
      <c r="L172" s="59" t="s">
        <v>62</v>
      </c>
    </row>
    <row r="173" spans="1:12" ht="15" customHeight="1" x14ac:dyDescent="0.25">
      <c r="A173" s="59" t="s">
        <v>2175</v>
      </c>
      <c r="B173" s="59" t="s">
        <v>1155</v>
      </c>
      <c r="C173" s="59" t="s">
        <v>1156</v>
      </c>
      <c r="D173" s="59" t="s">
        <v>1205</v>
      </c>
      <c r="E173" s="59" t="s">
        <v>1206</v>
      </c>
      <c r="F173" s="60">
        <v>27</v>
      </c>
      <c r="G173" s="60">
        <v>21</v>
      </c>
      <c r="H173" s="60">
        <v>5</v>
      </c>
      <c r="I173" s="60">
        <v>1</v>
      </c>
      <c r="J173" s="60">
        <f t="shared" si="4"/>
        <v>78</v>
      </c>
      <c r="K173" s="60" t="s">
        <v>2010</v>
      </c>
      <c r="L173" s="59" t="s">
        <v>62</v>
      </c>
    </row>
    <row r="174" spans="1:12" ht="15" customHeight="1" x14ac:dyDescent="0.25">
      <c r="A174" s="59" t="s">
        <v>2176</v>
      </c>
      <c r="B174" s="59" t="s">
        <v>1160</v>
      </c>
      <c r="C174" s="59" t="s">
        <v>1161</v>
      </c>
      <c r="D174" s="59" t="s">
        <v>1233</v>
      </c>
      <c r="E174" s="59" t="s">
        <v>1234</v>
      </c>
      <c r="F174" s="60">
        <v>26</v>
      </c>
      <c r="G174" s="60">
        <v>16</v>
      </c>
      <c r="H174" s="60">
        <v>9</v>
      </c>
      <c r="I174" s="60">
        <v>1</v>
      </c>
      <c r="J174" s="60">
        <f t="shared" si="4"/>
        <v>62</v>
      </c>
      <c r="K174" s="60" t="s">
        <v>2010</v>
      </c>
      <c r="L174" s="59" t="s">
        <v>62</v>
      </c>
    </row>
    <row r="175" spans="1:12" ht="15" customHeight="1" x14ac:dyDescent="0.25">
      <c r="A175" s="59" t="s">
        <v>2177</v>
      </c>
      <c r="B175" s="59" t="s">
        <v>1160</v>
      </c>
      <c r="C175" s="59" t="s">
        <v>1161</v>
      </c>
      <c r="D175" s="59" t="s">
        <v>1265</v>
      </c>
      <c r="E175" s="59" t="s">
        <v>1266</v>
      </c>
      <c r="F175" s="60">
        <v>27</v>
      </c>
      <c r="G175" s="60">
        <v>16</v>
      </c>
      <c r="H175" s="60">
        <v>10</v>
      </c>
      <c r="I175" s="60">
        <v>1</v>
      </c>
      <c r="J175" s="60">
        <f t="shared" si="4"/>
        <v>59</v>
      </c>
      <c r="K175" s="60" t="s">
        <v>2005</v>
      </c>
      <c r="L175" s="59" t="s">
        <v>62</v>
      </c>
    </row>
    <row r="176" spans="1:12" ht="15" customHeight="1" x14ac:dyDescent="0.25">
      <c r="A176" s="59" t="s">
        <v>2178</v>
      </c>
      <c r="B176" s="59" t="s">
        <v>1165</v>
      </c>
      <c r="C176" s="59" t="s">
        <v>1166</v>
      </c>
      <c r="D176" s="59" t="s">
        <v>1220</v>
      </c>
      <c r="E176" s="59" t="s">
        <v>1221</v>
      </c>
      <c r="F176" s="60">
        <v>26</v>
      </c>
      <c r="G176" s="60">
        <v>24</v>
      </c>
      <c r="H176" s="60">
        <v>1</v>
      </c>
      <c r="I176" s="60">
        <v>1</v>
      </c>
      <c r="J176" s="60">
        <f t="shared" si="4"/>
        <v>92</v>
      </c>
      <c r="K176" s="60" t="s">
        <v>2002</v>
      </c>
      <c r="L176" s="59" t="s">
        <v>62</v>
      </c>
    </row>
    <row r="177" spans="1:12" ht="15" customHeight="1" x14ac:dyDescent="0.25">
      <c r="A177" s="59" t="s">
        <v>2179</v>
      </c>
      <c r="B177" s="59" t="s">
        <v>1165</v>
      </c>
      <c r="C177" s="59" t="s">
        <v>1166</v>
      </c>
      <c r="D177" s="59" t="s">
        <v>1265</v>
      </c>
      <c r="E177" s="59" t="s">
        <v>1266</v>
      </c>
      <c r="F177" s="60">
        <v>27</v>
      </c>
      <c r="G177" s="60">
        <v>24</v>
      </c>
      <c r="H177" s="60">
        <v>2</v>
      </c>
      <c r="I177" s="60">
        <v>1</v>
      </c>
      <c r="J177" s="60">
        <f t="shared" si="4"/>
        <v>89</v>
      </c>
      <c r="K177" s="60" t="s">
        <v>2002</v>
      </c>
      <c r="L177" s="59" t="s">
        <v>62</v>
      </c>
    </row>
    <row r="178" spans="1:12" ht="15" customHeight="1" x14ac:dyDescent="0.25">
      <c r="A178" s="59" t="s">
        <v>2180</v>
      </c>
      <c r="B178" s="59" t="s">
        <v>1170</v>
      </c>
      <c r="C178" s="59" t="s">
        <v>1171</v>
      </c>
      <c r="D178" s="59" t="s">
        <v>1246</v>
      </c>
      <c r="E178" s="59" t="s">
        <v>1247</v>
      </c>
      <c r="F178" s="60">
        <v>26</v>
      </c>
      <c r="G178" s="60">
        <v>13</v>
      </c>
      <c r="H178" s="60">
        <v>12</v>
      </c>
      <c r="I178" s="60">
        <v>1</v>
      </c>
      <c r="J178" s="60">
        <f t="shared" si="4"/>
        <v>50</v>
      </c>
      <c r="K178" s="60" t="s">
        <v>2005</v>
      </c>
      <c r="L178" s="59" t="s">
        <v>62</v>
      </c>
    </row>
    <row r="179" spans="1:12" ht="15" customHeight="1" x14ac:dyDescent="0.25">
      <c r="A179" s="59" t="s">
        <v>2181</v>
      </c>
      <c r="B179" s="59" t="s">
        <v>1170</v>
      </c>
      <c r="C179" s="59" t="s">
        <v>1171</v>
      </c>
      <c r="D179" s="59" t="s">
        <v>1188</v>
      </c>
      <c r="E179" s="59" t="s">
        <v>1189</v>
      </c>
      <c r="F179" s="60">
        <v>27</v>
      </c>
      <c r="G179" s="60">
        <v>13</v>
      </c>
      <c r="H179" s="60">
        <v>13</v>
      </c>
      <c r="I179" s="60">
        <v>1</v>
      </c>
      <c r="J179" s="60">
        <f t="shared" si="4"/>
        <v>48</v>
      </c>
      <c r="K179" s="60" t="s">
        <v>2005</v>
      </c>
      <c r="L179" s="59" t="s">
        <v>62</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57"/>
  <sheetViews>
    <sheetView showGridLines="0" zoomScaleNormal="100" workbookViewId="0">
      <pane ySplit="4" topLeftCell="A5" activePane="bottomLeft" state="frozen"/>
      <selection pane="bottomLeft"/>
    </sheetView>
  </sheetViews>
  <sheetFormatPr defaultColWidth="8.7109375" defaultRowHeight="15" x14ac:dyDescent="0.25"/>
  <cols>
    <col min="1" max="1" width="16" customWidth="1"/>
    <col min="2" max="2" width="18" customWidth="1"/>
    <col min="3" max="3" width="24" customWidth="1"/>
    <col min="4" max="4" width="20" customWidth="1"/>
    <col min="5" max="5" width="28" customWidth="1"/>
    <col min="6" max="6" width="14" customWidth="1"/>
    <col min="7" max="8" width="16" customWidth="1"/>
    <col min="9" max="9" width="14" customWidth="1"/>
    <col min="10" max="11" width="18" customWidth="1"/>
    <col min="12" max="13" width="14" customWidth="1"/>
  </cols>
  <sheetData>
    <row r="1" spans="1:14" ht="25.5" customHeight="1" x14ac:dyDescent="0.25">
      <c r="A1" s="14" t="s">
        <v>2182</v>
      </c>
      <c r="B1" s="14"/>
      <c r="C1" s="14"/>
      <c r="D1" s="14"/>
      <c r="E1" s="14"/>
      <c r="F1" s="14"/>
      <c r="G1" s="14"/>
      <c r="H1" s="14"/>
      <c r="I1" s="14"/>
      <c r="J1" s="14"/>
      <c r="K1" s="14"/>
      <c r="L1" s="14"/>
    </row>
    <row r="2" spans="1:14" ht="15.75" customHeight="1" x14ac:dyDescent="0.25">
      <c r="A2" s="13" t="s">
        <v>2183</v>
      </c>
      <c r="B2" s="13"/>
      <c r="C2" s="13"/>
      <c r="D2" s="13"/>
      <c r="E2" s="13"/>
      <c r="F2" s="13"/>
      <c r="G2" s="13"/>
      <c r="H2" s="13"/>
      <c r="I2" s="13"/>
      <c r="J2" s="13"/>
      <c r="K2" s="13"/>
      <c r="L2" s="13"/>
    </row>
    <row r="4" spans="1:14" ht="18" customHeight="1" x14ac:dyDescent="0.25">
      <c r="A4" s="61" t="s">
        <v>2184</v>
      </c>
      <c r="B4" s="61" t="s">
        <v>2185</v>
      </c>
      <c r="C4" s="61" t="s">
        <v>2186</v>
      </c>
      <c r="D4" s="61" t="s">
        <v>2187</v>
      </c>
      <c r="E4" s="61" t="s">
        <v>2188</v>
      </c>
      <c r="F4" s="61" t="s">
        <v>16</v>
      </c>
      <c r="G4" s="61" t="s">
        <v>19</v>
      </c>
      <c r="H4" s="61" t="s">
        <v>2189</v>
      </c>
      <c r="I4" s="61" t="s">
        <v>2190</v>
      </c>
      <c r="J4" s="61" t="s">
        <v>2191</v>
      </c>
      <c r="K4" s="61" t="s">
        <v>2192</v>
      </c>
      <c r="L4" s="61" t="s">
        <v>2193</v>
      </c>
      <c r="M4" s="61" t="s">
        <v>2194</v>
      </c>
      <c r="N4" s="61" t="s">
        <v>35</v>
      </c>
    </row>
    <row r="5" spans="1:14" ht="15.75" customHeight="1" x14ac:dyDescent="0.25">
      <c r="A5" s="62" t="s">
        <v>2195</v>
      </c>
      <c r="B5" s="62" t="s">
        <v>40</v>
      </c>
      <c r="C5" s="63" t="s">
        <v>41</v>
      </c>
      <c r="D5" s="62" t="s">
        <v>46</v>
      </c>
      <c r="E5" s="63" t="s">
        <v>48</v>
      </c>
      <c r="F5" s="62" t="s">
        <v>54</v>
      </c>
      <c r="G5" s="62" t="s">
        <v>56</v>
      </c>
      <c r="H5" s="64">
        <v>75000</v>
      </c>
      <c r="I5" s="64">
        <v>5000</v>
      </c>
      <c r="J5" s="62">
        <f t="shared" ref="J5:J41" si="0">H5+I5</f>
        <v>80000</v>
      </c>
      <c r="K5" s="64">
        <v>80000</v>
      </c>
      <c r="L5" s="62">
        <f t="shared" ref="L5:L41" si="1">J5-K5</f>
        <v>0</v>
      </c>
      <c r="M5" s="65" t="s">
        <v>57</v>
      </c>
      <c r="N5" s="65" t="s">
        <v>62</v>
      </c>
    </row>
    <row r="6" spans="1:14" ht="15.75" customHeight="1" x14ac:dyDescent="0.25">
      <c r="A6" s="66" t="s">
        <v>2196</v>
      </c>
      <c r="B6" s="66" t="s">
        <v>65</v>
      </c>
      <c r="C6" s="67" t="s">
        <v>66</v>
      </c>
      <c r="D6" s="66" t="s">
        <v>71</v>
      </c>
      <c r="E6" s="67" t="s">
        <v>73</v>
      </c>
      <c r="F6" s="66" t="s">
        <v>54</v>
      </c>
      <c r="G6" s="66" t="s">
        <v>78</v>
      </c>
      <c r="H6" s="68">
        <v>65000</v>
      </c>
      <c r="I6" s="68">
        <v>5000</v>
      </c>
      <c r="J6" s="66">
        <f t="shared" si="0"/>
        <v>70000</v>
      </c>
      <c r="K6" s="68">
        <v>70000</v>
      </c>
      <c r="L6" s="66">
        <f t="shared" si="1"/>
        <v>0</v>
      </c>
      <c r="M6" s="65" t="s">
        <v>57</v>
      </c>
      <c r="N6" s="65" t="s">
        <v>62</v>
      </c>
    </row>
    <row r="7" spans="1:14" ht="15.75" customHeight="1" x14ac:dyDescent="0.25">
      <c r="A7" s="62" t="s">
        <v>2197</v>
      </c>
      <c r="B7" s="62" t="s">
        <v>79</v>
      </c>
      <c r="C7" s="63" t="s">
        <v>80</v>
      </c>
      <c r="D7" s="62" t="s">
        <v>46</v>
      </c>
      <c r="E7" s="63" t="s">
        <v>85</v>
      </c>
      <c r="F7" s="62" t="s">
        <v>54</v>
      </c>
      <c r="G7" s="62" t="s">
        <v>91</v>
      </c>
      <c r="H7" s="64">
        <v>75000</v>
      </c>
      <c r="I7" s="64">
        <v>5000</v>
      </c>
      <c r="J7" s="62">
        <f t="shared" si="0"/>
        <v>80000</v>
      </c>
      <c r="K7" s="64">
        <v>80000</v>
      </c>
      <c r="L7" s="62">
        <f t="shared" si="1"/>
        <v>0</v>
      </c>
      <c r="M7" s="65" t="s">
        <v>57</v>
      </c>
      <c r="N7" s="65" t="s">
        <v>62</v>
      </c>
    </row>
    <row r="8" spans="1:14" ht="15.75" customHeight="1" x14ac:dyDescent="0.25">
      <c r="A8" s="66" t="s">
        <v>2198</v>
      </c>
      <c r="B8" s="66" t="s">
        <v>96</v>
      </c>
      <c r="C8" s="67" t="s">
        <v>97</v>
      </c>
      <c r="D8" s="66" t="s">
        <v>46</v>
      </c>
      <c r="E8" s="67" t="s">
        <v>102</v>
      </c>
      <c r="F8" s="66" t="s">
        <v>54</v>
      </c>
      <c r="G8" s="66" t="s">
        <v>107</v>
      </c>
      <c r="H8" s="68">
        <v>75000</v>
      </c>
      <c r="I8" s="68">
        <v>5000</v>
      </c>
      <c r="J8" s="66">
        <f t="shared" si="0"/>
        <v>80000</v>
      </c>
      <c r="K8" s="68">
        <v>80000</v>
      </c>
      <c r="L8" s="66">
        <f t="shared" si="1"/>
        <v>0</v>
      </c>
      <c r="M8" s="65" t="s">
        <v>57</v>
      </c>
      <c r="N8" s="65" t="s">
        <v>62</v>
      </c>
    </row>
    <row r="9" spans="1:14" ht="15.75" customHeight="1" x14ac:dyDescent="0.25">
      <c r="A9" s="62" t="s">
        <v>2199</v>
      </c>
      <c r="B9" s="62" t="s">
        <v>111</v>
      </c>
      <c r="C9" s="63" t="s">
        <v>112</v>
      </c>
      <c r="D9" s="62" t="s">
        <v>46</v>
      </c>
      <c r="E9" s="63" t="s">
        <v>117</v>
      </c>
      <c r="F9" s="62" t="s">
        <v>54</v>
      </c>
      <c r="G9" s="62" t="s">
        <v>123</v>
      </c>
      <c r="H9" s="64">
        <v>75000</v>
      </c>
      <c r="I9" s="64">
        <v>5000</v>
      </c>
      <c r="J9" s="62">
        <f t="shared" si="0"/>
        <v>80000</v>
      </c>
      <c r="K9" s="64">
        <v>45000</v>
      </c>
      <c r="L9" s="62">
        <f t="shared" si="1"/>
        <v>35000</v>
      </c>
      <c r="M9" s="69" t="s">
        <v>124</v>
      </c>
      <c r="N9" s="69" t="s">
        <v>62</v>
      </c>
    </row>
    <row r="10" spans="1:14" ht="15.75" customHeight="1" x14ac:dyDescent="0.25">
      <c r="A10" s="66" t="s">
        <v>2200</v>
      </c>
      <c r="B10" s="66" t="s">
        <v>127</v>
      </c>
      <c r="C10" s="67" t="s">
        <v>128</v>
      </c>
      <c r="D10" s="66" t="s">
        <v>132</v>
      </c>
      <c r="E10" s="67" t="s">
        <v>134</v>
      </c>
      <c r="F10" s="66" t="s">
        <v>54</v>
      </c>
      <c r="G10" s="66" t="s">
        <v>56</v>
      </c>
      <c r="H10" s="68">
        <v>60000</v>
      </c>
      <c r="I10" s="68">
        <v>5000</v>
      </c>
      <c r="J10" s="66">
        <f t="shared" si="0"/>
        <v>65000</v>
      </c>
      <c r="K10" s="68">
        <v>65000</v>
      </c>
      <c r="L10" s="66">
        <f t="shared" si="1"/>
        <v>0</v>
      </c>
      <c r="M10" s="65" t="s">
        <v>57</v>
      </c>
      <c r="N10" s="65" t="s">
        <v>62</v>
      </c>
    </row>
    <row r="11" spans="1:14" ht="15.75" customHeight="1" x14ac:dyDescent="0.25">
      <c r="A11" s="62" t="s">
        <v>2201</v>
      </c>
      <c r="B11" s="62" t="s">
        <v>135</v>
      </c>
      <c r="C11" s="63" t="s">
        <v>136</v>
      </c>
      <c r="D11" s="62" t="s">
        <v>46</v>
      </c>
      <c r="E11" s="63" t="s">
        <v>117</v>
      </c>
      <c r="F11" s="62" t="s">
        <v>54</v>
      </c>
      <c r="G11" s="62" t="s">
        <v>78</v>
      </c>
      <c r="H11" s="64">
        <v>75000</v>
      </c>
      <c r="I11" s="64">
        <v>5000</v>
      </c>
      <c r="J11" s="62">
        <f t="shared" si="0"/>
        <v>80000</v>
      </c>
      <c r="K11" s="64">
        <v>80000</v>
      </c>
      <c r="L11" s="62">
        <f t="shared" si="1"/>
        <v>0</v>
      </c>
      <c r="M11" s="65" t="s">
        <v>57</v>
      </c>
      <c r="N11" s="65" t="s">
        <v>62</v>
      </c>
    </row>
    <row r="12" spans="1:14" ht="15.75" customHeight="1" x14ac:dyDescent="0.25">
      <c r="A12" s="66" t="s">
        <v>2202</v>
      </c>
      <c r="B12" s="66" t="s">
        <v>142</v>
      </c>
      <c r="C12" s="67" t="s">
        <v>143</v>
      </c>
      <c r="D12" s="66" t="s">
        <v>147</v>
      </c>
      <c r="E12" s="67" t="s">
        <v>149</v>
      </c>
      <c r="F12" s="66" t="s">
        <v>54</v>
      </c>
      <c r="G12" s="66" t="s">
        <v>91</v>
      </c>
      <c r="H12" s="68">
        <v>70000</v>
      </c>
      <c r="I12" s="68">
        <v>5000</v>
      </c>
      <c r="J12" s="66">
        <f t="shared" si="0"/>
        <v>75000</v>
      </c>
      <c r="K12" s="68">
        <v>75000</v>
      </c>
      <c r="L12" s="66">
        <f t="shared" si="1"/>
        <v>0</v>
      </c>
      <c r="M12" s="65" t="s">
        <v>57</v>
      </c>
      <c r="N12" s="65" t="s">
        <v>62</v>
      </c>
    </row>
    <row r="13" spans="1:14" ht="15.75" customHeight="1" x14ac:dyDescent="0.25">
      <c r="A13" s="62" t="s">
        <v>2203</v>
      </c>
      <c r="B13" s="62" t="s">
        <v>151</v>
      </c>
      <c r="C13" s="63" t="s">
        <v>152</v>
      </c>
      <c r="D13" s="62" t="s">
        <v>156</v>
      </c>
      <c r="E13" s="63" t="s">
        <v>73</v>
      </c>
      <c r="F13" s="62" t="s">
        <v>54</v>
      </c>
      <c r="G13" s="62" t="s">
        <v>56</v>
      </c>
      <c r="H13" s="64">
        <v>65000</v>
      </c>
      <c r="I13" s="64">
        <v>5000</v>
      </c>
      <c r="J13" s="62">
        <f t="shared" si="0"/>
        <v>70000</v>
      </c>
      <c r="K13" s="64">
        <v>0</v>
      </c>
      <c r="L13" s="62">
        <f t="shared" si="1"/>
        <v>70000</v>
      </c>
      <c r="M13" s="70" t="s">
        <v>160</v>
      </c>
      <c r="N13" s="70" t="s">
        <v>62</v>
      </c>
    </row>
    <row r="14" spans="1:14" ht="15.75" customHeight="1" x14ac:dyDescent="0.25">
      <c r="A14" s="66" t="s">
        <v>2204</v>
      </c>
      <c r="B14" s="66" t="s">
        <v>161</v>
      </c>
      <c r="C14" s="67" t="s">
        <v>162</v>
      </c>
      <c r="D14" s="66" t="s">
        <v>46</v>
      </c>
      <c r="E14" s="67" t="s">
        <v>48</v>
      </c>
      <c r="F14" s="66" t="s">
        <v>54</v>
      </c>
      <c r="G14" s="66" t="s">
        <v>123</v>
      </c>
      <c r="H14" s="68">
        <v>75000</v>
      </c>
      <c r="I14" s="68">
        <v>5000</v>
      </c>
      <c r="J14" s="66">
        <f t="shared" si="0"/>
        <v>80000</v>
      </c>
      <c r="K14" s="68">
        <v>80000</v>
      </c>
      <c r="L14" s="66">
        <f t="shared" si="1"/>
        <v>0</v>
      </c>
      <c r="M14" s="65" t="s">
        <v>57</v>
      </c>
      <c r="N14" s="65" t="s">
        <v>62</v>
      </c>
    </row>
    <row r="15" spans="1:14" ht="15.75" customHeight="1" x14ac:dyDescent="0.25">
      <c r="A15" s="62" t="s">
        <v>2205</v>
      </c>
      <c r="B15" s="62" t="s">
        <v>168</v>
      </c>
      <c r="C15" s="63" t="s">
        <v>169</v>
      </c>
      <c r="D15" s="62" t="s">
        <v>46</v>
      </c>
      <c r="E15" s="63" t="s">
        <v>117</v>
      </c>
      <c r="F15" s="62" t="s">
        <v>54</v>
      </c>
      <c r="G15" s="62" t="s">
        <v>78</v>
      </c>
      <c r="H15" s="64">
        <v>75000</v>
      </c>
      <c r="I15" s="64">
        <v>5000</v>
      </c>
      <c r="J15" s="62">
        <f t="shared" si="0"/>
        <v>80000</v>
      </c>
      <c r="K15" s="64">
        <v>80000</v>
      </c>
      <c r="L15" s="62">
        <f t="shared" si="1"/>
        <v>0</v>
      </c>
      <c r="M15" s="65" t="s">
        <v>57</v>
      </c>
      <c r="N15" s="65" t="s">
        <v>62</v>
      </c>
    </row>
    <row r="16" spans="1:14" ht="15.75" customHeight="1" x14ac:dyDescent="0.25">
      <c r="A16" s="66" t="s">
        <v>2206</v>
      </c>
      <c r="B16" s="66" t="s">
        <v>174</v>
      </c>
      <c r="C16" s="67" t="s">
        <v>175</v>
      </c>
      <c r="D16" s="66" t="s">
        <v>46</v>
      </c>
      <c r="E16" s="67" t="s">
        <v>85</v>
      </c>
      <c r="F16" s="66" t="s">
        <v>54</v>
      </c>
      <c r="G16" s="66" t="s">
        <v>107</v>
      </c>
      <c r="H16" s="68">
        <v>75000</v>
      </c>
      <c r="I16" s="68">
        <v>5000</v>
      </c>
      <c r="J16" s="66">
        <f t="shared" si="0"/>
        <v>80000</v>
      </c>
      <c r="K16" s="68">
        <v>80000</v>
      </c>
      <c r="L16" s="66">
        <f t="shared" si="1"/>
        <v>0</v>
      </c>
      <c r="M16" s="65" t="s">
        <v>57</v>
      </c>
      <c r="N16" s="65" t="s">
        <v>62</v>
      </c>
    </row>
    <row r="17" spans="1:14" ht="15.75" customHeight="1" x14ac:dyDescent="0.25">
      <c r="A17" s="62" t="s">
        <v>2207</v>
      </c>
      <c r="B17" s="62" t="s">
        <v>181</v>
      </c>
      <c r="C17" s="63" t="s">
        <v>182</v>
      </c>
      <c r="D17" s="62" t="s">
        <v>71</v>
      </c>
      <c r="E17" s="63" t="s">
        <v>187</v>
      </c>
      <c r="F17" s="62" t="s">
        <v>54</v>
      </c>
      <c r="G17" s="62" t="s">
        <v>56</v>
      </c>
      <c r="H17" s="64">
        <v>65000</v>
      </c>
      <c r="I17" s="64">
        <v>5000</v>
      </c>
      <c r="J17" s="62">
        <f t="shared" si="0"/>
        <v>70000</v>
      </c>
      <c r="K17" s="64">
        <v>70000</v>
      </c>
      <c r="L17" s="62">
        <f t="shared" si="1"/>
        <v>0</v>
      </c>
      <c r="M17" s="65" t="s">
        <v>57</v>
      </c>
      <c r="N17" s="65" t="s">
        <v>62</v>
      </c>
    </row>
    <row r="18" spans="1:14" ht="15.75" customHeight="1" x14ac:dyDescent="0.25">
      <c r="A18" s="66" t="s">
        <v>2208</v>
      </c>
      <c r="B18" s="66" t="s">
        <v>188</v>
      </c>
      <c r="C18" s="67" t="s">
        <v>189</v>
      </c>
      <c r="D18" s="66" t="s">
        <v>193</v>
      </c>
      <c r="E18" s="67" t="s">
        <v>102</v>
      </c>
      <c r="F18" s="66" t="s">
        <v>54</v>
      </c>
      <c r="G18" s="66" t="s">
        <v>91</v>
      </c>
      <c r="H18" s="68">
        <v>80000</v>
      </c>
      <c r="I18" s="68">
        <v>5000</v>
      </c>
      <c r="J18" s="66">
        <f t="shared" si="0"/>
        <v>85000</v>
      </c>
      <c r="K18" s="68">
        <v>10000</v>
      </c>
      <c r="L18" s="66">
        <f t="shared" si="1"/>
        <v>75000</v>
      </c>
      <c r="M18" s="71" t="s">
        <v>197</v>
      </c>
      <c r="N18" s="71" t="s">
        <v>62</v>
      </c>
    </row>
    <row r="19" spans="1:14" ht="15.75" customHeight="1" x14ac:dyDescent="0.25">
      <c r="A19" s="62" t="s">
        <v>2209</v>
      </c>
      <c r="B19" s="62" t="s">
        <v>198</v>
      </c>
      <c r="C19" s="63" t="s">
        <v>199</v>
      </c>
      <c r="D19" s="62" t="s">
        <v>71</v>
      </c>
      <c r="E19" s="63" t="s">
        <v>204</v>
      </c>
      <c r="F19" s="62" t="s">
        <v>54</v>
      </c>
      <c r="G19" s="62" t="s">
        <v>123</v>
      </c>
      <c r="H19" s="64">
        <v>65000</v>
      </c>
      <c r="I19" s="64">
        <v>5000</v>
      </c>
      <c r="J19" s="62">
        <f t="shared" si="0"/>
        <v>70000</v>
      </c>
      <c r="K19" s="64">
        <v>70000</v>
      </c>
      <c r="L19" s="62">
        <f t="shared" si="1"/>
        <v>0</v>
      </c>
      <c r="M19" s="65" t="s">
        <v>57</v>
      </c>
      <c r="N19" s="65" t="s">
        <v>62</v>
      </c>
    </row>
    <row r="20" spans="1:14" ht="15.75" customHeight="1" x14ac:dyDescent="0.25">
      <c r="A20" s="66" t="s">
        <v>2210</v>
      </c>
      <c r="B20" s="66" t="s">
        <v>205</v>
      </c>
      <c r="C20" s="67" t="s">
        <v>206</v>
      </c>
      <c r="D20" s="66" t="s">
        <v>46</v>
      </c>
      <c r="E20" s="67" t="s">
        <v>117</v>
      </c>
      <c r="F20" s="66" t="s">
        <v>54</v>
      </c>
      <c r="G20" s="66" t="s">
        <v>78</v>
      </c>
      <c r="H20" s="68">
        <v>75000</v>
      </c>
      <c r="I20" s="68">
        <v>5000</v>
      </c>
      <c r="J20" s="66">
        <f t="shared" si="0"/>
        <v>80000</v>
      </c>
      <c r="K20" s="68">
        <v>80000</v>
      </c>
      <c r="L20" s="66">
        <f t="shared" si="1"/>
        <v>0</v>
      </c>
      <c r="M20" s="65" t="s">
        <v>57</v>
      </c>
      <c r="N20" s="65" t="s">
        <v>62</v>
      </c>
    </row>
    <row r="21" spans="1:14" ht="15.75" customHeight="1" x14ac:dyDescent="0.25">
      <c r="A21" s="62" t="s">
        <v>2211</v>
      </c>
      <c r="B21" s="62" t="s">
        <v>213</v>
      </c>
      <c r="C21" s="63" t="s">
        <v>214</v>
      </c>
      <c r="D21" s="62" t="s">
        <v>46</v>
      </c>
      <c r="E21" s="63" t="s">
        <v>48</v>
      </c>
      <c r="F21" s="62" t="s">
        <v>54</v>
      </c>
      <c r="G21" s="62" t="s">
        <v>56</v>
      </c>
      <c r="H21" s="64">
        <v>75000</v>
      </c>
      <c r="I21" s="64">
        <v>5000</v>
      </c>
      <c r="J21" s="62">
        <f t="shared" si="0"/>
        <v>80000</v>
      </c>
      <c r="K21" s="64">
        <v>80000</v>
      </c>
      <c r="L21" s="62">
        <f t="shared" si="1"/>
        <v>0</v>
      </c>
      <c r="M21" s="65" t="s">
        <v>57</v>
      </c>
      <c r="N21" s="65" t="s">
        <v>62</v>
      </c>
    </row>
    <row r="22" spans="1:14" ht="15.75" customHeight="1" x14ac:dyDescent="0.25">
      <c r="A22" s="66" t="s">
        <v>2212</v>
      </c>
      <c r="B22" s="66" t="s">
        <v>218</v>
      </c>
      <c r="C22" s="67" t="s">
        <v>219</v>
      </c>
      <c r="D22" s="66" t="s">
        <v>132</v>
      </c>
      <c r="E22" s="67" t="s">
        <v>134</v>
      </c>
      <c r="F22" s="66" t="s">
        <v>54</v>
      </c>
      <c r="G22" s="66" t="s">
        <v>91</v>
      </c>
      <c r="H22" s="68">
        <v>60000</v>
      </c>
      <c r="I22" s="68">
        <v>5000</v>
      </c>
      <c r="J22" s="66">
        <f t="shared" si="0"/>
        <v>65000</v>
      </c>
      <c r="K22" s="68">
        <v>65000</v>
      </c>
      <c r="L22" s="66">
        <f t="shared" si="1"/>
        <v>0</v>
      </c>
      <c r="M22" s="65" t="s">
        <v>57</v>
      </c>
      <c r="N22" s="65" t="s">
        <v>62</v>
      </c>
    </row>
    <row r="23" spans="1:14" ht="15.75" customHeight="1" x14ac:dyDescent="0.25">
      <c r="A23" s="62" t="s">
        <v>2213</v>
      </c>
      <c r="B23" s="62" t="s">
        <v>225</v>
      </c>
      <c r="C23" s="63" t="s">
        <v>226</v>
      </c>
      <c r="D23" s="62" t="s">
        <v>46</v>
      </c>
      <c r="E23" s="63" t="s">
        <v>102</v>
      </c>
      <c r="F23" s="62" t="s">
        <v>54</v>
      </c>
      <c r="G23" s="62" t="s">
        <v>123</v>
      </c>
      <c r="H23" s="64">
        <v>75000</v>
      </c>
      <c r="I23" s="64">
        <v>5000</v>
      </c>
      <c r="J23" s="62">
        <f t="shared" si="0"/>
        <v>80000</v>
      </c>
      <c r="K23" s="64">
        <v>80000</v>
      </c>
      <c r="L23" s="62">
        <f t="shared" si="1"/>
        <v>0</v>
      </c>
      <c r="M23" s="65" t="s">
        <v>57</v>
      </c>
      <c r="N23" s="65" t="s">
        <v>62</v>
      </c>
    </row>
    <row r="24" spans="1:14" ht="15.75" customHeight="1" x14ac:dyDescent="0.25">
      <c r="A24" s="66" t="s">
        <v>2214</v>
      </c>
      <c r="B24" s="66" t="s">
        <v>231</v>
      </c>
      <c r="C24" s="67" t="s">
        <v>232</v>
      </c>
      <c r="D24" s="66" t="s">
        <v>147</v>
      </c>
      <c r="E24" s="67" t="s">
        <v>149</v>
      </c>
      <c r="F24" s="66" t="s">
        <v>54</v>
      </c>
      <c r="G24" s="66" t="s">
        <v>78</v>
      </c>
      <c r="H24" s="68">
        <v>70000</v>
      </c>
      <c r="I24" s="68">
        <v>5000</v>
      </c>
      <c r="J24" s="66">
        <f t="shared" si="0"/>
        <v>75000</v>
      </c>
      <c r="K24" s="68">
        <v>75000</v>
      </c>
      <c r="L24" s="66">
        <f t="shared" si="1"/>
        <v>0</v>
      </c>
      <c r="M24" s="65" t="s">
        <v>57</v>
      </c>
      <c r="N24" s="65" t="s">
        <v>62</v>
      </c>
    </row>
    <row r="25" spans="1:14" ht="15.75" customHeight="1" x14ac:dyDescent="0.25">
      <c r="A25" s="62" t="s">
        <v>2215</v>
      </c>
      <c r="B25" s="62" t="s">
        <v>236</v>
      </c>
      <c r="C25" s="63" t="s">
        <v>237</v>
      </c>
      <c r="D25" s="62" t="s">
        <v>71</v>
      </c>
      <c r="E25" s="63" t="s">
        <v>187</v>
      </c>
      <c r="F25" s="62" t="s">
        <v>54</v>
      </c>
      <c r="G25" s="62" t="s">
        <v>56</v>
      </c>
      <c r="H25" s="64">
        <v>65000</v>
      </c>
      <c r="I25" s="64">
        <v>5000</v>
      </c>
      <c r="J25" s="62">
        <f t="shared" si="0"/>
        <v>70000</v>
      </c>
      <c r="K25" s="64">
        <v>0</v>
      </c>
      <c r="L25" s="62">
        <f t="shared" si="1"/>
        <v>70000</v>
      </c>
      <c r="M25" s="70" t="s">
        <v>160</v>
      </c>
      <c r="N25" s="70" t="s">
        <v>62</v>
      </c>
    </row>
    <row r="26" spans="1:14" ht="15.75" customHeight="1" x14ac:dyDescent="0.25">
      <c r="A26" s="66" t="s">
        <v>2216</v>
      </c>
      <c r="B26" s="66" t="s">
        <v>242</v>
      </c>
      <c r="C26" s="67" t="s">
        <v>243</v>
      </c>
      <c r="D26" s="66" t="s">
        <v>46</v>
      </c>
      <c r="E26" s="67" t="s">
        <v>117</v>
      </c>
      <c r="F26" s="66" t="s">
        <v>54</v>
      </c>
      <c r="G26" s="66" t="s">
        <v>107</v>
      </c>
      <c r="H26" s="68">
        <v>75000</v>
      </c>
      <c r="I26" s="68">
        <v>5000</v>
      </c>
      <c r="J26" s="66">
        <f t="shared" si="0"/>
        <v>80000</v>
      </c>
      <c r="K26" s="68">
        <v>80000</v>
      </c>
      <c r="L26" s="66">
        <f t="shared" si="1"/>
        <v>0</v>
      </c>
      <c r="M26" s="65" t="s">
        <v>57</v>
      </c>
      <c r="N26" s="65" t="s">
        <v>62</v>
      </c>
    </row>
    <row r="27" spans="1:14" ht="15.75" customHeight="1" x14ac:dyDescent="0.25">
      <c r="A27" s="62" t="s">
        <v>2217</v>
      </c>
      <c r="B27" s="62" t="s">
        <v>247</v>
      </c>
      <c r="C27" s="63" t="s">
        <v>248</v>
      </c>
      <c r="D27" s="62" t="s">
        <v>156</v>
      </c>
      <c r="E27" s="63" t="s">
        <v>73</v>
      </c>
      <c r="F27" s="62" t="s">
        <v>54</v>
      </c>
      <c r="G27" s="62" t="s">
        <v>123</v>
      </c>
      <c r="H27" s="64">
        <v>65000</v>
      </c>
      <c r="I27" s="64">
        <v>5000</v>
      </c>
      <c r="J27" s="62">
        <f t="shared" si="0"/>
        <v>70000</v>
      </c>
      <c r="K27" s="64">
        <v>35000</v>
      </c>
      <c r="L27" s="62">
        <f t="shared" si="1"/>
        <v>35000</v>
      </c>
      <c r="M27" s="69" t="s">
        <v>124</v>
      </c>
      <c r="N27" s="69" t="s">
        <v>62</v>
      </c>
    </row>
    <row r="28" spans="1:14" ht="15.75" customHeight="1" x14ac:dyDescent="0.25">
      <c r="A28" s="66" t="s">
        <v>2218</v>
      </c>
      <c r="B28" s="66" t="s">
        <v>253</v>
      </c>
      <c r="C28" s="67" t="s">
        <v>254</v>
      </c>
      <c r="D28" s="66" t="s">
        <v>46</v>
      </c>
      <c r="E28" s="67" t="s">
        <v>48</v>
      </c>
      <c r="F28" s="66" t="s">
        <v>54</v>
      </c>
      <c r="G28" s="66" t="s">
        <v>78</v>
      </c>
      <c r="H28" s="68">
        <v>75000</v>
      </c>
      <c r="I28" s="68">
        <v>5000</v>
      </c>
      <c r="J28" s="66">
        <f t="shared" si="0"/>
        <v>80000</v>
      </c>
      <c r="K28" s="68">
        <v>80000</v>
      </c>
      <c r="L28" s="66">
        <f t="shared" si="1"/>
        <v>0</v>
      </c>
      <c r="M28" s="65" t="s">
        <v>57</v>
      </c>
      <c r="N28" s="65" t="s">
        <v>62</v>
      </c>
    </row>
    <row r="29" spans="1:14" ht="15.75" customHeight="1" x14ac:dyDescent="0.25">
      <c r="A29" s="62" t="s">
        <v>2219</v>
      </c>
      <c r="B29" s="62" t="s">
        <v>258</v>
      </c>
      <c r="C29" s="63" t="s">
        <v>259</v>
      </c>
      <c r="D29" s="62" t="s">
        <v>46</v>
      </c>
      <c r="E29" s="63" t="s">
        <v>48</v>
      </c>
      <c r="F29" s="62" t="s">
        <v>54</v>
      </c>
      <c r="G29" s="62" t="s">
        <v>123</v>
      </c>
      <c r="H29" s="64">
        <v>75000</v>
      </c>
      <c r="I29" s="64">
        <v>5000</v>
      </c>
      <c r="J29" s="62">
        <f t="shared" si="0"/>
        <v>80000</v>
      </c>
      <c r="K29" s="72">
        <v>5000</v>
      </c>
      <c r="L29" s="73">
        <f t="shared" si="1"/>
        <v>75000</v>
      </c>
      <c r="M29" s="73" t="s">
        <v>2220</v>
      </c>
      <c r="N29" s="73" t="s">
        <v>62</v>
      </c>
    </row>
    <row r="30" spans="1:14" ht="15.75" customHeight="1" x14ac:dyDescent="0.25">
      <c r="A30" s="66" t="s">
        <v>2221</v>
      </c>
      <c r="B30" s="66" t="s">
        <v>264</v>
      </c>
      <c r="C30" s="67" t="s">
        <v>265</v>
      </c>
      <c r="D30" s="66" t="s">
        <v>273</v>
      </c>
      <c r="E30" s="67" t="s">
        <v>48</v>
      </c>
      <c r="F30" s="66" t="s">
        <v>272</v>
      </c>
      <c r="G30" s="66" t="s">
        <v>78</v>
      </c>
      <c r="H30" s="68">
        <v>90000</v>
      </c>
      <c r="I30" s="68">
        <v>5000</v>
      </c>
      <c r="J30" s="66">
        <f t="shared" si="0"/>
        <v>95000</v>
      </c>
      <c r="K30" s="68">
        <v>95000</v>
      </c>
      <c r="L30" s="66">
        <f t="shared" si="1"/>
        <v>0</v>
      </c>
      <c r="M30" s="65" t="s">
        <v>57</v>
      </c>
      <c r="N30" s="65" t="s">
        <v>62</v>
      </c>
    </row>
    <row r="31" spans="1:14" ht="15.75" customHeight="1" x14ac:dyDescent="0.25">
      <c r="A31" s="62" t="s">
        <v>2222</v>
      </c>
      <c r="B31" s="62" t="s">
        <v>281</v>
      </c>
      <c r="C31" s="63" t="s">
        <v>282</v>
      </c>
      <c r="D31" s="62" t="s">
        <v>289</v>
      </c>
      <c r="E31" s="63" t="s">
        <v>73</v>
      </c>
      <c r="F31" s="62" t="s">
        <v>272</v>
      </c>
      <c r="G31" s="62" t="s">
        <v>123</v>
      </c>
      <c r="H31" s="64">
        <v>110000</v>
      </c>
      <c r="I31" s="64">
        <v>5000</v>
      </c>
      <c r="J31" s="62">
        <f t="shared" si="0"/>
        <v>115000</v>
      </c>
      <c r="K31" s="64">
        <v>115000</v>
      </c>
      <c r="L31" s="62">
        <f t="shared" si="1"/>
        <v>0</v>
      </c>
      <c r="M31" s="65" t="s">
        <v>57</v>
      </c>
      <c r="N31" s="65" t="s">
        <v>62</v>
      </c>
    </row>
    <row r="32" spans="1:14" ht="15.75" customHeight="1" x14ac:dyDescent="0.25">
      <c r="A32" s="66" t="s">
        <v>2223</v>
      </c>
      <c r="B32" s="66" t="s">
        <v>296</v>
      </c>
      <c r="C32" s="67" t="s">
        <v>297</v>
      </c>
      <c r="D32" s="66" t="s">
        <v>302</v>
      </c>
      <c r="E32" s="67" t="s">
        <v>73</v>
      </c>
      <c r="F32" s="66" t="s">
        <v>272</v>
      </c>
      <c r="G32" s="66" t="s">
        <v>107</v>
      </c>
      <c r="H32" s="68">
        <v>85000</v>
      </c>
      <c r="I32" s="68">
        <v>5000</v>
      </c>
      <c r="J32" s="66">
        <f t="shared" si="0"/>
        <v>90000</v>
      </c>
      <c r="K32" s="68">
        <v>90000</v>
      </c>
      <c r="L32" s="66">
        <f t="shared" si="1"/>
        <v>0</v>
      </c>
      <c r="M32" s="65" t="s">
        <v>57</v>
      </c>
      <c r="N32" s="65" t="s">
        <v>62</v>
      </c>
    </row>
    <row r="33" spans="1:14" ht="15.75" customHeight="1" x14ac:dyDescent="0.25">
      <c r="A33" s="62" t="s">
        <v>2224</v>
      </c>
      <c r="B33" s="62" t="s">
        <v>309</v>
      </c>
      <c r="C33" s="63" t="s">
        <v>310</v>
      </c>
      <c r="D33" s="62" t="s">
        <v>273</v>
      </c>
      <c r="E33" s="63" t="s">
        <v>117</v>
      </c>
      <c r="F33" s="62" t="s">
        <v>272</v>
      </c>
      <c r="G33" s="62" t="s">
        <v>123</v>
      </c>
      <c r="H33" s="64">
        <v>90000</v>
      </c>
      <c r="I33" s="64">
        <v>5000</v>
      </c>
      <c r="J33" s="62">
        <f t="shared" si="0"/>
        <v>95000</v>
      </c>
      <c r="K33" s="64">
        <v>60000</v>
      </c>
      <c r="L33" s="62">
        <f t="shared" si="1"/>
        <v>35000</v>
      </c>
      <c r="M33" s="69" t="s">
        <v>124</v>
      </c>
      <c r="N33" s="69" t="s">
        <v>62</v>
      </c>
    </row>
    <row r="34" spans="1:14" ht="15.75" customHeight="1" x14ac:dyDescent="0.25">
      <c r="A34" s="66" t="s">
        <v>2225</v>
      </c>
      <c r="B34" s="66" t="s">
        <v>319</v>
      </c>
      <c r="C34" s="67" t="s">
        <v>320</v>
      </c>
      <c r="D34" s="66" t="s">
        <v>302</v>
      </c>
      <c r="E34" s="67" t="s">
        <v>204</v>
      </c>
      <c r="F34" s="66" t="s">
        <v>272</v>
      </c>
      <c r="G34" s="66" t="s">
        <v>78</v>
      </c>
      <c r="H34" s="68">
        <v>85000</v>
      </c>
      <c r="I34" s="68">
        <v>5000</v>
      </c>
      <c r="J34" s="66">
        <f t="shared" si="0"/>
        <v>90000</v>
      </c>
      <c r="K34" s="68">
        <v>90000</v>
      </c>
      <c r="L34" s="66">
        <f t="shared" si="1"/>
        <v>0</v>
      </c>
      <c r="M34" s="65" t="s">
        <v>57</v>
      </c>
      <c r="N34" s="65" t="s">
        <v>62</v>
      </c>
    </row>
    <row r="35" spans="1:14" ht="15.75" customHeight="1" x14ac:dyDescent="0.25">
      <c r="A35" s="62" t="s">
        <v>2226</v>
      </c>
      <c r="B35" s="62" t="s">
        <v>328</v>
      </c>
      <c r="C35" s="63" t="s">
        <v>329</v>
      </c>
      <c r="D35" s="62" t="s">
        <v>289</v>
      </c>
      <c r="E35" s="63" t="s">
        <v>73</v>
      </c>
      <c r="F35" s="62" t="s">
        <v>272</v>
      </c>
      <c r="G35" s="62" t="s">
        <v>123</v>
      </c>
      <c r="H35" s="64">
        <v>110000</v>
      </c>
      <c r="I35" s="64">
        <v>5000</v>
      </c>
      <c r="J35" s="62">
        <f t="shared" si="0"/>
        <v>115000</v>
      </c>
      <c r="K35" s="64">
        <v>115000</v>
      </c>
      <c r="L35" s="62">
        <f t="shared" si="1"/>
        <v>0</v>
      </c>
      <c r="M35" s="65" t="s">
        <v>57</v>
      </c>
      <c r="N35" s="65" t="s">
        <v>62</v>
      </c>
    </row>
    <row r="36" spans="1:14" ht="15.75" customHeight="1" x14ac:dyDescent="0.25">
      <c r="A36" s="66" t="s">
        <v>2227</v>
      </c>
      <c r="B36" s="66" t="s">
        <v>337</v>
      </c>
      <c r="C36" s="67" t="s">
        <v>338</v>
      </c>
      <c r="D36" s="66" t="s">
        <v>342</v>
      </c>
      <c r="E36" s="67" t="s">
        <v>117</v>
      </c>
      <c r="F36" s="66" t="s">
        <v>272</v>
      </c>
      <c r="G36" s="66" t="s">
        <v>345</v>
      </c>
      <c r="H36" s="68">
        <v>80000</v>
      </c>
      <c r="I36" s="68">
        <v>5000</v>
      </c>
      <c r="J36" s="66">
        <f t="shared" si="0"/>
        <v>85000</v>
      </c>
      <c r="K36" s="68">
        <v>85000</v>
      </c>
      <c r="L36" s="66">
        <f t="shared" si="1"/>
        <v>0</v>
      </c>
      <c r="M36" s="65" t="s">
        <v>57</v>
      </c>
      <c r="N36" s="65" t="s">
        <v>62</v>
      </c>
    </row>
    <row r="37" spans="1:14" ht="15.75" customHeight="1" x14ac:dyDescent="0.25">
      <c r="A37" s="62" t="s">
        <v>2228</v>
      </c>
      <c r="B37" s="62" t="s">
        <v>354</v>
      </c>
      <c r="C37" s="63" t="s">
        <v>355</v>
      </c>
      <c r="D37" s="62" t="s">
        <v>342</v>
      </c>
      <c r="E37" s="63" t="s">
        <v>48</v>
      </c>
      <c r="F37" s="62" t="s">
        <v>272</v>
      </c>
      <c r="G37" s="62" t="s">
        <v>361</v>
      </c>
      <c r="H37" s="64">
        <v>80000</v>
      </c>
      <c r="I37" s="64">
        <v>5000</v>
      </c>
      <c r="J37" s="62">
        <f t="shared" si="0"/>
        <v>85000</v>
      </c>
      <c r="K37" s="64">
        <v>85000</v>
      </c>
      <c r="L37" s="62">
        <f t="shared" si="1"/>
        <v>0</v>
      </c>
      <c r="M37" s="65" t="s">
        <v>57</v>
      </c>
      <c r="N37" s="65" t="s">
        <v>62</v>
      </c>
    </row>
    <row r="38" spans="1:14" ht="15.75" customHeight="1" x14ac:dyDescent="0.25">
      <c r="A38" s="66" t="s">
        <v>2229</v>
      </c>
      <c r="B38" s="66" t="s">
        <v>370</v>
      </c>
      <c r="C38" s="67" t="s">
        <v>371</v>
      </c>
      <c r="D38" s="66" t="s">
        <v>375</v>
      </c>
      <c r="E38" s="67" t="s">
        <v>134</v>
      </c>
      <c r="F38" s="66" t="s">
        <v>272</v>
      </c>
      <c r="G38" s="66" t="s">
        <v>345</v>
      </c>
      <c r="H38" s="68">
        <v>75000</v>
      </c>
      <c r="I38" s="68">
        <v>5000</v>
      </c>
      <c r="J38" s="66">
        <f t="shared" si="0"/>
        <v>80000</v>
      </c>
      <c r="K38" s="68">
        <v>80000</v>
      </c>
      <c r="L38" s="66">
        <f t="shared" si="1"/>
        <v>0</v>
      </c>
      <c r="M38" s="65" t="s">
        <v>57</v>
      </c>
      <c r="N38" s="65" t="s">
        <v>62</v>
      </c>
    </row>
    <row r="39" spans="1:14" ht="15.75" customHeight="1" x14ac:dyDescent="0.25">
      <c r="A39" s="62" t="s">
        <v>2230</v>
      </c>
      <c r="B39" s="62" t="s">
        <v>383</v>
      </c>
      <c r="C39" s="63" t="s">
        <v>384</v>
      </c>
      <c r="D39" s="62" t="s">
        <v>342</v>
      </c>
      <c r="E39" s="63" t="s">
        <v>85</v>
      </c>
      <c r="F39" s="62" t="s">
        <v>272</v>
      </c>
      <c r="G39" s="62" t="s">
        <v>361</v>
      </c>
      <c r="H39" s="64">
        <v>80000</v>
      </c>
      <c r="I39" s="64">
        <v>5000</v>
      </c>
      <c r="J39" s="62">
        <f t="shared" si="0"/>
        <v>85000</v>
      </c>
      <c r="K39" s="64">
        <v>0</v>
      </c>
      <c r="L39" s="62">
        <f t="shared" si="1"/>
        <v>85000</v>
      </c>
      <c r="M39" s="70" t="s">
        <v>160</v>
      </c>
      <c r="N39" s="70" t="s">
        <v>62</v>
      </c>
    </row>
    <row r="40" spans="1:14" ht="15.75" customHeight="1" x14ac:dyDescent="0.25">
      <c r="A40" s="66" t="s">
        <v>2231</v>
      </c>
      <c r="B40" s="66" t="s">
        <v>398</v>
      </c>
      <c r="C40" s="67" t="s">
        <v>399</v>
      </c>
      <c r="D40" s="66" t="s">
        <v>342</v>
      </c>
      <c r="E40" s="67" t="s">
        <v>102</v>
      </c>
      <c r="F40" s="66" t="s">
        <v>272</v>
      </c>
      <c r="G40" s="66" t="s">
        <v>107</v>
      </c>
      <c r="H40" s="68">
        <v>80000</v>
      </c>
      <c r="I40" s="68">
        <v>5000</v>
      </c>
      <c r="J40" s="66">
        <f t="shared" si="0"/>
        <v>85000</v>
      </c>
      <c r="K40" s="68">
        <v>85000</v>
      </c>
      <c r="L40" s="66">
        <f t="shared" si="1"/>
        <v>0</v>
      </c>
      <c r="M40" s="65" t="s">
        <v>57</v>
      </c>
      <c r="N40" s="65" t="s">
        <v>62</v>
      </c>
    </row>
    <row r="41" spans="1:14" ht="15.75" customHeight="1" x14ac:dyDescent="0.25">
      <c r="A41" s="62" t="s">
        <v>2232</v>
      </c>
      <c r="B41" s="62" t="s">
        <v>412</v>
      </c>
      <c r="C41" s="63" t="s">
        <v>413</v>
      </c>
      <c r="D41" s="62" t="s">
        <v>342</v>
      </c>
      <c r="E41" s="63" t="s">
        <v>48</v>
      </c>
      <c r="F41" s="62" t="s">
        <v>272</v>
      </c>
      <c r="G41" s="62" t="s">
        <v>418</v>
      </c>
      <c r="H41" s="64">
        <v>80000</v>
      </c>
      <c r="I41" s="64">
        <v>5000</v>
      </c>
      <c r="J41" s="62">
        <f t="shared" si="0"/>
        <v>85000</v>
      </c>
      <c r="K41" s="64">
        <v>85000</v>
      </c>
      <c r="L41" s="62">
        <f t="shared" si="1"/>
        <v>0</v>
      </c>
      <c r="M41" s="65" t="s">
        <v>57</v>
      </c>
      <c r="N41" s="65" t="s">
        <v>62</v>
      </c>
    </row>
    <row r="42" spans="1:14" ht="18" customHeight="1" x14ac:dyDescent="0.25">
      <c r="A42" t="s">
        <v>2233</v>
      </c>
      <c r="B42" t="s">
        <v>425</v>
      </c>
      <c r="C42" t="s">
        <v>426</v>
      </c>
      <c r="D42" t="s">
        <v>2234</v>
      </c>
      <c r="E42" t="s">
        <v>48</v>
      </c>
      <c r="F42" t="s">
        <v>272</v>
      </c>
      <c r="G42" t="s">
        <v>345</v>
      </c>
      <c r="H42">
        <v>180000</v>
      </c>
      <c r="I42">
        <v>5000</v>
      </c>
      <c r="J42">
        <v>185000</v>
      </c>
      <c r="K42">
        <v>185000</v>
      </c>
      <c r="L42">
        <v>0</v>
      </c>
      <c r="M42" t="s">
        <v>57</v>
      </c>
      <c r="N42" t="s">
        <v>62</v>
      </c>
    </row>
    <row r="43" spans="1:14" ht="15" customHeight="1" x14ac:dyDescent="0.25">
      <c r="A43" t="s">
        <v>2235</v>
      </c>
      <c r="B43" t="s">
        <v>438</v>
      </c>
      <c r="C43" t="s">
        <v>439</v>
      </c>
      <c r="D43" t="s">
        <v>2234</v>
      </c>
      <c r="E43" t="s">
        <v>102</v>
      </c>
      <c r="F43" t="s">
        <v>272</v>
      </c>
      <c r="G43" t="s">
        <v>443</v>
      </c>
      <c r="H43">
        <v>180000</v>
      </c>
      <c r="I43">
        <v>5000</v>
      </c>
      <c r="J43">
        <v>185000</v>
      </c>
      <c r="K43">
        <v>185000</v>
      </c>
      <c r="L43">
        <v>0</v>
      </c>
      <c r="M43" t="s">
        <v>57</v>
      </c>
      <c r="N43" t="s">
        <v>62</v>
      </c>
    </row>
    <row r="44" spans="1:14" ht="15" customHeight="1" x14ac:dyDescent="0.25">
      <c r="A44" t="s">
        <v>2236</v>
      </c>
      <c r="B44" t="s">
        <v>451</v>
      </c>
      <c r="C44" t="s">
        <v>452</v>
      </c>
      <c r="D44" t="s">
        <v>2234</v>
      </c>
      <c r="E44" t="s">
        <v>73</v>
      </c>
      <c r="F44" t="s">
        <v>272</v>
      </c>
      <c r="G44" t="s">
        <v>418</v>
      </c>
      <c r="H44">
        <v>180000</v>
      </c>
      <c r="I44">
        <v>5000</v>
      </c>
      <c r="J44">
        <v>185000</v>
      </c>
      <c r="K44">
        <v>185000</v>
      </c>
      <c r="L44">
        <v>0</v>
      </c>
      <c r="M44" t="s">
        <v>57</v>
      </c>
      <c r="N44" t="s">
        <v>62</v>
      </c>
    </row>
    <row r="45" spans="1:14" ht="15" customHeight="1" x14ac:dyDescent="0.25">
      <c r="A45" t="s">
        <v>2237</v>
      </c>
      <c r="B45" t="s">
        <v>464</v>
      </c>
      <c r="C45" t="s">
        <v>465</v>
      </c>
      <c r="D45" t="s">
        <v>2234</v>
      </c>
      <c r="E45" t="s">
        <v>117</v>
      </c>
      <c r="F45" t="s">
        <v>272</v>
      </c>
      <c r="G45" t="s">
        <v>361</v>
      </c>
      <c r="H45">
        <v>180000</v>
      </c>
      <c r="I45">
        <v>5000</v>
      </c>
      <c r="J45">
        <v>185000</v>
      </c>
      <c r="K45">
        <v>185000</v>
      </c>
      <c r="L45">
        <v>0</v>
      </c>
      <c r="M45" t="s">
        <v>57</v>
      </c>
      <c r="N45" t="s">
        <v>62</v>
      </c>
    </row>
    <row r="46" spans="1:14" ht="15" customHeight="1" x14ac:dyDescent="0.25">
      <c r="A46" s="62" t="s">
        <v>2238</v>
      </c>
      <c r="B46" s="62" t="s">
        <v>476</v>
      </c>
      <c r="C46" s="63" t="s">
        <v>477</v>
      </c>
      <c r="D46" s="62" t="s">
        <v>46</v>
      </c>
      <c r="E46" s="63" t="s">
        <v>481</v>
      </c>
      <c r="F46" s="62" t="s">
        <v>54</v>
      </c>
      <c r="G46" s="62" t="s">
        <v>56</v>
      </c>
      <c r="H46" s="64">
        <v>75000</v>
      </c>
      <c r="I46" s="64">
        <v>5000</v>
      </c>
      <c r="J46" s="62">
        <f t="shared" ref="J46:J77" si="2">H46+I46</f>
        <v>80000</v>
      </c>
      <c r="K46" s="64">
        <v>80000</v>
      </c>
      <c r="L46" s="62">
        <f t="shared" ref="L46:L77" si="3">J46-K46</f>
        <v>0</v>
      </c>
      <c r="M46" s="65" t="s">
        <v>57</v>
      </c>
      <c r="N46" s="65" t="s">
        <v>484</v>
      </c>
    </row>
    <row r="47" spans="1:14" ht="15" customHeight="1" x14ac:dyDescent="0.25">
      <c r="A47" s="62" t="s">
        <v>2239</v>
      </c>
      <c r="B47" s="62" t="s">
        <v>485</v>
      </c>
      <c r="C47" s="63" t="s">
        <v>486</v>
      </c>
      <c r="D47" s="62" t="s">
        <v>46</v>
      </c>
      <c r="E47" s="63" t="s">
        <v>491</v>
      </c>
      <c r="F47" s="62" t="s">
        <v>54</v>
      </c>
      <c r="G47" s="62" t="s">
        <v>78</v>
      </c>
      <c r="H47" s="64">
        <v>75000</v>
      </c>
      <c r="I47" s="64">
        <v>5000</v>
      </c>
      <c r="J47" s="62">
        <f t="shared" si="2"/>
        <v>80000</v>
      </c>
      <c r="K47" s="64">
        <v>80000</v>
      </c>
      <c r="L47" s="62">
        <f t="shared" si="3"/>
        <v>0</v>
      </c>
      <c r="M47" s="65" t="s">
        <v>57</v>
      </c>
      <c r="N47" s="65" t="s">
        <v>484</v>
      </c>
    </row>
    <row r="48" spans="1:14" ht="15" customHeight="1" x14ac:dyDescent="0.25">
      <c r="A48" s="62" t="s">
        <v>2240</v>
      </c>
      <c r="B48" s="62" t="s">
        <v>494</v>
      </c>
      <c r="C48" s="63" t="s">
        <v>495</v>
      </c>
      <c r="D48" s="62" t="s">
        <v>46</v>
      </c>
      <c r="E48" s="63" t="s">
        <v>499</v>
      </c>
      <c r="F48" s="62" t="s">
        <v>54</v>
      </c>
      <c r="G48" s="62" t="s">
        <v>91</v>
      </c>
      <c r="H48" s="64">
        <v>75000</v>
      </c>
      <c r="I48" s="64">
        <v>5000</v>
      </c>
      <c r="J48" s="62">
        <f t="shared" si="2"/>
        <v>80000</v>
      </c>
      <c r="K48" s="64">
        <v>80000</v>
      </c>
      <c r="L48" s="62">
        <f t="shared" si="3"/>
        <v>0</v>
      </c>
      <c r="M48" s="65" t="s">
        <v>57</v>
      </c>
      <c r="N48" s="65" t="s">
        <v>484</v>
      </c>
    </row>
    <row r="49" spans="1:14" ht="15" customHeight="1" x14ac:dyDescent="0.25">
      <c r="A49" s="62" t="s">
        <v>2241</v>
      </c>
      <c r="B49" s="62" t="s">
        <v>504</v>
      </c>
      <c r="C49" s="63" t="s">
        <v>505</v>
      </c>
      <c r="D49" s="62" t="s">
        <v>46</v>
      </c>
      <c r="E49" s="63" t="s">
        <v>509</v>
      </c>
      <c r="F49" s="62" t="s">
        <v>54</v>
      </c>
      <c r="G49" s="62" t="s">
        <v>107</v>
      </c>
      <c r="H49" s="64">
        <v>75000</v>
      </c>
      <c r="I49" s="64">
        <v>5000</v>
      </c>
      <c r="J49" s="62">
        <f t="shared" si="2"/>
        <v>80000</v>
      </c>
      <c r="K49" s="64">
        <v>80000</v>
      </c>
      <c r="L49" s="62">
        <f t="shared" si="3"/>
        <v>0</v>
      </c>
      <c r="M49" s="65" t="s">
        <v>108</v>
      </c>
      <c r="N49" s="65" t="s">
        <v>484</v>
      </c>
    </row>
    <row r="50" spans="1:14" ht="15" customHeight="1" x14ac:dyDescent="0.25">
      <c r="A50" s="62" t="s">
        <v>2242</v>
      </c>
      <c r="B50" s="62" t="s">
        <v>512</v>
      </c>
      <c r="C50" s="63" t="s">
        <v>513</v>
      </c>
      <c r="D50" s="62" t="s">
        <v>46</v>
      </c>
      <c r="E50" s="63" t="s">
        <v>499</v>
      </c>
      <c r="F50" s="62" t="s">
        <v>54</v>
      </c>
      <c r="G50" s="62" t="s">
        <v>123</v>
      </c>
      <c r="H50" s="64">
        <v>75000</v>
      </c>
      <c r="I50" s="64">
        <v>5000</v>
      </c>
      <c r="J50" s="62">
        <f t="shared" si="2"/>
        <v>80000</v>
      </c>
      <c r="K50" s="64">
        <v>41250</v>
      </c>
      <c r="L50" s="62">
        <f t="shared" si="3"/>
        <v>38750</v>
      </c>
      <c r="M50" s="65" t="s">
        <v>124</v>
      </c>
      <c r="N50" s="65" t="s">
        <v>484</v>
      </c>
    </row>
    <row r="51" spans="1:14" ht="15" customHeight="1" x14ac:dyDescent="0.25">
      <c r="A51" s="62" t="s">
        <v>2243</v>
      </c>
      <c r="B51" s="62" t="s">
        <v>520</v>
      </c>
      <c r="C51" s="63" t="s">
        <v>521</v>
      </c>
      <c r="D51" s="62" t="s">
        <v>46</v>
      </c>
      <c r="E51" s="63" t="s">
        <v>481</v>
      </c>
      <c r="F51" s="62" t="s">
        <v>54</v>
      </c>
      <c r="G51" s="62" t="s">
        <v>56</v>
      </c>
      <c r="H51" s="64">
        <v>75000</v>
      </c>
      <c r="I51" s="64">
        <v>5000</v>
      </c>
      <c r="J51" s="62">
        <f t="shared" si="2"/>
        <v>80000</v>
      </c>
      <c r="K51" s="64">
        <v>80000</v>
      </c>
      <c r="L51" s="62">
        <f t="shared" si="3"/>
        <v>0</v>
      </c>
      <c r="M51" s="65" t="s">
        <v>57</v>
      </c>
      <c r="N51" s="65" t="s">
        <v>484</v>
      </c>
    </row>
    <row r="52" spans="1:14" ht="15" customHeight="1" x14ac:dyDescent="0.25">
      <c r="A52" s="62" t="s">
        <v>2244</v>
      </c>
      <c r="B52" s="62" t="s">
        <v>526</v>
      </c>
      <c r="C52" s="63" t="s">
        <v>527</v>
      </c>
      <c r="D52" s="62" t="s">
        <v>46</v>
      </c>
      <c r="E52" s="63" t="s">
        <v>532</v>
      </c>
      <c r="F52" s="62" t="s">
        <v>54</v>
      </c>
      <c r="G52" s="62" t="s">
        <v>78</v>
      </c>
      <c r="H52" s="64">
        <v>75000</v>
      </c>
      <c r="I52" s="64">
        <v>5000</v>
      </c>
      <c r="J52" s="62">
        <f t="shared" si="2"/>
        <v>80000</v>
      </c>
      <c r="K52" s="64">
        <v>80000</v>
      </c>
      <c r="L52" s="62">
        <f t="shared" si="3"/>
        <v>0</v>
      </c>
      <c r="M52" s="65" t="s">
        <v>57</v>
      </c>
      <c r="N52" s="65" t="s">
        <v>484</v>
      </c>
    </row>
    <row r="53" spans="1:14" ht="15" customHeight="1" x14ac:dyDescent="0.25">
      <c r="A53" s="62" t="s">
        <v>2245</v>
      </c>
      <c r="B53" s="62" t="s">
        <v>534</v>
      </c>
      <c r="C53" s="63" t="s">
        <v>535</v>
      </c>
      <c r="D53" s="62" t="s">
        <v>46</v>
      </c>
      <c r="E53" s="63" t="s">
        <v>491</v>
      </c>
      <c r="F53" s="62" t="s">
        <v>54</v>
      </c>
      <c r="G53" s="62" t="s">
        <v>91</v>
      </c>
      <c r="H53" s="64">
        <v>75000</v>
      </c>
      <c r="I53" s="64">
        <v>5000</v>
      </c>
      <c r="J53" s="62">
        <f t="shared" si="2"/>
        <v>80000</v>
      </c>
      <c r="K53" s="64">
        <v>80000</v>
      </c>
      <c r="L53" s="62">
        <f t="shared" si="3"/>
        <v>0</v>
      </c>
      <c r="M53" s="65" t="s">
        <v>57</v>
      </c>
      <c r="N53" s="65" t="s">
        <v>484</v>
      </c>
    </row>
    <row r="54" spans="1:14" ht="15" customHeight="1" x14ac:dyDescent="0.25">
      <c r="A54" s="62" t="s">
        <v>2246</v>
      </c>
      <c r="B54" s="62" t="s">
        <v>540</v>
      </c>
      <c r="C54" s="63" t="s">
        <v>541</v>
      </c>
      <c r="D54" s="62" t="s">
        <v>46</v>
      </c>
      <c r="E54" s="63" t="s">
        <v>509</v>
      </c>
      <c r="F54" s="62" t="s">
        <v>54</v>
      </c>
      <c r="G54" s="62" t="s">
        <v>56</v>
      </c>
      <c r="H54" s="64">
        <v>75000</v>
      </c>
      <c r="I54" s="64">
        <v>5000</v>
      </c>
      <c r="J54" s="62">
        <f t="shared" si="2"/>
        <v>80000</v>
      </c>
      <c r="K54" s="64">
        <v>0</v>
      </c>
      <c r="L54" s="62">
        <f t="shared" si="3"/>
        <v>80000</v>
      </c>
      <c r="M54" s="65" t="s">
        <v>160</v>
      </c>
      <c r="N54" s="65" t="s">
        <v>484</v>
      </c>
    </row>
    <row r="55" spans="1:14" ht="15" customHeight="1" x14ac:dyDescent="0.25">
      <c r="A55" s="62" t="s">
        <v>2247</v>
      </c>
      <c r="B55" s="62" t="s">
        <v>546</v>
      </c>
      <c r="C55" s="63" t="s">
        <v>547</v>
      </c>
      <c r="D55" s="62" t="s">
        <v>46</v>
      </c>
      <c r="E55" s="63" t="s">
        <v>499</v>
      </c>
      <c r="F55" s="62" t="s">
        <v>54</v>
      </c>
      <c r="G55" s="62" t="s">
        <v>123</v>
      </c>
      <c r="H55" s="64">
        <v>75000</v>
      </c>
      <c r="I55" s="64">
        <v>5000</v>
      </c>
      <c r="J55" s="62">
        <f t="shared" si="2"/>
        <v>80000</v>
      </c>
      <c r="K55" s="64">
        <v>80000</v>
      </c>
      <c r="L55" s="62">
        <f t="shared" si="3"/>
        <v>0</v>
      </c>
      <c r="M55" s="65" t="s">
        <v>57</v>
      </c>
      <c r="N55" s="65" t="s">
        <v>484</v>
      </c>
    </row>
    <row r="56" spans="1:14" ht="15" customHeight="1" x14ac:dyDescent="0.25">
      <c r="A56" s="62" t="s">
        <v>2248</v>
      </c>
      <c r="B56" s="62" t="s">
        <v>552</v>
      </c>
      <c r="C56" s="63" t="s">
        <v>553</v>
      </c>
      <c r="D56" s="62" t="s">
        <v>46</v>
      </c>
      <c r="E56" s="63" t="s">
        <v>481</v>
      </c>
      <c r="F56" s="62" t="s">
        <v>54</v>
      </c>
      <c r="G56" s="62" t="s">
        <v>78</v>
      </c>
      <c r="H56" s="64">
        <v>75000</v>
      </c>
      <c r="I56" s="64">
        <v>5000</v>
      </c>
      <c r="J56" s="62">
        <f t="shared" si="2"/>
        <v>80000</v>
      </c>
      <c r="K56" s="64">
        <v>80000</v>
      </c>
      <c r="L56" s="62">
        <f t="shared" si="3"/>
        <v>0</v>
      </c>
      <c r="M56" s="65" t="s">
        <v>57</v>
      </c>
      <c r="N56" s="65" t="s">
        <v>484</v>
      </c>
    </row>
    <row r="57" spans="1:14" ht="15" customHeight="1" x14ac:dyDescent="0.25">
      <c r="A57" s="62" t="s">
        <v>2249</v>
      </c>
      <c r="B57" s="62" t="s">
        <v>559</v>
      </c>
      <c r="C57" s="63" t="s">
        <v>560</v>
      </c>
      <c r="D57" s="62" t="s">
        <v>46</v>
      </c>
      <c r="E57" s="63" t="s">
        <v>491</v>
      </c>
      <c r="F57" s="62" t="s">
        <v>54</v>
      </c>
      <c r="G57" s="62" t="s">
        <v>107</v>
      </c>
      <c r="H57" s="64">
        <v>75000</v>
      </c>
      <c r="I57" s="64">
        <v>5000</v>
      </c>
      <c r="J57" s="62">
        <f t="shared" si="2"/>
        <v>80000</v>
      </c>
      <c r="K57" s="64">
        <v>80000</v>
      </c>
      <c r="L57" s="62">
        <f t="shared" si="3"/>
        <v>0</v>
      </c>
      <c r="M57" s="65" t="s">
        <v>108</v>
      </c>
      <c r="N57" s="65" t="s">
        <v>484</v>
      </c>
    </row>
    <row r="58" spans="1:14" ht="15" customHeight="1" x14ac:dyDescent="0.25">
      <c r="A58" s="62" t="s">
        <v>2250</v>
      </c>
      <c r="B58" s="62" t="s">
        <v>565</v>
      </c>
      <c r="C58" s="63" t="s">
        <v>566</v>
      </c>
      <c r="D58" s="62" t="s">
        <v>46</v>
      </c>
      <c r="E58" s="63" t="s">
        <v>499</v>
      </c>
      <c r="F58" s="62" t="s">
        <v>54</v>
      </c>
      <c r="G58" s="62" t="s">
        <v>56</v>
      </c>
      <c r="H58" s="64">
        <v>75000</v>
      </c>
      <c r="I58" s="64">
        <v>5000</v>
      </c>
      <c r="J58" s="62">
        <f t="shared" si="2"/>
        <v>80000</v>
      </c>
      <c r="K58" s="64">
        <v>80000</v>
      </c>
      <c r="L58" s="62">
        <f t="shared" si="3"/>
        <v>0</v>
      </c>
      <c r="M58" s="65" t="s">
        <v>57</v>
      </c>
      <c r="N58" s="65" t="s">
        <v>484</v>
      </c>
    </row>
    <row r="59" spans="1:14" ht="15" customHeight="1" x14ac:dyDescent="0.25">
      <c r="A59" s="62" t="s">
        <v>2251</v>
      </c>
      <c r="B59" s="62" t="s">
        <v>571</v>
      </c>
      <c r="C59" s="63" t="s">
        <v>572</v>
      </c>
      <c r="D59" s="62" t="s">
        <v>46</v>
      </c>
      <c r="E59" s="63" t="s">
        <v>532</v>
      </c>
      <c r="F59" s="62" t="s">
        <v>54</v>
      </c>
      <c r="G59" s="62" t="s">
        <v>91</v>
      </c>
      <c r="H59" s="64">
        <v>75000</v>
      </c>
      <c r="I59" s="64">
        <v>5000</v>
      </c>
      <c r="J59" s="62">
        <f t="shared" si="2"/>
        <v>80000</v>
      </c>
      <c r="K59" s="64">
        <v>10000</v>
      </c>
      <c r="L59" s="62">
        <f t="shared" si="3"/>
        <v>70000</v>
      </c>
      <c r="M59" s="65" t="s">
        <v>197</v>
      </c>
      <c r="N59" s="65" t="s">
        <v>484</v>
      </c>
    </row>
    <row r="60" spans="1:14" ht="15" customHeight="1" x14ac:dyDescent="0.25">
      <c r="A60" s="62" t="s">
        <v>2252</v>
      </c>
      <c r="B60" s="62" t="s">
        <v>576</v>
      </c>
      <c r="C60" s="63" t="s">
        <v>577</v>
      </c>
      <c r="D60" s="62" t="s">
        <v>46</v>
      </c>
      <c r="E60" s="63" t="s">
        <v>509</v>
      </c>
      <c r="F60" s="62" t="s">
        <v>54</v>
      </c>
      <c r="G60" s="62" t="s">
        <v>123</v>
      </c>
      <c r="H60" s="64">
        <v>75000</v>
      </c>
      <c r="I60" s="64">
        <v>5000</v>
      </c>
      <c r="J60" s="62">
        <f t="shared" si="2"/>
        <v>80000</v>
      </c>
      <c r="K60" s="64">
        <v>80000</v>
      </c>
      <c r="L60" s="62">
        <f t="shared" si="3"/>
        <v>0</v>
      </c>
      <c r="M60" s="65" t="s">
        <v>57</v>
      </c>
      <c r="N60" s="65" t="s">
        <v>484</v>
      </c>
    </row>
    <row r="61" spans="1:14" ht="15" customHeight="1" x14ac:dyDescent="0.25">
      <c r="A61" s="62" t="s">
        <v>2253</v>
      </c>
      <c r="B61" s="62" t="s">
        <v>581</v>
      </c>
      <c r="C61" s="63" t="s">
        <v>582</v>
      </c>
      <c r="D61" s="62" t="s">
        <v>46</v>
      </c>
      <c r="E61" s="63" t="s">
        <v>481</v>
      </c>
      <c r="F61" s="62" t="s">
        <v>54</v>
      </c>
      <c r="G61" s="62" t="s">
        <v>56</v>
      </c>
      <c r="H61" s="64">
        <v>75000</v>
      </c>
      <c r="I61" s="64">
        <v>5000</v>
      </c>
      <c r="J61" s="62">
        <f t="shared" si="2"/>
        <v>80000</v>
      </c>
      <c r="K61" s="64">
        <v>80000</v>
      </c>
      <c r="L61" s="62">
        <f t="shared" si="3"/>
        <v>0</v>
      </c>
      <c r="M61" s="65" t="s">
        <v>57</v>
      </c>
      <c r="N61" s="65" t="s">
        <v>484</v>
      </c>
    </row>
    <row r="62" spans="1:14" ht="15" customHeight="1" x14ac:dyDescent="0.25">
      <c r="A62" s="62" t="s">
        <v>2254</v>
      </c>
      <c r="B62" s="62" t="s">
        <v>586</v>
      </c>
      <c r="C62" s="63" t="s">
        <v>587</v>
      </c>
      <c r="D62" s="62" t="s">
        <v>46</v>
      </c>
      <c r="E62" s="63" t="s">
        <v>499</v>
      </c>
      <c r="F62" s="62" t="s">
        <v>54</v>
      </c>
      <c r="G62" s="62" t="s">
        <v>78</v>
      </c>
      <c r="H62" s="64">
        <v>75000</v>
      </c>
      <c r="I62" s="64">
        <v>5000</v>
      </c>
      <c r="J62" s="62">
        <f t="shared" si="2"/>
        <v>80000</v>
      </c>
      <c r="K62" s="64">
        <v>80000</v>
      </c>
      <c r="L62" s="62">
        <f t="shared" si="3"/>
        <v>0</v>
      </c>
      <c r="M62" s="65" t="s">
        <v>57</v>
      </c>
      <c r="N62" s="65" t="s">
        <v>484</v>
      </c>
    </row>
    <row r="63" spans="1:14" ht="15" customHeight="1" x14ac:dyDescent="0.25">
      <c r="A63" s="62" t="s">
        <v>2255</v>
      </c>
      <c r="B63" s="62" t="s">
        <v>591</v>
      </c>
      <c r="C63" s="63" t="s">
        <v>592</v>
      </c>
      <c r="D63" s="62" t="s">
        <v>46</v>
      </c>
      <c r="E63" s="63" t="s">
        <v>491</v>
      </c>
      <c r="F63" s="62" t="s">
        <v>54</v>
      </c>
      <c r="G63" s="62" t="s">
        <v>91</v>
      </c>
      <c r="H63" s="64">
        <v>75000</v>
      </c>
      <c r="I63" s="64">
        <v>5000</v>
      </c>
      <c r="J63" s="62">
        <f t="shared" si="2"/>
        <v>80000</v>
      </c>
      <c r="K63" s="64">
        <v>80000</v>
      </c>
      <c r="L63" s="62">
        <f t="shared" si="3"/>
        <v>0</v>
      </c>
      <c r="M63" s="65" t="s">
        <v>57</v>
      </c>
      <c r="N63" s="65" t="s">
        <v>484</v>
      </c>
    </row>
    <row r="64" spans="1:14" ht="15" customHeight="1" x14ac:dyDescent="0.25">
      <c r="A64" s="62" t="s">
        <v>2256</v>
      </c>
      <c r="B64" s="62" t="s">
        <v>598</v>
      </c>
      <c r="C64" s="63" t="s">
        <v>599</v>
      </c>
      <c r="D64" s="62" t="s">
        <v>46</v>
      </c>
      <c r="E64" s="63" t="s">
        <v>532</v>
      </c>
      <c r="F64" s="62" t="s">
        <v>54</v>
      </c>
      <c r="G64" s="62" t="s">
        <v>56</v>
      </c>
      <c r="H64" s="64">
        <v>75000</v>
      </c>
      <c r="I64" s="64">
        <v>5000</v>
      </c>
      <c r="J64" s="62">
        <f t="shared" si="2"/>
        <v>80000</v>
      </c>
      <c r="K64" s="64">
        <v>80000</v>
      </c>
      <c r="L64" s="62">
        <f t="shared" si="3"/>
        <v>0</v>
      </c>
      <c r="M64" s="65" t="s">
        <v>57</v>
      </c>
      <c r="N64" s="65" t="s">
        <v>484</v>
      </c>
    </row>
    <row r="65" spans="1:14" ht="15" customHeight="1" x14ac:dyDescent="0.25">
      <c r="A65" s="62" t="s">
        <v>2257</v>
      </c>
      <c r="B65" s="62" t="s">
        <v>604</v>
      </c>
      <c r="C65" s="63" t="s">
        <v>605</v>
      </c>
      <c r="D65" s="62" t="s">
        <v>46</v>
      </c>
      <c r="E65" s="63" t="s">
        <v>481</v>
      </c>
      <c r="F65" s="62" t="s">
        <v>54</v>
      </c>
      <c r="G65" s="62" t="s">
        <v>123</v>
      </c>
      <c r="H65" s="64">
        <v>75000</v>
      </c>
      <c r="I65" s="64">
        <v>5000</v>
      </c>
      <c r="J65" s="62">
        <f t="shared" si="2"/>
        <v>80000</v>
      </c>
      <c r="K65" s="64">
        <v>41250</v>
      </c>
      <c r="L65" s="62">
        <f t="shared" si="3"/>
        <v>38750</v>
      </c>
      <c r="M65" s="65" t="s">
        <v>124</v>
      </c>
      <c r="N65" s="65" t="s">
        <v>484</v>
      </c>
    </row>
    <row r="66" spans="1:14" ht="15" customHeight="1" x14ac:dyDescent="0.25">
      <c r="A66" s="62" t="s">
        <v>2258</v>
      </c>
      <c r="B66" s="62" t="s">
        <v>610</v>
      </c>
      <c r="C66" s="63" t="s">
        <v>611</v>
      </c>
      <c r="D66" s="62" t="s">
        <v>46</v>
      </c>
      <c r="E66" s="63" t="s">
        <v>499</v>
      </c>
      <c r="F66" s="62" t="s">
        <v>54</v>
      </c>
      <c r="G66" s="62" t="s">
        <v>78</v>
      </c>
      <c r="H66" s="64">
        <v>75000</v>
      </c>
      <c r="I66" s="64">
        <v>5000</v>
      </c>
      <c r="J66" s="62">
        <f t="shared" si="2"/>
        <v>80000</v>
      </c>
      <c r="K66" s="64">
        <v>80000</v>
      </c>
      <c r="L66" s="62">
        <f t="shared" si="3"/>
        <v>0</v>
      </c>
      <c r="M66" s="65" t="s">
        <v>57</v>
      </c>
      <c r="N66" s="65" t="s">
        <v>484</v>
      </c>
    </row>
    <row r="67" spans="1:14" ht="15" customHeight="1" x14ac:dyDescent="0.25">
      <c r="A67" s="62" t="s">
        <v>2259</v>
      </c>
      <c r="B67" s="62" t="s">
        <v>616</v>
      </c>
      <c r="C67" s="63" t="s">
        <v>617</v>
      </c>
      <c r="D67" s="62" t="s">
        <v>46</v>
      </c>
      <c r="E67" s="63" t="s">
        <v>509</v>
      </c>
      <c r="F67" s="62" t="s">
        <v>54</v>
      </c>
      <c r="G67" s="62" t="s">
        <v>91</v>
      </c>
      <c r="H67" s="64">
        <v>75000</v>
      </c>
      <c r="I67" s="64">
        <v>5000</v>
      </c>
      <c r="J67" s="62">
        <f t="shared" si="2"/>
        <v>80000</v>
      </c>
      <c r="K67" s="64">
        <v>80000</v>
      </c>
      <c r="L67" s="62">
        <f t="shared" si="3"/>
        <v>0</v>
      </c>
      <c r="M67" s="65" t="s">
        <v>57</v>
      </c>
      <c r="N67" s="65" t="s">
        <v>484</v>
      </c>
    </row>
    <row r="68" spans="1:14" ht="15" customHeight="1" x14ac:dyDescent="0.25">
      <c r="A68" s="62" t="s">
        <v>2260</v>
      </c>
      <c r="B68" s="62" t="s">
        <v>622</v>
      </c>
      <c r="C68" s="63" t="s">
        <v>623</v>
      </c>
      <c r="D68" s="62" t="s">
        <v>46</v>
      </c>
      <c r="E68" s="63" t="s">
        <v>491</v>
      </c>
      <c r="F68" s="62" t="s">
        <v>54</v>
      </c>
      <c r="G68" s="62" t="s">
        <v>56</v>
      </c>
      <c r="H68" s="64">
        <v>75000</v>
      </c>
      <c r="I68" s="64">
        <v>5000</v>
      </c>
      <c r="J68" s="62">
        <f t="shared" si="2"/>
        <v>80000</v>
      </c>
      <c r="K68" s="64">
        <v>0</v>
      </c>
      <c r="L68" s="62">
        <f t="shared" si="3"/>
        <v>80000</v>
      </c>
      <c r="M68" s="65" t="s">
        <v>160</v>
      </c>
      <c r="N68" s="65" t="s">
        <v>484</v>
      </c>
    </row>
    <row r="69" spans="1:14" ht="15" customHeight="1" x14ac:dyDescent="0.25">
      <c r="A69" s="62" t="s">
        <v>2261</v>
      </c>
      <c r="B69" s="62" t="s">
        <v>627</v>
      </c>
      <c r="C69" s="63" t="s">
        <v>628</v>
      </c>
      <c r="D69" s="62" t="s">
        <v>46</v>
      </c>
      <c r="E69" s="63" t="s">
        <v>499</v>
      </c>
      <c r="F69" s="62" t="s">
        <v>54</v>
      </c>
      <c r="G69" s="62" t="s">
        <v>78</v>
      </c>
      <c r="H69" s="64">
        <v>75000</v>
      </c>
      <c r="I69" s="64">
        <v>5000</v>
      </c>
      <c r="J69" s="62">
        <f t="shared" si="2"/>
        <v>80000</v>
      </c>
      <c r="K69" s="64">
        <v>80000</v>
      </c>
      <c r="L69" s="62">
        <f t="shared" si="3"/>
        <v>0</v>
      </c>
      <c r="M69" s="65" t="s">
        <v>57</v>
      </c>
      <c r="N69" s="65" t="s">
        <v>484</v>
      </c>
    </row>
    <row r="70" spans="1:14" ht="15" customHeight="1" x14ac:dyDescent="0.25">
      <c r="A70" s="62" t="s">
        <v>2262</v>
      </c>
      <c r="B70" s="62" t="s">
        <v>632</v>
      </c>
      <c r="C70" s="63" t="s">
        <v>633</v>
      </c>
      <c r="D70" s="62" t="s">
        <v>46</v>
      </c>
      <c r="E70" s="63" t="s">
        <v>481</v>
      </c>
      <c r="F70" s="62" t="s">
        <v>54</v>
      </c>
      <c r="G70" s="62" t="s">
        <v>123</v>
      </c>
      <c r="H70" s="64">
        <v>75000</v>
      </c>
      <c r="I70" s="64">
        <v>5000</v>
      </c>
      <c r="J70" s="62">
        <f t="shared" si="2"/>
        <v>80000</v>
      </c>
      <c r="K70" s="64">
        <v>80000</v>
      </c>
      <c r="L70" s="62">
        <f t="shared" si="3"/>
        <v>0</v>
      </c>
      <c r="M70" s="65" t="s">
        <v>57</v>
      </c>
      <c r="N70" s="65" t="s">
        <v>484</v>
      </c>
    </row>
    <row r="71" spans="1:14" ht="15" customHeight="1" x14ac:dyDescent="0.25">
      <c r="A71" s="62" t="s">
        <v>2263</v>
      </c>
      <c r="B71" s="62" t="s">
        <v>637</v>
      </c>
      <c r="C71" s="63" t="s">
        <v>638</v>
      </c>
      <c r="D71" s="62" t="s">
        <v>273</v>
      </c>
      <c r="E71" s="63" t="s">
        <v>509</v>
      </c>
      <c r="F71" s="62" t="s">
        <v>272</v>
      </c>
      <c r="G71" s="62" t="s">
        <v>78</v>
      </c>
      <c r="H71" s="64">
        <v>90000</v>
      </c>
      <c r="I71" s="64">
        <v>5000</v>
      </c>
      <c r="J71" s="62">
        <f t="shared" si="2"/>
        <v>95000</v>
      </c>
      <c r="K71" s="64">
        <v>95000</v>
      </c>
      <c r="L71" s="62">
        <f t="shared" si="3"/>
        <v>0</v>
      </c>
      <c r="M71" s="65" t="s">
        <v>57</v>
      </c>
      <c r="N71" s="65" t="s">
        <v>484</v>
      </c>
    </row>
    <row r="72" spans="1:14" ht="15" customHeight="1" x14ac:dyDescent="0.25">
      <c r="A72" s="62" t="s">
        <v>2264</v>
      </c>
      <c r="B72" s="62" t="s">
        <v>645</v>
      </c>
      <c r="C72" s="63" t="s">
        <v>646</v>
      </c>
      <c r="D72" s="62" t="s">
        <v>289</v>
      </c>
      <c r="E72" s="63" t="s">
        <v>532</v>
      </c>
      <c r="F72" s="62" t="s">
        <v>272</v>
      </c>
      <c r="G72" s="62" t="s">
        <v>123</v>
      </c>
      <c r="H72" s="64">
        <v>110000</v>
      </c>
      <c r="I72" s="64">
        <v>5000</v>
      </c>
      <c r="J72" s="62">
        <f t="shared" si="2"/>
        <v>115000</v>
      </c>
      <c r="K72" s="64">
        <v>115000</v>
      </c>
      <c r="L72" s="62">
        <f t="shared" si="3"/>
        <v>0</v>
      </c>
      <c r="M72" s="65" t="s">
        <v>57</v>
      </c>
      <c r="N72" s="65" t="s">
        <v>484</v>
      </c>
    </row>
    <row r="73" spans="1:14" ht="15" customHeight="1" x14ac:dyDescent="0.25">
      <c r="A73" s="62" t="s">
        <v>2265</v>
      </c>
      <c r="B73" s="62" t="s">
        <v>653</v>
      </c>
      <c r="C73" s="63" t="s">
        <v>654</v>
      </c>
      <c r="D73" s="62" t="s">
        <v>273</v>
      </c>
      <c r="E73" s="63" t="s">
        <v>499</v>
      </c>
      <c r="F73" s="62" t="s">
        <v>272</v>
      </c>
      <c r="G73" s="62" t="s">
        <v>107</v>
      </c>
      <c r="H73" s="64">
        <v>90000</v>
      </c>
      <c r="I73" s="64">
        <v>5000</v>
      </c>
      <c r="J73" s="62">
        <f t="shared" si="2"/>
        <v>95000</v>
      </c>
      <c r="K73" s="64">
        <v>95000</v>
      </c>
      <c r="L73" s="62">
        <f t="shared" si="3"/>
        <v>0</v>
      </c>
      <c r="M73" s="65" t="s">
        <v>108</v>
      </c>
      <c r="N73" s="65" t="s">
        <v>484</v>
      </c>
    </row>
    <row r="74" spans="1:14" ht="15" customHeight="1" x14ac:dyDescent="0.25">
      <c r="A74" s="62" t="s">
        <v>2266</v>
      </c>
      <c r="B74" s="62" t="s">
        <v>661</v>
      </c>
      <c r="C74" s="63" t="s">
        <v>662</v>
      </c>
      <c r="D74" s="62" t="s">
        <v>273</v>
      </c>
      <c r="E74" s="63" t="s">
        <v>491</v>
      </c>
      <c r="F74" s="62" t="s">
        <v>272</v>
      </c>
      <c r="G74" s="62" t="s">
        <v>123</v>
      </c>
      <c r="H74" s="64">
        <v>90000</v>
      </c>
      <c r="I74" s="64">
        <v>5000</v>
      </c>
      <c r="J74" s="62">
        <f t="shared" si="2"/>
        <v>95000</v>
      </c>
      <c r="K74" s="64">
        <v>49500</v>
      </c>
      <c r="L74" s="62">
        <f t="shared" si="3"/>
        <v>45500</v>
      </c>
      <c r="M74" s="65" t="s">
        <v>124</v>
      </c>
      <c r="N74" s="65" t="s">
        <v>484</v>
      </c>
    </row>
    <row r="75" spans="1:14" ht="15" customHeight="1" x14ac:dyDescent="0.25">
      <c r="A75" s="62" t="s">
        <v>2267</v>
      </c>
      <c r="B75" s="62" t="s">
        <v>670</v>
      </c>
      <c r="C75" s="63" t="s">
        <v>671</v>
      </c>
      <c r="D75" s="62" t="s">
        <v>273</v>
      </c>
      <c r="E75" s="63" t="s">
        <v>509</v>
      </c>
      <c r="F75" s="62" t="s">
        <v>272</v>
      </c>
      <c r="G75" s="62" t="s">
        <v>78</v>
      </c>
      <c r="H75" s="64">
        <v>90000</v>
      </c>
      <c r="I75" s="64">
        <v>5000</v>
      </c>
      <c r="J75" s="62">
        <f t="shared" si="2"/>
        <v>95000</v>
      </c>
      <c r="K75" s="64">
        <v>95000</v>
      </c>
      <c r="L75" s="62">
        <f t="shared" si="3"/>
        <v>0</v>
      </c>
      <c r="M75" s="65" t="s">
        <v>57</v>
      </c>
      <c r="N75" s="65" t="s">
        <v>484</v>
      </c>
    </row>
    <row r="76" spans="1:14" ht="15" customHeight="1" x14ac:dyDescent="0.25">
      <c r="A76" s="62" t="s">
        <v>2268</v>
      </c>
      <c r="B76" s="62" t="s">
        <v>678</v>
      </c>
      <c r="C76" s="63" t="s">
        <v>679</v>
      </c>
      <c r="D76" s="62" t="s">
        <v>289</v>
      </c>
      <c r="E76" s="63" t="s">
        <v>532</v>
      </c>
      <c r="F76" s="62" t="s">
        <v>272</v>
      </c>
      <c r="G76" s="62" t="s">
        <v>123</v>
      </c>
      <c r="H76" s="64">
        <v>110000</v>
      </c>
      <c r="I76" s="64">
        <v>5000</v>
      </c>
      <c r="J76" s="62">
        <f t="shared" si="2"/>
        <v>115000</v>
      </c>
      <c r="K76" s="64">
        <v>115000</v>
      </c>
      <c r="L76" s="62">
        <f t="shared" si="3"/>
        <v>0</v>
      </c>
      <c r="M76" s="65" t="s">
        <v>57</v>
      </c>
      <c r="N76" s="65" t="s">
        <v>484</v>
      </c>
    </row>
    <row r="77" spans="1:14" ht="15" customHeight="1" x14ac:dyDescent="0.25">
      <c r="A77" s="62" t="s">
        <v>2269</v>
      </c>
      <c r="B77" s="62" t="s">
        <v>685</v>
      </c>
      <c r="C77" s="63" t="s">
        <v>686</v>
      </c>
      <c r="D77" s="62" t="s">
        <v>342</v>
      </c>
      <c r="E77" s="63" t="s">
        <v>509</v>
      </c>
      <c r="F77" s="62" t="s">
        <v>272</v>
      </c>
      <c r="G77" s="62" t="s">
        <v>345</v>
      </c>
      <c r="H77" s="64">
        <v>80000</v>
      </c>
      <c r="I77" s="64">
        <v>5000</v>
      </c>
      <c r="J77" s="62">
        <f t="shared" si="2"/>
        <v>85000</v>
      </c>
      <c r="K77" s="64">
        <v>85000</v>
      </c>
      <c r="L77" s="62">
        <f t="shared" si="3"/>
        <v>0</v>
      </c>
      <c r="M77" s="65" t="s">
        <v>57</v>
      </c>
      <c r="N77" s="65" t="s">
        <v>484</v>
      </c>
    </row>
    <row r="78" spans="1:14" ht="15" customHeight="1" x14ac:dyDescent="0.25">
      <c r="A78" s="62" t="s">
        <v>2270</v>
      </c>
      <c r="B78" s="62" t="s">
        <v>697</v>
      </c>
      <c r="C78" s="63" t="s">
        <v>698</v>
      </c>
      <c r="D78" s="62" t="s">
        <v>342</v>
      </c>
      <c r="E78" s="63" t="s">
        <v>481</v>
      </c>
      <c r="F78" s="62" t="s">
        <v>272</v>
      </c>
      <c r="G78" s="62" t="s">
        <v>361</v>
      </c>
      <c r="H78" s="64">
        <v>80000</v>
      </c>
      <c r="I78" s="64">
        <v>5000</v>
      </c>
      <c r="J78" s="62">
        <f t="shared" ref="J78:J109" si="4">H78+I78</f>
        <v>85000</v>
      </c>
      <c r="K78" s="64">
        <v>85000</v>
      </c>
      <c r="L78" s="62">
        <f t="shared" ref="L78:L109" si="5">J78-K78</f>
        <v>0</v>
      </c>
      <c r="M78" s="65" t="s">
        <v>57</v>
      </c>
      <c r="N78" s="65" t="s">
        <v>484</v>
      </c>
    </row>
    <row r="79" spans="1:14" ht="15" customHeight="1" x14ac:dyDescent="0.25">
      <c r="A79" s="62" t="s">
        <v>2271</v>
      </c>
      <c r="B79" s="62" t="s">
        <v>708</v>
      </c>
      <c r="C79" s="63" t="s">
        <v>709</v>
      </c>
      <c r="D79" s="62" t="s">
        <v>375</v>
      </c>
      <c r="E79" s="63" t="s">
        <v>499</v>
      </c>
      <c r="F79" s="62" t="s">
        <v>272</v>
      </c>
      <c r="G79" s="62" t="s">
        <v>345</v>
      </c>
      <c r="H79" s="64">
        <v>75000</v>
      </c>
      <c r="I79" s="64">
        <v>5000</v>
      </c>
      <c r="J79" s="62">
        <f t="shared" si="4"/>
        <v>80000</v>
      </c>
      <c r="K79" s="64">
        <v>80000</v>
      </c>
      <c r="L79" s="62">
        <f t="shared" si="5"/>
        <v>0</v>
      </c>
      <c r="M79" s="65" t="s">
        <v>57</v>
      </c>
      <c r="N79" s="65" t="s">
        <v>484</v>
      </c>
    </row>
    <row r="80" spans="1:14" ht="15" customHeight="1" x14ac:dyDescent="0.25">
      <c r="A80" s="62" t="s">
        <v>2272</v>
      </c>
      <c r="B80" s="62" t="s">
        <v>718</v>
      </c>
      <c r="C80" s="63" t="s">
        <v>719</v>
      </c>
      <c r="D80" s="62" t="s">
        <v>342</v>
      </c>
      <c r="E80" s="63" t="s">
        <v>499</v>
      </c>
      <c r="F80" s="62" t="s">
        <v>272</v>
      </c>
      <c r="G80" s="62" t="s">
        <v>361</v>
      </c>
      <c r="H80" s="64">
        <v>80000</v>
      </c>
      <c r="I80" s="64">
        <v>5000</v>
      </c>
      <c r="J80" s="62">
        <f t="shared" si="4"/>
        <v>85000</v>
      </c>
      <c r="K80" s="64">
        <v>0</v>
      </c>
      <c r="L80" s="62">
        <f t="shared" si="5"/>
        <v>85000</v>
      </c>
      <c r="M80" s="65" t="s">
        <v>160</v>
      </c>
      <c r="N80" s="65" t="s">
        <v>484</v>
      </c>
    </row>
    <row r="81" spans="1:14" ht="15" customHeight="1" x14ac:dyDescent="0.25">
      <c r="A81" s="62" t="s">
        <v>2273</v>
      </c>
      <c r="B81" s="62" t="s">
        <v>725</v>
      </c>
      <c r="C81" s="63" t="s">
        <v>726</v>
      </c>
      <c r="D81" s="62" t="s">
        <v>342</v>
      </c>
      <c r="E81" s="63" t="s">
        <v>509</v>
      </c>
      <c r="F81" s="62" t="s">
        <v>272</v>
      </c>
      <c r="G81" s="62" t="s">
        <v>107</v>
      </c>
      <c r="H81" s="64">
        <v>80000</v>
      </c>
      <c r="I81" s="64">
        <v>5000</v>
      </c>
      <c r="J81" s="62">
        <f t="shared" si="4"/>
        <v>85000</v>
      </c>
      <c r="K81" s="64">
        <v>85000</v>
      </c>
      <c r="L81" s="62">
        <f t="shared" si="5"/>
        <v>0</v>
      </c>
      <c r="M81" s="65" t="s">
        <v>108</v>
      </c>
      <c r="N81" s="65" t="s">
        <v>484</v>
      </c>
    </row>
    <row r="82" spans="1:14" ht="15" customHeight="1" x14ac:dyDescent="0.25">
      <c r="A82" s="62" t="s">
        <v>2274</v>
      </c>
      <c r="B82" s="62" t="s">
        <v>734</v>
      </c>
      <c r="C82" s="63" t="s">
        <v>735</v>
      </c>
      <c r="D82" s="62" t="s">
        <v>342</v>
      </c>
      <c r="E82" s="63" t="s">
        <v>481</v>
      </c>
      <c r="F82" s="62" t="s">
        <v>272</v>
      </c>
      <c r="G82" s="62" t="s">
        <v>418</v>
      </c>
      <c r="H82" s="64">
        <v>80000</v>
      </c>
      <c r="I82" s="64">
        <v>5000</v>
      </c>
      <c r="J82" s="62">
        <f t="shared" si="4"/>
        <v>85000</v>
      </c>
      <c r="K82" s="64">
        <v>85000</v>
      </c>
      <c r="L82" s="62">
        <f t="shared" si="5"/>
        <v>0</v>
      </c>
      <c r="M82" s="65" t="s">
        <v>57</v>
      </c>
      <c r="N82" s="65" t="s">
        <v>484</v>
      </c>
    </row>
    <row r="83" spans="1:14" ht="15" customHeight="1" x14ac:dyDescent="0.25">
      <c r="A83" s="62" t="s">
        <v>2275</v>
      </c>
      <c r="B83" s="62" t="s">
        <v>742</v>
      </c>
      <c r="C83" s="63" t="s">
        <v>743</v>
      </c>
      <c r="D83" s="62" t="s">
        <v>430</v>
      </c>
      <c r="E83" s="63" t="s">
        <v>481</v>
      </c>
      <c r="F83" s="62" t="s">
        <v>272</v>
      </c>
      <c r="G83" s="62" t="s">
        <v>345</v>
      </c>
      <c r="H83" s="64">
        <v>180000</v>
      </c>
      <c r="I83" s="64">
        <v>5000</v>
      </c>
      <c r="J83" s="62">
        <f t="shared" si="4"/>
        <v>185000</v>
      </c>
      <c r="K83" s="64">
        <v>185000</v>
      </c>
      <c r="L83" s="62">
        <f t="shared" si="5"/>
        <v>0</v>
      </c>
      <c r="M83" s="65" t="s">
        <v>57</v>
      </c>
      <c r="N83" s="65" t="s">
        <v>484</v>
      </c>
    </row>
    <row r="84" spans="1:14" ht="15" customHeight="1" x14ac:dyDescent="0.25">
      <c r="A84" s="62" t="s">
        <v>2276</v>
      </c>
      <c r="B84" s="62" t="s">
        <v>753</v>
      </c>
      <c r="C84" s="63" t="s">
        <v>754</v>
      </c>
      <c r="D84" s="62" t="s">
        <v>430</v>
      </c>
      <c r="E84" s="63" t="s">
        <v>509</v>
      </c>
      <c r="F84" s="62" t="s">
        <v>272</v>
      </c>
      <c r="G84" s="62" t="s">
        <v>443</v>
      </c>
      <c r="H84" s="64">
        <v>180000</v>
      </c>
      <c r="I84" s="64">
        <v>5000</v>
      </c>
      <c r="J84" s="62">
        <f t="shared" si="4"/>
        <v>185000</v>
      </c>
      <c r="K84" s="64">
        <v>185000</v>
      </c>
      <c r="L84" s="62">
        <f t="shared" si="5"/>
        <v>0</v>
      </c>
      <c r="M84" s="65" t="s">
        <v>57</v>
      </c>
      <c r="N84" s="65" t="s">
        <v>484</v>
      </c>
    </row>
    <row r="85" spans="1:14" ht="15" customHeight="1" x14ac:dyDescent="0.25">
      <c r="A85" s="62" t="s">
        <v>2277</v>
      </c>
      <c r="B85" s="62" t="s">
        <v>763</v>
      </c>
      <c r="C85" s="63" t="s">
        <v>764</v>
      </c>
      <c r="D85" s="62" t="s">
        <v>430</v>
      </c>
      <c r="E85" s="63" t="s">
        <v>499</v>
      </c>
      <c r="F85" s="62" t="s">
        <v>272</v>
      </c>
      <c r="G85" s="62" t="s">
        <v>418</v>
      </c>
      <c r="H85" s="64">
        <v>180000</v>
      </c>
      <c r="I85" s="64">
        <v>5000</v>
      </c>
      <c r="J85" s="62">
        <f t="shared" si="4"/>
        <v>185000</v>
      </c>
      <c r="K85" s="64">
        <v>185000</v>
      </c>
      <c r="L85" s="62">
        <f t="shared" si="5"/>
        <v>0</v>
      </c>
      <c r="M85" s="65" t="s">
        <v>57</v>
      </c>
      <c r="N85" s="65" t="s">
        <v>484</v>
      </c>
    </row>
    <row r="86" spans="1:14" ht="15" customHeight="1" x14ac:dyDescent="0.25">
      <c r="A86" s="62" t="s">
        <v>2278</v>
      </c>
      <c r="B86" s="62" t="s">
        <v>773</v>
      </c>
      <c r="C86" s="63" t="s">
        <v>774</v>
      </c>
      <c r="D86" s="62" t="s">
        <v>430</v>
      </c>
      <c r="E86" s="63" t="s">
        <v>491</v>
      </c>
      <c r="F86" s="62" t="s">
        <v>272</v>
      </c>
      <c r="G86" s="62" t="s">
        <v>361</v>
      </c>
      <c r="H86" s="64">
        <v>180000</v>
      </c>
      <c r="I86" s="64">
        <v>5000</v>
      </c>
      <c r="J86" s="62">
        <f t="shared" si="4"/>
        <v>185000</v>
      </c>
      <c r="K86" s="64">
        <v>185000</v>
      </c>
      <c r="L86" s="62">
        <f t="shared" si="5"/>
        <v>0</v>
      </c>
      <c r="M86" s="65" t="s">
        <v>57</v>
      </c>
      <c r="N86" s="65" t="s">
        <v>484</v>
      </c>
    </row>
    <row r="87" spans="1:14" ht="15" customHeight="1" x14ac:dyDescent="0.25">
      <c r="A87" s="62" t="s">
        <v>2279</v>
      </c>
      <c r="B87" s="62" t="s">
        <v>782</v>
      </c>
      <c r="C87" s="63" t="s">
        <v>783</v>
      </c>
      <c r="D87" s="62" t="s">
        <v>132</v>
      </c>
      <c r="E87" s="63" t="s">
        <v>134</v>
      </c>
      <c r="F87" s="62" t="s">
        <v>54</v>
      </c>
      <c r="G87" s="62" t="s">
        <v>56</v>
      </c>
      <c r="H87" s="64">
        <v>60000</v>
      </c>
      <c r="I87" s="64">
        <v>5000</v>
      </c>
      <c r="J87" s="62">
        <f t="shared" si="4"/>
        <v>65000</v>
      </c>
      <c r="K87" s="64">
        <v>65000</v>
      </c>
      <c r="L87" s="62">
        <f t="shared" si="5"/>
        <v>0</v>
      </c>
      <c r="M87" s="65" t="s">
        <v>57</v>
      </c>
      <c r="N87" s="65" t="s">
        <v>786</v>
      </c>
    </row>
    <row r="88" spans="1:14" ht="15" customHeight="1" x14ac:dyDescent="0.25">
      <c r="A88" s="62" t="s">
        <v>2280</v>
      </c>
      <c r="B88" s="62" t="s">
        <v>787</v>
      </c>
      <c r="C88" s="63" t="s">
        <v>788</v>
      </c>
      <c r="D88" s="62" t="s">
        <v>791</v>
      </c>
      <c r="E88" s="63" t="s">
        <v>793</v>
      </c>
      <c r="F88" s="62" t="s">
        <v>54</v>
      </c>
      <c r="G88" s="62" t="s">
        <v>78</v>
      </c>
      <c r="H88" s="64">
        <v>65000</v>
      </c>
      <c r="I88" s="64">
        <v>5000</v>
      </c>
      <c r="J88" s="62">
        <f t="shared" si="4"/>
        <v>70000</v>
      </c>
      <c r="K88" s="64">
        <v>70000</v>
      </c>
      <c r="L88" s="62">
        <f t="shared" si="5"/>
        <v>0</v>
      </c>
      <c r="M88" s="65" t="s">
        <v>57</v>
      </c>
      <c r="N88" s="65" t="s">
        <v>786</v>
      </c>
    </row>
    <row r="89" spans="1:14" ht="15" customHeight="1" x14ac:dyDescent="0.25">
      <c r="A89" s="62" t="s">
        <v>2281</v>
      </c>
      <c r="B89" s="62" t="s">
        <v>794</v>
      </c>
      <c r="C89" s="63" t="s">
        <v>795</v>
      </c>
      <c r="D89" s="62" t="s">
        <v>71</v>
      </c>
      <c r="E89" s="63" t="s">
        <v>800</v>
      </c>
      <c r="F89" s="62" t="s">
        <v>54</v>
      </c>
      <c r="G89" s="62" t="s">
        <v>91</v>
      </c>
      <c r="H89" s="64">
        <v>65000</v>
      </c>
      <c r="I89" s="64">
        <v>5000</v>
      </c>
      <c r="J89" s="62">
        <f t="shared" si="4"/>
        <v>70000</v>
      </c>
      <c r="K89" s="64">
        <v>70000</v>
      </c>
      <c r="L89" s="62">
        <f t="shared" si="5"/>
        <v>0</v>
      </c>
      <c r="M89" s="65" t="s">
        <v>57</v>
      </c>
      <c r="N89" s="65" t="s">
        <v>786</v>
      </c>
    </row>
    <row r="90" spans="1:14" ht="15" customHeight="1" x14ac:dyDescent="0.25">
      <c r="A90" s="62" t="s">
        <v>2282</v>
      </c>
      <c r="B90" s="62" t="s">
        <v>803</v>
      </c>
      <c r="C90" s="63" t="s">
        <v>804</v>
      </c>
      <c r="D90" s="62" t="s">
        <v>46</v>
      </c>
      <c r="E90" s="63" t="s">
        <v>808</v>
      </c>
      <c r="F90" s="62" t="s">
        <v>54</v>
      </c>
      <c r="G90" s="62" t="s">
        <v>107</v>
      </c>
      <c r="H90" s="64">
        <v>75000</v>
      </c>
      <c r="I90" s="64">
        <v>5000</v>
      </c>
      <c r="J90" s="62">
        <f t="shared" si="4"/>
        <v>80000</v>
      </c>
      <c r="K90" s="64">
        <v>80000</v>
      </c>
      <c r="L90" s="62">
        <f t="shared" si="5"/>
        <v>0</v>
      </c>
      <c r="M90" s="65" t="s">
        <v>108</v>
      </c>
      <c r="N90" s="65" t="s">
        <v>786</v>
      </c>
    </row>
    <row r="91" spans="1:14" ht="15" customHeight="1" x14ac:dyDescent="0.25">
      <c r="A91" s="62" t="s">
        <v>2283</v>
      </c>
      <c r="B91" s="62" t="s">
        <v>809</v>
      </c>
      <c r="C91" s="63" t="s">
        <v>810</v>
      </c>
      <c r="D91" s="62" t="s">
        <v>71</v>
      </c>
      <c r="E91" s="63" t="s">
        <v>813</v>
      </c>
      <c r="F91" s="62" t="s">
        <v>54</v>
      </c>
      <c r="G91" s="62" t="s">
        <v>123</v>
      </c>
      <c r="H91" s="64">
        <v>65000</v>
      </c>
      <c r="I91" s="64">
        <v>5000</v>
      </c>
      <c r="J91" s="62">
        <f t="shared" si="4"/>
        <v>70000</v>
      </c>
      <c r="K91" s="64">
        <v>35750</v>
      </c>
      <c r="L91" s="62">
        <f t="shared" si="5"/>
        <v>34250</v>
      </c>
      <c r="M91" s="65" t="s">
        <v>124</v>
      </c>
      <c r="N91" s="65" t="s">
        <v>786</v>
      </c>
    </row>
    <row r="92" spans="1:14" ht="15" customHeight="1" x14ac:dyDescent="0.25">
      <c r="A92" s="62" t="s">
        <v>2284</v>
      </c>
      <c r="B92" s="62" t="s">
        <v>814</v>
      </c>
      <c r="C92" s="63" t="s">
        <v>815</v>
      </c>
      <c r="D92" s="62" t="s">
        <v>46</v>
      </c>
      <c r="E92" s="63" t="s">
        <v>819</v>
      </c>
      <c r="F92" s="62" t="s">
        <v>54</v>
      </c>
      <c r="G92" s="62" t="s">
        <v>56</v>
      </c>
      <c r="H92" s="64">
        <v>75000</v>
      </c>
      <c r="I92" s="64">
        <v>5000</v>
      </c>
      <c r="J92" s="62">
        <f t="shared" si="4"/>
        <v>80000</v>
      </c>
      <c r="K92" s="64">
        <v>80000</v>
      </c>
      <c r="L92" s="62">
        <f t="shared" si="5"/>
        <v>0</v>
      </c>
      <c r="M92" s="65" t="s">
        <v>57</v>
      </c>
      <c r="N92" s="65" t="s">
        <v>786</v>
      </c>
    </row>
    <row r="93" spans="1:14" ht="15" customHeight="1" x14ac:dyDescent="0.25">
      <c r="A93" s="62" t="s">
        <v>2285</v>
      </c>
      <c r="B93" s="62" t="s">
        <v>820</v>
      </c>
      <c r="C93" s="63" t="s">
        <v>821</v>
      </c>
      <c r="D93" s="62" t="s">
        <v>791</v>
      </c>
      <c r="E93" s="63" t="s">
        <v>793</v>
      </c>
      <c r="F93" s="62" t="s">
        <v>54</v>
      </c>
      <c r="G93" s="62" t="s">
        <v>78</v>
      </c>
      <c r="H93" s="64">
        <v>65000</v>
      </c>
      <c r="I93" s="64">
        <v>5000</v>
      </c>
      <c r="J93" s="62">
        <f t="shared" si="4"/>
        <v>70000</v>
      </c>
      <c r="K93" s="64">
        <v>70000</v>
      </c>
      <c r="L93" s="62">
        <f t="shared" si="5"/>
        <v>0</v>
      </c>
      <c r="M93" s="65" t="s">
        <v>57</v>
      </c>
      <c r="N93" s="65" t="s">
        <v>786</v>
      </c>
    </row>
    <row r="94" spans="1:14" ht="15" customHeight="1" x14ac:dyDescent="0.25">
      <c r="A94" s="62" t="s">
        <v>2286</v>
      </c>
      <c r="B94" s="62" t="s">
        <v>824</v>
      </c>
      <c r="C94" s="63" t="s">
        <v>825</v>
      </c>
      <c r="D94" s="62" t="s">
        <v>132</v>
      </c>
      <c r="E94" s="63" t="s">
        <v>134</v>
      </c>
      <c r="F94" s="62" t="s">
        <v>54</v>
      </c>
      <c r="G94" s="62" t="s">
        <v>91</v>
      </c>
      <c r="H94" s="64">
        <v>60000</v>
      </c>
      <c r="I94" s="64">
        <v>5000</v>
      </c>
      <c r="J94" s="62">
        <f t="shared" si="4"/>
        <v>65000</v>
      </c>
      <c r="K94" s="64">
        <v>65000</v>
      </c>
      <c r="L94" s="62">
        <f t="shared" si="5"/>
        <v>0</v>
      </c>
      <c r="M94" s="65" t="s">
        <v>57</v>
      </c>
      <c r="N94" s="65" t="s">
        <v>786</v>
      </c>
    </row>
    <row r="95" spans="1:14" ht="15" customHeight="1" x14ac:dyDescent="0.25">
      <c r="A95" s="62" t="s">
        <v>2287</v>
      </c>
      <c r="B95" s="62" t="s">
        <v>830</v>
      </c>
      <c r="C95" s="63" t="s">
        <v>831</v>
      </c>
      <c r="D95" s="62" t="s">
        <v>46</v>
      </c>
      <c r="E95" s="63" t="s">
        <v>819</v>
      </c>
      <c r="F95" s="62" t="s">
        <v>54</v>
      </c>
      <c r="G95" s="62" t="s">
        <v>56</v>
      </c>
      <c r="H95" s="64">
        <v>75000</v>
      </c>
      <c r="I95" s="64">
        <v>5000</v>
      </c>
      <c r="J95" s="62">
        <f t="shared" si="4"/>
        <v>80000</v>
      </c>
      <c r="K95" s="64">
        <v>0</v>
      </c>
      <c r="L95" s="62">
        <f t="shared" si="5"/>
        <v>80000</v>
      </c>
      <c r="M95" s="65" t="s">
        <v>160</v>
      </c>
      <c r="N95" s="65" t="s">
        <v>786</v>
      </c>
    </row>
    <row r="96" spans="1:14" ht="15" customHeight="1" x14ac:dyDescent="0.25">
      <c r="A96" s="62" t="s">
        <v>2288</v>
      </c>
      <c r="B96" s="62" t="s">
        <v>834</v>
      </c>
      <c r="C96" s="63" t="s">
        <v>835</v>
      </c>
      <c r="D96" s="62" t="s">
        <v>71</v>
      </c>
      <c r="E96" s="63" t="s">
        <v>800</v>
      </c>
      <c r="F96" s="62" t="s">
        <v>54</v>
      </c>
      <c r="G96" s="62" t="s">
        <v>123</v>
      </c>
      <c r="H96" s="64">
        <v>65000</v>
      </c>
      <c r="I96" s="64">
        <v>5000</v>
      </c>
      <c r="J96" s="62">
        <f t="shared" si="4"/>
        <v>70000</v>
      </c>
      <c r="K96" s="64">
        <v>70000</v>
      </c>
      <c r="L96" s="62">
        <f t="shared" si="5"/>
        <v>0</v>
      </c>
      <c r="M96" s="65" t="s">
        <v>57</v>
      </c>
      <c r="N96" s="65" t="s">
        <v>786</v>
      </c>
    </row>
    <row r="97" spans="1:14" ht="15" customHeight="1" x14ac:dyDescent="0.25">
      <c r="A97" s="62" t="s">
        <v>2289</v>
      </c>
      <c r="B97" s="62" t="s">
        <v>838</v>
      </c>
      <c r="C97" s="63" t="s">
        <v>839</v>
      </c>
      <c r="D97" s="62" t="s">
        <v>46</v>
      </c>
      <c r="E97" s="63" t="s">
        <v>808</v>
      </c>
      <c r="F97" s="62" t="s">
        <v>54</v>
      </c>
      <c r="G97" s="62" t="s">
        <v>78</v>
      </c>
      <c r="H97" s="64">
        <v>75000</v>
      </c>
      <c r="I97" s="64">
        <v>5000</v>
      </c>
      <c r="J97" s="62">
        <f t="shared" si="4"/>
        <v>80000</v>
      </c>
      <c r="K97" s="64">
        <v>80000</v>
      </c>
      <c r="L97" s="62">
        <f t="shared" si="5"/>
        <v>0</v>
      </c>
      <c r="M97" s="65" t="s">
        <v>57</v>
      </c>
      <c r="N97" s="65" t="s">
        <v>786</v>
      </c>
    </row>
    <row r="98" spans="1:14" ht="15" customHeight="1" x14ac:dyDescent="0.25">
      <c r="A98" s="62" t="s">
        <v>2290</v>
      </c>
      <c r="B98" s="62" t="s">
        <v>842</v>
      </c>
      <c r="C98" s="63" t="s">
        <v>843</v>
      </c>
      <c r="D98" s="62" t="s">
        <v>132</v>
      </c>
      <c r="E98" s="63" t="s">
        <v>134</v>
      </c>
      <c r="F98" s="62" t="s">
        <v>54</v>
      </c>
      <c r="G98" s="62" t="s">
        <v>107</v>
      </c>
      <c r="H98" s="64">
        <v>60000</v>
      </c>
      <c r="I98" s="64">
        <v>5000</v>
      </c>
      <c r="J98" s="62">
        <f t="shared" si="4"/>
        <v>65000</v>
      </c>
      <c r="K98" s="64">
        <v>65000</v>
      </c>
      <c r="L98" s="62">
        <f t="shared" si="5"/>
        <v>0</v>
      </c>
      <c r="M98" s="65" t="s">
        <v>108</v>
      </c>
      <c r="N98" s="65" t="s">
        <v>786</v>
      </c>
    </row>
    <row r="99" spans="1:14" ht="15" customHeight="1" x14ac:dyDescent="0.25">
      <c r="A99" s="62" t="s">
        <v>2291</v>
      </c>
      <c r="B99" s="62" t="s">
        <v>848</v>
      </c>
      <c r="C99" s="63" t="s">
        <v>849</v>
      </c>
      <c r="D99" s="62" t="s">
        <v>71</v>
      </c>
      <c r="E99" s="63" t="s">
        <v>813</v>
      </c>
      <c r="F99" s="62" t="s">
        <v>54</v>
      </c>
      <c r="G99" s="62" t="s">
        <v>56</v>
      </c>
      <c r="H99" s="64">
        <v>65000</v>
      </c>
      <c r="I99" s="64">
        <v>5000</v>
      </c>
      <c r="J99" s="62">
        <f t="shared" si="4"/>
        <v>70000</v>
      </c>
      <c r="K99" s="64">
        <v>70000</v>
      </c>
      <c r="L99" s="62">
        <f t="shared" si="5"/>
        <v>0</v>
      </c>
      <c r="M99" s="65" t="s">
        <v>57</v>
      </c>
      <c r="N99" s="65" t="s">
        <v>786</v>
      </c>
    </row>
    <row r="100" spans="1:14" ht="15" customHeight="1" x14ac:dyDescent="0.25">
      <c r="A100" s="62" t="s">
        <v>2292</v>
      </c>
      <c r="B100" s="62" t="s">
        <v>852</v>
      </c>
      <c r="C100" s="63" t="s">
        <v>853</v>
      </c>
      <c r="D100" s="62" t="s">
        <v>46</v>
      </c>
      <c r="E100" s="63" t="s">
        <v>819</v>
      </c>
      <c r="F100" s="62" t="s">
        <v>54</v>
      </c>
      <c r="G100" s="62" t="s">
        <v>91</v>
      </c>
      <c r="H100" s="64">
        <v>75000</v>
      </c>
      <c r="I100" s="64">
        <v>5000</v>
      </c>
      <c r="J100" s="62">
        <f t="shared" si="4"/>
        <v>80000</v>
      </c>
      <c r="K100" s="64">
        <v>10000</v>
      </c>
      <c r="L100" s="62">
        <f t="shared" si="5"/>
        <v>70000</v>
      </c>
      <c r="M100" s="65" t="s">
        <v>197</v>
      </c>
      <c r="N100" s="65" t="s">
        <v>786</v>
      </c>
    </row>
    <row r="101" spans="1:14" ht="15" customHeight="1" x14ac:dyDescent="0.25">
      <c r="A101" s="62" t="s">
        <v>2293</v>
      </c>
      <c r="B101" s="62" t="s">
        <v>857</v>
      </c>
      <c r="C101" s="63" t="s">
        <v>858</v>
      </c>
      <c r="D101" s="62" t="s">
        <v>46</v>
      </c>
      <c r="E101" s="63" t="s">
        <v>808</v>
      </c>
      <c r="F101" s="62" t="s">
        <v>54</v>
      </c>
      <c r="G101" s="62" t="s">
        <v>123</v>
      </c>
      <c r="H101" s="64">
        <v>75000</v>
      </c>
      <c r="I101" s="64">
        <v>5000</v>
      </c>
      <c r="J101" s="62">
        <f t="shared" si="4"/>
        <v>80000</v>
      </c>
      <c r="K101" s="64">
        <v>80000</v>
      </c>
      <c r="L101" s="62">
        <f t="shared" si="5"/>
        <v>0</v>
      </c>
      <c r="M101" s="65" t="s">
        <v>57</v>
      </c>
      <c r="N101" s="65" t="s">
        <v>786</v>
      </c>
    </row>
    <row r="102" spans="1:14" ht="15" customHeight="1" x14ac:dyDescent="0.25">
      <c r="A102" s="62" t="s">
        <v>2294</v>
      </c>
      <c r="B102" s="62" t="s">
        <v>862</v>
      </c>
      <c r="C102" s="63" t="s">
        <v>863</v>
      </c>
      <c r="D102" s="62" t="s">
        <v>791</v>
      </c>
      <c r="E102" s="63" t="s">
        <v>793</v>
      </c>
      <c r="F102" s="62" t="s">
        <v>54</v>
      </c>
      <c r="G102" s="62" t="s">
        <v>56</v>
      </c>
      <c r="H102" s="64">
        <v>65000</v>
      </c>
      <c r="I102" s="64">
        <v>5000</v>
      </c>
      <c r="J102" s="62">
        <f t="shared" si="4"/>
        <v>70000</v>
      </c>
      <c r="K102" s="64">
        <v>70000</v>
      </c>
      <c r="L102" s="62">
        <f t="shared" si="5"/>
        <v>0</v>
      </c>
      <c r="M102" s="65" t="s">
        <v>57</v>
      </c>
      <c r="N102" s="65" t="s">
        <v>786</v>
      </c>
    </row>
    <row r="103" spans="1:14" ht="15" customHeight="1" x14ac:dyDescent="0.25">
      <c r="A103" s="62" t="s">
        <v>2295</v>
      </c>
      <c r="B103" s="62" t="s">
        <v>867</v>
      </c>
      <c r="C103" s="63" t="s">
        <v>868</v>
      </c>
      <c r="D103" s="62" t="s">
        <v>46</v>
      </c>
      <c r="E103" s="63" t="s">
        <v>808</v>
      </c>
      <c r="F103" s="62" t="s">
        <v>54</v>
      </c>
      <c r="G103" s="62" t="s">
        <v>78</v>
      </c>
      <c r="H103" s="64">
        <v>75000</v>
      </c>
      <c r="I103" s="64">
        <v>5000</v>
      </c>
      <c r="J103" s="62">
        <f t="shared" si="4"/>
        <v>80000</v>
      </c>
      <c r="K103" s="64">
        <v>80000</v>
      </c>
      <c r="L103" s="62">
        <f t="shared" si="5"/>
        <v>0</v>
      </c>
      <c r="M103" s="65" t="s">
        <v>57</v>
      </c>
      <c r="N103" s="65" t="s">
        <v>786</v>
      </c>
    </row>
    <row r="104" spans="1:14" ht="15" customHeight="1" x14ac:dyDescent="0.25">
      <c r="A104" s="62" t="s">
        <v>2296</v>
      </c>
      <c r="B104" s="62" t="s">
        <v>874</v>
      </c>
      <c r="C104" s="63" t="s">
        <v>875</v>
      </c>
      <c r="D104" s="62" t="s">
        <v>71</v>
      </c>
      <c r="E104" s="63" t="s">
        <v>813</v>
      </c>
      <c r="F104" s="62" t="s">
        <v>54</v>
      </c>
      <c r="G104" s="62" t="s">
        <v>91</v>
      </c>
      <c r="H104" s="64">
        <v>65000</v>
      </c>
      <c r="I104" s="64">
        <v>5000</v>
      </c>
      <c r="J104" s="62">
        <f t="shared" si="4"/>
        <v>70000</v>
      </c>
      <c r="K104" s="64">
        <v>70000</v>
      </c>
      <c r="L104" s="62">
        <f t="shared" si="5"/>
        <v>0</v>
      </c>
      <c r="M104" s="65" t="s">
        <v>57</v>
      </c>
      <c r="N104" s="65" t="s">
        <v>786</v>
      </c>
    </row>
    <row r="105" spans="1:14" ht="15" customHeight="1" x14ac:dyDescent="0.25">
      <c r="A105" s="62" t="s">
        <v>2297</v>
      </c>
      <c r="B105" s="62" t="s">
        <v>879</v>
      </c>
      <c r="C105" s="63" t="s">
        <v>880</v>
      </c>
      <c r="D105" s="62" t="s">
        <v>132</v>
      </c>
      <c r="E105" s="63" t="s">
        <v>134</v>
      </c>
      <c r="F105" s="62" t="s">
        <v>54</v>
      </c>
      <c r="G105" s="62" t="s">
        <v>56</v>
      </c>
      <c r="H105" s="64">
        <v>60000</v>
      </c>
      <c r="I105" s="64">
        <v>5000</v>
      </c>
      <c r="J105" s="62">
        <f t="shared" si="4"/>
        <v>65000</v>
      </c>
      <c r="K105" s="64">
        <v>65000</v>
      </c>
      <c r="L105" s="62">
        <f t="shared" si="5"/>
        <v>0</v>
      </c>
      <c r="M105" s="65" t="s">
        <v>57</v>
      </c>
      <c r="N105" s="65" t="s">
        <v>786</v>
      </c>
    </row>
    <row r="106" spans="1:14" ht="15" customHeight="1" x14ac:dyDescent="0.25">
      <c r="A106" s="62" t="s">
        <v>2298</v>
      </c>
      <c r="B106" s="62" t="s">
        <v>884</v>
      </c>
      <c r="C106" s="63" t="s">
        <v>885</v>
      </c>
      <c r="D106" s="62" t="s">
        <v>46</v>
      </c>
      <c r="E106" s="63" t="s">
        <v>819</v>
      </c>
      <c r="F106" s="62" t="s">
        <v>54</v>
      </c>
      <c r="G106" s="62" t="s">
        <v>123</v>
      </c>
      <c r="H106" s="64">
        <v>75000</v>
      </c>
      <c r="I106" s="64">
        <v>5000</v>
      </c>
      <c r="J106" s="62">
        <f t="shared" si="4"/>
        <v>80000</v>
      </c>
      <c r="K106" s="64">
        <v>41250</v>
      </c>
      <c r="L106" s="62">
        <f t="shared" si="5"/>
        <v>38750</v>
      </c>
      <c r="M106" s="65" t="s">
        <v>124</v>
      </c>
      <c r="N106" s="65" t="s">
        <v>786</v>
      </c>
    </row>
    <row r="107" spans="1:14" ht="15" customHeight="1" x14ac:dyDescent="0.25">
      <c r="A107" s="62" t="s">
        <v>2299</v>
      </c>
      <c r="B107" s="62" t="s">
        <v>890</v>
      </c>
      <c r="C107" s="63" t="s">
        <v>891</v>
      </c>
      <c r="D107" s="62" t="s">
        <v>71</v>
      </c>
      <c r="E107" s="63" t="s">
        <v>800</v>
      </c>
      <c r="F107" s="62" t="s">
        <v>54</v>
      </c>
      <c r="G107" s="62" t="s">
        <v>78</v>
      </c>
      <c r="H107" s="64">
        <v>65000</v>
      </c>
      <c r="I107" s="64">
        <v>5000</v>
      </c>
      <c r="J107" s="62">
        <f t="shared" si="4"/>
        <v>70000</v>
      </c>
      <c r="K107" s="64">
        <v>70000</v>
      </c>
      <c r="L107" s="62">
        <f t="shared" si="5"/>
        <v>0</v>
      </c>
      <c r="M107" s="65" t="s">
        <v>57</v>
      </c>
      <c r="N107" s="65" t="s">
        <v>786</v>
      </c>
    </row>
    <row r="108" spans="1:14" ht="15" customHeight="1" x14ac:dyDescent="0.25">
      <c r="A108" s="62" t="s">
        <v>2300</v>
      </c>
      <c r="B108" s="62" t="s">
        <v>896</v>
      </c>
      <c r="C108" s="63" t="s">
        <v>897</v>
      </c>
      <c r="D108" s="62" t="s">
        <v>46</v>
      </c>
      <c r="E108" s="63" t="s">
        <v>808</v>
      </c>
      <c r="F108" s="62" t="s">
        <v>54</v>
      </c>
      <c r="G108" s="62" t="s">
        <v>91</v>
      </c>
      <c r="H108" s="64">
        <v>75000</v>
      </c>
      <c r="I108" s="64">
        <v>5000</v>
      </c>
      <c r="J108" s="62">
        <f t="shared" si="4"/>
        <v>80000</v>
      </c>
      <c r="K108" s="64">
        <v>80000</v>
      </c>
      <c r="L108" s="62">
        <f t="shared" si="5"/>
        <v>0</v>
      </c>
      <c r="M108" s="65" t="s">
        <v>57</v>
      </c>
      <c r="N108" s="65" t="s">
        <v>786</v>
      </c>
    </row>
    <row r="109" spans="1:14" ht="15" customHeight="1" x14ac:dyDescent="0.25">
      <c r="A109" s="62" t="s">
        <v>2301</v>
      </c>
      <c r="B109" s="62" t="s">
        <v>900</v>
      </c>
      <c r="C109" s="63" t="s">
        <v>901</v>
      </c>
      <c r="D109" s="62" t="s">
        <v>791</v>
      </c>
      <c r="E109" s="63" t="s">
        <v>793</v>
      </c>
      <c r="F109" s="62" t="s">
        <v>54</v>
      </c>
      <c r="G109" s="62" t="s">
        <v>56</v>
      </c>
      <c r="H109" s="64">
        <v>65000</v>
      </c>
      <c r="I109" s="64">
        <v>5000</v>
      </c>
      <c r="J109" s="62">
        <f t="shared" si="4"/>
        <v>70000</v>
      </c>
      <c r="K109" s="64">
        <v>0</v>
      </c>
      <c r="L109" s="62">
        <f t="shared" si="5"/>
        <v>70000</v>
      </c>
      <c r="M109" s="65" t="s">
        <v>160</v>
      </c>
      <c r="N109" s="65" t="s">
        <v>786</v>
      </c>
    </row>
    <row r="110" spans="1:14" ht="15" customHeight="1" x14ac:dyDescent="0.25">
      <c r="A110" s="62" t="s">
        <v>2302</v>
      </c>
      <c r="B110" s="62" t="s">
        <v>904</v>
      </c>
      <c r="C110" s="63" t="s">
        <v>905</v>
      </c>
      <c r="D110" s="62" t="s">
        <v>46</v>
      </c>
      <c r="E110" s="63" t="s">
        <v>819</v>
      </c>
      <c r="F110" s="62" t="s">
        <v>54</v>
      </c>
      <c r="G110" s="62" t="s">
        <v>78</v>
      </c>
      <c r="H110" s="64">
        <v>75000</v>
      </c>
      <c r="I110" s="64">
        <v>5000</v>
      </c>
      <c r="J110" s="62">
        <f t="shared" ref="J110:J141" si="6">H110+I110</f>
        <v>80000</v>
      </c>
      <c r="K110" s="64">
        <v>80000</v>
      </c>
      <c r="L110" s="62">
        <f t="shared" ref="L110:L141" si="7">J110-K110</f>
        <v>0</v>
      </c>
      <c r="M110" s="65" t="s">
        <v>57</v>
      </c>
      <c r="N110" s="65" t="s">
        <v>786</v>
      </c>
    </row>
    <row r="111" spans="1:14" ht="15" customHeight="1" x14ac:dyDescent="0.25">
      <c r="A111" s="62" t="s">
        <v>2303</v>
      </c>
      <c r="B111" s="62" t="s">
        <v>909</v>
      </c>
      <c r="C111" s="63" t="s">
        <v>910</v>
      </c>
      <c r="D111" s="62" t="s">
        <v>71</v>
      </c>
      <c r="E111" s="63" t="s">
        <v>800</v>
      </c>
      <c r="F111" s="62" t="s">
        <v>54</v>
      </c>
      <c r="G111" s="62" t="s">
        <v>123</v>
      </c>
      <c r="H111" s="64">
        <v>65000</v>
      </c>
      <c r="I111" s="64">
        <v>5000</v>
      </c>
      <c r="J111" s="62">
        <f t="shared" si="6"/>
        <v>70000</v>
      </c>
      <c r="K111" s="64">
        <v>70000</v>
      </c>
      <c r="L111" s="62">
        <f t="shared" si="7"/>
        <v>0</v>
      </c>
      <c r="M111" s="65" t="s">
        <v>57</v>
      </c>
      <c r="N111" s="65" t="s">
        <v>786</v>
      </c>
    </row>
    <row r="112" spans="1:14" ht="15" customHeight="1" x14ac:dyDescent="0.25">
      <c r="A112" s="62" t="s">
        <v>2304</v>
      </c>
      <c r="B112" s="62" t="s">
        <v>913</v>
      </c>
      <c r="C112" s="63" t="s">
        <v>914</v>
      </c>
      <c r="D112" s="62" t="s">
        <v>920</v>
      </c>
      <c r="E112" s="63" t="s">
        <v>134</v>
      </c>
      <c r="F112" s="62" t="s">
        <v>272</v>
      </c>
      <c r="G112" s="62" t="s">
        <v>78</v>
      </c>
      <c r="H112" s="64">
        <v>85000</v>
      </c>
      <c r="I112" s="64">
        <v>5000</v>
      </c>
      <c r="J112" s="62">
        <f t="shared" si="6"/>
        <v>90000</v>
      </c>
      <c r="K112" s="64">
        <v>90000</v>
      </c>
      <c r="L112" s="62">
        <f t="shared" si="7"/>
        <v>0</v>
      </c>
      <c r="M112" s="65" t="s">
        <v>57</v>
      </c>
      <c r="N112" s="65" t="s">
        <v>786</v>
      </c>
    </row>
    <row r="113" spans="1:14" ht="15" customHeight="1" x14ac:dyDescent="0.25">
      <c r="A113" s="62" t="s">
        <v>2305</v>
      </c>
      <c r="B113" s="62" t="s">
        <v>923</v>
      </c>
      <c r="C113" s="63" t="s">
        <v>924</v>
      </c>
      <c r="D113" s="62" t="s">
        <v>289</v>
      </c>
      <c r="E113" s="63" t="s">
        <v>793</v>
      </c>
      <c r="F113" s="62" t="s">
        <v>272</v>
      </c>
      <c r="G113" s="62" t="s">
        <v>123</v>
      </c>
      <c r="H113" s="64">
        <v>110000</v>
      </c>
      <c r="I113" s="64">
        <v>5000</v>
      </c>
      <c r="J113" s="62">
        <f t="shared" si="6"/>
        <v>115000</v>
      </c>
      <c r="K113" s="64">
        <v>115000</v>
      </c>
      <c r="L113" s="62">
        <f t="shared" si="7"/>
        <v>0</v>
      </c>
      <c r="M113" s="65" t="s">
        <v>57</v>
      </c>
      <c r="N113" s="65" t="s">
        <v>786</v>
      </c>
    </row>
    <row r="114" spans="1:14" ht="15" customHeight="1" x14ac:dyDescent="0.25">
      <c r="A114" s="62" t="s">
        <v>2306</v>
      </c>
      <c r="B114" s="62" t="s">
        <v>930</v>
      </c>
      <c r="C114" s="63" t="s">
        <v>931</v>
      </c>
      <c r="D114" s="62" t="s">
        <v>302</v>
      </c>
      <c r="E114" s="63" t="s">
        <v>800</v>
      </c>
      <c r="F114" s="62" t="s">
        <v>272</v>
      </c>
      <c r="G114" s="62" t="s">
        <v>107</v>
      </c>
      <c r="H114" s="64">
        <v>85000</v>
      </c>
      <c r="I114" s="64">
        <v>5000</v>
      </c>
      <c r="J114" s="62">
        <f t="shared" si="6"/>
        <v>90000</v>
      </c>
      <c r="K114" s="64">
        <v>90000</v>
      </c>
      <c r="L114" s="62">
        <f t="shared" si="7"/>
        <v>0</v>
      </c>
      <c r="M114" s="65" t="s">
        <v>108</v>
      </c>
      <c r="N114" s="65" t="s">
        <v>786</v>
      </c>
    </row>
    <row r="115" spans="1:14" ht="15" customHeight="1" x14ac:dyDescent="0.25">
      <c r="A115" s="62" t="s">
        <v>2307</v>
      </c>
      <c r="B115" s="62" t="s">
        <v>937</v>
      </c>
      <c r="C115" s="63" t="s">
        <v>938</v>
      </c>
      <c r="D115" s="62" t="s">
        <v>273</v>
      </c>
      <c r="E115" s="63" t="s">
        <v>808</v>
      </c>
      <c r="F115" s="62" t="s">
        <v>272</v>
      </c>
      <c r="G115" s="62" t="s">
        <v>123</v>
      </c>
      <c r="H115" s="64">
        <v>90000</v>
      </c>
      <c r="I115" s="64">
        <v>5000</v>
      </c>
      <c r="J115" s="62">
        <f t="shared" si="6"/>
        <v>95000</v>
      </c>
      <c r="K115" s="64">
        <v>49500</v>
      </c>
      <c r="L115" s="62">
        <f t="shared" si="7"/>
        <v>45500</v>
      </c>
      <c r="M115" s="65" t="s">
        <v>124</v>
      </c>
      <c r="N115" s="65" t="s">
        <v>786</v>
      </c>
    </row>
    <row r="116" spans="1:14" ht="15" customHeight="1" x14ac:dyDescent="0.25">
      <c r="A116" s="62" t="s">
        <v>2308</v>
      </c>
      <c r="B116" s="62" t="s">
        <v>945</v>
      </c>
      <c r="C116" s="63" t="s">
        <v>946</v>
      </c>
      <c r="D116" s="62" t="s">
        <v>273</v>
      </c>
      <c r="E116" s="63" t="s">
        <v>819</v>
      </c>
      <c r="F116" s="62" t="s">
        <v>272</v>
      </c>
      <c r="G116" s="62" t="s">
        <v>78</v>
      </c>
      <c r="H116" s="64">
        <v>90000</v>
      </c>
      <c r="I116" s="64">
        <v>5000</v>
      </c>
      <c r="J116" s="62">
        <f t="shared" si="6"/>
        <v>95000</v>
      </c>
      <c r="K116" s="64">
        <v>95000</v>
      </c>
      <c r="L116" s="62">
        <f t="shared" si="7"/>
        <v>0</v>
      </c>
      <c r="M116" s="65" t="s">
        <v>57</v>
      </c>
      <c r="N116" s="65" t="s">
        <v>786</v>
      </c>
    </row>
    <row r="117" spans="1:14" ht="15" customHeight="1" x14ac:dyDescent="0.25">
      <c r="A117" s="62" t="s">
        <v>2309</v>
      </c>
      <c r="B117" s="62" t="s">
        <v>952</v>
      </c>
      <c r="C117" s="63" t="s">
        <v>953</v>
      </c>
      <c r="D117" s="62" t="s">
        <v>289</v>
      </c>
      <c r="E117" s="63" t="s">
        <v>793</v>
      </c>
      <c r="F117" s="62" t="s">
        <v>272</v>
      </c>
      <c r="G117" s="62" t="s">
        <v>123</v>
      </c>
      <c r="H117" s="64">
        <v>110000</v>
      </c>
      <c r="I117" s="64">
        <v>5000</v>
      </c>
      <c r="J117" s="62">
        <f t="shared" si="6"/>
        <v>115000</v>
      </c>
      <c r="K117" s="64">
        <v>115000</v>
      </c>
      <c r="L117" s="62">
        <f t="shared" si="7"/>
        <v>0</v>
      </c>
      <c r="M117" s="65" t="s">
        <v>57</v>
      </c>
      <c r="N117" s="65" t="s">
        <v>786</v>
      </c>
    </row>
    <row r="118" spans="1:14" ht="15" customHeight="1" x14ac:dyDescent="0.25">
      <c r="A118" s="62" t="s">
        <v>2310</v>
      </c>
      <c r="B118" s="62" t="s">
        <v>958</v>
      </c>
      <c r="C118" s="63" t="s">
        <v>959</v>
      </c>
      <c r="D118" s="62" t="s">
        <v>342</v>
      </c>
      <c r="E118" s="63" t="s">
        <v>819</v>
      </c>
      <c r="F118" s="62" t="s">
        <v>272</v>
      </c>
      <c r="G118" s="62" t="s">
        <v>345</v>
      </c>
      <c r="H118" s="64">
        <v>80000</v>
      </c>
      <c r="I118" s="64">
        <v>5000</v>
      </c>
      <c r="J118" s="62">
        <f t="shared" si="6"/>
        <v>85000</v>
      </c>
      <c r="K118" s="64">
        <v>85000</v>
      </c>
      <c r="L118" s="62">
        <f t="shared" si="7"/>
        <v>0</v>
      </c>
      <c r="M118" s="65" t="s">
        <v>57</v>
      </c>
      <c r="N118" s="65" t="s">
        <v>786</v>
      </c>
    </row>
    <row r="119" spans="1:14" ht="15" customHeight="1" x14ac:dyDescent="0.25">
      <c r="A119" s="62" t="s">
        <v>2311</v>
      </c>
      <c r="B119" s="62" t="s">
        <v>966</v>
      </c>
      <c r="C119" s="63" t="s">
        <v>967</v>
      </c>
      <c r="D119" s="62" t="s">
        <v>342</v>
      </c>
      <c r="E119" s="63" t="s">
        <v>808</v>
      </c>
      <c r="F119" s="62" t="s">
        <v>272</v>
      </c>
      <c r="G119" s="62" t="s">
        <v>361</v>
      </c>
      <c r="H119" s="64">
        <v>80000</v>
      </c>
      <c r="I119" s="64">
        <v>5000</v>
      </c>
      <c r="J119" s="62">
        <f t="shared" si="6"/>
        <v>85000</v>
      </c>
      <c r="K119" s="64">
        <v>85000</v>
      </c>
      <c r="L119" s="62">
        <f t="shared" si="7"/>
        <v>0</v>
      </c>
      <c r="M119" s="65" t="s">
        <v>57</v>
      </c>
      <c r="N119" s="65" t="s">
        <v>786</v>
      </c>
    </row>
    <row r="120" spans="1:14" ht="15" customHeight="1" x14ac:dyDescent="0.25">
      <c r="A120" s="62" t="s">
        <v>2312</v>
      </c>
      <c r="B120" s="62" t="s">
        <v>975</v>
      </c>
      <c r="C120" s="63" t="s">
        <v>976</v>
      </c>
      <c r="D120" s="62" t="s">
        <v>375</v>
      </c>
      <c r="E120" s="63" t="s">
        <v>134</v>
      </c>
      <c r="F120" s="62" t="s">
        <v>272</v>
      </c>
      <c r="G120" s="62" t="s">
        <v>345</v>
      </c>
      <c r="H120" s="64">
        <v>75000</v>
      </c>
      <c r="I120" s="64">
        <v>5000</v>
      </c>
      <c r="J120" s="62">
        <f t="shared" si="6"/>
        <v>80000</v>
      </c>
      <c r="K120" s="64">
        <v>80000</v>
      </c>
      <c r="L120" s="62">
        <f t="shared" si="7"/>
        <v>0</v>
      </c>
      <c r="M120" s="65" t="s">
        <v>57</v>
      </c>
      <c r="N120" s="65" t="s">
        <v>786</v>
      </c>
    </row>
    <row r="121" spans="1:14" ht="15" customHeight="1" x14ac:dyDescent="0.25">
      <c r="A121" s="62" t="s">
        <v>2313</v>
      </c>
      <c r="B121" s="62" t="s">
        <v>983</v>
      </c>
      <c r="C121" s="63" t="s">
        <v>984</v>
      </c>
      <c r="D121" s="62" t="s">
        <v>342</v>
      </c>
      <c r="E121" s="63" t="s">
        <v>819</v>
      </c>
      <c r="F121" s="62" t="s">
        <v>272</v>
      </c>
      <c r="G121" s="62" t="s">
        <v>361</v>
      </c>
      <c r="H121" s="64">
        <v>80000</v>
      </c>
      <c r="I121" s="64">
        <v>5000</v>
      </c>
      <c r="J121" s="62">
        <f t="shared" si="6"/>
        <v>85000</v>
      </c>
      <c r="K121" s="64">
        <v>0</v>
      </c>
      <c r="L121" s="62">
        <f t="shared" si="7"/>
        <v>85000</v>
      </c>
      <c r="M121" s="65" t="s">
        <v>160</v>
      </c>
      <c r="N121" s="65" t="s">
        <v>786</v>
      </c>
    </row>
    <row r="122" spans="1:14" ht="15" customHeight="1" x14ac:dyDescent="0.25">
      <c r="A122" s="62" t="s">
        <v>2314</v>
      </c>
      <c r="B122" s="62" t="s">
        <v>990</v>
      </c>
      <c r="C122" s="63" t="s">
        <v>991</v>
      </c>
      <c r="D122" s="62" t="s">
        <v>375</v>
      </c>
      <c r="E122" s="63" t="s">
        <v>800</v>
      </c>
      <c r="F122" s="62" t="s">
        <v>272</v>
      </c>
      <c r="G122" s="62" t="s">
        <v>107</v>
      </c>
      <c r="H122" s="64">
        <v>75000</v>
      </c>
      <c r="I122" s="64">
        <v>5000</v>
      </c>
      <c r="J122" s="62">
        <f t="shared" si="6"/>
        <v>80000</v>
      </c>
      <c r="K122" s="64">
        <v>80000</v>
      </c>
      <c r="L122" s="62">
        <f t="shared" si="7"/>
        <v>0</v>
      </c>
      <c r="M122" s="65" t="s">
        <v>108</v>
      </c>
      <c r="N122" s="65" t="s">
        <v>786</v>
      </c>
    </row>
    <row r="123" spans="1:14" ht="15" customHeight="1" x14ac:dyDescent="0.25">
      <c r="A123" s="62" t="s">
        <v>2315</v>
      </c>
      <c r="B123" s="62" t="s">
        <v>997</v>
      </c>
      <c r="C123" s="63" t="s">
        <v>998</v>
      </c>
      <c r="D123" s="62" t="s">
        <v>342</v>
      </c>
      <c r="E123" s="63" t="s">
        <v>808</v>
      </c>
      <c r="F123" s="62" t="s">
        <v>272</v>
      </c>
      <c r="G123" s="62" t="s">
        <v>418</v>
      </c>
      <c r="H123" s="64">
        <v>80000</v>
      </c>
      <c r="I123" s="64">
        <v>5000</v>
      </c>
      <c r="J123" s="62">
        <f t="shared" si="6"/>
        <v>85000</v>
      </c>
      <c r="K123" s="64">
        <v>85000</v>
      </c>
      <c r="L123" s="62">
        <f t="shared" si="7"/>
        <v>0</v>
      </c>
      <c r="M123" s="65" t="s">
        <v>57</v>
      </c>
      <c r="N123" s="65" t="s">
        <v>786</v>
      </c>
    </row>
    <row r="124" spans="1:14" ht="15" customHeight="1" x14ac:dyDescent="0.25">
      <c r="A124" s="62" t="s">
        <v>2316</v>
      </c>
      <c r="B124" s="62" t="s">
        <v>1003</v>
      </c>
      <c r="C124" s="63" t="s">
        <v>1004</v>
      </c>
      <c r="D124" s="62" t="s">
        <v>430</v>
      </c>
      <c r="E124" s="63" t="s">
        <v>134</v>
      </c>
      <c r="F124" s="62" t="s">
        <v>272</v>
      </c>
      <c r="G124" s="62" t="s">
        <v>345</v>
      </c>
      <c r="H124" s="64">
        <v>180000</v>
      </c>
      <c r="I124" s="64">
        <v>5000</v>
      </c>
      <c r="J124" s="62">
        <f t="shared" si="6"/>
        <v>185000</v>
      </c>
      <c r="K124" s="64">
        <v>185000</v>
      </c>
      <c r="L124" s="62">
        <f t="shared" si="7"/>
        <v>0</v>
      </c>
      <c r="M124" s="65" t="s">
        <v>57</v>
      </c>
      <c r="N124" s="65" t="s">
        <v>786</v>
      </c>
    </row>
    <row r="125" spans="1:14" ht="15" customHeight="1" x14ac:dyDescent="0.25">
      <c r="A125" s="62" t="s">
        <v>2317</v>
      </c>
      <c r="B125" s="62" t="s">
        <v>1012</v>
      </c>
      <c r="C125" s="63" t="s">
        <v>1013</v>
      </c>
      <c r="D125" s="62" t="s">
        <v>430</v>
      </c>
      <c r="E125" s="63" t="s">
        <v>819</v>
      </c>
      <c r="F125" s="62" t="s">
        <v>272</v>
      </c>
      <c r="G125" s="62" t="s">
        <v>443</v>
      </c>
      <c r="H125" s="64">
        <v>180000</v>
      </c>
      <c r="I125" s="64">
        <v>5000</v>
      </c>
      <c r="J125" s="62">
        <f t="shared" si="6"/>
        <v>185000</v>
      </c>
      <c r="K125" s="64">
        <v>185000</v>
      </c>
      <c r="L125" s="62">
        <f t="shared" si="7"/>
        <v>0</v>
      </c>
      <c r="M125" s="65" t="s">
        <v>57</v>
      </c>
      <c r="N125" s="65" t="s">
        <v>786</v>
      </c>
    </row>
    <row r="126" spans="1:14" ht="15" customHeight="1" x14ac:dyDescent="0.25">
      <c r="A126" s="62" t="s">
        <v>2318</v>
      </c>
      <c r="B126" s="62" t="s">
        <v>1020</v>
      </c>
      <c r="C126" s="63" t="s">
        <v>1021</v>
      </c>
      <c r="D126" s="62" t="s">
        <v>430</v>
      </c>
      <c r="E126" s="63" t="s">
        <v>793</v>
      </c>
      <c r="F126" s="62" t="s">
        <v>272</v>
      </c>
      <c r="G126" s="62" t="s">
        <v>418</v>
      </c>
      <c r="H126" s="64">
        <v>180000</v>
      </c>
      <c r="I126" s="64">
        <v>5000</v>
      </c>
      <c r="J126" s="62">
        <f t="shared" si="6"/>
        <v>185000</v>
      </c>
      <c r="K126" s="64">
        <v>185000</v>
      </c>
      <c r="L126" s="62">
        <f t="shared" si="7"/>
        <v>0</v>
      </c>
      <c r="M126" s="65" t="s">
        <v>57</v>
      </c>
      <c r="N126" s="65" t="s">
        <v>786</v>
      </c>
    </row>
    <row r="127" spans="1:14" ht="15" customHeight="1" x14ac:dyDescent="0.25">
      <c r="A127" s="62" t="s">
        <v>2319</v>
      </c>
      <c r="B127" s="62" t="s">
        <v>1028</v>
      </c>
      <c r="C127" s="63" t="s">
        <v>1029</v>
      </c>
      <c r="D127" s="62" t="s">
        <v>430</v>
      </c>
      <c r="E127" s="63" t="s">
        <v>808</v>
      </c>
      <c r="F127" s="62" t="s">
        <v>272</v>
      </c>
      <c r="G127" s="62" t="s">
        <v>361</v>
      </c>
      <c r="H127" s="64">
        <v>180000</v>
      </c>
      <c r="I127" s="64">
        <v>5000</v>
      </c>
      <c r="J127" s="62">
        <f t="shared" si="6"/>
        <v>185000</v>
      </c>
      <c r="K127" s="64">
        <v>185000</v>
      </c>
      <c r="L127" s="62">
        <f t="shared" si="7"/>
        <v>0</v>
      </c>
      <c r="M127" s="65" t="s">
        <v>57</v>
      </c>
      <c r="N127" s="65" t="s">
        <v>786</v>
      </c>
    </row>
    <row r="128" spans="1:14" ht="15" customHeight="1" x14ac:dyDescent="0.25">
      <c r="A128" s="62" t="s">
        <v>2320</v>
      </c>
      <c r="B128" s="62" t="s">
        <v>1035</v>
      </c>
      <c r="C128" s="63" t="s">
        <v>1036</v>
      </c>
      <c r="D128" s="62" t="s">
        <v>46</v>
      </c>
      <c r="E128" s="63" t="s">
        <v>48</v>
      </c>
      <c r="F128" s="62" t="s">
        <v>54</v>
      </c>
      <c r="G128" s="62" t="s">
        <v>78</v>
      </c>
      <c r="H128" s="64">
        <v>75000</v>
      </c>
      <c r="I128" s="64">
        <v>5000</v>
      </c>
      <c r="J128" s="62">
        <f t="shared" si="6"/>
        <v>80000</v>
      </c>
      <c r="K128" s="64">
        <v>80000</v>
      </c>
      <c r="L128" s="62">
        <f t="shared" si="7"/>
        <v>0</v>
      </c>
      <c r="M128" s="65" t="s">
        <v>57</v>
      </c>
      <c r="N128" s="65" t="s">
        <v>62</v>
      </c>
    </row>
    <row r="129" spans="1:14" ht="15" customHeight="1" x14ac:dyDescent="0.25">
      <c r="A129" s="62" t="s">
        <v>2321</v>
      </c>
      <c r="B129" s="62" t="s">
        <v>1040</v>
      </c>
      <c r="C129" s="63" t="s">
        <v>1041</v>
      </c>
      <c r="D129" s="62" t="s">
        <v>273</v>
      </c>
      <c r="E129" s="63" t="s">
        <v>48</v>
      </c>
      <c r="F129" s="62" t="s">
        <v>272</v>
      </c>
      <c r="G129" s="62" t="s">
        <v>123</v>
      </c>
      <c r="H129" s="64">
        <v>90000</v>
      </c>
      <c r="I129" s="64">
        <v>5000</v>
      </c>
      <c r="J129" s="62">
        <f t="shared" si="6"/>
        <v>95000</v>
      </c>
      <c r="K129" s="64">
        <v>95000</v>
      </c>
      <c r="L129" s="62">
        <f t="shared" si="7"/>
        <v>0</v>
      </c>
      <c r="M129" s="65" t="s">
        <v>57</v>
      </c>
      <c r="N129" s="65" t="s">
        <v>62</v>
      </c>
    </row>
    <row r="130" spans="1:14" ht="15" customHeight="1" x14ac:dyDescent="0.25">
      <c r="A130" s="62" t="s">
        <v>2322</v>
      </c>
      <c r="B130" s="62" t="s">
        <v>1048</v>
      </c>
      <c r="C130" s="63" t="s">
        <v>1049</v>
      </c>
      <c r="D130" s="62" t="s">
        <v>430</v>
      </c>
      <c r="E130" s="63" t="s">
        <v>48</v>
      </c>
      <c r="F130" s="62" t="s">
        <v>272</v>
      </c>
      <c r="G130" s="62" t="s">
        <v>418</v>
      </c>
      <c r="H130" s="64">
        <v>180000</v>
      </c>
      <c r="I130" s="64">
        <v>5000</v>
      </c>
      <c r="J130" s="62">
        <f t="shared" si="6"/>
        <v>185000</v>
      </c>
      <c r="K130" s="64">
        <v>185000</v>
      </c>
      <c r="L130" s="62">
        <f t="shared" si="7"/>
        <v>0</v>
      </c>
      <c r="M130" s="65" t="s">
        <v>57</v>
      </c>
      <c r="N130" s="65" t="s">
        <v>62</v>
      </c>
    </row>
    <row r="131" spans="1:14" ht="15" customHeight="1" x14ac:dyDescent="0.25">
      <c r="A131" s="62" t="s">
        <v>2323</v>
      </c>
      <c r="B131" s="62" t="s">
        <v>1057</v>
      </c>
      <c r="C131" s="63" t="s">
        <v>1036</v>
      </c>
      <c r="D131" s="62" t="s">
        <v>46</v>
      </c>
      <c r="E131" s="63" t="s">
        <v>481</v>
      </c>
      <c r="F131" s="62" t="s">
        <v>54</v>
      </c>
      <c r="G131" s="62" t="s">
        <v>78</v>
      </c>
      <c r="H131" s="64">
        <v>75000</v>
      </c>
      <c r="I131" s="64">
        <v>5000</v>
      </c>
      <c r="J131" s="62">
        <f t="shared" si="6"/>
        <v>80000</v>
      </c>
      <c r="K131" s="64">
        <v>80000</v>
      </c>
      <c r="L131" s="62">
        <f t="shared" si="7"/>
        <v>0</v>
      </c>
      <c r="M131" s="65" t="s">
        <v>57</v>
      </c>
      <c r="N131" s="65" t="s">
        <v>484</v>
      </c>
    </row>
    <row r="132" spans="1:14" ht="15" customHeight="1" x14ac:dyDescent="0.25">
      <c r="A132" s="62" t="s">
        <v>2324</v>
      </c>
      <c r="B132" s="62" t="s">
        <v>1060</v>
      </c>
      <c r="C132" s="63" t="s">
        <v>1041</v>
      </c>
      <c r="D132" s="62" t="s">
        <v>273</v>
      </c>
      <c r="E132" s="63" t="s">
        <v>481</v>
      </c>
      <c r="F132" s="62" t="s">
        <v>272</v>
      </c>
      <c r="G132" s="62" t="s">
        <v>123</v>
      </c>
      <c r="H132" s="64">
        <v>90000</v>
      </c>
      <c r="I132" s="64">
        <v>5000</v>
      </c>
      <c r="J132" s="62">
        <f t="shared" si="6"/>
        <v>95000</v>
      </c>
      <c r="K132" s="64">
        <v>95000</v>
      </c>
      <c r="L132" s="62">
        <f t="shared" si="7"/>
        <v>0</v>
      </c>
      <c r="M132" s="65" t="s">
        <v>57</v>
      </c>
      <c r="N132" s="65" t="s">
        <v>484</v>
      </c>
    </row>
    <row r="133" spans="1:14" ht="15" customHeight="1" x14ac:dyDescent="0.25">
      <c r="A133" s="62" t="s">
        <v>2325</v>
      </c>
      <c r="B133" s="62" t="s">
        <v>1063</v>
      </c>
      <c r="C133" s="63" t="s">
        <v>1049</v>
      </c>
      <c r="D133" s="62" t="s">
        <v>430</v>
      </c>
      <c r="E133" s="63" t="s">
        <v>481</v>
      </c>
      <c r="F133" s="62" t="s">
        <v>272</v>
      </c>
      <c r="G133" s="62" t="s">
        <v>418</v>
      </c>
      <c r="H133" s="64">
        <v>180000</v>
      </c>
      <c r="I133" s="64">
        <v>5000</v>
      </c>
      <c r="J133" s="62">
        <f t="shared" si="6"/>
        <v>185000</v>
      </c>
      <c r="K133" s="64">
        <v>185000</v>
      </c>
      <c r="L133" s="62">
        <f t="shared" si="7"/>
        <v>0</v>
      </c>
      <c r="M133" s="65" t="s">
        <v>57</v>
      </c>
      <c r="N133" s="65" t="s">
        <v>484</v>
      </c>
    </row>
    <row r="134" spans="1:14" ht="15" customHeight="1" x14ac:dyDescent="0.25">
      <c r="A134" s="62" t="s">
        <v>2326</v>
      </c>
      <c r="B134" s="62" t="s">
        <v>1066</v>
      </c>
      <c r="C134" s="63" t="s">
        <v>1036</v>
      </c>
      <c r="D134" s="62" t="s">
        <v>46</v>
      </c>
      <c r="E134" s="63" t="s">
        <v>808</v>
      </c>
      <c r="F134" s="62" t="s">
        <v>54</v>
      </c>
      <c r="G134" s="62" t="s">
        <v>78</v>
      </c>
      <c r="H134" s="64">
        <v>75000</v>
      </c>
      <c r="I134" s="64">
        <v>5000</v>
      </c>
      <c r="J134" s="62">
        <f t="shared" si="6"/>
        <v>80000</v>
      </c>
      <c r="K134" s="64">
        <v>80000</v>
      </c>
      <c r="L134" s="62">
        <f t="shared" si="7"/>
        <v>0</v>
      </c>
      <c r="M134" s="65" t="s">
        <v>57</v>
      </c>
      <c r="N134" s="65" t="s">
        <v>786</v>
      </c>
    </row>
    <row r="135" spans="1:14" ht="15" customHeight="1" x14ac:dyDescent="0.25">
      <c r="A135" s="62" t="s">
        <v>2327</v>
      </c>
      <c r="B135" s="62" t="s">
        <v>1068</v>
      </c>
      <c r="C135" s="63" t="s">
        <v>1041</v>
      </c>
      <c r="D135" s="62" t="s">
        <v>273</v>
      </c>
      <c r="E135" s="63" t="s">
        <v>808</v>
      </c>
      <c r="F135" s="62" t="s">
        <v>272</v>
      </c>
      <c r="G135" s="62" t="s">
        <v>123</v>
      </c>
      <c r="H135" s="64">
        <v>90000</v>
      </c>
      <c r="I135" s="64">
        <v>5000</v>
      </c>
      <c r="J135" s="62">
        <f t="shared" si="6"/>
        <v>95000</v>
      </c>
      <c r="K135" s="64">
        <v>95000</v>
      </c>
      <c r="L135" s="62">
        <f t="shared" si="7"/>
        <v>0</v>
      </c>
      <c r="M135" s="65" t="s">
        <v>57</v>
      </c>
      <c r="N135" s="65" t="s">
        <v>786</v>
      </c>
    </row>
    <row r="136" spans="1:14" ht="15" customHeight="1" x14ac:dyDescent="0.25">
      <c r="A136" s="62" t="s">
        <v>2328</v>
      </c>
      <c r="B136" s="62" t="s">
        <v>1070</v>
      </c>
      <c r="C136" s="63" t="s">
        <v>1049</v>
      </c>
      <c r="D136" s="62" t="s">
        <v>430</v>
      </c>
      <c r="E136" s="63" t="s">
        <v>808</v>
      </c>
      <c r="F136" s="62" t="s">
        <v>272</v>
      </c>
      <c r="G136" s="62" t="s">
        <v>418</v>
      </c>
      <c r="H136" s="64">
        <v>180000</v>
      </c>
      <c r="I136" s="64">
        <v>5000</v>
      </c>
      <c r="J136" s="62">
        <f t="shared" si="6"/>
        <v>185000</v>
      </c>
      <c r="K136" s="64">
        <v>185000</v>
      </c>
      <c r="L136" s="62">
        <f t="shared" si="7"/>
        <v>0</v>
      </c>
      <c r="M136" s="65" t="s">
        <v>57</v>
      </c>
      <c r="N136" s="65" t="s">
        <v>786</v>
      </c>
    </row>
    <row r="137" spans="1:14" ht="15" customHeight="1" x14ac:dyDescent="0.25">
      <c r="A137" s="63" t="s">
        <v>2329</v>
      </c>
      <c r="B137" s="63" t="s">
        <v>1072</v>
      </c>
      <c r="C137" s="63" t="s">
        <v>1073</v>
      </c>
      <c r="D137" s="63" t="s">
        <v>46</v>
      </c>
      <c r="E137" s="63" t="s">
        <v>48</v>
      </c>
      <c r="F137" s="62" t="s">
        <v>54</v>
      </c>
      <c r="G137" s="62" t="s">
        <v>78</v>
      </c>
      <c r="H137" s="64">
        <v>75000</v>
      </c>
      <c r="I137" s="64">
        <v>5000</v>
      </c>
      <c r="J137" s="62">
        <f t="shared" si="6"/>
        <v>80000</v>
      </c>
      <c r="K137" s="64">
        <v>80000</v>
      </c>
      <c r="L137" s="62">
        <f t="shared" si="7"/>
        <v>0</v>
      </c>
      <c r="M137" s="62" t="s">
        <v>57</v>
      </c>
      <c r="N137" s="63" t="s">
        <v>62</v>
      </c>
    </row>
    <row r="138" spans="1:14" ht="15" customHeight="1" x14ac:dyDescent="0.25">
      <c r="A138" s="63" t="s">
        <v>2330</v>
      </c>
      <c r="B138" s="63" t="s">
        <v>1078</v>
      </c>
      <c r="C138" s="63" t="s">
        <v>1079</v>
      </c>
      <c r="D138" s="63" t="s">
        <v>71</v>
      </c>
      <c r="E138" s="63" t="s">
        <v>73</v>
      </c>
      <c r="F138" s="62" t="s">
        <v>54</v>
      </c>
      <c r="G138" s="62" t="s">
        <v>56</v>
      </c>
      <c r="H138" s="64">
        <v>65000</v>
      </c>
      <c r="I138" s="64">
        <v>5000</v>
      </c>
      <c r="J138" s="62">
        <f t="shared" si="6"/>
        <v>70000</v>
      </c>
      <c r="K138" s="64">
        <v>5000</v>
      </c>
      <c r="L138" s="62">
        <f t="shared" si="7"/>
        <v>65000</v>
      </c>
      <c r="M138" s="62" t="s">
        <v>124</v>
      </c>
      <c r="N138" s="63" t="s">
        <v>62</v>
      </c>
    </row>
    <row r="139" spans="1:14" ht="15" customHeight="1" x14ac:dyDescent="0.25">
      <c r="A139" s="63" t="s">
        <v>2331</v>
      </c>
      <c r="B139" s="63" t="s">
        <v>1082</v>
      </c>
      <c r="C139" s="63" t="s">
        <v>1083</v>
      </c>
      <c r="D139" s="63" t="s">
        <v>46</v>
      </c>
      <c r="E139" s="63" t="s">
        <v>102</v>
      </c>
      <c r="F139" s="62" t="s">
        <v>54</v>
      </c>
      <c r="G139" s="62" t="s">
        <v>123</v>
      </c>
      <c r="H139" s="64">
        <v>75000</v>
      </c>
      <c r="I139" s="64">
        <v>5000</v>
      </c>
      <c r="J139" s="62">
        <f t="shared" si="6"/>
        <v>80000</v>
      </c>
      <c r="K139" s="64">
        <v>80000</v>
      </c>
      <c r="L139" s="62">
        <f t="shared" si="7"/>
        <v>0</v>
      </c>
      <c r="M139" s="62" t="s">
        <v>57</v>
      </c>
      <c r="N139" s="63" t="s">
        <v>62</v>
      </c>
    </row>
    <row r="140" spans="1:14" ht="15" customHeight="1" x14ac:dyDescent="0.25">
      <c r="A140" s="63" t="s">
        <v>2332</v>
      </c>
      <c r="B140" s="63" t="s">
        <v>1089</v>
      </c>
      <c r="C140" s="63" t="s">
        <v>1090</v>
      </c>
      <c r="D140" s="63" t="s">
        <v>147</v>
      </c>
      <c r="E140" s="63" t="s">
        <v>149</v>
      </c>
      <c r="F140" s="62" t="s">
        <v>54</v>
      </c>
      <c r="G140" s="62" t="s">
        <v>91</v>
      </c>
      <c r="H140" s="64">
        <v>70000</v>
      </c>
      <c r="I140" s="64">
        <v>5000</v>
      </c>
      <c r="J140" s="62">
        <f t="shared" si="6"/>
        <v>75000</v>
      </c>
      <c r="K140" s="64">
        <v>75000</v>
      </c>
      <c r="L140" s="62">
        <f t="shared" si="7"/>
        <v>0</v>
      </c>
      <c r="M140" s="62" t="s">
        <v>57</v>
      </c>
      <c r="N140" s="63" t="s">
        <v>62</v>
      </c>
    </row>
    <row r="141" spans="1:14" ht="15" customHeight="1" x14ac:dyDescent="0.25">
      <c r="A141" s="63" t="s">
        <v>2333</v>
      </c>
      <c r="B141" s="63" t="s">
        <v>1094</v>
      </c>
      <c r="C141" s="63" t="s">
        <v>1095</v>
      </c>
      <c r="D141" s="63" t="s">
        <v>132</v>
      </c>
      <c r="E141" s="63" t="s">
        <v>134</v>
      </c>
      <c r="F141" s="62" t="s">
        <v>54</v>
      </c>
      <c r="G141" s="62" t="s">
        <v>78</v>
      </c>
      <c r="H141" s="64">
        <v>60000</v>
      </c>
      <c r="I141" s="64">
        <v>5000</v>
      </c>
      <c r="J141" s="62">
        <f t="shared" si="6"/>
        <v>65000</v>
      </c>
      <c r="K141" s="64">
        <v>65000</v>
      </c>
      <c r="L141" s="62">
        <f t="shared" si="7"/>
        <v>0</v>
      </c>
      <c r="M141" s="62" t="s">
        <v>57</v>
      </c>
      <c r="N141" s="63" t="s">
        <v>62</v>
      </c>
    </row>
    <row r="142" spans="1:14" ht="15" customHeight="1" x14ac:dyDescent="0.25">
      <c r="A142" s="63" t="s">
        <v>2334</v>
      </c>
      <c r="B142" s="63" t="s">
        <v>1099</v>
      </c>
      <c r="C142" s="63" t="s">
        <v>1100</v>
      </c>
      <c r="D142" s="63" t="s">
        <v>156</v>
      </c>
      <c r="E142" s="63" t="s">
        <v>73</v>
      </c>
      <c r="F142" s="62" t="s">
        <v>54</v>
      </c>
      <c r="G142" s="62" t="s">
        <v>91</v>
      </c>
      <c r="H142" s="64">
        <v>65000</v>
      </c>
      <c r="I142" s="64">
        <v>5000</v>
      </c>
      <c r="J142" s="62">
        <f t="shared" ref="J142:J173" si="8">H142+I142</f>
        <v>70000</v>
      </c>
      <c r="K142" s="64">
        <v>20000</v>
      </c>
      <c r="L142" s="62">
        <f t="shared" ref="L142:L173" si="9">J142-K142</f>
        <v>50000</v>
      </c>
      <c r="M142" s="62" t="s">
        <v>263</v>
      </c>
      <c r="N142" s="63" t="s">
        <v>62</v>
      </c>
    </row>
    <row r="143" spans="1:14" ht="15" customHeight="1" x14ac:dyDescent="0.25">
      <c r="A143" s="63" t="s">
        <v>2335</v>
      </c>
      <c r="B143" s="63" t="s">
        <v>1104</v>
      </c>
      <c r="C143" s="63" t="s">
        <v>1105</v>
      </c>
      <c r="D143" s="63" t="s">
        <v>46</v>
      </c>
      <c r="E143" s="63" t="s">
        <v>85</v>
      </c>
      <c r="F143" s="62" t="s">
        <v>54</v>
      </c>
      <c r="G143" s="62" t="s">
        <v>56</v>
      </c>
      <c r="H143" s="64">
        <v>75000</v>
      </c>
      <c r="I143" s="64">
        <v>5000</v>
      </c>
      <c r="J143" s="62">
        <f t="shared" si="8"/>
        <v>80000</v>
      </c>
      <c r="K143" s="64">
        <v>80000</v>
      </c>
      <c r="L143" s="62">
        <f t="shared" si="9"/>
        <v>0</v>
      </c>
      <c r="M143" s="62" t="s">
        <v>57</v>
      </c>
      <c r="N143" s="63" t="s">
        <v>62</v>
      </c>
    </row>
    <row r="144" spans="1:14" ht="15" customHeight="1" x14ac:dyDescent="0.25">
      <c r="A144" s="63" t="s">
        <v>2336</v>
      </c>
      <c r="B144" s="63" t="s">
        <v>1110</v>
      </c>
      <c r="C144" s="63" t="s">
        <v>1111</v>
      </c>
      <c r="D144" s="63" t="s">
        <v>46</v>
      </c>
      <c r="E144" s="63" t="s">
        <v>48</v>
      </c>
      <c r="F144" s="62" t="s">
        <v>54</v>
      </c>
      <c r="G144" s="62" t="s">
        <v>123</v>
      </c>
      <c r="H144" s="64">
        <v>75000</v>
      </c>
      <c r="I144" s="64">
        <v>5000</v>
      </c>
      <c r="J144" s="62">
        <f t="shared" si="8"/>
        <v>80000</v>
      </c>
      <c r="K144" s="64">
        <v>5000</v>
      </c>
      <c r="L144" s="62">
        <f t="shared" si="9"/>
        <v>75000</v>
      </c>
      <c r="M144" s="62" t="s">
        <v>124</v>
      </c>
      <c r="N144" s="63" t="s">
        <v>62</v>
      </c>
    </row>
    <row r="145" spans="1:14" ht="15" customHeight="1" x14ac:dyDescent="0.25">
      <c r="A145" s="63" t="s">
        <v>2337</v>
      </c>
      <c r="B145" s="63" t="s">
        <v>1115</v>
      </c>
      <c r="C145" s="63" t="s">
        <v>1116</v>
      </c>
      <c r="D145" s="63" t="s">
        <v>193</v>
      </c>
      <c r="E145" s="63" t="s">
        <v>102</v>
      </c>
      <c r="F145" s="62" t="s">
        <v>54</v>
      </c>
      <c r="G145" s="62" t="s">
        <v>107</v>
      </c>
      <c r="H145" s="64">
        <v>80000</v>
      </c>
      <c r="I145" s="64">
        <v>5000</v>
      </c>
      <c r="J145" s="62">
        <f t="shared" si="8"/>
        <v>85000</v>
      </c>
      <c r="K145" s="64">
        <v>85000</v>
      </c>
      <c r="L145" s="62">
        <f t="shared" si="9"/>
        <v>0</v>
      </c>
      <c r="M145" s="62" t="s">
        <v>108</v>
      </c>
      <c r="N145" s="63" t="s">
        <v>62</v>
      </c>
    </row>
    <row r="146" spans="1:14" ht="15" customHeight="1" x14ac:dyDescent="0.25">
      <c r="A146" s="63" t="s">
        <v>2338</v>
      </c>
      <c r="B146" s="63" t="s">
        <v>1120</v>
      </c>
      <c r="C146" s="63" t="s">
        <v>1121</v>
      </c>
      <c r="D146" s="63" t="s">
        <v>46</v>
      </c>
      <c r="E146" s="63" t="s">
        <v>117</v>
      </c>
      <c r="F146" s="62" t="s">
        <v>54</v>
      </c>
      <c r="G146" s="62" t="s">
        <v>78</v>
      </c>
      <c r="H146" s="64">
        <v>75000</v>
      </c>
      <c r="I146" s="64">
        <v>5000</v>
      </c>
      <c r="J146" s="62">
        <f t="shared" si="8"/>
        <v>80000</v>
      </c>
      <c r="K146" s="64">
        <v>80000</v>
      </c>
      <c r="L146" s="62">
        <f t="shared" si="9"/>
        <v>0</v>
      </c>
      <c r="M146" s="62" t="s">
        <v>57</v>
      </c>
      <c r="N146" s="63" t="s">
        <v>62</v>
      </c>
    </row>
    <row r="147" spans="1:14" ht="15" customHeight="1" x14ac:dyDescent="0.25">
      <c r="A147" s="63" t="s">
        <v>2339</v>
      </c>
      <c r="B147" s="63" t="s">
        <v>1125</v>
      </c>
      <c r="C147" s="63" t="s">
        <v>1126</v>
      </c>
      <c r="D147" s="63" t="s">
        <v>71</v>
      </c>
      <c r="E147" s="63" t="s">
        <v>187</v>
      </c>
      <c r="F147" s="62" t="s">
        <v>54</v>
      </c>
      <c r="G147" s="62" t="s">
        <v>56</v>
      </c>
      <c r="H147" s="64">
        <v>65000</v>
      </c>
      <c r="I147" s="64">
        <v>5000</v>
      </c>
      <c r="J147" s="62">
        <f t="shared" si="8"/>
        <v>70000</v>
      </c>
      <c r="K147" s="64">
        <v>70000</v>
      </c>
      <c r="L147" s="62">
        <f t="shared" si="9"/>
        <v>0</v>
      </c>
      <c r="M147" s="62" t="s">
        <v>57</v>
      </c>
      <c r="N147" s="63" t="s">
        <v>62</v>
      </c>
    </row>
    <row r="148" spans="1:14" ht="15" customHeight="1" x14ac:dyDescent="0.25">
      <c r="A148" s="63" t="s">
        <v>2340</v>
      </c>
      <c r="B148" s="63" t="s">
        <v>1130</v>
      </c>
      <c r="C148" s="63" t="s">
        <v>1131</v>
      </c>
      <c r="D148" s="63" t="s">
        <v>46</v>
      </c>
      <c r="E148" s="63" t="s">
        <v>117</v>
      </c>
      <c r="F148" s="62" t="s">
        <v>54</v>
      </c>
      <c r="G148" s="62" t="s">
        <v>123</v>
      </c>
      <c r="H148" s="64">
        <v>75000</v>
      </c>
      <c r="I148" s="64">
        <v>5000</v>
      </c>
      <c r="J148" s="62">
        <f t="shared" si="8"/>
        <v>80000</v>
      </c>
      <c r="K148" s="64">
        <v>0</v>
      </c>
      <c r="L148" s="62">
        <f t="shared" si="9"/>
        <v>80000</v>
      </c>
      <c r="M148" s="62" t="s">
        <v>197</v>
      </c>
      <c r="N148" s="63" t="s">
        <v>62</v>
      </c>
    </row>
    <row r="149" spans="1:14" ht="15" customHeight="1" x14ac:dyDescent="0.25">
      <c r="A149" s="63" t="s">
        <v>2341</v>
      </c>
      <c r="B149" s="63" t="s">
        <v>1135</v>
      </c>
      <c r="C149" s="63" t="s">
        <v>1136</v>
      </c>
      <c r="D149" s="63" t="s">
        <v>46</v>
      </c>
      <c r="E149" s="63" t="s">
        <v>117</v>
      </c>
      <c r="F149" s="62" t="s">
        <v>54</v>
      </c>
      <c r="G149" s="62" t="s">
        <v>78</v>
      </c>
      <c r="H149" s="64">
        <v>75000</v>
      </c>
      <c r="I149" s="64">
        <v>5000</v>
      </c>
      <c r="J149" s="62">
        <f t="shared" si="8"/>
        <v>80000</v>
      </c>
      <c r="K149" s="64">
        <v>80000</v>
      </c>
      <c r="L149" s="62">
        <f t="shared" si="9"/>
        <v>0</v>
      </c>
      <c r="M149" s="62" t="s">
        <v>57</v>
      </c>
      <c r="N149" s="63" t="s">
        <v>62</v>
      </c>
    </row>
    <row r="150" spans="1:14" ht="15" customHeight="1" x14ac:dyDescent="0.25">
      <c r="A150" s="63" t="s">
        <v>2342</v>
      </c>
      <c r="B150" s="63" t="s">
        <v>1140</v>
      </c>
      <c r="C150" s="63" t="s">
        <v>1141</v>
      </c>
      <c r="D150" s="63" t="s">
        <v>71</v>
      </c>
      <c r="E150" s="63" t="s">
        <v>187</v>
      </c>
      <c r="F150" s="62" t="s">
        <v>54</v>
      </c>
      <c r="G150" s="62" t="s">
        <v>91</v>
      </c>
      <c r="H150" s="64">
        <v>65000</v>
      </c>
      <c r="I150" s="64">
        <v>5000</v>
      </c>
      <c r="J150" s="62">
        <f t="shared" si="8"/>
        <v>70000</v>
      </c>
      <c r="K150" s="64">
        <v>70000</v>
      </c>
      <c r="L150" s="62">
        <f t="shared" si="9"/>
        <v>0</v>
      </c>
      <c r="M150" s="62" t="s">
        <v>57</v>
      </c>
      <c r="N150" s="63" t="s">
        <v>62</v>
      </c>
    </row>
    <row r="151" spans="1:14" ht="15" customHeight="1" x14ac:dyDescent="0.25">
      <c r="A151" s="63" t="s">
        <v>2343</v>
      </c>
      <c r="B151" s="63" t="s">
        <v>1145</v>
      </c>
      <c r="C151" s="63" t="s">
        <v>1146</v>
      </c>
      <c r="D151" s="63" t="s">
        <v>46</v>
      </c>
      <c r="E151" s="63" t="s">
        <v>117</v>
      </c>
      <c r="F151" s="62" t="s">
        <v>54</v>
      </c>
      <c r="G151" s="62" t="s">
        <v>78</v>
      </c>
      <c r="H151" s="64">
        <v>75000</v>
      </c>
      <c r="I151" s="64">
        <v>5000</v>
      </c>
      <c r="J151" s="62">
        <f t="shared" si="8"/>
        <v>80000</v>
      </c>
      <c r="K151" s="64">
        <v>5000</v>
      </c>
      <c r="L151" s="62">
        <f t="shared" si="9"/>
        <v>75000</v>
      </c>
      <c r="M151" s="62" t="s">
        <v>124</v>
      </c>
      <c r="N151" s="63" t="s">
        <v>62</v>
      </c>
    </row>
    <row r="152" spans="1:14" ht="15" customHeight="1" x14ac:dyDescent="0.25">
      <c r="A152" s="63" t="s">
        <v>2344</v>
      </c>
      <c r="B152" s="63" t="s">
        <v>1150</v>
      </c>
      <c r="C152" s="63" t="s">
        <v>1151</v>
      </c>
      <c r="D152" s="63" t="s">
        <v>156</v>
      </c>
      <c r="E152" s="63" t="s">
        <v>73</v>
      </c>
      <c r="F152" s="62" t="s">
        <v>54</v>
      </c>
      <c r="G152" s="62" t="s">
        <v>56</v>
      </c>
      <c r="H152" s="64">
        <v>65000</v>
      </c>
      <c r="I152" s="64">
        <v>5000</v>
      </c>
      <c r="J152" s="62">
        <f t="shared" si="8"/>
        <v>70000</v>
      </c>
      <c r="K152" s="64">
        <v>70000</v>
      </c>
      <c r="L152" s="62">
        <f t="shared" si="9"/>
        <v>0</v>
      </c>
      <c r="M152" s="62" t="s">
        <v>57</v>
      </c>
      <c r="N152" s="63" t="s">
        <v>62</v>
      </c>
    </row>
    <row r="153" spans="1:14" ht="15" customHeight="1" x14ac:dyDescent="0.25">
      <c r="A153" s="63" t="s">
        <v>2345</v>
      </c>
      <c r="B153" s="63" t="s">
        <v>1155</v>
      </c>
      <c r="C153" s="63" t="s">
        <v>1156</v>
      </c>
      <c r="D153" s="63" t="s">
        <v>46</v>
      </c>
      <c r="E153" s="63" t="s">
        <v>85</v>
      </c>
      <c r="F153" s="62" t="s">
        <v>54</v>
      </c>
      <c r="G153" s="62" t="s">
        <v>123</v>
      </c>
      <c r="H153" s="64">
        <v>75000</v>
      </c>
      <c r="I153" s="64">
        <v>5000</v>
      </c>
      <c r="J153" s="62">
        <f t="shared" si="8"/>
        <v>80000</v>
      </c>
      <c r="K153" s="64">
        <v>80000</v>
      </c>
      <c r="L153" s="62">
        <f t="shared" si="9"/>
        <v>0</v>
      </c>
      <c r="M153" s="62" t="s">
        <v>57</v>
      </c>
      <c r="N153" s="63" t="s">
        <v>62</v>
      </c>
    </row>
    <row r="154" spans="1:14" ht="15" customHeight="1" x14ac:dyDescent="0.25">
      <c r="A154" s="63" t="s">
        <v>2346</v>
      </c>
      <c r="B154" s="63" t="s">
        <v>1160</v>
      </c>
      <c r="C154" s="63" t="s">
        <v>1161</v>
      </c>
      <c r="D154" s="63" t="s">
        <v>71</v>
      </c>
      <c r="E154" s="63" t="s">
        <v>204</v>
      </c>
      <c r="F154" s="62" t="s">
        <v>54</v>
      </c>
      <c r="G154" s="62" t="s">
        <v>91</v>
      </c>
      <c r="H154" s="64">
        <v>65000</v>
      </c>
      <c r="I154" s="64">
        <v>5000</v>
      </c>
      <c r="J154" s="62">
        <f t="shared" si="8"/>
        <v>70000</v>
      </c>
      <c r="K154" s="64">
        <v>0</v>
      </c>
      <c r="L154" s="62">
        <f t="shared" si="9"/>
        <v>70000</v>
      </c>
      <c r="M154" s="62" t="s">
        <v>160</v>
      </c>
      <c r="N154" s="63" t="s">
        <v>62</v>
      </c>
    </row>
    <row r="155" spans="1:14" ht="15" customHeight="1" x14ac:dyDescent="0.25">
      <c r="A155" s="63" t="s">
        <v>2347</v>
      </c>
      <c r="B155" s="63" t="s">
        <v>1165</v>
      </c>
      <c r="C155" s="63" t="s">
        <v>1166</v>
      </c>
      <c r="D155" s="63" t="s">
        <v>46</v>
      </c>
      <c r="E155" s="63" t="s">
        <v>102</v>
      </c>
      <c r="F155" s="62" t="s">
        <v>54</v>
      </c>
      <c r="G155" s="62" t="s">
        <v>78</v>
      </c>
      <c r="H155" s="64">
        <v>75000</v>
      </c>
      <c r="I155" s="64">
        <v>5000</v>
      </c>
      <c r="J155" s="62">
        <f t="shared" si="8"/>
        <v>80000</v>
      </c>
      <c r="K155" s="64">
        <v>80000</v>
      </c>
      <c r="L155" s="62">
        <f t="shared" si="9"/>
        <v>0</v>
      </c>
      <c r="M155" s="62" t="s">
        <v>57</v>
      </c>
      <c r="N155" s="63" t="s">
        <v>62</v>
      </c>
    </row>
    <row r="156" spans="1:14" ht="15" customHeight="1" x14ac:dyDescent="0.25">
      <c r="A156" s="63" t="s">
        <v>2348</v>
      </c>
      <c r="B156" s="63" t="s">
        <v>1170</v>
      </c>
      <c r="C156" s="63" t="s">
        <v>1171</v>
      </c>
      <c r="D156" s="63" t="s">
        <v>46</v>
      </c>
      <c r="E156" s="63" t="s">
        <v>48</v>
      </c>
      <c r="F156" s="62" t="s">
        <v>54</v>
      </c>
      <c r="G156" s="62" t="s">
        <v>78</v>
      </c>
      <c r="H156" s="64">
        <v>75000</v>
      </c>
      <c r="I156" s="64">
        <v>5000</v>
      </c>
      <c r="J156" s="62">
        <f t="shared" si="8"/>
        <v>80000</v>
      </c>
      <c r="K156" s="64">
        <v>0</v>
      </c>
      <c r="L156" s="62">
        <f t="shared" si="9"/>
        <v>80000</v>
      </c>
      <c r="M156" s="62" t="s">
        <v>197</v>
      </c>
      <c r="N156" s="63" t="s">
        <v>62</v>
      </c>
    </row>
    <row r="157" spans="1:14" x14ac:dyDescent="0.25">
      <c r="A157" s="62" t="s">
        <v>2349</v>
      </c>
      <c r="B157" s="62"/>
      <c r="C157" s="63"/>
      <c r="D157" s="62"/>
      <c r="E157" s="63"/>
      <c r="F157" s="62"/>
      <c r="G157" s="62"/>
      <c r="H157" s="64">
        <f>SUM(H5:H156)</f>
        <v>13120000</v>
      </c>
      <c r="I157" s="64">
        <f>SUM(I5:I156)</f>
        <v>760000</v>
      </c>
      <c r="J157" s="62">
        <f>SUM(J5:J156)</f>
        <v>13880000</v>
      </c>
      <c r="K157" s="64">
        <f>SUM(K5:K156)</f>
        <v>12043500</v>
      </c>
      <c r="L157" s="62">
        <f>SUM(L5:L156)</f>
        <v>1836500</v>
      </c>
      <c r="M157" s="65"/>
      <c r="N157" s="65"/>
    </row>
  </sheetData>
  <mergeCells count="2">
    <mergeCell ref="A1:L1"/>
    <mergeCell ref="A2:L2"/>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57"/>
  <sheetViews>
    <sheetView showGridLines="0" zoomScaleNormal="100" workbookViewId="0">
      <pane ySplit="4" topLeftCell="A5" activePane="bottomLeft" state="frozen"/>
      <selection pane="bottomLeft"/>
    </sheetView>
  </sheetViews>
  <sheetFormatPr defaultColWidth="8.7109375" defaultRowHeight="15" x14ac:dyDescent="0.25"/>
  <cols>
    <col min="1" max="1" width="14" customWidth="1"/>
    <col min="2" max="2" width="16" customWidth="1"/>
    <col min="3" max="3" width="18" customWidth="1"/>
    <col min="4" max="4" width="24" customWidth="1"/>
    <col min="5" max="5" width="14" customWidth="1"/>
    <col min="6" max="7" width="18" customWidth="1"/>
    <col min="8" max="8" width="16" customWidth="1"/>
    <col min="9" max="9" width="18" customWidth="1"/>
    <col min="10" max="10" width="20" customWidth="1"/>
    <col min="11" max="11" width="14" customWidth="1"/>
    <col min="12" max="12" width="12" customWidth="1"/>
  </cols>
  <sheetData>
    <row r="1" spans="1:13" ht="25.5" customHeight="1" x14ac:dyDescent="0.25">
      <c r="A1" s="14" t="s">
        <v>2350</v>
      </c>
      <c r="B1" s="14"/>
      <c r="C1" s="14"/>
      <c r="D1" s="14"/>
      <c r="E1" s="14"/>
      <c r="F1" s="14"/>
      <c r="G1" s="14"/>
      <c r="H1" s="14"/>
      <c r="I1" s="14"/>
      <c r="J1" s="14"/>
      <c r="K1" s="14"/>
    </row>
    <row r="2" spans="1:13" ht="15.75" customHeight="1" x14ac:dyDescent="0.25">
      <c r="A2" s="13" t="s">
        <v>2183</v>
      </c>
      <c r="B2" s="13"/>
      <c r="C2" s="13"/>
      <c r="D2" s="13"/>
      <c r="E2" s="13"/>
      <c r="F2" s="13"/>
      <c r="G2" s="13"/>
      <c r="H2" s="13"/>
      <c r="I2" s="13"/>
      <c r="J2" s="13"/>
      <c r="K2" s="13"/>
    </row>
    <row r="4" spans="1:13" ht="18" customHeight="1" x14ac:dyDescent="0.25">
      <c r="A4" s="61" t="s">
        <v>2351</v>
      </c>
      <c r="B4" s="61" t="s">
        <v>2184</v>
      </c>
      <c r="C4" s="61" t="s">
        <v>2185</v>
      </c>
      <c r="D4" s="61" t="s">
        <v>2186</v>
      </c>
      <c r="E4" s="61" t="s">
        <v>2352</v>
      </c>
      <c r="F4" s="61" t="s">
        <v>2353</v>
      </c>
      <c r="G4" s="61" t="s">
        <v>2354</v>
      </c>
      <c r="H4" s="61" t="s">
        <v>2355</v>
      </c>
      <c r="I4" s="61" t="s">
        <v>2356</v>
      </c>
      <c r="J4" s="61" t="s">
        <v>2357</v>
      </c>
      <c r="K4" s="61" t="s">
        <v>2358</v>
      </c>
      <c r="L4" s="61" t="s">
        <v>2359</v>
      </c>
      <c r="M4" s="61" t="s">
        <v>35</v>
      </c>
    </row>
    <row r="5" spans="1:13" ht="15.75" customHeight="1" x14ac:dyDescent="0.25">
      <c r="A5" s="62" t="s">
        <v>2360</v>
      </c>
      <c r="B5" s="62" t="s">
        <v>2195</v>
      </c>
      <c r="C5" s="62" t="s">
        <v>40</v>
      </c>
      <c r="D5" s="63" t="s">
        <v>41</v>
      </c>
      <c r="E5" s="62" t="s">
        <v>2361</v>
      </c>
      <c r="F5" s="62" t="s">
        <v>2362</v>
      </c>
      <c r="G5" s="62" t="s">
        <v>2363</v>
      </c>
      <c r="H5" s="64">
        <v>80000</v>
      </c>
      <c r="I5" s="62" t="s">
        <v>2364</v>
      </c>
      <c r="J5" s="62" t="s">
        <v>2365</v>
      </c>
      <c r="K5" s="62" t="s">
        <v>2366</v>
      </c>
      <c r="L5" s="65" t="s">
        <v>2367</v>
      </c>
      <c r="M5" s="65" t="s">
        <v>62</v>
      </c>
    </row>
    <row r="6" spans="1:13" ht="15.75" customHeight="1" x14ac:dyDescent="0.25">
      <c r="A6" s="66" t="s">
        <v>2368</v>
      </c>
      <c r="B6" s="66" t="s">
        <v>2196</v>
      </c>
      <c r="C6" s="66" t="s">
        <v>65</v>
      </c>
      <c r="D6" s="67" t="s">
        <v>66</v>
      </c>
      <c r="E6" s="66" t="s">
        <v>2369</v>
      </c>
      <c r="F6" s="66" t="s">
        <v>2362</v>
      </c>
      <c r="G6" s="66" t="s">
        <v>2370</v>
      </c>
      <c r="H6" s="68">
        <v>70000</v>
      </c>
      <c r="I6" s="66" t="s">
        <v>2364</v>
      </c>
      <c r="J6" s="66" t="s">
        <v>2371</v>
      </c>
      <c r="K6" s="66" t="s">
        <v>2372</v>
      </c>
      <c r="L6" s="65" t="s">
        <v>2367</v>
      </c>
      <c r="M6" s="65" t="s">
        <v>62</v>
      </c>
    </row>
    <row r="7" spans="1:13" ht="15.75" customHeight="1" x14ac:dyDescent="0.25">
      <c r="A7" s="62" t="s">
        <v>2373</v>
      </c>
      <c r="B7" s="62" t="s">
        <v>2197</v>
      </c>
      <c r="C7" s="62" t="s">
        <v>79</v>
      </c>
      <c r="D7" s="63" t="s">
        <v>80</v>
      </c>
      <c r="E7" s="62" t="s">
        <v>120</v>
      </c>
      <c r="F7" s="62" t="s">
        <v>2374</v>
      </c>
      <c r="G7" s="62" t="s">
        <v>2375</v>
      </c>
      <c r="H7" s="64">
        <v>80000</v>
      </c>
      <c r="I7" s="62" t="s">
        <v>2364</v>
      </c>
      <c r="J7" s="62" t="s">
        <v>2365</v>
      </c>
      <c r="K7" s="62" t="s">
        <v>2376</v>
      </c>
      <c r="L7" s="65" t="s">
        <v>2367</v>
      </c>
      <c r="M7" s="65" t="s">
        <v>62</v>
      </c>
    </row>
    <row r="8" spans="1:13" ht="15.75" customHeight="1" x14ac:dyDescent="0.25">
      <c r="A8" s="66" t="s">
        <v>2377</v>
      </c>
      <c r="B8" s="66" t="s">
        <v>2198</v>
      </c>
      <c r="C8" s="66" t="s">
        <v>96</v>
      </c>
      <c r="D8" s="67" t="s">
        <v>97</v>
      </c>
      <c r="E8" s="66" t="s">
        <v>2378</v>
      </c>
      <c r="F8" s="66" t="s">
        <v>2374</v>
      </c>
      <c r="G8" s="66" t="s">
        <v>2379</v>
      </c>
      <c r="H8" s="68">
        <v>80000</v>
      </c>
      <c r="I8" s="66" t="s">
        <v>2364</v>
      </c>
      <c r="J8" s="66" t="s">
        <v>2371</v>
      </c>
      <c r="K8" s="66" t="s">
        <v>2380</v>
      </c>
      <c r="L8" s="65" t="s">
        <v>2367</v>
      </c>
      <c r="M8" s="65" t="s">
        <v>62</v>
      </c>
    </row>
    <row r="9" spans="1:13" ht="15.75" customHeight="1" x14ac:dyDescent="0.25">
      <c r="A9" s="62" t="s">
        <v>2381</v>
      </c>
      <c r="B9" s="62" t="s">
        <v>2199</v>
      </c>
      <c r="C9" s="62" t="s">
        <v>111</v>
      </c>
      <c r="D9" s="63" t="s">
        <v>112</v>
      </c>
      <c r="E9" s="62" t="s">
        <v>683</v>
      </c>
      <c r="F9" s="62" t="s">
        <v>2362</v>
      </c>
      <c r="G9" s="62" t="s">
        <v>2382</v>
      </c>
      <c r="H9" s="64">
        <v>45000</v>
      </c>
      <c r="I9" s="62" t="s">
        <v>2383</v>
      </c>
      <c r="J9" s="62" t="s">
        <v>2371</v>
      </c>
      <c r="K9" s="62" t="s">
        <v>2384</v>
      </c>
      <c r="L9" s="65" t="s">
        <v>2367</v>
      </c>
      <c r="M9" s="65" t="s">
        <v>62</v>
      </c>
    </row>
    <row r="10" spans="1:13" ht="15.75" customHeight="1" x14ac:dyDescent="0.25">
      <c r="A10" s="66" t="s">
        <v>2385</v>
      </c>
      <c r="B10" s="66" t="s">
        <v>2200</v>
      </c>
      <c r="C10" s="66" t="s">
        <v>127</v>
      </c>
      <c r="D10" s="67" t="s">
        <v>128</v>
      </c>
      <c r="E10" s="66" t="s">
        <v>519</v>
      </c>
      <c r="F10" s="66" t="s">
        <v>2374</v>
      </c>
      <c r="G10" s="66" t="s">
        <v>2386</v>
      </c>
      <c r="H10" s="68">
        <v>65000</v>
      </c>
      <c r="I10" s="66" t="s">
        <v>2364</v>
      </c>
      <c r="J10" s="66" t="s">
        <v>2365</v>
      </c>
      <c r="K10" s="66" t="s">
        <v>2387</v>
      </c>
      <c r="L10" s="65" t="s">
        <v>2367</v>
      </c>
      <c r="M10" s="65" t="s">
        <v>62</v>
      </c>
    </row>
    <row r="11" spans="1:13" ht="15.75" customHeight="1" x14ac:dyDescent="0.25">
      <c r="A11" s="62" t="s">
        <v>2388</v>
      </c>
      <c r="B11" s="62" t="s">
        <v>2201</v>
      </c>
      <c r="C11" s="62" t="s">
        <v>135</v>
      </c>
      <c r="D11" s="63" t="s">
        <v>136</v>
      </c>
      <c r="E11" s="62" t="s">
        <v>683</v>
      </c>
      <c r="F11" s="62" t="s">
        <v>2374</v>
      </c>
      <c r="G11" s="62" t="s">
        <v>2389</v>
      </c>
      <c r="H11" s="64">
        <v>80000</v>
      </c>
      <c r="I11" s="62" t="s">
        <v>2364</v>
      </c>
      <c r="J11" s="62" t="s">
        <v>2365</v>
      </c>
      <c r="K11" s="62" t="s">
        <v>2390</v>
      </c>
      <c r="L11" s="65" t="s">
        <v>2367</v>
      </c>
      <c r="M11" s="65" t="s">
        <v>62</v>
      </c>
    </row>
    <row r="12" spans="1:13" ht="15.75" customHeight="1" x14ac:dyDescent="0.25">
      <c r="A12" s="66" t="s">
        <v>2391</v>
      </c>
      <c r="B12" s="66" t="s">
        <v>2202</v>
      </c>
      <c r="C12" s="66" t="s">
        <v>142</v>
      </c>
      <c r="D12" s="67" t="s">
        <v>143</v>
      </c>
      <c r="E12" s="66" t="s">
        <v>2392</v>
      </c>
      <c r="F12" s="66" t="s">
        <v>2362</v>
      </c>
      <c r="G12" s="66" t="s">
        <v>2393</v>
      </c>
      <c r="H12" s="68">
        <v>75000</v>
      </c>
      <c r="I12" s="66" t="s">
        <v>2364</v>
      </c>
      <c r="J12" s="66" t="s">
        <v>2371</v>
      </c>
      <c r="K12" s="66" t="s">
        <v>2394</v>
      </c>
      <c r="L12" s="65" t="s">
        <v>2367</v>
      </c>
      <c r="M12" s="65" t="s">
        <v>62</v>
      </c>
    </row>
    <row r="13" spans="1:13" ht="15.75" customHeight="1" x14ac:dyDescent="0.25">
      <c r="A13" s="62" t="s">
        <v>2395</v>
      </c>
      <c r="B13" s="62" t="s">
        <v>2203</v>
      </c>
      <c r="C13" s="62" t="s">
        <v>151</v>
      </c>
      <c r="D13" s="63" t="s">
        <v>152</v>
      </c>
      <c r="E13" s="62" t="s">
        <v>683</v>
      </c>
      <c r="F13" s="62" t="s">
        <v>2396</v>
      </c>
      <c r="G13" s="62" t="s">
        <v>2396</v>
      </c>
      <c r="H13" s="64">
        <v>0</v>
      </c>
      <c r="I13" s="62" t="s">
        <v>2397</v>
      </c>
      <c r="J13" s="62" t="s">
        <v>2398</v>
      </c>
      <c r="K13" s="62" t="s">
        <v>2399</v>
      </c>
      <c r="L13" s="70" t="s">
        <v>160</v>
      </c>
      <c r="M13" s="70" t="s">
        <v>62</v>
      </c>
    </row>
    <row r="14" spans="1:13" ht="15.75" customHeight="1" x14ac:dyDescent="0.25">
      <c r="A14" s="66" t="s">
        <v>2400</v>
      </c>
      <c r="B14" s="66" t="s">
        <v>2204</v>
      </c>
      <c r="C14" s="66" t="s">
        <v>161</v>
      </c>
      <c r="D14" s="67" t="s">
        <v>162</v>
      </c>
      <c r="E14" s="66" t="s">
        <v>120</v>
      </c>
      <c r="F14" s="66" t="s">
        <v>2374</v>
      </c>
      <c r="G14" s="66" t="s">
        <v>2401</v>
      </c>
      <c r="H14" s="68">
        <v>80000</v>
      </c>
      <c r="I14" s="66" t="s">
        <v>2364</v>
      </c>
      <c r="J14" s="66" t="s">
        <v>2365</v>
      </c>
      <c r="K14" s="66" t="s">
        <v>2402</v>
      </c>
      <c r="L14" s="65" t="s">
        <v>2367</v>
      </c>
      <c r="M14" s="65" t="s">
        <v>62</v>
      </c>
    </row>
    <row r="15" spans="1:13" ht="15.75" customHeight="1" x14ac:dyDescent="0.25">
      <c r="A15" s="62" t="s">
        <v>2403</v>
      </c>
      <c r="B15" s="62" t="s">
        <v>2205</v>
      </c>
      <c r="C15" s="62" t="s">
        <v>168</v>
      </c>
      <c r="D15" s="63" t="s">
        <v>169</v>
      </c>
      <c r="E15" s="62" t="s">
        <v>2404</v>
      </c>
      <c r="F15" s="62" t="s">
        <v>2374</v>
      </c>
      <c r="G15" s="62" t="s">
        <v>2405</v>
      </c>
      <c r="H15" s="64">
        <v>80000</v>
      </c>
      <c r="I15" s="62" t="s">
        <v>2364</v>
      </c>
      <c r="J15" s="62" t="s">
        <v>2365</v>
      </c>
      <c r="K15" s="62" t="s">
        <v>2406</v>
      </c>
      <c r="L15" s="65" t="s">
        <v>2367</v>
      </c>
      <c r="M15" s="65" t="s">
        <v>62</v>
      </c>
    </row>
    <row r="16" spans="1:13" ht="15.75" customHeight="1" x14ac:dyDescent="0.25">
      <c r="A16" s="66" t="s">
        <v>2407</v>
      </c>
      <c r="B16" s="66" t="s">
        <v>2206</v>
      </c>
      <c r="C16" s="66" t="s">
        <v>174</v>
      </c>
      <c r="D16" s="67" t="s">
        <v>175</v>
      </c>
      <c r="E16" s="66" t="s">
        <v>2369</v>
      </c>
      <c r="F16" s="66" t="s">
        <v>2374</v>
      </c>
      <c r="G16" s="66" t="s">
        <v>2408</v>
      </c>
      <c r="H16" s="68">
        <v>80000</v>
      </c>
      <c r="I16" s="66" t="s">
        <v>2364</v>
      </c>
      <c r="J16" s="66" t="s">
        <v>2365</v>
      </c>
      <c r="K16" s="66" t="s">
        <v>2409</v>
      </c>
      <c r="L16" s="65" t="s">
        <v>2367</v>
      </c>
      <c r="M16" s="65" t="s">
        <v>62</v>
      </c>
    </row>
    <row r="17" spans="1:13" ht="15.75" customHeight="1" x14ac:dyDescent="0.25">
      <c r="A17" s="62" t="s">
        <v>2410</v>
      </c>
      <c r="B17" s="62" t="s">
        <v>2207</v>
      </c>
      <c r="C17" s="62" t="s">
        <v>181</v>
      </c>
      <c r="D17" s="63" t="s">
        <v>182</v>
      </c>
      <c r="E17" s="62" t="s">
        <v>2404</v>
      </c>
      <c r="F17" s="62" t="s">
        <v>2374</v>
      </c>
      <c r="G17" s="62" t="s">
        <v>2411</v>
      </c>
      <c r="H17" s="64">
        <v>70000</v>
      </c>
      <c r="I17" s="62" t="s">
        <v>2364</v>
      </c>
      <c r="J17" s="62" t="s">
        <v>2365</v>
      </c>
      <c r="K17" s="62" t="s">
        <v>2412</v>
      </c>
      <c r="L17" s="65" t="s">
        <v>2367</v>
      </c>
      <c r="M17" s="65" t="s">
        <v>62</v>
      </c>
    </row>
    <row r="18" spans="1:13" ht="15.75" customHeight="1" x14ac:dyDescent="0.25">
      <c r="A18" s="66" t="s">
        <v>2413</v>
      </c>
      <c r="B18" s="66" t="s">
        <v>2208</v>
      </c>
      <c r="C18" s="66" t="s">
        <v>188</v>
      </c>
      <c r="D18" s="67" t="s">
        <v>189</v>
      </c>
      <c r="E18" s="66" t="s">
        <v>2414</v>
      </c>
      <c r="F18" s="66" t="s">
        <v>2362</v>
      </c>
      <c r="G18" s="66" t="s">
        <v>2415</v>
      </c>
      <c r="H18" s="68">
        <v>10000</v>
      </c>
      <c r="I18" s="66" t="s">
        <v>2383</v>
      </c>
      <c r="J18" s="66" t="s">
        <v>2371</v>
      </c>
      <c r="K18" s="66" t="s">
        <v>2416</v>
      </c>
      <c r="L18" s="65" t="s">
        <v>2367</v>
      </c>
      <c r="M18" s="65" t="s">
        <v>62</v>
      </c>
    </row>
    <row r="19" spans="1:13" ht="15.75" customHeight="1" x14ac:dyDescent="0.25">
      <c r="A19" s="62" t="s">
        <v>2417</v>
      </c>
      <c r="B19" s="62" t="s">
        <v>2209</v>
      </c>
      <c r="C19" s="62" t="s">
        <v>198</v>
      </c>
      <c r="D19" s="63" t="s">
        <v>199</v>
      </c>
      <c r="E19" s="62" t="s">
        <v>2361</v>
      </c>
      <c r="F19" s="62" t="s">
        <v>2374</v>
      </c>
      <c r="G19" s="62" t="s">
        <v>2418</v>
      </c>
      <c r="H19" s="64">
        <v>70000</v>
      </c>
      <c r="I19" s="62" t="s">
        <v>2364</v>
      </c>
      <c r="J19" s="62" t="s">
        <v>2371</v>
      </c>
      <c r="K19" s="62" t="s">
        <v>2419</v>
      </c>
      <c r="L19" s="65" t="s">
        <v>2367</v>
      </c>
      <c r="M19" s="65" t="s">
        <v>62</v>
      </c>
    </row>
    <row r="20" spans="1:13" ht="15.75" customHeight="1" x14ac:dyDescent="0.25">
      <c r="A20" s="66" t="s">
        <v>2420</v>
      </c>
      <c r="B20" s="66" t="s">
        <v>2210</v>
      </c>
      <c r="C20" s="66" t="s">
        <v>205</v>
      </c>
      <c r="D20" s="67" t="s">
        <v>206</v>
      </c>
      <c r="E20" s="66" t="s">
        <v>2421</v>
      </c>
      <c r="F20" s="66" t="s">
        <v>2362</v>
      </c>
      <c r="G20" s="66" t="s">
        <v>2422</v>
      </c>
      <c r="H20" s="68">
        <v>80000</v>
      </c>
      <c r="I20" s="66" t="s">
        <v>2364</v>
      </c>
      <c r="J20" s="66" t="s">
        <v>2365</v>
      </c>
      <c r="K20" s="66" t="s">
        <v>2423</v>
      </c>
      <c r="L20" s="65" t="s">
        <v>2367</v>
      </c>
      <c r="M20" s="65" t="s">
        <v>62</v>
      </c>
    </row>
    <row r="21" spans="1:13" ht="15.75" customHeight="1" x14ac:dyDescent="0.25">
      <c r="A21" s="62" t="s">
        <v>2424</v>
      </c>
      <c r="B21" s="62" t="s">
        <v>2211</v>
      </c>
      <c r="C21" s="62" t="s">
        <v>213</v>
      </c>
      <c r="D21" s="63" t="s">
        <v>214</v>
      </c>
      <c r="E21" s="62" t="s">
        <v>2425</v>
      </c>
      <c r="F21" s="62" t="s">
        <v>2374</v>
      </c>
      <c r="G21" s="62" t="s">
        <v>2426</v>
      </c>
      <c r="H21" s="64">
        <v>80000</v>
      </c>
      <c r="I21" s="62" t="s">
        <v>2364</v>
      </c>
      <c r="J21" s="62" t="s">
        <v>2371</v>
      </c>
      <c r="K21" s="62" t="s">
        <v>2427</v>
      </c>
      <c r="L21" s="65" t="s">
        <v>2367</v>
      </c>
      <c r="M21" s="65" t="s">
        <v>62</v>
      </c>
    </row>
    <row r="22" spans="1:13" ht="15.75" customHeight="1" x14ac:dyDescent="0.25">
      <c r="A22" s="66" t="s">
        <v>2428</v>
      </c>
      <c r="B22" s="66" t="s">
        <v>2212</v>
      </c>
      <c r="C22" s="66" t="s">
        <v>218</v>
      </c>
      <c r="D22" s="67" t="s">
        <v>219</v>
      </c>
      <c r="E22" s="66" t="s">
        <v>2369</v>
      </c>
      <c r="F22" s="66" t="s">
        <v>2374</v>
      </c>
      <c r="G22" s="66" t="s">
        <v>2429</v>
      </c>
      <c r="H22" s="68">
        <v>65000</v>
      </c>
      <c r="I22" s="66" t="s">
        <v>2364</v>
      </c>
      <c r="J22" s="66" t="s">
        <v>2371</v>
      </c>
      <c r="K22" s="66" t="s">
        <v>2430</v>
      </c>
      <c r="L22" s="65" t="s">
        <v>2367</v>
      </c>
      <c r="M22" s="65" t="s">
        <v>62</v>
      </c>
    </row>
    <row r="23" spans="1:13" ht="15.75" customHeight="1" x14ac:dyDescent="0.25">
      <c r="A23" s="62" t="s">
        <v>2431</v>
      </c>
      <c r="B23" s="62" t="s">
        <v>2213</v>
      </c>
      <c r="C23" s="62" t="s">
        <v>225</v>
      </c>
      <c r="D23" s="63" t="s">
        <v>226</v>
      </c>
      <c r="E23" s="62" t="s">
        <v>2404</v>
      </c>
      <c r="F23" s="62" t="s">
        <v>2362</v>
      </c>
      <c r="G23" s="62" t="s">
        <v>2432</v>
      </c>
      <c r="H23" s="64">
        <v>80000</v>
      </c>
      <c r="I23" s="62" t="s">
        <v>2364</v>
      </c>
      <c r="J23" s="62" t="s">
        <v>2365</v>
      </c>
      <c r="K23" s="62" t="s">
        <v>2433</v>
      </c>
      <c r="L23" s="65" t="s">
        <v>2367</v>
      </c>
      <c r="M23" s="65" t="s">
        <v>62</v>
      </c>
    </row>
    <row r="24" spans="1:13" ht="15.75" customHeight="1" x14ac:dyDescent="0.25">
      <c r="A24" s="66" t="s">
        <v>2434</v>
      </c>
      <c r="B24" s="66" t="s">
        <v>2214</v>
      </c>
      <c r="C24" s="66" t="s">
        <v>231</v>
      </c>
      <c r="D24" s="67" t="s">
        <v>232</v>
      </c>
      <c r="E24" s="66" t="s">
        <v>666</v>
      </c>
      <c r="F24" s="66" t="s">
        <v>2374</v>
      </c>
      <c r="G24" s="66" t="s">
        <v>2435</v>
      </c>
      <c r="H24" s="68">
        <v>75000</v>
      </c>
      <c r="I24" s="66" t="s">
        <v>2364</v>
      </c>
      <c r="J24" s="66" t="s">
        <v>2371</v>
      </c>
      <c r="K24" s="66" t="s">
        <v>2436</v>
      </c>
      <c r="L24" s="65" t="s">
        <v>2367</v>
      </c>
      <c r="M24" s="65" t="s">
        <v>62</v>
      </c>
    </row>
    <row r="25" spans="1:13" ht="15.75" customHeight="1" x14ac:dyDescent="0.25">
      <c r="A25" s="62" t="s">
        <v>2437</v>
      </c>
      <c r="B25" s="62" t="s">
        <v>2215</v>
      </c>
      <c r="C25" s="62" t="s">
        <v>236</v>
      </c>
      <c r="D25" s="63" t="s">
        <v>237</v>
      </c>
      <c r="E25" s="62" t="s">
        <v>2438</v>
      </c>
      <c r="F25" s="62" t="s">
        <v>2396</v>
      </c>
      <c r="G25" s="62" t="s">
        <v>2396</v>
      </c>
      <c r="H25" s="64">
        <v>0</v>
      </c>
      <c r="I25" s="62" t="s">
        <v>2397</v>
      </c>
      <c r="J25" s="62" t="s">
        <v>2398</v>
      </c>
      <c r="K25" s="62" t="s">
        <v>2439</v>
      </c>
      <c r="L25" s="70" t="s">
        <v>160</v>
      </c>
      <c r="M25" s="70" t="s">
        <v>62</v>
      </c>
    </row>
    <row r="26" spans="1:13" ht="15.75" customHeight="1" x14ac:dyDescent="0.25">
      <c r="A26" s="66" t="s">
        <v>2440</v>
      </c>
      <c r="B26" s="66" t="s">
        <v>2216</v>
      </c>
      <c r="C26" s="66" t="s">
        <v>242</v>
      </c>
      <c r="D26" s="67" t="s">
        <v>243</v>
      </c>
      <c r="E26" s="66" t="s">
        <v>2392</v>
      </c>
      <c r="F26" s="66" t="s">
        <v>2374</v>
      </c>
      <c r="G26" s="66" t="s">
        <v>2441</v>
      </c>
      <c r="H26" s="68">
        <v>80000</v>
      </c>
      <c r="I26" s="66" t="s">
        <v>2364</v>
      </c>
      <c r="J26" s="66" t="s">
        <v>2365</v>
      </c>
      <c r="K26" s="66" t="s">
        <v>2442</v>
      </c>
      <c r="L26" s="65" t="s">
        <v>2367</v>
      </c>
      <c r="M26" s="65" t="s">
        <v>62</v>
      </c>
    </row>
    <row r="27" spans="1:13" ht="15.75" customHeight="1" x14ac:dyDescent="0.25">
      <c r="A27" s="62" t="s">
        <v>2443</v>
      </c>
      <c r="B27" s="62" t="s">
        <v>2217</v>
      </c>
      <c r="C27" s="62" t="s">
        <v>247</v>
      </c>
      <c r="D27" s="63" t="s">
        <v>248</v>
      </c>
      <c r="E27" s="62" t="s">
        <v>2438</v>
      </c>
      <c r="F27" s="62" t="s">
        <v>2362</v>
      </c>
      <c r="G27" s="62" t="s">
        <v>2444</v>
      </c>
      <c r="H27" s="64">
        <v>35000</v>
      </c>
      <c r="I27" s="62" t="s">
        <v>2383</v>
      </c>
      <c r="J27" s="62" t="s">
        <v>2371</v>
      </c>
      <c r="K27" s="62" t="s">
        <v>2445</v>
      </c>
      <c r="L27" s="65" t="s">
        <v>2367</v>
      </c>
      <c r="M27" s="65" t="s">
        <v>62</v>
      </c>
    </row>
    <row r="28" spans="1:13" ht="15.75" customHeight="1" x14ac:dyDescent="0.25">
      <c r="A28" s="66" t="s">
        <v>2446</v>
      </c>
      <c r="B28" s="66" t="s">
        <v>2218</v>
      </c>
      <c r="C28" s="66" t="s">
        <v>253</v>
      </c>
      <c r="D28" s="67" t="s">
        <v>254</v>
      </c>
      <c r="E28" s="66" t="s">
        <v>519</v>
      </c>
      <c r="F28" s="66" t="s">
        <v>2374</v>
      </c>
      <c r="G28" s="66" t="s">
        <v>2447</v>
      </c>
      <c r="H28" s="68">
        <v>80000</v>
      </c>
      <c r="I28" s="66" t="s">
        <v>2364</v>
      </c>
      <c r="J28" s="66" t="s">
        <v>2371</v>
      </c>
      <c r="K28" s="66" t="s">
        <v>2448</v>
      </c>
      <c r="L28" s="65" t="s">
        <v>2367</v>
      </c>
      <c r="M28" s="65" t="s">
        <v>62</v>
      </c>
    </row>
    <row r="29" spans="1:13" ht="15.75" customHeight="1" x14ac:dyDescent="0.25">
      <c r="A29" s="62" t="s">
        <v>2449</v>
      </c>
      <c r="B29" s="62" t="s">
        <v>2219</v>
      </c>
      <c r="C29" s="62" t="s">
        <v>258</v>
      </c>
      <c r="D29" s="63" t="s">
        <v>259</v>
      </c>
      <c r="E29" s="62" t="s">
        <v>666</v>
      </c>
      <c r="F29" s="62" t="s">
        <v>2374</v>
      </c>
      <c r="G29" s="62" t="s">
        <v>2450</v>
      </c>
      <c r="H29" s="72">
        <v>5000</v>
      </c>
      <c r="I29" s="62" t="s">
        <v>2451</v>
      </c>
      <c r="J29" s="62" t="s">
        <v>2371</v>
      </c>
      <c r="K29" s="62" t="s">
        <v>2452</v>
      </c>
      <c r="L29" s="73" t="s">
        <v>2453</v>
      </c>
      <c r="M29" s="73" t="s">
        <v>62</v>
      </c>
    </row>
    <row r="30" spans="1:13" ht="15.75" customHeight="1" x14ac:dyDescent="0.25">
      <c r="A30" s="66" t="s">
        <v>2454</v>
      </c>
      <c r="B30" s="66" t="s">
        <v>2221</v>
      </c>
      <c r="C30" s="66" t="s">
        <v>264</v>
      </c>
      <c r="D30" s="67" t="s">
        <v>265</v>
      </c>
      <c r="E30" s="66" t="s">
        <v>768</v>
      </c>
      <c r="F30" s="66" t="s">
        <v>2374</v>
      </c>
      <c r="G30" s="66" t="s">
        <v>2455</v>
      </c>
      <c r="H30" s="68">
        <v>95000</v>
      </c>
      <c r="I30" s="66" t="s">
        <v>2364</v>
      </c>
      <c r="J30" s="66" t="s">
        <v>2371</v>
      </c>
      <c r="K30" s="66" t="s">
        <v>2456</v>
      </c>
      <c r="L30" s="65" t="s">
        <v>2367</v>
      </c>
      <c r="M30" s="65" t="s">
        <v>62</v>
      </c>
    </row>
    <row r="31" spans="1:13" ht="15.75" customHeight="1" x14ac:dyDescent="0.25">
      <c r="A31" s="62" t="s">
        <v>2457</v>
      </c>
      <c r="B31" s="62" t="s">
        <v>2222</v>
      </c>
      <c r="C31" s="62" t="s">
        <v>281</v>
      </c>
      <c r="D31" s="63" t="s">
        <v>282</v>
      </c>
      <c r="E31" s="62" t="s">
        <v>2458</v>
      </c>
      <c r="F31" s="62" t="s">
        <v>2374</v>
      </c>
      <c r="G31" s="62" t="s">
        <v>2459</v>
      </c>
      <c r="H31" s="64">
        <v>115000</v>
      </c>
      <c r="I31" s="62" t="s">
        <v>2364</v>
      </c>
      <c r="J31" s="62" t="s">
        <v>2365</v>
      </c>
      <c r="K31" s="62" t="s">
        <v>2460</v>
      </c>
      <c r="L31" s="65" t="s">
        <v>2367</v>
      </c>
      <c r="M31" s="65" t="s">
        <v>62</v>
      </c>
    </row>
    <row r="32" spans="1:13" ht="15.75" customHeight="1" x14ac:dyDescent="0.25">
      <c r="A32" s="66" t="s">
        <v>2461</v>
      </c>
      <c r="B32" s="66" t="s">
        <v>2223</v>
      </c>
      <c r="C32" s="66" t="s">
        <v>296</v>
      </c>
      <c r="D32" s="67" t="s">
        <v>297</v>
      </c>
      <c r="E32" s="66" t="s">
        <v>768</v>
      </c>
      <c r="F32" s="66" t="s">
        <v>2374</v>
      </c>
      <c r="G32" s="66" t="s">
        <v>2462</v>
      </c>
      <c r="H32" s="68">
        <v>90000</v>
      </c>
      <c r="I32" s="66" t="s">
        <v>2364</v>
      </c>
      <c r="J32" s="66" t="s">
        <v>2365</v>
      </c>
      <c r="K32" s="66" t="s">
        <v>2463</v>
      </c>
      <c r="L32" s="65" t="s">
        <v>2367</v>
      </c>
      <c r="M32" s="65" t="s">
        <v>62</v>
      </c>
    </row>
    <row r="33" spans="1:13" ht="15.75" customHeight="1" x14ac:dyDescent="0.25">
      <c r="A33" s="62" t="s">
        <v>2464</v>
      </c>
      <c r="B33" s="62" t="s">
        <v>2224</v>
      </c>
      <c r="C33" s="62" t="s">
        <v>309</v>
      </c>
      <c r="D33" s="63" t="s">
        <v>310</v>
      </c>
      <c r="E33" s="62" t="s">
        <v>683</v>
      </c>
      <c r="F33" s="62" t="s">
        <v>2362</v>
      </c>
      <c r="G33" s="62" t="s">
        <v>2465</v>
      </c>
      <c r="H33" s="64">
        <v>60000</v>
      </c>
      <c r="I33" s="62" t="s">
        <v>2383</v>
      </c>
      <c r="J33" s="62" t="s">
        <v>2371</v>
      </c>
      <c r="K33" s="62" t="s">
        <v>2466</v>
      </c>
      <c r="L33" s="65" t="s">
        <v>2367</v>
      </c>
      <c r="M33" s="65" t="s">
        <v>62</v>
      </c>
    </row>
    <row r="34" spans="1:13" ht="15.75" customHeight="1" x14ac:dyDescent="0.25">
      <c r="A34" s="66" t="s">
        <v>2467</v>
      </c>
      <c r="B34" s="66" t="s">
        <v>2225</v>
      </c>
      <c r="C34" s="66" t="s">
        <v>319</v>
      </c>
      <c r="D34" s="67" t="s">
        <v>320</v>
      </c>
      <c r="E34" s="66" t="s">
        <v>768</v>
      </c>
      <c r="F34" s="66" t="s">
        <v>2374</v>
      </c>
      <c r="G34" s="66" t="s">
        <v>2468</v>
      </c>
      <c r="H34" s="68">
        <v>90000</v>
      </c>
      <c r="I34" s="66" t="s">
        <v>2364</v>
      </c>
      <c r="J34" s="66" t="s">
        <v>2371</v>
      </c>
      <c r="K34" s="66" t="s">
        <v>2469</v>
      </c>
      <c r="L34" s="65" t="s">
        <v>2367</v>
      </c>
      <c r="M34" s="65" t="s">
        <v>62</v>
      </c>
    </row>
    <row r="35" spans="1:13" ht="15.75" customHeight="1" x14ac:dyDescent="0.25">
      <c r="A35" s="62" t="s">
        <v>2470</v>
      </c>
      <c r="B35" s="62" t="s">
        <v>2226</v>
      </c>
      <c r="C35" s="62" t="s">
        <v>328</v>
      </c>
      <c r="D35" s="63" t="s">
        <v>329</v>
      </c>
      <c r="E35" s="62" t="s">
        <v>666</v>
      </c>
      <c r="F35" s="62" t="s">
        <v>2362</v>
      </c>
      <c r="G35" s="62" t="s">
        <v>2471</v>
      </c>
      <c r="H35" s="64">
        <v>115000</v>
      </c>
      <c r="I35" s="62" t="s">
        <v>2364</v>
      </c>
      <c r="J35" s="62" t="s">
        <v>2365</v>
      </c>
      <c r="K35" s="62" t="s">
        <v>2472</v>
      </c>
      <c r="L35" s="65" t="s">
        <v>2367</v>
      </c>
      <c r="M35" s="65" t="s">
        <v>62</v>
      </c>
    </row>
    <row r="36" spans="1:13" ht="15.75" customHeight="1" x14ac:dyDescent="0.25">
      <c r="A36" s="66" t="s">
        <v>2473</v>
      </c>
      <c r="B36" s="66" t="s">
        <v>2227</v>
      </c>
      <c r="C36" s="66" t="s">
        <v>337</v>
      </c>
      <c r="D36" s="67" t="s">
        <v>338</v>
      </c>
      <c r="E36" s="66" t="s">
        <v>2369</v>
      </c>
      <c r="F36" s="66" t="s">
        <v>2362</v>
      </c>
      <c r="G36" s="66" t="s">
        <v>2474</v>
      </c>
      <c r="H36" s="68">
        <v>85000</v>
      </c>
      <c r="I36" s="66" t="s">
        <v>2364</v>
      </c>
      <c r="J36" s="66" t="s">
        <v>2371</v>
      </c>
      <c r="K36" s="66" t="s">
        <v>2475</v>
      </c>
      <c r="L36" s="65" t="s">
        <v>2367</v>
      </c>
      <c r="M36" s="65" t="s">
        <v>62</v>
      </c>
    </row>
    <row r="37" spans="1:13" ht="15.75" customHeight="1" x14ac:dyDescent="0.25">
      <c r="A37" s="62" t="s">
        <v>2476</v>
      </c>
      <c r="B37" s="62" t="s">
        <v>2228</v>
      </c>
      <c r="C37" s="62" t="s">
        <v>354</v>
      </c>
      <c r="D37" s="63" t="s">
        <v>355</v>
      </c>
      <c r="E37" s="62" t="s">
        <v>2378</v>
      </c>
      <c r="F37" s="62" t="s">
        <v>2362</v>
      </c>
      <c r="G37" s="62" t="s">
        <v>2477</v>
      </c>
      <c r="H37" s="64">
        <v>85000</v>
      </c>
      <c r="I37" s="62" t="s">
        <v>2364</v>
      </c>
      <c r="J37" s="62" t="s">
        <v>2371</v>
      </c>
      <c r="K37" s="62" t="s">
        <v>2478</v>
      </c>
      <c r="L37" s="65" t="s">
        <v>2367</v>
      </c>
      <c r="M37" s="65" t="s">
        <v>62</v>
      </c>
    </row>
    <row r="38" spans="1:13" ht="15.75" customHeight="1" x14ac:dyDescent="0.25">
      <c r="A38" s="66" t="s">
        <v>2479</v>
      </c>
      <c r="B38" s="66" t="s">
        <v>2229</v>
      </c>
      <c r="C38" s="66" t="s">
        <v>370</v>
      </c>
      <c r="D38" s="67" t="s">
        <v>371</v>
      </c>
      <c r="E38" s="66" t="s">
        <v>2369</v>
      </c>
      <c r="F38" s="66" t="s">
        <v>2374</v>
      </c>
      <c r="G38" s="66" t="s">
        <v>2480</v>
      </c>
      <c r="H38" s="68">
        <v>80000</v>
      </c>
      <c r="I38" s="66" t="s">
        <v>2364</v>
      </c>
      <c r="J38" s="66" t="s">
        <v>2371</v>
      </c>
      <c r="K38" s="66" t="s">
        <v>2481</v>
      </c>
      <c r="L38" s="65" t="s">
        <v>2367</v>
      </c>
      <c r="M38" s="65" t="s">
        <v>62</v>
      </c>
    </row>
    <row r="39" spans="1:13" ht="15.75" customHeight="1" x14ac:dyDescent="0.25">
      <c r="A39" s="62" t="s">
        <v>2482</v>
      </c>
      <c r="B39" s="62" t="s">
        <v>2230</v>
      </c>
      <c r="C39" s="62" t="s">
        <v>383</v>
      </c>
      <c r="D39" s="63" t="s">
        <v>384</v>
      </c>
      <c r="E39" s="62" t="s">
        <v>683</v>
      </c>
      <c r="F39" s="62" t="s">
        <v>2396</v>
      </c>
      <c r="G39" s="62" t="s">
        <v>2396</v>
      </c>
      <c r="H39" s="64">
        <v>0</v>
      </c>
      <c r="I39" s="62" t="s">
        <v>2397</v>
      </c>
      <c r="J39" s="62" t="s">
        <v>2398</v>
      </c>
      <c r="K39" s="62" t="s">
        <v>2483</v>
      </c>
      <c r="L39" s="70" t="s">
        <v>160</v>
      </c>
      <c r="M39" s="70" t="s">
        <v>62</v>
      </c>
    </row>
    <row r="40" spans="1:13" ht="15.75" customHeight="1" x14ac:dyDescent="0.25">
      <c r="A40" s="66" t="s">
        <v>2484</v>
      </c>
      <c r="B40" s="66" t="s">
        <v>2231</v>
      </c>
      <c r="C40" s="66" t="s">
        <v>398</v>
      </c>
      <c r="D40" s="67" t="s">
        <v>399</v>
      </c>
      <c r="E40" s="66" t="s">
        <v>120</v>
      </c>
      <c r="F40" s="66" t="s">
        <v>2362</v>
      </c>
      <c r="G40" s="66" t="s">
        <v>2485</v>
      </c>
      <c r="H40" s="68">
        <v>85000</v>
      </c>
      <c r="I40" s="66" t="s">
        <v>2364</v>
      </c>
      <c r="J40" s="66" t="s">
        <v>2365</v>
      </c>
      <c r="K40" s="66" t="s">
        <v>2486</v>
      </c>
      <c r="L40" s="65" t="s">
        <v>2367</v>
      </c>
      <c r="M40" s="65" t="s">
        <v>62</v>
      </c>
    </row>
    <row r="41" spans="1:13" ht="15.75" customHeight="1" x14ac:dyDescent="0.25">
      <c r="A41" s="62" t="s">
        <v>2487</v>
      </c>
      <c r="B41" s="62" t="s">
        <v>2232</v>
      </c>
      <c r="C41" s="62" t="s">
        <v>412</v>
      </c>
      <c r="D41" s="63" t="s">
        <v>413</v>
      </c>
      <c r="E41" s="62" t="s">
        <v>683</v>
      </c>
      <c r="F41" s="62" t="s">
        <v>2374</v>
      </c>
      <c r="G41" s="62" t="s">
        <v>2488</v>
      </c>
      <c r="H41" s="64">
        <v>85000</v>
      </c>
      <c r="I41" s="62" t="s">
        <v>2364</v>
      </c>
      <c r="J41" s="62" t="s">
        <v>2371</v>
      </c>
      <c r="K41" s="62" t="s">
        <v>2489</v>
      </c>
      <c r="L41" s="65" t="s">
        <v>2367</v>
      </c>
      <c r="M41" s="65" t="s">
        <v>62</v>
      </c>
    </row>
    <row r="42" spans="1:13" ht="18" customHeight="1" x14ac:dyDescent="0.25">
      <c r="A42" t="s">
        <v>2490</v>
      </c>
      <c r="B42" t="s">
        <v>2233</v>
      </c>
      <c r="C42" t="s">
        <v>425</v>
      </c>
      <c r="D42" t="s">
        <v>426</v>
      </c>
      <c r="E42" s="41">
        <v>45177</v>
      </c>
      <c r="F42" t="s">
        <v>2374</v>
      </c>
      <c r="G42" t="s">
        <v>2491</v>
      </c>
      <c r="H42">
        <v>185000</v>
      </c>
      <c r="I42" t="s">
        <v>2364</v>
      </c>
      <c r="J42" t="s">
        <v>2371</v>
      </c>
      <c r="K42" t="s">
        <v>2492</v>
      </c>
      <c r="L42" t="s">
        <v>2367</v>
      </c>
      <c r="M42" t="s">
        <v>62</v>
      </c>
    </row>
    <row r="43" spans="1:13" ht="15" customHeight="1" x14ac:dyDescent="0.25">
      <c r="A43" t="s">
        <v>2493</v>
      </c>
      <c r="B43" t="s">
        <v>2235</v>
      </c>
      <c r="C43" t="s">
        <v>438</v>
      </c>
      <c r="D43" t="s">
        <v>439</v>
      </c>
      <c r="E43" s="41">
        <v>45179</v>
      </c>
      <c r="F43" t="s">
        <v>2362</v>
      </c>
      <c r="G43" t="s">
        <v>2494</v>
      </c>
      <c r="H43">
        <v>185000</v>
      </c>
      <c r="I43" t="s">
        <v>2364</v>
      </c>
      <c r="J43" t="s">
        <v>2365</v>
      </c>
      <c r="K43" t="s">
        <v>2495</v>
      </c>
      <c r="L43" t="s">
        <v>2367</v>
      </c>
      <c r="M43" t="s">
        <v>62</v>
      </c>
    </row>
    <row r="44" spans="1:13" ht="15" customHeight="1" x14ac:dyDescent="0.25">
      <c r="A44" t="s">
        <v>2496</v>
      </c>
      <c r="B44" t="s">
        <v>2236</v>
      </c>
      <c r="C44" t="s">
        <v>451</v>
      </c>
      <c r="D44" t="s">
        <v>452</v>
      </c>
      <c r="E44" s="41">
        <v>45175</v>
      </c>
      <c r="F44" t="s">
        <v>2374</v>
      </c>
      <c r="G44" t="s">
        <v>2497</v>
      </c>
      <c r="H44">
        <v>185000</v>
      </c>
      <c r="I44" t="s">
        <v>2364</v>
      </c>
      <c r="J44" t="s">
        <v>2371</v>
      </c>
      <c r="K44" t="s">
        <v>2498</v>
      </c>
      <c r="L44" t="s">
        <v>2367</v>
      </c>
      <c r="M44" t="s">
        <v>62</v>
      </c>
    </row>
    <row r="45" spans="1:13" ht="15" customHeight="1" x14ac:dyDescent="0.25">
      <c r="A45" t="s">
        <v>2499</v>
      </c>
      <c r="B45" t="s">
        <v>2237</v>
      </c>
      <c r="C45" t="s">
        <v>464</v>
      </c>
      <c r="D45" t="s">
        <v>465</v>
      </c>
      <c r="E45" s="41">
        <v>45542</v>
      </c>
      <c r="F45" t="s">
        <v>2374</v>
      </c>
      <c r="G45" t="s">
        <v>2500</v>
      </c>
      <c r="H45">
        <v>185000</v>
      </c>
      <c r="I45" t="s">
        <v>2364</v>
      </c>
      <c r="J45" t="s">
        <v>2371</v>
      </c>
      <c r="K45" t="s">
        <v>2501</v>
      </c>
      <c r="L45" t="s">
        <v>2367</v>
      </c>
      <c r="M45" t="s">
        <v>62</v>
      </c>
    </row>
    <row r="46" spans="1:13" ht="15" customHeight="1" x14ac:dyDescent="0.25">
      <c r="A46" s="62" t="s">
        <v>2502</v>
      </c>
      <c r="B46" s="62" t="s">
        <v>2238</v>
      </c>
      <c r="C46" s="62" t="s">
        <v>476</v>
      </c>
      <c r="D46" s="63" t="s">
        <v>477</v>
      </c>
      <c r="E46" s="62" t="s">
        <v>2361</v>
      </c>
      <c r="F46" s="62" t="s">
        <v>2362</v>
      </c>
      <c r="G46" s="62" t="s">
        <v>2503</v>
      </c>
      <c r="H46" s="64">
        <v>80000</v>
      </c>
      <c r="I46" s="62" t="s">
        <v>2364</v>
      </c>
      <c r="J46" s="62" t="s">
        <v>2365</v>
      </c>
      <c r="K46" s="62" t="s">
        <v>2504</v>
      </c>
      <c r="L46" s="65" t="s">
        <v>2367</v>
      </c>
      <c r="M46" s="65" t="s">
        <v>484</v>
      </c>
    </row>
    <row r="47" spans="1:13" ht="15" customHeight="1" x14ac:dyDescent="0.25">
      <c r="A47" s="62" t="s">
        <v>2505</v>
      </c>
      <c r="B47" s="62" t="s">
        <v>2239</v>
      </c>
      <c r="C47" s="62" t="s">
        <v>485</v>
      </c>
      <c r="D47" s="63" t="s">
        <v>486</v>
      </c>
      <c r="E47" s="62" t="s">
        <v>2361</v>
      </c>
      <c r="F47" s="62" t="s">
        <v>2374</v>
      </c>
      <c r="G47" s="62" t="s">
        <v>2506</v>
      </c>
      <c r="H47" s="64">
        <v>80000</v>
      </c>
      <c r="I47" s="62" t="s">
        <v>2364</v>
      </c>
      <c r="J47" s="62" t="s">
        <v>2371</v>
      </c>
      <c r="K47" s="62" t="s">
        <v>2507</v>
      </c>
      <c r="L47" s="65" t="s">
        <v>2367</v>
      </c>
      <c r="M47" s="65" t="s">
        <v>484</v>
      </c>
    </row>
    <row r="48" spans="1:13" ht="15" customHeight="1" x14ac:dyDescent="0.25">
      <c r="A48" s="62" t="s">
        <v>2508</v>
      </c>
      <c r="B48" s="62" t="s">
        <v>2240</v>
      </c>
      <c r="C48" s="62" t="s">
        <v>494</v>
      </c>
      <c r="D48" s="63" t="s">
        <v>495</v>
      </c>
      <c r="E48" s="62" t="s">
        <v>2361</v>
      </c>
      <c r="F48" s="62" t="s">
        <v>2362</v>
      </c>
      <c r="G48" s="62" t="s">
        <v>2509</v>
      </c>
      <c r="H48" s="64">
        <v>80000</v>
      </c>
      <c r="I48" s="62" t="s">
        <v>2364</v>
      </c>
      <c r="J48" s="62" t="s">
        <v>2365</v>
      </c>
      <c r="K48" s="62" t="s">
        <v>2510</v>
      </c>
      <c r="L48" s="65" t="s">
        <v>2367</v>
      </c>
      <c r="M48" s="65" t="s">
        <v>484</v>
      </c>
    </row>
    <row r="49" spans="1:13" ht="15" customHeight="1" x14ac:dyDescent="0.25">
      <c r="A49" s="62" t="s">
        <v>2511</v>
      </c>
      <c r="B49" s="62" t="s">
        <v>2241</v>
      </c>
      <c r="C49" s="62" t="s">
        <v>504</v>
      </c>
      <c r="D49" s="63" t="s">
        <v>505</v>
      </c>
      <c r="E49" s="62" t="s">
        <v>2361</v>
      </c>
      <c r="F49" s="62" t="s">
        <v>2374</v>
      </c>
      <c r="G49" s="62" t="s">
        <v>2512</v>
      </c>
      <c r="H49" s="64">
        <v>80000</v>
      </c>
      <c r="I49" s="62" t="s">
        <v>2364</v>
      </c>
      <c r="J49" s="62" t="s">
        <v>2371</v>
      </c>
      <c r="K49" s="62" t="s">
        <v>2513</v>
      </c>
      <c r="L49" s="65" t="s">
        <v>2367</v>
      </c>
      <c r="M49" s="65" t="s">
        <v>484</v>
      </c>
    </row>
    <row r="50" spans="1:13" ht="15" customHeight="1" x14ac:dyDescent="0.25">
      <c r="A50" s="62" t="s">
        <v>2514</v>
      </c>
      <c r="B50" s="62" t="s">
        <v>2242</v>
      </c>
      <c r="C50" s="62" t="s">
        <v>512</v>
      </c>
      <c r="D50" s="63" t="s">
        <v>513</v>
      </c>
      <c r="E50" s="62" t="s">
        <v>2361</v>
      </c>
      <c r="F50" s="62" t="s">
        <v>2362</v>
      </c>
      <c r="G50" s="62" t="s">
        <v>2515</v>
      </c>
      <c r="H50" s="64">
        <v>41250</v>
      </c>
      <c r="I50" s="62" t="s">
        <v>2383</v>
      </c>
      <c r="J50" s="62" t="s">
        <v>2365</v>
      </c>
      <c r="K50" s="62" t="s">
        <v>2516</v>
      </c>
      <c r="L50" s="65" t="s">
        <v>2367</v>
      </c>
      <c r="M50" s="65" t="s">
        <v>484</v>
      </c>
    </row>
    <row r="51" spans="1:13" ht="15" customHeight="1" x14ac:dyDescent="0.25">
      <c r="A51" s="62" t="s">
        <v>2517</v>
      </c>
      <c r="B51" s="62" t="s">
        <v>2243</v>
      </c>
      <c r="C51" s="62" t="s">
        <v>520</v>
      </c>
      <c r="D51" s="63" t="s">
        <v>521</v>
      </c>
      <c r="E51" s="62" t="s">
        <v>2361</v>
      </c>
      <c r="F51" s="62" t="s">
        <v>2374</v>
      </c>
      <c r="G51" s="62" t="s">
        <v>2518</v>
      </c>
      <c r="H51" s="64">
        <v>80000</v>
      </c>
      <c r="I51" s="62" t="s">
        <v>2364</v>
      </c>
      <c r="J51" s="62" t="s">
        <v>2371</v>
      </c>
      <c r="K51" s="62" t="s">
        <v>2519</v>
      </c>
      <c r="L51" s="65" t="s">
        <v>2367</v>
      </c>
      <c r="M51" s="65" t="s">
        <v>484</v>
      </c>
    </row>
    <row r="52" spans="1:13" ht="15" customHeight="1" x14ac:dyDescent="0.25">
      <c r="A52" s="62" t="s">
        <v>2520</v>
      </c>
      <c r="B52" s="62" t="s">
        <v>2244</v>
      </c>
      <c r="C52" s="62" t="s">
        <v>526</v>
      </c>
      <c r="D52" s="63" t="s">
        <v>527</v>
      </c>
      <c r="E52" s="62" t="s">
        <v>2361</v>
      </c>
      <c r="F52" s="62" t="s">
        <v>2362</v>
      </c>
      <c r="G52" s="62" t="s">
        <v>2521</v>
      </c>
      <c r="H52" s="64">
        <v>80000</v>
      </c>
      <c r="I52" s="62" t="s">
        <v>2364</v>
      </c>
      <c r="J52" s="62" t="s">
        <v>2365</v>
      </c>
      <c r="K52" s="62" t="s">
        <v>2522</v>
      </c>
      <c r="L52" s="65" t="s">
        <v>2367</v>
      </c>
      <c r="M52" s="65" t="s">
        <v>484</v>
      </c>
    </row>
    <row r="53" spans="1:13" ht="15" customHeight="1" x14ac:dyDescent="0.25">
      <c r="A53" s="62" t="s">
        <v>2523</v>
      </c>
      <c r="B53" s="62" t="s">
        <v>2245</v>
      </c>
      <c r="C53" s="62" t="s">
        <v>534</v>
      </c>
      <c r="D53" s="63" t="s">
        <v>535</v>
      </c>
      <c r="E53" s="62" t="s">
        <v>2361</v>
      </c>
      <c r="F53" s="62" t="s">
        <v>2374</v>
      </c>
      <c r="G53" s="62" t="s">
        <v>2524</v>
      </c>
      <c r="H53" s="64">
        <v>80000</v>
      </c>
      <c r="I53" s="62" t="s">
        <v>2364</v>
      </c>
      <c r="J53" s="62" t="s">
        <v>2371</v>
      </c>
      <c r="K53" s="62" t="s">
        <v>2525</v>
      </c>
      <c r="L53" s="65" t="s">
        <v>2367</v>
      </c>
      <c r="M53" s="65" t="s">
        <v>484</v>
      </c>
    </row>
    <row r="54" spans="1:13" ht="15" customHeight="1" x14ac:dyDescent="0.25">
      <c r="A54" s="62" t="s">
        <v>2526</v>
      </c>
      <c r="B54" s="62" t="s">
        <v>2246</v>
      </c>
      <c r="C54" s="62" t="s">
        <v>540</v>
      </c>
      <c r="D54" s="63" t="s">
        <v>541</v>
      </c>
      <c r="E54" s="62" t="s">
        <v>2361</v>
      </c>
      <c r="F54" s="62" t="s">
        <v>2396</v>
      </c>
      <c r="G54" s="62" t="s">
        <v>2396</v>
      </c>
      <c r="H54" s="64">
        <v>0</v>
      </c>
      <c r="I54" s="62" t="s">
        <v>2397</v>
      </c>
      <c r="J54" s="62" t="s">
        <v>2398</v>
      </c>
      <c r="K54" s="62" t="s">
        <v>2527</v>
      </c>
      <c r="L54" s="65" t="s">
        <v>160</v>
      </c>
      <c r="M54" s="65" t="s">
        <v>484</v>
      </c>
    </row>
    <row r="55" spans="1:13" ht="15" customHeight="1" x14ac:dyDescent="0.25">
      <c r="A55" s="62" t="s">
        <v>2528</v>
      </c>
      <c r="B55" s="62" t="s">
        <v>2247</v>
      </c>
      <c r="C55" s="62" t="s">
        <v>546</v>
      </c>
      <c r="D55" s="63" t="s">
        <v>547</v>
      </c>
      <c r="E55" s="62" t="s">
        <v>2361</v>
      </c>
      <c r="F55" s="62" t="s">
        <v>2374</v>
      </c>
      <c r="G55" s="62" t="s">
        <v>2529</v>
      </c>
      <c r="H55" s="64">
        <v>80000</v>
      </c>
      <c r="I55" s="62" t="s">
        <v>2364</v>
      </c>
      <c r="J55" s="62" t="s">
        <v>2371</v>
      </c>
      <c r="K55" s="62" t="s">
        <v>2530</v>
      </c>
      <c r="L55" s="65" t="s">
        <v>2367</v>
      </c>
      <c r="M55" s="65" t="s">
        <v>484</v>
      </c>
    </row>
    <row r="56" spans="1:13" ht="15" customHeight="1" x14ac:dyDescent="0.25">
      <c r="A56" s="62" t="s">
        <v>2531</v>
      </c>
      <c r="B56" s="62" t="s">
        <v>2248</v>
      </c>
      <c r="C56" s="62" t="s">
        <v>552</v>
      </c>
      <c r="D56" s="63" t="s">
        <v>553</v>
      </c>
      <c r="E56" s="62" t="s">
        <v>2361</v>
      </c>
      <c r="F56" s="62" t="s">
        <v>2362</v>
      </c>
      <c r="G56" s="62" t="s">
        <v>2532</v>
      </c>
      <c r="H56" s="64">
        <v>80000</v>
      </c>
      <c r="I56" s="62" t="s">
        <v>2364</v>
      </c>
      <c r="J56" s="62" t="s">
        <v>2365</v>
      </c>
      <c r="K56" s="62" t="s">
        <v>2533</v>
      </c>
      <c r="L56" s="65" t="s">
        <v>2367</v>
      </c>
      <c r="M56" s="65" t="s">
        <v>484</v>
      </c>
    </row>
    <row r="57" spans="1:13" ht="15" customHeight="1" x14ac:dyDescent="0.25">
      <c r="A57" s="62" t="s">
        <v>2534</v>
      </c>
      <c r="B57" s="62" t="s">
        <v>2249</v>
      </c>
      <c r="C57" s="62" t="s">
        <v>559</v>
      </c>
      <c r="D57" s="63" t="s">
        <v>560</v>
      </c>
      <c r="E57" s="62" t="s">
        <v>2361</v>
      </c>
      <c r="F57" s="62" t="s">
        <v>2374</v>
      </c>
      <c r="G57" s="62" t="s">
        <v>2535</v>
      </c>
      <c r="H57" s="64">
        <v>80000</v>
      </c>
      <c r="I57" s="62" t="s">
        <v>2364</v>
      </c>
      <c r="J57" s="62" t="s">
        <v>2371</v>
      </c>
      <c r="K57" s="62" t="s">
        <v>2536</v>
      </c>
      <c r="L57" s="65" t="s">
        <v>2367</v>
      </c>
      <c r="M57" s="65" t="s">
        <v>484</v>
      </c>
    </row>
    <row r="58" spans="1:13" ht="15" customHeight="1" x14ac:dyDescent="0.25">
      <c r="A58" s="62" t="s">
        <v>2537</v>
      </c>
      <c r="B58" s="62" t="s">
        <v>2250</v>
      </c>
      <c r="C58" s="62" t="s">
        <v>565</v>
      </c>
      <c r="D58" s="63" t="s">
        <v>566</v>
      </c>
      <c r="E58" s="62" t="s">
        <v>2361</v>
      </c>
      <c r="F58" s="62" t="s">
        <v>2362</v>
      </c>
      <c r="G58" s="62" t="s">
        <v>2538</v>
      </c>
      <c r="H58" s="64">
        <v>80000</v>
      </c>
      <c r="I58" s="62" t="s">
        <v>2364</v>
      </c>
      <c r="J58" s="62" t="s">
        <v>2365</v>
      </c>
      <c r="K58" s="62" t="s">
        <v>2539</v>
      </c>
      <c r="L58" s="65" t="s">
        <v>2367</v>
      </c>
      <c r="M58" s="65" t="s">
        <v>484</v>
      </c>
    </row>
    <row r="59" spans="1:13" ht="15" customHeight="1" x14ac:dyDescent="0.25">
      <c r="A59" s="62" t="s">
        <v>2540</v>
      </c>
      <c r="B59" s="62" t="s">
        <v>2251</v>
      </c>
      <c r="C59" s="62" t="s">
        <v>571</v>
      </c>
      <c r="D59" s="63" t="s">
        <v>572</v>
      </c>
      <c r="E59" s="62" t="s">
        <v>2361</v>
      </c>
      <c r="F59" s="62" t="s">
        <v>2374</v>
      </c>
      <c r="G59" s="62" t="s">
        <v>2541</v>
      </c>
      <c r="H59" s="64">
        <v>10000</v>
      </c>
      <c r="I59" s="62" t="s">
        <v>2542</v>
      </c>
      <c r="J59" s="62" t="s">
        <v>2371</v>
      </c>
      <c r="K59" s="62" t="s">
        <v>2543</v>
      </c>
      <c r="L59" s="65" t="s">
        <v>2367</v>
      </c>
      <c r="M59" s="65" t="s">
        <v>484</v>
      </c>
    </row>
    <row r="60" spans="1:13" ht="15" customHeight="1" x14ac:dyDescent="0.25">
      <c r="A60" s="62" t="s">
        <v>2544</v>
      </c>
      <c r="B60" s="62" t="s">
        <v>2252</v>
      </c>
      <c r="C60" s="62" t="s">
        <v>576</v>
      </c>
      <c r="D60" s="63" t="s">
        <v>577</v>
      </c>
      <c r="E60" s="62" t="s">
        <v>2361</v>
      </c>
      <c r="F60" s="62" t="s">
        <v>2362</v>
      </c>
      <c r="G60" s="62" t="s">
        <v>2545</v>
      </c>
      <c r="H60" s="64">
        <v>80000</v>
      </c>
      <c r="I60" s="62" t="s">
        <v>2364</v>
      </c>
      <c r="J60" s="62" t="s">
        <v>2365</v>
      </c>
      <c r="K60" s="62" t="s">
        <v>2546</v>
      </c>
      <c r="L60" s="65" t="s">
        <v>2367</v>
      </c>
      <c r="M60" s="65" t="s">
        <v>484</v>
      </c>
    </row>
    <row r="61" spans="1:13" ht="15" customHeight="1" x14ac:dyDescent="0.25">
      <c r="A61" s="62" t="s">
        <v>2547</v>
      </c>
      <c r="B61" s="62" t="s">
        <v>2253</v>
      </c>
      <c r="C61" s="62" t="s">
        <v>581</v>
      </c>
      <c r="D61" s="63" t="s">
        <v>582</v>
      </c>
      <c r="E61" s="62" t="s">
        <v>2361</v>
      </c>
      <c r="F61" s="62" t="s">
        <v>2374</v>
      </c>
      <c r="G61" s="62" t="s">
        <v>2548</v>
      </c>
      <c r="H61" s="64">
        <v>80000</v>
      </c>
      <c r="I61" s="62" t="s">
        <v>2364</v>
      </c>
      <c r="J61" s="62" t="s">
        <v>2371</v>
      </c>
      <c r="K61" s="62" t="s">
        <v>2549</v>
      </c>
      <c r="L61" s="65" t="s">
        <v>2367</v>
      </c>
      <c r="M61" s="65" t="s">
        <v>484</v>
      </c>
    </row>
    <row r="62" spans="1:13" ht="15" customHeight="1" x14ac:dyDescent="0.25">
      <c r="A62" s="62" t="s">
        <v>2550</v>
      </c>
      <c r="B62" s="62" t="s">
        <v>2254</v>
      </c>
      <c r="C62" s="62" t="s">
        <v>586</v>
      </c>
      <c r="D62" s="63" t="s">
        <v>587</v>
      </c>
      <c r="E62" s="62" t="s">
        <v>2361</v>
      </c>
      <c r="F62" s="62" t="s">
        <v>2362</v>
      </c>
      <c r="G62" s="62" t="s">
        <v>2551</v>
      </c>
      <c r="H62" s="64">
        <v>80000</v>
      </c>
      <c r="I62" s="62" t="s">
        <v>2364</v>
      </c>
      <c r="J62" s="62" t="s">
        <v>2365</v>
      </c>
      <c r="K62" s="62" t="s">
        <v>2552</v>
      </c>
      <c r="L62" s="65" t="s">
        <v>2367</v>
      </c>
      <c r="M62" s="65" t="s">
        <v>484</v>
      </c>
    </row>
    <row r="63" spans="1:13" ht="15" customHeight="1" x14ac:dyDescent="0.25">
      <c r="A63" s="62" t="s">
        <v>2553</v>
      </c>
      <c r="B63" s="62" t="s">
        <v>2255</v>
      </c>
      <c r="C63" s="62" t="s">
        <v>591</v>
      </c>
      <c r="D63" s="63" t="s">
        <v>592</v>
      </c>
      <c r="E63" s="62" t="s">
        <v>2361</v>
      </c>
      <c r="F63" s="62" t="s">
        <v>2374</v>
      </c>
      <c r="G63" s="62" t="s">
        <v>2554</v>
      </c>
      <c r="H63" s="64">
        <v>80000</v>
      </c>
      <c r="I63" s="62" t="s">
        <v>2364</v>
      </c>
      <c r="J63" s="62" t="s">
        <v>2371</v>
      </c>
      <c r="K63" s="62" t="s">
        <v>2555</v>
      </c>
      <c r="L63" s="65" t="s">
        <v>2367</v>
      </c>
      <c r="M63" s="65" t="s">
        <v>484</v>
      </c>
    </row>
    <row r="64" spans="1:13" ht="15" customHeight="1" x14ac:dyDescent="0.25">
      <c r="A64" s="62" t="s">
        <v>2556</v>
      </c>
      <c r="B64" s="62" t="s">
        <v>2256</v>
      </c>
      <c r="C64" s="62" t="s">
        <v>598</v>
      </c>
      <c r="D64" s="63" t="s">
        <v>599</v>
      </c>
      <c r="E64" s="62" t="s">
        <v>2361</v>
      </c>
      <c r="F64" s="62" t="s">
        <v>2362</v>
      </c>
      <c r="G64" s="62" t="s">
        <v>2557</v>
      </c>
      <c r="H64" s="64">
        <v>80000</v>
      </c>
      <c r="I64" s="62" t="s">
        <v>2364</v>
      </c>
      <c r="J64" s="62" t="s">
        <v>2365</v>
      </c>
      <c r="K64" s="62" t="s">
        <v>2558</v>
      </c>
      <c r="L64" s="65" t="s">
        <v>2367</v>
      </c>
      <c r="M64" s="65" t="s">
        <v>484</v>
      </c>
    </row>
    <row r="65" spans="1:13" ht="15" customHeight="1" x14ac:dyDescent="0.25">
      <c r="A65" s="62" t="s">
        <v>2559</v>
      </c>
      <c r="B65" s="62" t="s">
        <v>2257</v>
      </c>
      <c r="C65" s="62" t="s">
        <v>604</v>
      </c>
      <c r="D65" s="63" t="s">
        <v>605</v>
      </c>
      <c r="E65" s="62" t="s">
        <v>2361</v>
      </c>
      <c r="F65" s="62" t="s">
        <v>2374</v>
      </c>
      <c r="G65" s="62" t="s">
        <v>2560</v>
      </c>
      <c r="H65" s="64">
        <v>41250</v>
      </c>
      <c r="I65" s="62" t="s">
        <v>2383</v>
      </c>
      <c r="J65" s="62" t="s">
        <v>2371</v>
      </c>
      <c r="K65" s="62" t="s">
        <v>2561</v>
      </c>
      <c r="L65" s="65" t="s">
        <v>2367</v>
      </c>
      <c r="M65" s="65" t="s">
        <v>484</v>
      </c>
    </row>
    <row r="66" spans="1:13" ht="15" customHeight="1" x14ac:dyDescent="0.25">
      <c r="A66" s="62" t="s">
        <v>2562</v>
      </c>
      <c r="B66" s="62" t="s">
        <v>2258</v>
      </c>
      <c r="C66" s="62" t="s">
        <v>610</v>
      </c>
      <c r="D66" s="63" t="s">
        <v>611</v>
      </c>
      <c r="E66" s="62" t="s">
        <v>2361</v>
      </c>
      <c r="F66" s="62" t="s">
        <v>2362</v>
      </c>
      <c r="G66" s="62" t="s">
        <v>2563</v>
      </c>
      <c r="H66" s="64">
        <v>80000</v>
      </c>
      <c r="I66" s="62" t="s">
        <v>2364</v>
      </c>
      <c r="J66" s="62" t="s">
        <v>2365</v>
      </c>
      <c r="K66" s="62" t="s">
        <v>2564</v>
      </c>
      <c r="L66" s="65" t="s">
        <v>2367</v>
      </c>
      <c r="M66" s="65" t="s">
        <v>484</v>
      </c>
    </row>
    <row r="67" spans="1:13" ht="15" customHeight="1" x14ac:dyDescent="0.25">
      <c r="A67" s="62" t="s">
        <v>2565</v>
      </c>
      <c r="B67" s="62" t="s">
        <v>2259</v>
      </c>
      <c r="C67" s="62" t="s">
        <v>616</v>
      </c>
      <c r="D67" s="63" t="s">
        <v>617</v>
      </c>
      <c r="E67" s="62" t="s">
        <v>2361</v>
      </c>
      <c r="F67" s="62" t="s">
        <v>2374</v>
      </c>
      <c r="G67" s="62" t="s">
        <v>2566</v>
      </c>
      <c r="H67" s="64">
        <v>80000</v>
      </c>
      <c r="I67" s="62" t="s">
        <v>2364</v>
      </c>
      <c r="J67" s="62" t="s">
        <v>2371</v>
      </c>
      <c r="K67" s="62" t="s">
        <v>2567</v>
      </c>
      <c r="L67" s="65" t="s">
        <v>2367</v>
      </c>
      <c r="M67" s="65" t="s">
        <v>484</v>
      </c>
    </row>
    <row r="68" spans="1:13" ht="15" customHeight="1" x14ac:dyDescent="0.25">
      <c r="A68" s="62" t="s">
        <v>2568</v>
      </c>
      <c r="B68" s="62" t="s">
        <v>2260</v>
      </c>
      <c r="C68" s="62" t="s">
        <v>622</v>
      </c>
      <c r="D68" s="63" t="s">
        <v>623</v>
      </c>
      <c r="E68" s="62" t="s">
        <v>2361</v>
      </c>
      <c r="F68" s="62" t="s">
        <v>2396</v>
      </c>
      <c r="G68" s="62" t="s">
        <v>2396</v>
      </c>
      <c r="H68" s="64">
        <v>0</v>
      </c>
      <c r="I68" s="62" t="s">
        <v>2397</v>
      </c>
      <c r="J68" s="62" t="s">
        <v>2398</v>
      </c>
      <c r="K68" s="62" t="s">
        <v>2569</v>
      </c>
      <c r="L68" s="65" t="s">
        <v>160</v>
      </c>
      <c r="M68" s="65" t="s">
        <v>484</v>
      </c>
    </row>
    <row r="69" spans="1:13" ht="15" customHeight="1" x14ac:dyDescent="0.25">
      <c r="A69" s="62" t="s">
        <v>2570</v>
      </c>
      <c r="B69" s="62" t="s">
        <v>2261</v>
      </c>
      <c r="C69" s="62" t="s">
        <v>627</v>
      </c>
      <c r="D69" s="63" t="s">
        <v>628</v>
      </c>
      <c r="E69" s="62" t="s">
        <v>2361</v>
      </c>
      <c r="F69" s="62" t="s">
        <v>2374</v>
      </c>
      <c r="G69" s="62" t="s">
        <v>2571</v>
      </c>
      <c r="H69" s="64">
        <v>80000</v>
      </c>
      <c r="I69" s="62" t="s">
        <v>2364</v>
      </c>
      <c r="J69" s="62" t="s">
        <v>2371</v>
      </c>
      <c r="K69" s="62" t="s">
        <v>2572</v>
      </c>
      <c r="L69" s="65" t="s">
        <v>2367</v>
      </c>
      <c r="M69" s="65" t="s">
        <v>484</v>
      </c>
    </row>
    <row r="70" spans="1:13" ht="15" customHeight="1" x14ac:dyDescent="0.25">
      <c r="A70" s="62" t="s">
        <v>2573</v>
      </c>
      <c r="B70" s="62" t="s">
        <v>2262</v>
      </c>
      <c r="C70" s="62" t="s">
        <v>632</v>
      </c>
      <c r="D70" s="63" t="s">
        <v>633</v>
      </c>
      <c r="E70" s="62" t="s">
        <v>2361</v>
      </c>
      <c r="F70" s="62" t="s">
        <v>2362</v>
      </c>
      <c r="G70" s="62" t="s">
        <v>2574</v>
      </c>
      <c r="H70" s="64">
        <v>80000</v>
      </c>
      <c r="I70" s="62" t="s">
        <v>2364</v>
      </c>
      <c r="J70" s="62" t="s">
        <v>2365</v>
      </c>
      <c r="K70" s="62" t="s">
        <v>2575</v>
      </c>
      <c r="L70" s="65" t="s">
        <v>2367</v>
      </c>
      <c r="M70" s="65" t="s">
        <v>484</v>
      </c>
    </row>
    <row r="71" spans="1:13" ht="15" customHeight="1" x14ac:dyDescent="0.25">
      <c r="A71" s="62" t="s">
        <v>2576</v>
      </c>
      <c r="B71" s="62" t="s">
        <v>2263</v>
      </c>
      <c r="C71" s="62" t="s">
        <v>637</v>
      </c>
      <c r="D71" s="63" t="s">
        <v>638</v>
      </c>
      <c r="E71" s="62" t="s">
        <v>2361</v>
      </c>
      <c r="F71" s="62" t="s">
        <v>2374</v>
      </c>
      <c r="G71" s="62" t="s">
        <v>2577</v>
      </c>
      <c r="H71" s="64">
        <v>95000</v>
      </c>
      <c r="I71" s="62" t="s">
        <v>2364</v>
      </c>
      <c r="J71" s="62" t="s">
        <v>2371</v>
      </c>
      <c r="K71" s="62" t="s">
        <v>2578</v>
      </c>
      <c r="L71" s="65" t="s">
        <v>2367</v>
      </c>
      <c r="M71" s="65" t="s">
        <v>484</v>
      </c>
    </row>
    <row r="72" spans="1:13" ht="15" customHeight="1" x14ac:dyDescent="0.25">
      <c r="A72" s="62" t="s">
        <v>2579</v>
      </c>
      <c r="B72" s="62" t="s">
        <v>2264</v>
      </c>
      <c r="C72" s="62" t="s">
        <v>645</v>
      </c>
      <c r="D72" s="63" t="s">
        <v>646</v>
      </c>
      <c r="E72" s="62" t="s">
        <v>2361</v>
      </c>
      <c r="F72" s="62" t="s">
        <v>2362</v>
      </c>
      <c r="G72" s="62" t="s">
        <v>2580</v>
      </c>
      <c r="H72" s="64">
        <v>115000</v>
      </c>
      <c r="I72" s="62" t="s">
        <v>2364</v>
      </c>
      <c r="J72" s="62" t="s">
        <v>2365</v>
      </c>
      <c r="K72" s="62" t="s">
        <v>2581</v>
      </c>
      <c r="L72" s="65" t="s">
        <v>2367</v>
      </c>
      <c r="M72" s="65" t="s">
        <v>484</v>
      </c>
    </row>
    <row r="73" spans="1:13" ht="15" customHeight="1" x14ac:dyDescent="0.25">
      <c r="A73" s="62" t="s">
        <v>2582</v>
      </c>
      <c r="B73" s="62" t="s">
        <v>2265</v>
      </c>
      <c r="C73" s="62" t="s">
        <v>653</v>
      </c>
      <c r="D73" s="63" t="s">
        <v>654</v>
      </c>
      <c r="E73" s="62" t="s">
        <v>2361</v>
      </c>
      <c r="F73" s="62" t="s">
        <v>2374</v>
      </c>
      <c r="G73" s="62" t="s">
        <v>2583</v>
      </c>
      <c r="H73" s="64">
        <v>95000</v>
      </c>
      <c r="I73" s="62" t="s">
        <v>2364</v>
      </c>
      <c r="J73" s="62" t="s">
        <v>2371</v>
      </c>
      <c r="K73" s="62" t="s">
        <v>2584</v>
      </c>
      <c r="L73" s="65" t="s">
        <v>2367</v>
      </c>
      <c r="M73" s="65" t="s">
        <v>484</v>
      </c>
    </row>
    <row r="74" spans="1:13" ht="15" customHeight="1" x14ac:dyDescent="0.25">
      <c r="A74" s="62" t="s">
        <v>2585</v>
      </c>
      <c r="B74" s="62" t="s">
        <v>2266</v>
      </c>
      <c r="C74" s="62" t="s">
        <v>661</v>
      </c>
      <c r="D74" s="63" t="s">
        <v>662</v>
      </c>
      <c r="E74" s="62" t="s">
        <v>2361</v>
      </c>
      <c r="F74" s="62" t="s">
        <v>2362</v>
      </c>
      <c r="G74" s="62" t="s">
        <v>2586</v>
      </c>
      <c r="H74" s="64">
        <v>49500</v>
      </c>
      <c r="I74" s="62" t="s">
        <v>2383</v>
      </c>
      <c r="J74" s="62" t="s">
        <v>2365</v>
      </c>
      <c r="K74" s="62" t="s">
        <v>2587</v>
      </c>
      <c r="L74" s="65" t="s">
        <v>2367</v>
      </c>
      <c r="M74" s="65" t="s">
        <v>484</v>
      </c>
    </row>
    <row r="75" spans="1:13" ht="15" customHeight="1" x14ac:dyDescent="0.25">
      <c r="A75" s="62" t="s">
        <v>2588</v>
      </c>
      <c r="B75" s="62" t="s">
        <v>2267</v>
      </c>
      <c r="C75" s="62" t="s">
        <v>670</v>
      </c>
      <c r="D75" s="63" t="s">
        <v>671</v>
      </c>
      <c r="E75" s="62" t="s">
        <v>2361</v>
      </c>
      <c r="F75" s="62" t="s">
        <v>2374</v>
      </c>
      <c r="G75" s="62" t="s">
        <v>2589</v>
      </c>
      <c r="H75" s="64">
        <v>95000</v>
      </c>
      <c r="I75" s="62" t="s">
        <v>2364</v>
      </c>
      <c r="J75" s="62" t="s">
        <v>2371</v>
      </c>
      <c r="K75" s="62" t="s">
        <v>2590</v>
      </c>
      <c r="L75" s="65" t="s">
        <v>2367</v>
      </c>
      <c r="M75" s="65" t="s">
        <v>484</v>
      </c>
    </row>
    <row r="76" spans="1:13" ht="15" customHeight="1" x14ac:dyDescent="0.25">
      <c r="A76" s="62" t="s">
        <v>2591</v>
      </c>
      <c r="B76" s="62" t="s">
        <v>2268</v>
      </c>
      <c r="C76" s="62" t="s">
        <v>678</v>
      </c>
      <c r="D76" s="63" t="s">
        <v>679</v>
      </c>
      <c r="E76" s="62" t="s">
        <v>2361</v>
      </c>
      <c r="F76" s="62" t="s">
        <v>2362</v>
      </c>
      <c r="G76" s="62" t="s">
        <v>2592</v>
      </c>
      <c r="H76" s="64">
        <v>115000</v>
      </c>
      <c r="I76" s="62" t="s">
        <v>2364</v>
      </c>
      <c r="J76" s="62" t="s">
        <v>2365</v>
      </c>
      <c r="K76" s="62" t="s">
        <v>2593</v>
      </c>
      <c r="L76" s="65" t="s">
        <v>2367</v>
      </c>
      <c r="M76" s="65" t="s">
        <v>484</v>
      </c>
    </row>
    <row r="77" spans="1:13" ht="15" customHeight="1" x14ac:dyDescent="0.25">
      <c r="A77" s="62" t="s">
        <v>2594</v>
      </c>
      <c r="B77" s="62" t="s">
        <v>2269</v>
      </c>
      <c r="C77" s="62" t="s">
        <v>685</v>
      </c>
      <c r="D77" s="63" t="s">
        <v>686</v>
      </c>
      <c r="E77" s="62" t="s">
        <v>2361</v>
      </c>
      <c r="F77" s="62" t="s">
        <v>2374</v>
      </c>
      <c r="G77" s="62" t="s">
        <v>2595</v>
      </c>
      <c r="H77" s="64">
        <v>85000</v>
      </c>
      <c r="I77" s="62" t="s">
        <v>2364</v>
      </c>
      <c r="J77" s="62" t="s">
        <v>2371</v>
      </c>
      <c r="K77" s="62" t="s">
        <v>2596</v>
      </c>
      <c r="L77" s="65" t="s">
        <v>2367</v>
      </c>
      <c r="M77" s="65" t="s">
        <v>484</v>
      </c>
    </row>
    <row r="78" spans="1:13" ht="15" customHeight="1" x14ac:dyDescent="0.25">
      <c r="A78" s="62" t="s">
        <v>2597</v>
      </c>
      <c r="B78" s="62" t="s">
        <v>2270</v>
      </c>
      <c r="C78" s="62" t="s">
        <v>697</v>
      </c>
      <c r="D78" s="63" t="s">
        <v>698</v>
      </c>
      <c r="E78" s="62" t="s">
        <v>2361</v>
      </c>
      <c r="F78" s="62" t="s">
        <v>2362</v>
      </c>
      <c r="G78" s="62" t="s">
        <v>2598</v>
      </c>
      <c r="H78" s="64">
        <v>85000</v>
      </c>
      <c r="I78" s="62" t="s">
        <v>2364</v>
      </c>
      <c r="J78" s="62" t="s">
        <v>2365</v>
      </c>
      <c r="K78" s="62" t="s">
        <v>2599</v>
      </c>
      <c r="L78" s="65" t="s">
        <v>2367</v>
      </c>
      <c r="M78" s="65" t="s">
        <v>484</v>
      </c>
    </row>
    <row r="79" spans="1:13" ht="15" customHeight="1" x14ac:dyDescent="0.25">
      <c r="A79" s="62" t="s">
        <v>2600</v>
      </c>
      <c r="B79" s="62" t="s">
        <v>2271</v>
      </c>
      <c r="C79" s="62" t="s">
        <v>708</v>
      </c>
      <c r="D79" s="63" t="s">
        <v>709</v>
      </c>
      <c r="E79" s="62" t="s">
        <v>2361</v>
      </c>
      <c r="F79" s="62" t="s">
        <v>2374</v>
      </c>
      <c r="G79" s="62" t="s">
        <v>2601</v>
      </c>
      <c r="H79" s="64">
        <v>80000</v>
      </c>
      <c r="I79" s="62" t="s">
        <v>2364</v>
      </c>
      <c r="J79" s="62" t="s">
        <v>2371</v>
      </c>
      <c r="K79" s="62" t="s">
        <v>2602</v>
      </c>
      <c r="L79" s="65" t="s">
        <v>2367</v>
      </c>
      <c r="M79" s="65" t="s">
        <v>484</v>
      </c>
    </row>
    <row r="80" spans="1:13" ht="15" customHeight="1" x14ac:dyDescent="0.25">
      <c r="A80" s="62" t="s">
        <v>2603</v>
      </c>
      <c r="B80" s="62" t="s">
        <v>2272</v>
      </c>
      <c r="C80" s="62" t="s">
        <v>718</v>
      </c>
      <c r="D80" s="63" t="s">
        <v>719</v>
      </c>
      <c r="E80" s="62" t="s">
        <v>2361</v>
      </c>
      <c r="F80" s="62" t="s">
        <v>2396</v>
      </c>
      <c r="G80" s="62" t="s">
        <v>2396</v>
      </c>
      <c r="H80" s="64">
        <v>0</v>
      </c>
      <c r="I80" s="62" t="s">
        <v>2397</v>
      </c>
      <c r="J80" s="62" t="s">
        <v>2398</v>
      </c>
      <c r="K80" s="62" t="s">
        <v>2604</v>
      </c>
      <c r="L80" s="65" t="s">
        <v>160</v>
      </c>
      <c r="M80" s="65" t="s">
        <v>484</v>
      </c>
    </row>
    <row r="81" spans="1:13" ht="15" customHeight="1" x14ac:dyDescent="0.25">
      <c r="A81" s="62" t="s">
        <v>2605</v>
      </c>
      <c r="B81" s="62" t="s">
        <v>2273</v>
      </c>
      <c r="C81" s="62" t="s">
        <v>725</v>
      </c>
      <c r="D81" s="63" t="s">
        <v>726</v>
      </c>
      <c r="E81" s="62" t="s">
        <v>2361</v>
      </c>
      <c r="F81" s="62" t="s">
        <v>2374</v>
      </c>
      <c r="G81" s="62" t="s">
        <v>2606</v>
      </c>
      <c r="H81" s="64">
        <v>85000</v>
      </c>
      <c r="I81" s="62" t="s">
        <v>2364</v>
      </c>
      <c r="J81" s="62" t="s">
        <v>2371</v>
      </c>
      <c r="K81" s="62" t="s">
        <v>2607</v>
      </c>
      <c r="L81" s="65" t="s">
        <v>2367</v>
      </c>
      <c r="M81" s="65" t="s">
        <v>484</v>
      </c>
    </row>
    <row r="82" spans="1:13" ht="15" customHeight="1" x14ac:dyDescent="0.25">
      <c r="A82" s="62" t="s">
        <v>2608</v>
      </c>
      <c r="B82" s="62" t="s">
        <v>2274</v>
      </c>
      <c r="C82" s="62" t="s">
        <v>734</v>
      </c>
      <c r="D82" s="63" t="s">
        <v>735</v>
      </c>
      <c r="E82" s="62" t="s">
        <v>2361</v>
      </c>
      <c r="F82" s="62" t="s">
        <v>2362</v>
      </c>
      <c r="G82" s="62" t="s">
        <v>2609</v>
      </c>
      <c r="H82" s="64">
        <v>85000</v>
      </c>
      <c r="I82" s="62" t="s">
        <v>2364</v>
      </c>
      <c r="J82" s="62" t="s">
        <v>2365</v>
      </c>
      <c r="K82" s="62" t="s">
        <v>2610</v>
      </c>
      <c r="L82" s="65" t="s">
        <v>2367</v>
      </c>
      <c r="M82" s="65" t="s">
        <v>484</v>
      </c>
    </row>
    <row r="83" spans="1:13" ht="15" customHeight="1" x14ac:dyDescent="0.25">
      <c r="A83" s="62" t="s">
        <v>2611</v>
      </c>
      <c r="B83" s="62" t="s">
        <v>2275</v>
      </c>
      <c r="C83" s="62" t="s">
        <v>742</v>
      </c>
      <c r="D83" s="63" t="s">
        <v>743</v>
      </c>
      <c r="E83" s="62" t="s">
        <v>2361</v>
      </c>
      <c r="F83" s="62" t="s">
        <v>2374</v>
      </c>
      <c r="G83" s="62" t="s">
        <v>2612</v>
      </c>
      <c r="H83" s="64">
        <v>185000</v>
      </c>
      <c r="I83" s="62" t="s">
        <v>2364</v>
      </c>
      <c r="J83" s="62" t="s">
        <v>2371</v>
      </c>
      <c r="K83" s="62" t="s">
        <v>2613</v>
      </c>
      <c r="L83" s="65" t="s">
        <v>2367</v>
      </c>
      <c r="M83" s="65" t="s">
        <v>484</v>
      </c>
    </row>
    <row r="84" spans="1:13" ht="15" customHeight="1" x14ac:dyDescent="0.25">
      <c r="A84" s="62" t="s">
        <v>2614</v>
      </c>
      <c r="B84" s="62" t="s">
        <v>2276</v>
      </c>
      <c r="C84" s="62" t="s">
        <v>753</v>
      </c>
      <c r="D84" s="63" t="s">
        <v>754</v>
      </c>
      <c r="E84" s="62" t="s">
        <v>2361</v>
      </c>
      <c r="F84" s="62" t="s">
        <v>2362</v>
      </c>
      <c r="G84" s="62" t="s">
        <v>2615</v>
      </c>
      <c r="H84" s="64">
        <v>185000</v>
      </c>
      <c r="I84" s="62" t="s">
        <v>2364</v>
      </c>
      <c r="J84" s="62" t="s">
        <v>2365</v>
      </c>
      <c r="K84" s="62" t="s">
        <v>2616</v>
      </c>
      <c r="L84" s="65" t="s">
        <v>2367</v>
      </c>
      <c r="M84" s="65" t="s">
        <v>484</v>
      </c>
    </row>
    <row r="85" spans="1:13" ht="15" customHeight="1" x14ac:dyDescent="0.25">
      <c r="A85" s="62" t="s">
        <v>2617</v>
      </c>
      <c r="B85" s="62" t="s">
        <v>2277</v>
      </c>
      <c r="C85" s="62" t="s">
        <v>763</v>
      </c>
      <c r="D85" s="63" t="s">
        <v>764</v>
      </c>
      <c r="E85" s="62" t="s">
        <v>2361</v>
      </c>
      <c r="F85" s="62" t="s">
        <v>2374</v>
      </c>
      <c r="G85" s="62" t="s">
        <v>2618</v>
      </c>
      <c r="H85" s="64">
        <v>185000</v>
      </c>
      <c r="I85" s="62" t="s">
        <v>2364</v>
      </c>
      <c r="J85" s="62" t="s">
        <v>2371</v>
      </c>
      <c r="K85" s="62" t="s">
        <v>2619</v>
      </c>
      <c r="L85" s="65" t="s">
        <v>2367</v>
      </c>
      <c r="M85" s="65" t="s">
        <v>484</v>
      </c>
    </row>
    <row r="86" spans="1:13" ht="15" customHeight="1" x14ac:dyDescent="0.25">
      <c r="A86" s="62" t="s">
        <v>2620</v>
      </c>
      <c r="B86" s="62" t="s">
        <v>2278</v>
      </c>
      <c r="C86" s="62" t="s">
        <v>773</v>
      </c>
      <c r="D86" s="63" t="s">
        <v>774</v>
      </c>
      <c r="E86" s="62" t="s">
        <v>2361</v>
      </c>
      <c r="F86" s="62" t="s">
        <v>2362</v>
      </c>
      <c r="G86" s="62" t="s">
        <v>2621</v>
      </c>
      <c r="H86" s="64">
        <v>185000</v>
      </c>
      <c r="I86" s="62" t="s">
        <v>2364</v>
      </c>
      <c r="J86" s="62" t="s">
        <v>2365</v>
      </c>
      <c r="K86" s="62" t="s">
        <v>2622</v>
      </c>
      <c r="L86" s="65" t="s">
        <v>2367</v>
      </c>
      <c r="M86" s="65" t="s">
        <v>484</v>
      </c>
    </row>
    <row r="87" spans="1:13" ht="15" customHeight="1" x14ac:dyDescent="0.25">
      <c r="A87" s="62" t="s">
        <v>2623</v>
      </c>
      <c r="B87" s="62" t="s">
        <v>2279</v>
      </c>
      <c r="C87" s="62" t="s">
        <v>782</v>
      </c>
      <c r="D87" s="63" t="s">
        <v>783</v>
      </c>
      <c r="E87" s="62" t="s">
        <v>2361</v>
      </c>
      <c r="F87" s="62" t="s">
        <v>2362</v>
      </c>
      <c r="G87" s="62" t="s">
        <v>2624</v>
      </c>
      <c r="H87" s="64">
        <v>65000</v>
      </c>
      <c r="I87" s="62" t="s">
        <v>2364</v>
      </c>
      <c r="J87" s="62" t="s">
        <v>2365</v>
      </c>
      <c r="K87" s="62" t="s">
        <v>2625</v>
      </c>
      <c r="L87" s="65" t="s">
        <v>2367</v>
      </c>
      <c r="M87" s="65" t="s">
        <v>786</v>
      </c>
    </row>
    <row r="88" spans="1:13" ht="15" customHeight="1" x14ac:dyDescent="0.25">
      <c r="A88" s="62" t="s">
        <v>2626</v>
      </c>
      <c r="B88" s="62" t="s">
        <v>2280</v>
      </c>
      <c r="C88" s="62" t="s">
        <v>787</v>
      </c>
      <c r="D88" s="63" t="s">
        <v>788</v>
      </c>
      <c r="E88" s="62" t="s">
        <v>2361</v>
      </c>
      <c r="F88" s="62" t="s">
        <v>2374</v>
      </c>
      <c r="G88" s="62" t="s">
        <v>2627</v>
      </c>
      <c r="H88" s="64">
        <v>70000</v>
      </c>
      <c r="I88" s="62" t="s">
        <v>2364</v>
      </c>
      <c r="J88" s="62" t="s">
        <v>2371</v>
      </c>
      <c r="K88" s="62" t="s">
        <v>2628</v>
      </c>
      <c r="L88" s="65" t="s">
        <v>2367</v>
      </c>
      <c r="M88" s="65" t="s">
        <v>786</v>
      </c>
    </row>
    <row r="89" spans="1:13" ht="15" customHeight="1" x14ac:dyDescent="0.25">
      <c r="A89" s="62" t="s">
        <v>2629</v>
      </c>
      <c r="B89" s="62" t="s">
        <v>2281</v>
      </c>
      <c r="C89" s="62" t="s">
        <v>794</v>
      </c>
      <c r="D89" s="63" t="s">
        <v>795</v>
      </c>
      <c r="E89" s="62" t="s">
        <v>2361</v>
      </c>
      <c r="F89" s="62" t="s">
        <v>2362</v>
      </c>
      <c r="G89" s="62" t="s">
        <v>2630</v>
      </c>
      <c r="H89" s="64">
        <v>70000</v>
      </c>
      <c r="I89" s="62" t="s">
        <v>2364</v>
      </c>
      <c r="J89" s="62" t="s">
        <v>2365</v>
      </c>
      <c r="K89" s="62" t="s">
        <v>2631</v>
      </c>
      <c r="L89" s="65" t="s">
        <v>2367</v>
      </c>
      <c r="M89" s="65" t="s">
        <v>786</v>
      </c>
    </row>
    <row r="90" spans="1:13" ht="15" customHeight="1" x14ac:dyDescent="0.25">
      <c r="A90" s="62" t="s">
        <v>2632</v>
      </c>
      <c r="B90" s="62" t="s">
        <v>2282</v>
      </c>
      <c r="C90" s="62" t="s">
        <v>803</v>
      </c>
      <c r="D90" s="63" t="s">
        <v>804</v>
      </c>
      <c r="E90" s="62" t="s">
        <v>2361</v>
      </c>
      <c r="F90" s="62" t="s">
        <v>2374</v>
      </c>
      <c r="G90" s="62" t="s">
        <v>2633</v>
      </c>
      <c r="H90" s="64">
        <v>80000</v>
      </c>
      <c r="I90" s="62" t="s">
        <v>2364</v>
      </c>
      <c r="J90" s="62" t="s">
        <v>2371</v>
      </c>
      <c r="K90" s="62" t="s">
        <v>2634</v>
      </c>
      <c r="L90" s="65" t="s">
        <v>2367</v>
      </c>
      <c r="M90" s="65" t="s">
        <v>786</v>
      </c>
    </row>
    <row r="91" spans="1:13" ht="15" customHeight="1" x14ac:dyDescent="0.25">
      <c r="A91" s="62" t="s">
        <v>2635</v>
      </c>
      <c r="B91" s="62" t="s">
        <v>2283</v>
      </c>
      <c r="C91" s="62" t="s">
        <v>809</v>
      </c>
      <c r="D91" s="63" t="s">
        <v>810</v>
      </c>
      <c r="E91" s="62" t="s">
        <v>2361</v>
      </c>
      <c r="F91" s="62" t="s">
        <v>2362</v>
      </c>
      <c r="G91" s="62" t="s">
        <v>2636</v>
      </c>
      <c r="H91" s="64">
        <v>35750</v>
      </c>
      <c r="I91" s="62" t="s">
        <v>2383</v>
      </c>
      <c r="J91" s="62" t="s">
        <v>2365</v>
      </c>
      <c r="K91" s="62" t="s">
        <v>2637</v>
      </c>
      <c r="L91" s="65" t="s">
        <v>2367</v>
      </c>
      <c r="M91" s="65" t="s">
        <v>786</v>
      </c>
    </row>
    <row r="92" spans="1:13" ht="15" customHeight="1" x14ac:dyDescent="0.25">
      <c r="A92" s="62" t="s">
        <v>2638</v>
      </c>
      <c r="B92" s="62" t="s">
        <v>2284</v>
      </c>
      <c r="C92" s="62" t="s">
        <v>814</v>
      </c>
      <c r="D92" s="63" t="s">
        <v>815</v>
      </c>
      <c r="E92" s="62" t="s">
        <v>2361</v>
      </c>
      <c r="F92" s="62" t="s">
        <v>2374</v>
      </c>
      <c r="G92" s="62" t="s">
        <v>2639</v>
      </c>
      <c r="H92" s="64">
        <v>80000</v>
      </c>
      <c r="I92" s="62" t="s">
        <v>2364</v>
      </c>
      <c r="J92" s="62" t="s">
        <v>2371</v>
      </c>
      <c r="K92" s="62" t="s">
        <v>2640</v>
      </c>
      <c r="L92" s="65" t="s">
        <v>2367</v>
      </c>
      <c r="M92" s="65" t="s">
        <v>786</v>
      </c>
    </row>
    <row r="93" spans="1:13" ht="15" customHeight="1" x14ac:dyDescent="0.25">
      <c r="A93" s="62" t="s">
        <v>2641</v>
      </c>
      <c r="B93" s="62" t="s">
        <v>2285</v>
      </c>
      <c r="C93" s="62" t="s">
        <v>820</v>
      </c>
      <c r="D93" s="63" t="s">
        <v>821</v>
      </c>
      <c r="E93" s="62" t="s">
        <v>2361</v>
      </c>
      <c r="F93" s="62" t="s">
        <v>2362</v>
      </c>
      <c r="G93" s="62" t="s">
        <v>2642</v>
      </c>
      <c r="H93" s="64">
        <v>70000</v>
      </c>
      <c r="I93" s="62" t="s">
        <v>2364</v>
      </c>
      <c r="J93" s="62" t="s">
        <v>2365</v>
      </c>
      <c r="K93" s="62" t="s">
        <v>2643</v>
      </c>
      <c r="L93" s="65" t="s">
        <v>2367</v>
      </c>
      <c r="M93" s="65" t="s">
        <v>786</v>
      </c>
    </row>
    <row r="94" spans="1:13" ht="15" customHeight="1" x14ac:dyDescent="0.25">
      <c r="A94" s="62" t="s">
        <v>2644</v>
      </c>
      <c r="B94" s="62" t="s">
        <v>2286</v>
      </c>
      <c r="C94" s="62" t="s">
        <v>824</v>
      </c>
      <c r="D94" s="63" t="s">
        <v>825</v>
      </c>
      <c r="E94" s="62" t="s">
        <v>2361</v>
      </c>
      <c r="F94" s="62" t="s">
        <v>2374</v>
      </c>
      <c r="G94" s="62" t="s">
        <v>2645</v>
      </c>
      <c r="H94" s="64">
        <v>65000</v>
      </c>
      <c r="I94" s="62" t="s">
        <v>2364</v>
      </c>
      <c r="J94" s="62" t="s">
        <v>2371</v>
      </c>
      <c r="K94" s="62" t="s">
        <v>2646</v>
      </c>
      <c r="L94" s="65" t="s">
        <v>2367</v>
      </c>
      <c r="M94" s="65" t="s">
        <v>786</v>
      </c>
    </row>
    <row r="95" spans="1:13" ht="15" customHeight="1" x14ac:dyDescent="0.25">
      <c r="A95" s="62" t="s">
        <v>2647</v>
      </c>
      <c r="B95" s="62" t="s">
        <v>2287</v>
      </c>
      <c r="C95" s="62" t="s">
        <v>830</v>
      </c>
      <c r="D95" s="63" t="s">
        <v>831</v>
      </c>
      <c r="E95" s="62" t="s">
        <v>2361</v>
      </c>
      <c r="F95" s="62" t="s">
        <v>2396</v>
      </c>
      <c r="G95" s="62" t="s">
        <v>2396</v>
      </c>
      <c r="H95" s="64">
        <v>0</v>
      </c>
      <c r="I95" s="62" t="s">
        <v>2397</v>
      </c>
      <c r="J95" s="62" t="s">
        <v>2398</v>
      </c>
      <c r="K95" s="62" t="s">
        <v>2648</v>
      </c>
      <c r="L95" s="65" t="s">
        <v>160</v>
      </c>
      <c r="M95" s="65" t="s">
        <v>786</v>
      </c>
    </row>
    <row r="96" spans="1:13" ht="15" customHeight="1" x14ac:dyDescent="0.25">
      <c r="A96" s="62" t="s">
        <v>2649</v>
      </c>
      <c r="B96" s="62" t="s">
        <v>2288</v>
      </c>
      <c r="C96" s="62" t="s">
        <v>834</v>
      </c>
      <c r="D96" s="63" t="s">
        <v>835</v>
      </c>
      <c r="E96" s="62" t="s">
        <v>2361</v>
      </c>
      <c r="F96" s="62" t="s">
        <v>2374</v>
      </c>
      <c r="G96" s="62" t="s">
        <v>2650</v>
      </c>
      <c r="H96" s="64">
        <v>70000</v>
      </c>
      <c r="I96" s="62" t="s">
        <v>2364</v>
      </c>
      <c r="J96" s="62" t="s">
        <v>2371</v>
      </c>
      <c r="K96" s="62" t="s">
        <v>2651</v>
      </c>
      <c r="L96" s="65" t="s">
        <v>2367</v>
      </c>
      <c r="M96" s="65" t="s">
        <v>786</v>
      </c>
    </row>
    <row r="97" spans="1:13" ht="15" customHeight="1" x14ac:dyDescent="0.25">
      <c r="A97" s="62" t="s">
        <v>2652</v>
      </c>
      <c r="B97" s="62" t="s">
        <v>2289</v>
      </c>
      <c r="C97" s="62" t="s">
        <v>838</v>
      </c>
      <c r="D97" s="63" t="s">
        <v>839</v>
      </c>
      <c r="E97" s="62" t="s">
        <v>2361</v>
      </c>
      <c r="F97" s="62" t="s">
        <v>2362</v>
      </c>
      <c r="G97" s="62" t="s">
        <v>2653</v>
      </c>
      <c r="H97" s="64">
        <v>80000</v>
      </c>
      <c r="I97" s="62" t="s">
        <v>2364</v>
      </c>
      <c r="J97" s="62" t="s">
        <v>2365</v>
      </c>
      <c r="K97" s="62" t="s">
        <v>2654</v>
      </c>
      <c r="L97" s="65" t="s">
        <v>2367</v>
      </c>
      <c r="M97" s="65" t="s">
        <v>786</v>
      </c>
    </row>
    <row r="98" spans="1:13" ht="15" customHeight="1" x14ac:dyDescent="0.25">
      <c r="A98" s="62" t="s">
        <v>2655</v>
      </c>
      <c r="B98" s="62" t="s">
        <v>2290</v>
      </c>
      <c r="C98" s="62" t="s">
        <v>842</v>
      </c>
      <c r="D98" s="63" t="s">
        <v>843</v>
      </c>
      <c r="E98" s="62" t="s">
        <v>2361</v>
      </c>
      <c r="F98" s="62" t="s">
        <v>2374</v>
      </c>
      <c r="G98" s="62" t="s">
        <v>2656</v>
      </c>
      <c r="H98" s="64">
        <v>65000</v>
      </c>
      <c r="I98" s="62" t="s">
        <v>2364</v>
      </c>
      <c r="J98" s="62" t="s">
        <v>2371</v>
      </c>
      <c r="K98" s="62" t="s">
        <v>2657</v>
      </c>
      <c r="L98" s="65" t="s">
        <v>2367</v>
      </c>
      <c r="M98" s="65" t="s">
        <v>786</v>
      </c>
    </row>
    <row r="99" spans="1:13" ht="15" customHeight="1" x14ac:dyDescent="0.25">
      <c r="A99" s="62" t="s">
        <v>2658</v>
      </c>
      <c r="B99" s="62" t="s">
        <v>2291</v>
      </c>
      <c r="C99" s="62" t="s">
        <v>848</v>
      </c>
      <c r="D99" s="63" t="s">
        <v>849</v>
      </c>
      <c r="E99" s="62" t="s">
        <v>2361</v>
      </c>
      <c r="F99" s="62" t="s">
        <v>2362</v>
      </c>
      <c r="G99" s="62" t="s">
        <v>2659</v>
      </c>
      <c r="H99" s="64">
        <v>70000</v>
      </c>
      <c r="I99" s="62" t="s">
        <v>2364</v>
      </c>
      <c r="J99" s="62" t="s">
        <v>2365</v>
      </c>
      <c r="K99" s="62" t="s">
        <v>2660</v>
      </c>
      <c r="L99" s="65" t="s">
        <v>2367</v>
      </c>
      <c r="M99" s="65" t="s">
        <v>786</v>
      </c>
    </row>
    <row r="100" spans="1:13" ht="15" customHeight="1" x14ac:dyDescent="0.25">
      <c r="A100" s="62" t="s">
        <v>2661</v>
      </c>
      <c r="B100" s="62" t="s">
        <v>2292</v>
      </c>
      <c r="C100" s="62" t="s">
        <v>852</v>
      </c>
      <c r="D100" s="63" t="s">
        <v>853</v>
      </c>
      <c r="E100" s="62" t="s">
        <v>2361</v>
      </c>
      <c r="F100" s="62" t="s">
        <v>2374</v>
      </c>
      <c r="G100" s="62" t="s">
        <v>2662</v>
      </c>
      <c r="H100" s="64">
        <v>10000</v>
      </c>
      <c r="I100" s="62" t="s">
        <v>2542</v>
      </c>
      <c r="J100" s="62" t="s">
        <v>2371</v>
      </c>
      <c r="K100" s="62" t="s">
        <v>2663</v>
      </c>
      <c r="L100" s="65" t="s">
        <v>2367</v>
      </c>
      <c r="M100" s="65" t="s">
        <v>786</v>
      </c>
    </row>
    <row r="101" spans="1:13" ht="15" customHeight="1" x14ac:dyDescent="0.25">
      <c r="A101" s="62" t="s">
        <v>2664</v>
      </c>
      <c r="B101" s="62" t="s">
        <v>2293</v>
      </c>
      <c r="C101" s="62" t="s">
        <v>857</v>
      </c>
      <c r="D101" s="63" t="s">
        <v>858</v>
      </c>
      <c r="E101" s="62" t="s">
        <v>2361</v>
      </c>
      <c r="F101" s="62" t="s">
        <v>2362</v>
      </c>
      <c r="G101" s="62" t="s">
        <v>2665</v>
      </c>
      <c r="H101" s="64">
        <v>80000</v>
      </c>
      <c r="I101" s="62" t="s">
        <v>2364</v>
      </c>
      <c r="J101" s="62" t="s">
        <v>2365</v>
      </c>
      <c r="K101" s="62" t="s">
        <v>2666</v>
      </c>
      <c r="L101" s="65" t="s">
        <v>2367</v>
      </c>
      <c r="M101" s="65" t="s">
        <v>786</v>
      </c>
    </row>
    <row r="102" spans="1:13" ht="15" customHeight="1" x14ac:dyDescent="0.25">
      <c r="A102" s="62" t="s">
        <v>2667</v>
      </c>
      <c r="B102" s="62" t="s">
        <v>2294</v>
      </c>
      <c r="C102" s="62" t="s">
        <v>862</v>
      </c>
      <c r="D102" s="63" t="s">
        <v>863</v>
      </c>
      <c r="E102" s="62" t="s">
        <v>2361</v>
      </c>
      <c r="F102" s="62" t="s">
        <v>2374</v>
      </c>
      <c r="G102" s="62" t="s">
        <v>2668</v>
      </c>
      <c r="H102" s="64">
        <v>70000</v>
      </c>
      <c r="I102" s="62" t="s">
        <v>2364</v>
      </c>
      <c r="J102" s="62" t="s">
        <v>2371</v>
      </c>
      <c r="K102" s="62" t="s">
        <v>2669</v>
      </c>
      <c r="L102" s="65" t="s">
        <v>2367</v>
      </c>
      <c r="M102" s="65" t="s">
        <v>786</v>
      </c>
    </row>
    <row r="103" spans="1:13" ht="15" customHeight="1" x14ac:dyDescent="0.25">
      <c r="A103" s="62" t="s">
        <v>2670</v>
      </c>
      <c r="B103" s="62" t="s">
        <v>2295</v>
      </c>
      <c r="C103" s="62" t="s">
        <v>867</v>
      </c>
      <c r="D103" s="63" t="s">
        <v>868</v>
      </c>
      <c r="E103" s="62" t="s">
        <v>2361</v>
      </c>
      <c r="F103" s="62" t="s">
        <v>2362</v>
      </c>
      <c r="G103" s="62" t="s">
        <v>2671</v>
      </c>
      <c r="H103" s="64">
        <v>80000</v>
      </c>
      <c r="I103" s="62" t="s">
        <v>2364</v>
      </c>
      <c r="J103" s="62" t="s">
        <v>2365</v>
      </c>
      <c r="K103" s="62" t="s">
        <v>2672</v>
      </c>
      <c r="L103" s="65" t="s">
        <v>2367</v>
      </c>
      <c r="M103" s="65" t="s">
        <v>786</v>
      </c>
    </row>
    <row r="104" spans="1:13" ht="15" customHeight="1" x14ac:dyDescent="0.25">
      <c r="A104" s="62" t="s">
        <v>2673</v>
      </c>
      <c r="B104" s="62" t="s">
        <v>2296</v>
      </c>
      <c r="C104" s="62" t="s">
        <v>874</v>
      </c>
      <c r="D104" s="63" t="s">
        <v>875</v>
      </c>
      <c r="E104" s="62" t="s">
        <v>2361</v>
      </c>
      <c r="F104" s="62" t="s">
        <v>2374</v>
      </c>
      <c r="G104" s="62" t="s">
        <v>2674</v>
      </c>
      <c r="H104" s="64">
        <v>70000</v>
      </c>
      <c r="I104" s="62" t="s">
        <v>2364</v>
      </c>
      <c r="J104" s="62" t="s">
        <v>2371</v>
      </c>
      <c r="K104" s="62" t="s">
        <v>2675</v>
      </c>
      <c r="L104" s="65" t="s">
        <v>2367</v>
      </c>
      <c r="M104" s="65" t="s">
        <v>786</v>
      </c>
    </row>
    <row r="105" spans="1:13" ht="15" customHeight="1" x14ac:dyDescent="0.25">
      <c r="A105" s="62" t="s">
        <v>2676</v>
      </c>
      <c r="B105" s="62" t="s">
        <v>2297</v>
      </c>
      <c r="C105" s="62" t="s">
        <v>879</v>
      </c>
      <c r="D105" s="63" t="s">
        <v>880</v>
      </c>
      <c r="E105" s="62" t="s">
        <v>2361</v>
      </c>
      <c r="F105" s="62" t="s">
        <v>2362</v>
      </c>
      <c r="G105" s="62" t="s">
        <v>2677</v>
      </c>
      <c r="H105" s="64">
        <v>65000</v>
      </c>
      <c r="I105" s="62" t="s">
        <v>2364</v>
      </c>
      <c r="J105" s="62" t="s">
        <v>2365</v>
      </c>
      <c r="K105" s="62" t="s">
        <v>2678</v>
      </c>
      <c r="L105" s="65" t="s">
        <v>2367</v>
      </c>
      <c r="M105" s="65" t="s">
        <v>786</v>
      </c>
    </row>
    <row r="106" spans="1:13" ht="15" customHeight="1" x14ac:dyDescent="0.25">
      <c r="A106" s="62" t="s">
        <v>2679</v>
      </c>
      <c r="B106" s="62" t="s">
        <v>2298</v>
      </c>
      <c r="C106" s="62" t="s">
        <v>884</v>
      </c>
      <c r="D106" s="63" t="s">
        <v>885</v>
      </c>
      <c r="E106" s="62" t="s">
        <v>2361</v>
      </c>
      <c r="F106" s="62" t="s">
        <v>2374</v>
      </c>
      <c r="G106" s="62" t="s">
        <v>2680</v>
      </c>
      <c r="H106" s="64">
        <v>41250</v>
      </c>
      <c r="I106" s="62" t="s">
        <v>2383</v>
      </c>
      <c r="J106" s="62" t="s">
        <v>2371</v>
      </c>
      <c r="K106" s="62" t="s">
        <v>2681</v>
      </c>
      <c r="L106" s="65" t="s">
        <v>2367</v>
      </c>
      <c r="M106" s="65" t="s">
        <v>786</v>
      </c>
    </row>
    <row r="107" spans="1:13" ht="15" customHeight="1" x14ac:dyDescent="0.25">
      <c r="A107" s="62" t="s">
        <v>2682</v>
      </c>
      <c r="B107" s="62" t="s">
        <v>2299</v>
      </c>
      <c r="C107" s="62" t="s">
        <v>890</v>
      </c>
      <c r="D107" s="63" t="s">
        <v>891</v>
      </c>
      <c r="E107" s="62" t="s">
        <v>2361</v>
      </c>
      <c r="F107" s="62" t="s">
        <v>2362</v>
      </c>
      <c r="G107" s="62" t="s">
        <v>2683</v>
      </c>
      <c r="H107" s="64">
        <v>70000</v>
      </c>
      <c r="I107" s="62" t="s">
        <v>2364</v>
      </c>
      <c r="J107" s="62" t="s">
        <v>2365</v>
      </c>
      <c r="K107" s="62" t="s">
        <v>2684</v>
      </c>
      <c r="L107" s="65" t="s">
        <v>2367</v>
      </c>
      <c r="M107" s="65" t="s">
        <v>786</v>
      </c>
    </row>
    <row r="108" spans="1:13" ht="15" customHeight="1" x14ac:dyDescent="0.25">
      <c r="A108" s="62" t="s">
        <v>2685</v>
      </c>
      <c r="B108" s="62" t="s">
        <v>2300</v>
      </c>
      <c r="C108" s="62" t="s">
        <v>896</v>
      </c>
      <c r="D108" s="63" t="s">
        <v>897</v>
      </c>
      <c r="E108" s="62" t="s">
        <v>2361</v>
      </c>
      <c r="F108" s="62" t="s">
        <v>2374</v>
      </c>
      <c r="G108" s="62" t="s">
        <v>2686</v>
      </c>
      <c r="H108" s="64">
        <v>80000</v>
      </c>
      <c r="I108" s="62" t="s">
        <v>2364</v>
      </c>
      <c r="J108" s="62" t="s">
        <v>2371</v>
      </c>
      <c r="K108" s="62" t="s">
        <v>2687</v>
      </c>
      <c r="L108" s="65" t="s">
        <v>2367</v>
      </c>
      <c r="M108" s="65" t="s">
        <v>786</v>
      </c>
    </row>
    <row r="109" spans="1:13" ht="15" customHeight="1" x14ac:dyDescent="0.25">
      <c r="A109" s="62" t="s">
        <v>2688</v>
      </c>
      <c r="B109" s="62" t="s">
        <v>2301</v>
      </c>
      <c r="C109" s="62" t="s">
        <v>900</v>
      </c>
      <c r="D109" s="63" t="s">
        <v>901</v>
      </c>
      <c r="E109" s="62" t="s">
        <v>2361</v>
      </c>
      <c r="F109" s="62" t="s">
        <v>2396</v>
      </c>
      <c r="G109" s="62" t="s">
        <v>2396</v>
      </c>
      <c r="H109" s="64">
        <v>0</v>
      </c>
      <c r="I109" s="62" t="s">
        <v>2397</v>
      </c>
      <c r="J109" s="62" t="s">
        <v>2398</v>
      </c>
      <c r="K109" s="62" t="s">
        <v>2689</v>
      </c>
      <c r="L109" s="65" t="s">
        <v>160</v>
      </c>
      <c r="M109" s="65" t="s">
        <v>786</v>
      </c>
    </row>
    <row r="110" spans="1:13" ht="15" customHeight="1" x14ac:dyDescent="0.25">
      <c r="A110" s="62" t="s">
        <v>2690</v>
      </c>
      <c r="B110" s="62" t="s">
        <v>2302</v>
      </c>
      <c r="C110" s="62" t="s">
        <v>904</v>
      </c>
      <c r="D110" s="63" t="s">
        <v>905</v>
      </c>
      <c r="E110" s="62" t="s">
        <v>2361</v>
      </c>
      <c r="F110" s="62" t="s">
        <v>2374</v>
      </c>
      <c r="G110" s="62" t="s">
        <v>2691</v>
      </c>
      <c r="H110" s="64">
        <v>80000</v>
      </c>
      <c r="I110" s="62" t="s">
        <v>2364</v>
      </c>
      <c r="J110" s="62" t="s">
        <v>2371</v>
      </c>
      <c r="K110" s="62" t="s">
        <v>2692</v>
      </c>
      <c r="L110" s="65" t="s">
        <v>2367</v>
      </c>
      <c r="M110" s="65" t="s">
        <v>786</v>
      </c>
    </row>
    <row r="111" spans="1:13" ht="15" customHeight="1" x14ac:dyDescent="0.25">
      <c r="A111" s="62" t="s">
        <v>2693</v>
      </c>
      <c r="B111" s="62" t="s">
        <v>2303</v>
      </c>
      <c r="C111" s="62" t="s">
        <v>909</v>
      </c>
      <c r="D111" s="63" t="s">
        <v>910</v>
      </c>
      <c r="E111" s="62" t="s">
        <v>2361</v>
      </c>
      <c r="F111" s="62" t="s">
        <v>2362</v>
      </c>
      <c r="G111" s="62" t="s">
        <v>2694</v>
      </c>
      <c r="H111" s="64">
        <v>70000</v>
      </c>
      <c r="I111" s="62" t="s">
        <v>2364</v>
      </c>
      <c r="J111" s="62" t="s">
        <v>2365</v>
      </c>
      <c r="K111" s="62" t="s">
        <v>2695</v>
      </c>
      <c r="L111" s="65" t="s">
        <v>2367</v>
      </c>
      <c r="M111" s="65" t="s">
        <v>786</v>
      </c>
    </row>
    <row r="112" spans="1:13" ht="15" customHeight="1" x14ac:dyDescent="0.25">
      <c r="A112" s="62" t="s">
        <v>2696</v>
      </c>
      <c r="B112" s="62" t="s">
        <v>2304</v>
      </c>
      <c r="C112" s="62" t="s">
        <v>913</v>
      </c>
      <c r="D112" s="63" t="s">
        <v>914</v>
      </c>
      <c r="E112" s="62" t="s">
        <v>2361</v>
      </c>
      <c r="F112" s="62" t="s">
        <v>2374</v>
      </c>
      <c r="G112" s="62" t="s">
        <v>2697</v>
      </c>
      <c r="H112" s="64">
        <v>90000</v>
      </c>
      <c r="I112" s="62" t="s">
        <v>2364</v>
      </c>
      <c r="J112" s="62" t="s">
        <v>2371</v>
      </c>
      <c r="K112" s="62" t="s">
        <v>2698</v>
      </c>
      <c r="L112" s="65" t="s">
        <v>2367</v>
      </c>
      <c r="M112" s="65" t="s">
        <v>786</v>
      </c>
    </row>
    <row r="113" spans="1:13" ht="15" customHeight="1" x14ac:dyDescent="0.25">
      <c r="A113" s="62" t="s">
        <v>2699</v>
      </c>
      <c r="B113" s="62" t="s">
        <v>2305</v>
      </c>
      <c r="C113" s="62" t="s">
        <v>923</v>
      </c>
      <c r="D113" s="63" t="s">
        <v>924</v>
      </c>
      <c r="E113" s="62" t="s">
        <v>2361</v>
      </c>
      <c r="F113" s="62" t="s">
        <v>2362</v>
      </c>
      <c r="G113" s="62" t="s">
        <v>2700</v>
      </c>
      <c r="H113" s="64">
        <v>115000</v>
      </c>
      <c r="I113" s="62" t="s">
        <v>2364</v>
      </c>
      <c r="J113" s="62" t="s">
        <v>2365</v>
      </c>
      <c r="K113" s="62" t="s">
        <v>2701</v>
      </c>
      <c r="L113" s="65" t="s">
        <v>2367</v>
      </c>
      <c r="M113" s="65" t="s">
        <v>786</v>
      </c>
    </row>
    <row r="114" spans="1:13" ht="15" customHeight="1" x14ac:dyDescent="0.25">
      <c r="A114" s="62" t="s">
        <v>2702</v>
      </c>
      <c r="B114" s="62" t="s">
        <v>2306</v>
      </c>
      <c r="C114" s="62" t="s">
        <v>930</v>
      </c>
      <c r="D114" s="63" t="s">
        <v>931</v>
      </c>
      <c r="E114" s="62" t="s">
        <v>2361</v>
      </c>
      <c r="F114" s="62" t="s">
        <v>2374</v>
      </c>
      <c r="G114" s="62" t="s">
        <v>2703</v>
      </c>
      <c r="H114" s="64">
        <v>90000</v>
      </c>
      <c r="I114" s="62" t="s">
        <v>2364</v>
      </c>
      <c r="J114" s="62" t="s">
        <v>2371</v>
      </c>
      <c r="K114" s="62" t="s">
        <v>2704</v>
      </c>
      <c r="L114" s="65" t="s">
        <v>2367</v>
      </c>
      <c r="M114" s="65" t="s">
        <v>786</v>
      </c>
    </row>
    <row r="115" spans="1:13" ht="15" customHeight="1" x14ac:dyDescent="0.25">
      <c r="A115" s="62" t="s">
        <v>2705</v>
      </c>
      <c r="B115" s="62" t="s">
        <v>2307</v>
      </c>
      <c r="C115" s="62" t="s">
        <v>937</v>
      </c>
      <c r="D115" s="63" t="s">
        <v>938</v>
      </c>
      <c r="E115" s="62" t="s">
        <v>2361</v>
      </c>
      <c r="F115" s="62" t="s">
        <v>2362</v>
      </c>
      <c r="G115" s="62" t="s">
        <v>2706</v>
      </c>
      <c r="H115" s="64">
        <v>49500</v>
      </c>
      <c r="I115" s="62" t="s">
        <v>2383</v>
      </c>
      <c r="J115" s="62" t="s">
        <v>2365</v>
      </c>
      <c r="K115" s="62" t="s">
        <v>2707</v>
      </c>
      <c r="L115" s="65" t="s">
        <v>2367</v>
      </c>
      <c r="M115" s="65" t="s">
        <v>786</v>
      </c>
    </row>
    <row r="116" spans="1:13" ht="15" customHeight="1" x14ac:dyDescent="0.25">
      <c r="A116" s="62" t="s">
        <v>2708</v>
      </c>
      <c r="B116" s="62" t="s">
        <v>2308</v>
      </c>
      <c r="C116" s="62" t="s">
        <v>945</v>
      </c>
      <c r="D116" s="63" t="s">
        <v>946</v>
      </c>
      <c r="E116" s="62" t="s">
        <v>2361</v>
      </c>
      <c r="F116" s="62" t="s">
        <v>2374</v>
      </c>
      <c r="G116" s="62" t="s">
        <v>2709</v>
      </c>
      <c r="H116" s="64">
        <v>95000</v>
      </c>
      <c r="I116" s="62" t="s">
        <v>2364</v>
      </c>
      <c r="J116" s="62" t="s">
        <v>2371</v>
      </c>
      <c r="K116" s="62" t="s">
        <v>2710</v>
      </c>
      <c r="L116" s="65" t="s">
        <v>2367</v>
      </c>
      <c r="M116" s="65" t="s">
        <v>786</v>
      </c>
    </row>
    <row r="117" spans="1:13" ht="15" customHeight="1" x14ac:dyDescent="0.25">
      <c r="A117" s="62" t="s">
        <v>2711</v>
      </c>
      <c r="B117" s="62" t="s">
        <v>2309</v>
      </c>
      <c r="C117" s="62" t="s">
        <v>952</v>
      </c>
      <c r="D117" s="63" t="s">
        <v>953</v>
      </c>
      <c r="E117" s="62" t="s">
        <v>2361</v>
      </c>
      <c r="F117" s="62" t="s">
        <v>2362</v>
      </c>
      <c r="G117" s="62" t="s">
        <v>2712</v>
      </c>
      <c r="H117" s="64">
        <v>115000</v>
      </c>
      <c r="I117" s="62" t="s">
        <v>2364</v>
      </c>
      <c r="J117" s="62" t="s">
        <v>2365</v>
      </c>
      <c r="K117" s="62" t="s">
        <v>2713</v>
      </c>
      <c r="L117" s="65" t="s">
        <v>2367</v>
      </c>
      <c r="M117" s="65" t="s">
        <v>786</v>
      </c>
    </row>
    <row r="118" spans="1:13" ht="15" customHeight="1" x14ac:dyDescent="0.25">
      <c r="A118" s="62" t="s">
        <v>2714</v>
      </c>
      <c r="B118" s="62" t="s">
        <v>2310</v>
      </c>
      <c r="C118" s="62" t="s">
        <v>958</v>
      </c>
      <c r="D118" s="63" t="s">
        <v>959</v>
      </c>
      <c r="E118" s="62" t="s">
        <v>2361</v>
      </c>
      <c r="F118" s="62" t="s">
        <v>2374</v>
      </c>
      <c r="G118" s="62" t="s">
        <v>2715</v>
      </c>
      <c r="H118" s="64">
        <v>85000</v>
      </c>
      <c r="I118" s="62" t="s">
        <v>2364</v>
      </c>
      <c r="J118" s="62" t="s">
        <v>2371</v>
      </c>
      <c r="K118" s="62" t="s">
        <v>2716</v>
      </c>
      <c r="L118" s="65" t="s">
        <v>2367</v>
      </c>
      <c r="M118" s="65" t="s">
        <v>786</v>
      </c>
    </row>
    <row r="119" spans="1:13" ht="15" customHeight="1" x14ac:dyDescent="0.25">
      <c r="A119" s="62" t="s">
        <v>2717</v>
      </c>
      <c r="B119" s="62" t="s">
        <v>2311</v>
      </c>
      <c r="C119" s="62" t="s">
        <v>966</v>
      </c>
      <c r="D119" s="63" t="s">
        <v>967</v>
      </c>
      <c r="E119" s="62" t="s">
        <v>2361</v>
      </c>
      <c r="F119" s="62" t="s">
        <v>2362</v>
      </c>
      <c r="G119" s="62" t="s">
        <v>2718</v>
      </c>
      <c r="H119" s="64">
        <v>85000</v>
      </c>
      <c r="I119" s="62" t="s">
        <v>2364</v>
      </c>
      <c r="J119" s="62" t="s">
        <v>2365</v>
      </c>
      <c r="K119" s="62" t="s">
        <v>2719</v>
      </c>
      <c r="L119" s="65" t="s">
        <v>2367</v>
      </c>
      <c r="M119" s="65" t="s">
        <v>786</v>
      </c>
    </row>
    <row r="120" spans="1:13" ht="15" customHeight="1" x14ac:dyDescent="0.25">
      <c r="A120" s="62" t="s">
        <v>2720</v>
      </c>
      <c r="B120" s="62" t="s">
        <v>2312</v>
      </c>
      <c r="C120" s="62" t="s">
        <v>975</v>
      </c>
      <c r="D120" s="63" t="s">
        <v>976</v>
      </c>
      <c r="E120" s="62" t="s">
        <v>2361</v>
      </c>
      <c r="F120" s="62" t="s">
        <v>2374</v>
      </c>
      <c r="G120" s="62" t="s">
        <v>2721</v>
      </c>
      <c r="H120" s="64">
        <v>80000</v>
      </c>
      <c r="I120" s="62" t="s">
        <v>2364</v>
      </c>
      <c r="J120" s="62" t="s">
        <v>2371</v>
      </c>
      <c r="K120" s="62" t="s">
        <v>2722</v>
      </c>
      <c r="L120" s="65" t="s">
        <v>2367</v>
      </c>
      <c r="M120" s="65" t="s">
        <v>786</v>
      </c>
    </row>
    <row r="121" spans="1:13" ht="15" customHeight="1" x14ac:dyDescent="0.25">
      <c r="A121" s="62" t="s">
        <v>2723</v>
      </c>
      <c r="B121" s="62" t="s">
        <v>2313</v>
      </c>
      <c r="C121" s="62" t="s">
        <v>983</v>
      </c>
      <c r="D121" s="63" t="s">
        <v>984</v>
      </c>
      <c r="E121" s="62" t="s">
        <v>2361</v>
      </c>
      <c r="F121" s="62" t="s">
        <v>2396</v>
      </c>
      <c r="G121" s="62" t="s">
        <v>2396</v>
      </c>
      <c r="H121" s="64">
        <v>0</v>
      </c>
      <c r="I121" s="62" t="s">
        <v>2397</v>
      </c>
      <c r="J121" s="62" t="s">
        <v>2398</v>
      </c>
      <c r="K121" s="62" t="s">
        <v>2724</v>
      </c>
      <c r="L121" s="65" t="s">
        <v>160</v>
      </c>
      <c r="M121" s="65" t="s">
        <v>786</v>
      </c>
    </row>
    <row r="122" spans="1:13" ht="15" customHeight="1" x14ac:dyDescent="0.25">
      <c r="A122" s="62" t="s">
        <v>2725</v>
      </c>
      <c r="B122" s="62" t="s">
        <v>2314</v>
      </c>
      <c r="C122" s="62" t="s">
        <v>990</v>
      </c>
      <c r="D122" s="63" t="s">
        <v>991</v>
      </c>
      <c r="E122" s="62" t="s">
        <v>2361</v>
      </c>
      <c r="F122" s="62" t="s">
        <v>2374</v>
      </c>
      <c r="G122" s="62" t="s">
        <v>2726</v>
      </c>
      <c r="H122" s="64">
        <v>80000</v>
      </c>
      <c r="I122" s="62" t="s">
        <v>2364</v>
      </c>
      <c r="J122" s="62" t="s">
        <v>2371</v>
      </c>
      <c r="K122" s="62" t="s">
        <v>2727</v>
      </c>
      <c r="L122" s="65" t="s">
        <v>2367</v>
      </c>
      <c r="M122" s="65" t="s">
        <v>786</v>
      </c>
    </row>
    <row r="123" spans="1:13" ht="15" customHeight="1" x14ac:dyDescent="0.25">
      <c r="A123" s="62" t="s">
        <v>2728</v>
      </c>
      <c r="B123" s="62" t="s">
        <v>2315</v>
      </c>
      <c r="C123" s="62" t="s">
        <v>997</v>
      </c>
      <c r="D123" s="63" t="s">
        <v>998</v>
      </c>
      <c r="E123" s="62" t="s">
        <v>2361</v>
      </c>
      <c r="F123" s="62" t="s">
        <v>2362</v>
      </c>
      <c r="G123" s="62" t="s">
        <v>2729</v>
      </c>
      <c r="H123" s="64">
        <v>85000</v>
      </c>
      <c r="I123" s="62" t="s">
        <v>2364</v>
      </c>
      <c r="J123" s="62" t="s">
        <v>2365</v>
      </c>
      <c r="K123" s="62" t="s">
        <v>2730</v>
      </c>
      <c r="L123" s="65" t="s">
        <v>2367</v>
      </c>
      <c r="M123" s="65" t="s">
        <v>786</v>
      </c>
    </row>
    <row r="124" spans="1:13" ht="15" customHeight="1" x14ac:dyDescent="0.25">
      <c r="A124" s="62" t="s">
        <v>2731</v>
      </c>
      <c r="B124" s="62" t="s">
        <v>2316</v>
      </c>
      <c r="C124" s="62" t="s">
        <v>1003</v>
      </c>
      <c r="D124" s="63" t="s">
        <v>1004</v>
      </c>
      <c r="E124" s="62" t="s">
        <v>2361</v>
      </c>
      <c r="F124" s="62" t="s">
        <v>2374</v>
      </c>
      <c r="G124" s="62" t="s">
        <v>2732</v>
      </c>
      <c r="H124" s="64">
        <v>185000</v>
      </c>
      <c r="I124" s="62" t="s">
        <v>2364</v>
      </c>
      <c r="J124" s="62" t="s">
        <v>2371</v>
      </c>
      <c r="K124" s="62" t="s">
        <v>2733</v>
      </c>
      <c r="L124" s="65" t="s">
        <v>2367</v>
      </c>
      <c r="M124" s="65" t="s">
        <v>786</v>
      </c>
    </row>
    <row r="125" spans="1:13" ht="15" customHeight="1" x14ac:dyDescent="0.25">
      <c r="A125" s="62" t="s">
        <v>2734</v>
      </c>
      <c r="B125" s="62" t="s">
        <v>2317</v>
      </c>
      <c r="C125" s="62" t="s">
        <v>1012</v>
      </c>
      <c r="D125" s="63" t="s">
        <v>1013</v>
      </c>
      <c r="E125" s="62" t="s">
        <v>2361</v>
      </c>
      <c r="F125" s="62" t="s">
        <v>2362</v>
      </c>
      <c r="G125" s="62" t="s">
        <v>2735</v>
      </c>
      <c r="H125" s="64">
        <v>185000</v>
      </c>
      <c r="I125" s="62" t="s">
        <v>2364</v>
      </c>
      <c r="J125" s="62" t="s">
        <v>2365</v>
      </c>
      <c r="K125" s="62" t="s">
        <v>2736</v>
      </c>
      <c r="L125" s="65" t="s">
        <v>2367</v>
      </c>
      <c r="M125" s="65" t="s">
        <v>786</v>
      </c>
    </row>
    <row r="126" spans="1:13" ht="15" customHeight="1" x14ac:dyDescent="0.25">
      <c r="A126" s="62" t="s">
        <v>2737</v>
      </c>
      <c r="B126" s="62" t="s">
        <v>2318</v>
      </c>
      <c r="C126" s="62" t="s">
        <v>1020</v>
      </c>
      <c r="D126" s="63" t="s">
        <v>1021</v>
      </c>
      <c r="E126" s="62" t="s">
        <v>2361</v>
      </c>
      <c r="F126" s="62" t="s">
        <v>2374</v>
      </c>
      <c r="G126" s="62" t="s">
        <v>2738</v>
      </c>
      <c r="H126" s="64">
        <v>185000</v>
      </c>
      <c r="I126" s="62" t="s">
        <v>2364</v>
      </c>
      <c r="J126" s="62" t="s">
        <v>2371</v>
      </c>
      <c r="K126" s="62" t="s">
        <v>2739</v>
      </c>
      <c r="L126" s="65" t="s">
        <v>2367</v>
      </c>
      <c r="M126" s="65" t="s">
        <v>786</v>
      </c>
    </row>
    <row r="127" spans="1:13" ht="15" customHeight="1" x14ac:dyDescent="0.25">
      <c r="A127" s="62" t="s">
        <v>2740</v>
      </c>
      <c r="B127" s="62" t="s">
        <v>2319</v>
      </c>
      <c r="C127" s="62" t="s">
        <v>1028</v>
      </c>
      <c r="D127" s="63" t="s">
        <v>1029</v>
      </c>
      <c r="E127" s="62" t="s">
        <v>2361</v>
      </c>
      <c r="F127" s="62" t="s">
        <v>2362</v>
      </c>
      <c r="G127" s="62" t="s">
        <v>2741</v>
      </c>
      <c r="H127" s="64">
        <v>185000</v>
      </c>
      <c r="I127" s="62" t="s">
        <v>2364</v>
      </c>
      <c r="J127" s="62" t="s">
        <v>2365</v>
      </c>
      <c r="K127" s="62" t="s">
        <v>2742</v>
      </c>
      <c r="L127" s="65" t="s">
        <v>2367</v>
      </c>
      <c r="M127" s="65" t="s">
        <v>786</v>
      </c>
    </row>
    <row r="128" spans="1:13" ht="15" customHeight="1" x14ac:dyDescent="0.25">
      <c r="A128" s="62" t="s">
        <v>2743</v>
      </c>
      <c r="B128" s="62" t="s">
        <v>2320</v>
      </c>
      <c r="C128" s="62" t="s">
        <v>1035</v>
      </c>
      <c r="D128" s="63" t="s">
        <v>1036</v>
      </c>
      <c r="E128" s="62" t="s">
        <v>2361</v>
      </c>
      <c r="F128" s="62" t="s">
        <v>2374</v>
      </c>
      <c r="G128" s="62" t="s">
        <v>2744</v>
      </c>
      <c r="H128" s="64">
        <v>80000</v>
      </c>
      <c r="I128" s="62" t="s">
        <v>2364</v>
      </c>
      <c r="J128" s="62" t="s">
        <v>2365</v>
      </c>
      <c r="K128" s="62" t="s">
        <v>2745</v>
      </c>
      <c r="L128" s="65" t="s">
        <v>2367</v>
      </c>
      <c r="M128" s="65" t="s">
        <v>62</v>
      </c>
    </row>
    <row r="129" spans="1:13" ht="15" customHeight="1" x14ac:dyDescent="0.25">
      <c r="A129" s="62" t="s">
        <v>2746</v>
      </c>
      <c r="B129" s="62" t="s">
        <v>2321</v>
      </c>
      <c r="C129" s="62" t="s">
        <v>1040</v>
      </c>
      <c r="D129" s="63" t="s">
        <v>1041</v>
      </c>
      <c r="E129" s="62" t="s">
        <v>2361</v>
      </c>
      <c r="F129" s="62" t="s">
        <v>2374</v>
      </c>
      <c r="G129" s="62" t="s">
        <v>2747</v>
      </c>
      <c r="H129" s="64">
        <v>95000</v>
      </c>
      <c r="I129" s="62" t="s">
        <v>2364</v>
      </c>
      <c r="J129" s="62" t="s">
        <v>2365</v>
      </c>
      <c r="K129" s="62" t="s">
        <v>2748</v>
      </c>
      <c r="L129" s="65" t="s">
        <v>2367</v>
      </c>
      <c r="M129" s="65" t="s">
        <v>62</v>
      </c>
    </row>
    <row r="130" spans="1:13" ht="15" customHeight="1" x14ac:dyDescent="0.25">
      <c r="A130" s="62" t="s">
        <v>2749</v>
      </c>
      <c r="B130" s="62" t="s">
        <v>2322</v>
      </c>
      <c r="C130" s="62" t="s">
        <v>1048</v>
      </c>
      <c r="D130" s="63" t="s">
        <v>1049</v>
      </c>
      <c r="E130" s="62" t="s">
        <v>2361</v>
      </c>
      <c r="F130" s="62" t="s">
        <v>2374</v>
      </c>
      <c r="G130" s="62" t="s">
        <v>2750</v>
      </c>
      <c r="H130" s="64">
        <v>185000</v>
      </c>
      <c r="I130" s="62" t="s">
        <v>2364</v>
      </c>
      <c r="J130" s="62" t="s">
        <v>2365</v>
      </c>
      <c r="K130" s="62" t="s">
        <v>2751</v>
      </c>
      <c r="L130" s="65" t="s">
        <v>2367</v>
      </c>
      <c r="M130" s="65" t="s">
        <v>62</v>
      </c>
    </row>
    <row r="131" spans="1:13" ht="15" customHeight="1" x14ac:dyDescent="0.25">
      <c r="A131" s="62" t="s">
        <v>2752</v>
      </c>
      <c r="B131" s="62" t="s">
        <v>2323</v>
      </c>
      <c r="C131" s="62" t="s">
        <v>1057</v>
      </c>
      <c r="D131" s="63" t="s">
        <v>1036</v>
      </c>
      <c r="E131" s="62" t="s">
        <v>2361</v>
      </c>
      <c r="F131" s="62" t="s">
        <v>2374</v>
      </c>
      <c r="G131" s="62" t="s">
        <v>2753</v>
      </c>
      <c r="H131" s="64">
        <v>80000</v>
      </c>
      <c r="I131" s="62" t="s">
        <v>2364</v>
      </c>
      <c r="J131" s="62" t="s">
        <v>2365</v>
      </c>
      <c r="K131" s="62" t="s">
        <v>2754</v>
      </c>
      <c r="L131" s="65" t="s">
        <v>2367</v>
      </c>
      <c r="M131" s="65" t="s">
        <v>484</v>
      </c>
    </row>
    <row r="132" spans="1:13" ht="15" customHeight="1" x14ac:dyDescent="0.25">
      <c r="A132" s="62" t="s">
        <v>2755</v>
      </c>
      <c r="B132" s="62" t="s">
        <v>2324</v>
      </c>
      <c r="C132" s="62" t="s">
        <v>1060</v>
      </c>
      <c r="D132" s="63" t="s">
        <v>1041</v>
      </c>
      <c r="E132" s="62" t="s">
        <v>2361</v>
      </c>
      <c r="F132" s="62" t="s">
        <v>2374</v>
      </c>
      <c r="G132" s="62" t="s">
        <v>2756</v>
      </c>
      <c r="H132" s="64">
        <v>95000</v>
      </c>
      <c r="I132" s="62" t="s">
        <v>2364</v>
      </c>
      <c r="J132" s="62" t="s">
        <v>2365</v>
      </c>
      <c r="K132" s="62" t="s">
        <v>2757</v>
      </c>
      <c r="L132" s="65" t="s">
        <v>2367</v>
      </c>
      <c r="M132" s="65" t="s">
        <v>484</v>
      </c>
    </row>
    <row r="133" spans="1:13" ht="15" customHeight="1" x14ac:dyDescent="0.25">
      <c r="A133" s="62" t="s">
        <v>2758</v>
      </c>
      <c r="B133" s="62" t="s">
        <v>2325</v>
      </c>
      <c r="C133" s="62" t="s">
        <v>1063</v>
      </c>
      <c r="D133" s="63" t="s">
        <v>1049</v>
      </c>
      <c r="E133" s="62" t="s">
        <v>2361</v>
      </c>
      <c r="F133" s="62" t="s">
        <v>2374</v>
      </c>
      <c r="G133" s="62" t="s">
        <v>2759</v>
      </c>
      <c r="H133" s="64">
        <v>185000</v>
      </c>
      <c r="I133" s="62" t="s">
        <v>2364</v>
      </c>
      <c r="J133" s="62" t="s">
        <v>2365</v>
      </c>
      <c r="K133" s="62" t="s">
        <v>2760</v>
      </c>
      <c r="L133" s="65" t="s">
        <v>2367</v>
      </c>
      <c r="M133" s="65" t="s">
        <v>484</v>
      </c>
    </row>
    <row r="134" spans="1:13" ht="15" customHeight="1" x14ac:dyDescent="0.25">
      <c r="A134" s="62" t="s">
        <v>2761</v>
      </c>
      <c r="B134" s="62" t="s">
        <v>2326</v>
      </c>
      <c r="C134" s="62" t="s">
        <v>1066</v>
      </c>
      <c r="D134" s="63" t="s">
        <v>1036</v>
      </c>
      <c r="E134" s="62" t="s">
        <v>2361</v>
      </c>
      <c r="F134" s="62" t="s">
        <v>2374</v>
      </c>
      <c r="G134" s="62" t="s">
        <v>2762</v>
      </c>
      <c r="H134" s="64">
        <v>80000</v>
      </c>
      <c r="I134" s="62" t="s">
        <v>2364</v>
      </c>
      <c r="J134" s="62" t="s">
        <v>2365</v>
      </c>
      <c r="K134" s="62" t="s">
        <v>2763</v>
      </c>
      <c r="L134" s="65" t="s">
        <v>2367</v>
      </c>
      <c r="M134" s="65" t="s">
        <v>786</v>
      </c>
    </row>
    <row r="135" spans="1:13" ht="15" customHeight="1" x14ac:dyDescent="0.25">
      <c r="A135" s="62" t="s">
        <v>2764</v>
      </c>
      <c r="B135" s="62" t="s">
        <v>2327</v>
      </c>
      <c r="C135" s="62" t="s">
        <v>1068</v>
      </c>
      <c r="D135" s="63" t="s">
        <v>1041</v>
      </c>
      <c r="E135" s="62" t="s">
        <v>2361</v>
      </c>
      <c r="F135" s="62" t="s">
        <v>2374</v>
      </c>
      <c r="G135" s="62" t="s">
        <v>2765</v>
      </c>
      <c r="H135" s="64">
        <v>95000</v>
      </c>
      <c r="I135" s="62" t="s">
        <v>2364</v>
      </c>
      <c r="J135" s="62" t="s">
        <v>2365</v>
      </c>
      <c r="K135" s="62" t="s">
        <v>2766</v>
      </c>
      <c r="L135" s="65" t="s">
        <v>2367</v>
      </c>
      <c r="M135" s="65" t="s">
        <v>786</v>
      </c>
    </row>
    <row r="136" spans="1:13" ht="15" customHeight="1" x14ac:dyDescent="0.25">
      <c r="A136" s="62" t="s">
        <v>2767</v>
      </c>
      <c r="B136" s="62" t="s">
        <v>2328</v>
      </c>
      <c r="C136" s="62" t="s">
        <v>1070</v>
      </c>
      <c r="D136" s="63" t="s">
        <v>1049</v>
      </c>
      <c r="E136" s="62" t="s">
        <v>2361</v>
      </c>
      <c r="F136" s="62" t="s">
        <v>2374</v>
      </c>
      <c r="G136" s="62" t="s">
        <v>2768</v>
      </c>
      <c r="H136" s="64">
        <v>185000</v>
      </c>
      <c r="I136" s="62" t="s">
        <v>2364</v>
      </c>
      <c r="J136" s="62" t="s">
        <v>2365</v>
      </c>
      <c r="K136" s="62" t="s">
        <v>2769</v>
      </c>
      <c r="L136" s="65" t="s">
        <v>2367</v>
      </c>
      <c r="M136" s="65" t="s">
        <v>786</v>
      </c>
    </row>
    <row r="137" spans="1:13" ht="15" customHeight="1" x14ac:dyDescent="0.25">
      <c r="A137" s="63" t="s">
        <v>2770</v>
      </c>
      <c r="B137" s="63" t="s">
        <v>2329</v>
      </c>
      <c r="C137" s="63" t="s">
        <v>1072</v>
      </c>
      <c r="D137" s="63" t="s">
        <v>1073</v>
      </c>
      <c r="E137" s="62" t="s">
        <v>2771</v>
      </c>
      <c r="F137" s="62" t="s">
        <v>2374</v>
      </c>
      <c r="G137" s="62" t="s">
        <v>2772</v>
      </c>
      <c r="H137" s="64">
        <v>80000</v>
      </c>
      <c r="I137" s="63" t="s">
        <v>2773</v>
      </c>
      <c r="J137" s="63" t="s">
        <v>2774</v>
      </c>
      <c r="K137" s="62" t="s">
        <v>2775</v>
      </c>
      <c r="L137" s="63" t="s">
        <v>2367</v>
      </c>
      <c r="M137" s="63" t="s">
        <v>62</v>
      </c>
    </row>
    <row r="138" spans="1:13" ht="15" customHeight="1" x14ac:dyDescent="0.25">
      <c r="A138" s="63" t="s">
        <v>2776</v>
      </c>
      <c r="B138" s="63" t="s">
        <v>2330</v>
      </c>
      <c r="C138" s="63" t="s">
        <v>1078</v>
      </c>
      <c r="D138" s="63" t="s">
        <v>1079</v>
      </c>
      <c r="E138" s="62" t="s">
        <v>2777</v>
      </c>
      <c r="F138" s="62" t="s">
        <v>2374</v>
      </c>
      <c r="G138" s="62" t="s">
        <v>2778</v>
      </c>
      <c r="H138" s="64">
        <v>5000</v>
      </c>
      <c r="I138" s="63" t="s">
        <v>2779</v>
      </c>
      <c r="J138" s="63" t="s">
        <v>2774</v>
      </c>
      <c r="K138" s="62" t="s">
        <v>2780</v>
      </c>
      <c r="L138" s="63" t="s">
        <v>2781</v>
      </c>
      <c r="M138" s="63" t="s">
        <v>62</v>
      </c>
    </row>
    <row r="139" spans="1:13" ht="15" customHeight="1" x14ac:dyDescent="0.25">
      <c r="A139" s="63" t="s">
        <v>2782</v>
      </c>
      <c r="B139" s="63" t="s">
        <v>2331</v>
      </c>
      <c r="C139" s="63" t="s">
        <v>1082</v>
      </c>
      <c r="D139" s="63" t="s">
        <v>1083</v>
      </c>
      <c r="E139" s="62" t="s">
        <v>2783</v>
      </c>
      <c r="F139" s="62" t="s">
        <v>2374</v>
      </c>
      <c r="G139" s="62" t="s">
        <v>2784</v>
      </c>
      <c r="H139" s="64">
        <v>80000</v>
      </c>
      <c r="I139" s="63" t="s">
        <v>2773</v>
      </c>
      <c r="J139" s="63" t="s">
        <v>2774</v>
      </c>
      <c r="K139" s="62" t="s">
        <v>2785</v>
      </c>
      <c r="L139" s="63" t="s">
        <v>2367</v>
      </c>
      <c r="M139" s="63" t="s">
        <v>62</v>
      </c>
    </row>
    <row r="140" spans="1:13" ht="15" customHeight="1" x14ac:dyDescent="0.25">
      <c r="A140" s="63" t="s">
        <v>2786</v>
      </c>
      <c r="B140" s="63" t="s">
        <v>2332</v>
      </c>
      <c r="C140" s="63" t="s">
        <v>1089</v>
      </c>
      <c r="D140" s="63" t="s">
        <v>1090</v>
      </c>
      <c r="E140" s="62" t="s">
        <v>2787</v>
      </c>
      <c r="F140" s="62" t="s">
        <v>2374</v>
      </c>
      <c r="G140" s="62" t="s">
        <v>2788</v>
      </c>
      <c r="H140" s="64">
        <v>75000</v>
      </c>
      <c r="I140" s="63" t="s">
        <v>2773</v>
      </c>
      <c r="J140" s="63" t="s">
        <v>2774</v>
      </c>
      <c r="K140" s="62" t="s">
        <v>2789</v>
      </c>
      <c r="L140" s="63" t="s">
        <v>2367</v>
      </c>
      <c r="M140" s="63" t="s">
        <v>62</v>
      </c>
    </row>
    <row r="141" spans="1:13" ht="15" customHeight="1" x14ac:dyDescent="0.25">
      <c r="A141" s="63" t="s">
        <v>2790</v>
      </c>
      <c r="B141" s="63" t="s">
        <v>2333</v>
      </c>
      <c r="C141" s="63" t="s">
        <v>1094</v>
      </c>
      <c r="D141" s="63" t="s">
        <v>1095</v>
      </c>
      <c r="E141" s="62" t="s">
        <v>2791</v>
      </c>
      <c r="F141" s="62" t="s">
        <v>2374</v>
      </c>
      <c r="G141" s="62" t="s">
        <v>2792</v>
      </c>
      <c r="H141" s="64">
        <v>65000</v>
      </c>
      <c r="I141" s="63" t="s">
        <v>2773</v>
      </c>
      <c r="J141" s="63" t="s">
        <v>2774</v>
      </c>
      <c r="K141" s="62" t="s">
        <v>2793</v>
      </c>
      <c r="L141" s="63" t="s">
        <v>2367</v>
      </c>
      <c r="M141" s="63" t="s">
        <v>62</v>
      </c>
    </row>
    <row r="142" spans="1:13" ht="15" customHeight="1" x14ac:dyDescent="0.25">
      <c r="A142" s="63" t="s">
        <v>2794</v>
      </c>
      <c r="B142" s="63" t="s">
        <v>2334</v>
      </c>
      <c r="C142" s="63" t="s">
        <v>1099</v>
      </c>
      <c r="D142" s="63" t="s">
        <v>1100</v>
      </c>
      <c r="E142" s="62" t="s">
        <v>2795</v>
      </c>
      <c r="F142" s="62" t="s">
        <v>2362</v>
      </c>
      <c r="G142" s="62" t="s">
        <v>2796</v>
      </c>
      <c r="H142" s="64">
        <v>20000</v>
      </c>
      <c r="I142" s="63" t="s">
        <v>2797</v>
      </c>
      <c r="J142" s="63" t="s">
        <v>2365</v>
      </c>
      <c r="K142" s="62" t="s">
        <v>2798</v>
      </c>
      <c r="L142" s="63" t="s">
        <v>2799</v>
      </c>
      <c r="M142" s="63" t="s">
        <v>62</v>
      </c>
    </row>
    <row r="143" spans="1:13" ht="15" customHeight="1" x14ac:dyDescent="0.25">
      <c r="A143" s="63" t="s">
        <v>2800</v>
      </c>
      <c r="B143" s="63" t="s">
        <v>2335</v>
      </c>
      <c r="C143" s="63" t="s">
        <v>1104</v>
      </c>
      <c r="D143" s="63" t="s">
        <v>1105</v>
      </c>
      <c r="E143" s="62" t="s">
        <v>2801</v>
      </c>
      <c r="F143" s="62" t="s">
        <v>2374</v>
      </c>
      <c r="G143" s="62" t="s">
        <v>2802</v>
      </c>
      <c r="H143" s="64">
        <v>80000</v>
      </c>
      <c r="I143" s="63" t="s">
        <v>2773</v>
      </c>
      <c r="J143" s="63" t="s">
        <v>2774</v>
      </c>
      <c r="K143" s="62" t="s">
        <v>2803</v>
      </c>
      <c r="L143" s="63" t="s">
        <v>2367</v>
      </c>
      <c r="M143" s="63" t="s">
        <v>62</v>
      </c>
    </row>
    <row r="144" spans="1:13" ht="15" customHeight="1" x14ac:dyDescent="0.25">
      <c r="A144" s="63" t="s">
        <v>2804</v>
      </c>
      <c r="B144" s="63" t="s">
        <v>2336</v>
      </c>
      <c r="C144" s="63" t="s">
        <v>1110</v>
      </c>
      <c r="D144" s="63" t="s">
        <v>1111</v>
      </c>
      <c r="E144" s="62" t="s">
        <v>2805</v>
      </c>
      <c r="F144" s="62" t="s">
        <v>2374</v>
      </c>
      <c r="G144" s="62" t="s">
        <v>2806</v>
      </c>
      <c r="H144" s="64">
        <v>5000</v>
      </c>
      <c r="I144" s="63" t="s">
        <v>2779</v>
      </c>
      <c r="J144" s="63" t="s">
        <v>2774</v>
      </c>
      <c r="K144" s="62" t="s">
        <v>2807</v>
      </c>
      <c r="L144" s="63" t="s">
        <v>2808</v>
      </c>
      <c r="M144" s="63" t="s">
        <v>62</v>
      </c>
    </row>
    <row r="145" spans="1:13" ht="15" customHeight="1" x14ac:dyDescent="0.25">
      <c r="A145" s="63" t="s">
        <v>2809</v>
      </c>
      <c r="B145" s="63" t="s">
        <v>2337</v>
      </c>
      <c r="C145" s="63" t="s">
        <v>1115</v>
      </c>
      <c r="D145" s="63" t="s">
        <v>1116</v>
      </c>
      <c r="E145" s="62" t="s">
        <v>2810</v>
      </c>
      <c r="F145" s="62" t="s">
        <v>2374</v>
      </c>
      <c r="G145" s="62" t="s">
        <v>2811</v>
      </c>
      <c r="H145" s="64">
        <v>85000</v>
      </c>
      <c r="I145" s="63" t="s">
        <v>2773</v>
      </c>
      <c r="J145" s="63" t="s">
        <v>2774</v>
      </c>
      <c r="K145" s="62" t="s">
        <v>2812</v>
      </c>
      <c r="L145" s="63" t="s">
        <v>2367</v>
      </c>
      <c r="M145" s="63" t="s">
        <v>62</v>
      </c>
    </row>
    <row r="146" spans="1:13" ht="15" customHeight="1" x14ac:dyDescent="0.25">
      <c r="A146" s="63" t="s">
        <v>2813</v>
      </c>
      <c r="B146" s="63" t="s">
        <v>2338</v>
      </c>
      <c r="C146" s="63" t="s">
        <v>1120</v>
      </c>
      <c r="D146" s="63" t="s">
        <v>1121</v>
      </c>
      <c r="E146" s="62" t="s">
        <v>2814</v>
      </c>
      <c r="F146" s="62" t="s">
        <v>2374</v>
      </c>
      <c r="G146" s="62" t="s">
        <v>2815</v>
      </c>
      <c r="H146" s="64">
        <v>80000</v>
      </c>
      <c r="I146" s="63" t="s">
        <v>2773</v>
      </c>
      <c r="J146" s="63" t="s">
        <v>2774</v>
      </c>
      <c r="K146" s="62" t="s">
        <v>2816</v>
      </c>
      <c r="L146" s="63" t="s">
        <v>2367</v>
      </c>
      <c r="M146" s="63" t="s">
        <v>62</v>
      </c>
    </row>
    <row r="147" spans="1:13" ht="15" customHeight="1" x14ac:dyDescent="0.25">
      <c r="A147" s="63" t="s">
        <v>2817</v>
      </c>
      <c r="B147" s="63" t="s">
        <v>2339</v>
      </c>
      <c r="C147" s="63" t="s">
        <v>1125</v>
      </c>
      <c r="D147" s="63" t="s">
        <v>1126</v>
      </c>
      <c r="E147" s="62" t="s">
        <v>2818</v>
      </c>
      <c r="F147" s="62" t="s">
        <v>2374</v>
      </c>
      <c r="G147" s="62" t="s">
        <v>2819</v>
      </c>
      <c r="H147" s="64">
        <v>70000</v>
      </c>
      <c r="I147" s="63" t="s">
        <v>2773</v>
      </c>
      <c r="J147" s="63" t="s">
        <v>2774</v>
      </c>
      <c r="K147" s="62" t="s">
        <v>2820</v>
      </c>
      <c r="L147" s="63" t="s">
        <v>2367</v>
      </c>
      <c r="M147" s="63" t="s">
        <v>62</v>
      </c>
    </row>
    <row r="148" spans="1:13" ht="15" customHeight="1" x14ac:dyDescent="0.25">
      <c r="A148" s="63" t="s">
        <v>2821</v>
      </c>
      <c r="B148" s="63" t="s">
        <v>2340</v>
      </c>
      <c r="C148" s="63" t="s">
        <v>1130</v>
      </c>
      <c r="D148" s="63" t="s">
        <v>1131</v>
      </c>
      <c r="E148" s="62" t="s">
        <v>2822</v>
      </c>
      <c r="F148" s="62" t="s">
        <v>2396</v>
      </c>
      <c r="G148" s="62" t="s">
        <v>2396</v>
      </c>
      <c r="H148" s="64">
        <v>0</v>
      </c>
      <c r="I148" s="63" t="s">
        <v>2823</v>
      </c>
      <c r="J148" s="63" t="s">
        <v>2774</v>
      </c>
      <c r="K148" s="62" t="s">
        <v>2824</v>
      </c>
      <c r="L148" s="63" t="s">
        <v>2825</v>
      </c>
      <c r="M148" s="63" t="s">
        <v>62</v>
      </c>
    </row>
    <row r="149" spans="1:13" ht="15" customHeight="1" x14ac:dyDescent="0.25">
      <c r="A149" s="63" t="s">
        <v>2826</v>
      </c>
      <c r="B149" s="63" t="s">
        <v>2341</v>
      </c>
      <c r="C149" s="63" t="s">
        <v>1135</v>
      </c>
      <c r="D149" s="63" t="s">
        <v>1136</v>
      </c>
      <c r="E149" s="62" t="s">
        <v>2827</v>
      </c>
      <c r="F149" s="62" t="s">
        <v>2374</v>
      </c>
      <c r="G149" s="62" t="s">
        <v>2828</v>
      </c>
      <c r="H149" s="64">
        <v>80000</v>
      </c>
      <c r="I149" s="63" t="s">
        <v>2773</v>
      </c>
      <c r="J149" s="63" t="s">
        <v>2774</v>
      </c>
      <c r="K149" s="62" t="s">
        <v>2829</v>
      </c>
      <c r="L149" s="63" t="s">
        <v>2367</v>
      </c>
      <c r="M149" s="63" t="s">
        <v>62</v>
      </c>
    </row>
    <row r="150" spans="1:13" ht="15" customHeight="1" x14ac:dyDescent="0.25">
      <c r="A150" s="63" t="s">
        <v>2830</v>
      </c>
      <c r="B150" s="63" t="s">
        <v>2342</v>
      </c>
      <c r="C150" s="63" t="s">
        <v>1140</v>
      </c>
      <c r="D150" s="63" t="s">
        <v>1141</v>
      </c>
      <c r="E150" s="62" t="s">
        <v>558</v>
      </c>
      <c r="F150" s="62" t="s">
        <v>2374</v>
      </c>
      <c r="G150" s="62" t="s">
        <v>2831</v>
      </c>
      <c r="H150" s="64">
        <v>70000</v>
      </c>
      <c r="I150" s="63" t="s">
        <v>2773</v>
      </c>
      <c r="J150" s="63" t="s">
        <v>2774</v>
      </c>
      <c r="K150" s="62" t="s">
        <v>2832</v>
      </c>
      <c r="L150" s="63" t="s">
        <v>2367</v>
      </c>
      <c r="M150" s="63" t="s">
        <v>62</v>
      </c>
    </row>
    <row r="151" spans="1:13" ht="15" customHeight="1" x14ac:dyDescent="0.25">
      <c r="A151" s="63" t="s">
        <v>2833</v>
      </c>
      <c r="B151" s="63" t="s">
        <v>2343</v>
      </c>
      <c r="C151" s="63" t="s">
        <v>1145</v>
      </c>
      <c r="D151" s="63" t="s">
        <v>1146</v>
      </c>
      <c r="E151" s="62" t="s">
        <v>2834</v>
      </c>
      <c r="F151" s="62" t="s">
        <v>2374</v>
      </c>
      <c r="G151" s="62" t="s">
        <v>2835</v>
      </c>
      <c r="H151" s="64">
        <v>5000</v>
      </c>
      <c r="I151" s="63" t="s">
        <v>2779</v>
      </c>
      <c r="J151" s="63" t="s">
        <v>2774</v>
      </c>
      <c r="K151" s="62" t="s">
        <v>2836</v>
      </c>
      <c r="L151" s="63" t="s">
        <v>2808</v>
      </c>
      <c r="M151" s="63" t="s">
        <v>62</v>
      </c>
    </row>
    <row r="152" spans="1:13" ht="15" customHeight="1" x14ac:dyDescent="0.25">
      <c r="A152" s="63" t="s">
        <v>2837</v>
      </c>
      <c r="B152" s="63" t="s">
        <v>2344</v>
      </c>
      <c r="C152" s="63" t="s">
        <v>1150</v>
      </c>
      <c r="D152" s="63" t="s">
        <v>1151</v>
      </c>
      <c r="E152" s="62" t="s">
        <v>120</v>
      </c>
      <c r="F152" s="62" t="s">
        <v>2374</v>
      </c>
      <c r="G152" s="62" t="s">
        <v>2838</v>
      </c>
      <c r="H152" s="64">
        <v>70000</v>
      </c>
      <c r="I152" s="63" t="s">
        <v>2773</v>
      </c>
      <c r="J152" s="63" t="s">
        <v>2774</v>
      </c>
      <c r="K152" s="62" t="s">
        <v>2839</v>
      </c>
      <c r="L152" s="63" t="s">
        <v>2367</v>
      </c>
      <c r="M152" s="63" t="s">
        <v>62</v>
      </c>
    </row>
    <row r="153" spans="1:13" ht="15" customHeight="1" x14ac:dyDescent="0.25">
      <c r="A153" s="63" t="s">
        <v>2840</v>
      </c>
      <c r="B153" s="63" t="s">
        <v>2345</v>
      </c>
      <c r="C153" s="63" t="s">
        <v>1155</v>
      </c>
      <c r="D153" s="63" t="s">
        <v>1156</v>
      </c>
      <c r="E153" s="62" t="s">
        <v>1086</v>
      </c>
      <c r="F153" s="62" t="s">
        <v>2374</v>
      </c>
      <c r="G153" s="62" t="s">
        <v>2841</v>
      </c>
      <c r="H153" s="64">
        <v>80000</v>
      </c>
      <c r="I153" s="63" t="s">
        <v>2773</v>
      </c>
      <c r="J153" s="63" t="s">
        <v>2774</v>
      </c>
      <c r="K153" s="62" t="s">
        <v>2842</v>
      </c>
      <c r="L153" s="63" t="s">
        <v>2367</v>
      </c>
      <c r="M153" s="63" t="s">
        <v>62</v>
      </c>
    </row>
    <row r="154" spans="1:13" ht="15" customHeight="1" x14ac:dyDescent="0.25">
      <c r="A154" s="63" t="s">
        <v>2843</v>
      </c>
      <c r="B154" s="63" t="s">
        <v>2346</v>
      </c>
      <c r="C154" s="63" t="s">
        <v>1160</v>
      </c>
      <c r="D154" s="63" t="s">
        <v>1161</v>
      </c>
      <c r="E154" s="62" t="s">
        <v>141</v>
      </c>
      <c r="F154" s="62" t="s">
        <v>2396</v>
      </c>
      <c r="G154" s="62" t="s">
        <v>2396</v>
      </c>
      <c r="H154" s="64">
        <v>0</v>
      </c>
      <c r="I154" s="63" t="s">
        <v>2397</v>
      </c>
      <c r="J154" s="63" t="s">
        <v>2398</v>
      </c>
      <c r="K154" s="62" t="s">
        <v>2844</v>
      </c>
      <c r="L154" s="63" t="s">
        <v>160</v>
      </c>
      <c r="M154" s="63" t="s">
        <v>62</v>
      </c>
    </row>
    <row r="155" spans="1:13" ht="15" customHeight="1" x14ac:dyDescent="0.25">
      <c r="A155" s="63" t="s">
        <v>2845</v>
      </c>
      <c r="B155" s="63" t="s">
        <v>2347</v>
      </c>
      <c r="C155" s="63" t="s">
        <v>1165</v>
      </c>
      <c r="D155" s="63" t="s">
        <v>1166</v>
      </c>
      <c r="E155" s="62" t="s">
        <v>2846</v>
      </c>
      <c r="F155" s="62" t="s">
        <v>2374</v>
      </c>
      <c r="G155" s="62" t="s">
        <v>2847</v>
      </c>
      <c r="H155" s="64">
        <v>80000</v>
      </c>
      <c r="I155" s="63" t="s">
        <v>2773</v>
      </c>
      <c r="J155" s="63" t="s">
        <v>2774</v>
      </c>
      <c r="K155" s="62" t="s">
        <v>2848</v>
      </c>
      <c r="L155" s="63" t="s">
        <v>2367</v>
      </c>
      <c r="M155" s="63" t="s">
        <v>62</v>
      </c>
    </row>
    <row r="156" spans="1:13" ht="15" customHeight="1" x14ac:dyDescent="0.25">
      <c r="A156" s="63" t="s">
        <v>2849</v>
      </c>
      <c r="B156" s="63" t="s">
        <v>2348</v>
      </c>
      <c r="C156" s="63" t="s">
        <v>1170</v>
      </c>
      <c r="D156" s="63" t="s">
        <v>1171</v>
      </c>
      <c r="E156" s="62" t="s">
        <v>2850</v>
      </c>
      <c r="F156" s="62" t="s">
        <v>2396</v>
      </c>
      <c r="G156" s="62" t="s">
        <v>2396</v>
      </c>
      <c r="H156" s="64">
        <v>0</v>
      </c>
      <c r="I156" s="63" t="s">
        <v>2823</v>
      </c>
      <c r="J156" s="63" t="s">
        <v>2774</v>
      </c>
      <c r="K156" s="62" t="s">
        <v>2851</v>
      </c>
      <c r="L156" s="63" t="s">
        <v>2825</v>
      </c>
      <c r="M156" s="63" t="s">
        <v>62</v>
      </c>
    </row>
    <row r="157" spans="1:13" x14ac:dyDescent="0.25">
      <c r="A157" s="62" t="s">
        <v>2852</v>
      </c>
      <c r="B157" s="62"/>
      <c r="C157" s="62"/>
      <c r="D157" s="63"/>
      <c r="E157" s="62"/>
      <c r="F157" s="62"/>
      <c r="G157" s="62"/>
      <c r="H157" s="64">
        <f>SUM(H5:H156)</f>
        <v>12043500</v>
      </c>
      <c r="I157" s="62"/>
      <c r="J157" s="62"/>
      <c r="K157" s="62"/>
      <c r="L157" s="65"/>
      <c r="M157" s="65"/>
    </row>
  </sheetData>
  <mergeCells count="2">
    <mergeCell ref="A1:K1"/>
    <mergeCell ref="A2:K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8"/>
  <sheetViews>
    <sheetView showGridLines="0" zoomScaleNormal="100" workbookViewId="0">
      <pane ySplit="4" topLeftCell="A5" activePane="bottomLeft" state="frozen"/>
      <selection pane="bottomLeft"/>
    </sheetView>
  </sheetViews>
  <sheetFormatPr defaultColWidth="8.7109375" defaultRowHeight="15" x14ac:dyDescent="0.25"/>
  <cols>
    <col min="1" max="1" width="16" customWidth="1"/>
    <col min="2" max="2" width="36" customWidth="1"/>
    <col min="3" max="3" width="18" customWidth="1"/>
    <col min="4" max="4" width="40" customWidth="1"/>
    <col min="5" max="5" width="16" customWidth="1"/>
    <col min="6" max="6" width="22" customWidth="1"/>
    <col min="7" max="7" width="16" customWidth="1"/>
    <col min="8" max="8" width="14" customWidth="1"/>
    <col min="9" max="9" width="12" customWidth="1"/>
  </cols>
  <sheetData>
    <row r="1" spans="1:10" ht="25.5" customHeight="1" x14ac:dyDescent="0.25">
      <c r="A1" s="14" t="s">
        <v>2853</v>
      </c>
      <c r="B1" s="14"/>
      <c r="C1" s="14"/>
      <c r="D1" s="14"/>
      <c r="E1" s="14"/>
      <c r="F1" s="14"/>
      <c r="G1" s="14"/>
      <c r="H1" s="14"/>
      <c r="I1" s="14"/>
    </row>
    <row r="2" spans="1:10" ht="15.75" customHeight="1" x14ac:dyDescent="0.25">
      <c r="A2" s="13" t="s">
        <v>2854</v>
      </c>
      <c r="B2" s="13"/>
      <c r="C2" s="13"/>
      <c r="D2" s="13"/>
      <c r="E2" s="13"/>
      <c r="F2" s="13"/>
      <c r="G2" s="13"/>
      <c r="H2" s="13"/>
      <c r="I2" s="13"/>
    </row>
    <row r="4" spans="1:10" ht="18" customHeight="1" x14ac:dyDescent="0.25">
      <c r="A4" s="61" t="s">
        <v>2855</v>
      </c>
      <c r="B4" s="61" t="s">
        <v>2856</v>
      </c>
      <c r="C4" s="61" t="s">
        <v>2857</v>
      </c>
      <c r="D4" s="61" t="s">
        <v>2858</v>
      </c>
      <c r="E4" s="61" t="s">
        <v>2859</v>
      </c>
      <c r="F4" s="61" t="s">
        <v>2860</v>
      </c>
      <c r="G4" s="61" t="s">
        <v>2861</v>
      </c>
      <c r="H4" s="61" t="s">
        <v>2862</v>
      </c>
      <c r="I4" s="61" t="s">
        <v>2359</v>
      </c>
      <c r="J4" s="61" t="s">
        <v>35</v>
      </c>
    </row>
    <row r="5" spans="1:10" ht="24" customHeight="1" x14ac:dyDescent="0.25">
      <c r="A5" s="62" t="s">
        <v>2863</v>
      </c>
      <c r="B5" s="63" t="s">
        <v>2864</v>
      </c>
      <c r="C5" s="62" t="s">
        <v>2865</v>
      </c>
      <c r="D5" s="74" t="s">
        <v>2866</v>
      </c>
      <c r="E5" s="64">
        <v>100000</v>
      </c>
      <c r="F5" s="62" t="s">
        <v>2867</v>
      </c>
      <c r="G5" s="62">
        <v>5</v>
      </c>
      <c r="H5" s="62">
        <v>2</v>
      </c>
      <c r="I5" s="65" t="s">
        <v>50</v>
      </c>
      <c r="J5" s="65" t="s">
        <v>62</v>
      </c>
    </row>
    <row r="6" spans="1:10" ht="24" customHeight="1" x14ac:dyDescent="0.25">
      <c r="A6" s="66" t="s">
        <v>2868</v>
      </c>
      <c r="B6" s="67" t="s">
        <v>2869</v>
      </c>
      <c r="C6" s="66" t="s">
        <v>2865</v>
      </c>
      <c r="D6" s="75" t="s">
        <v>2870</v>
      </c>
      <c r="E6" s="68">
        <v>50000</v>
      </c>
      <c r="F6" s="66" t="s">
        <v>2871</v>
      </c>
      <c r="G6" s="66">
        <v>10</v>
      </c>
      <c r="H6" s="66">
        <v>4</v>
      </c>
      <c r="I6" s="65" t="s">
        <v>50</v>
      </c>
      <c r="J6" s="65" t="s">
        <v>62</v>
      </c>
    </row>
    <row r="7" spans="1:10" ht="24" customHeight="1" x14ac:dyDescent="0.25">
      <c r="A7" s="62" t="s">
        <v>2872</v>
      </c>
      <c r="B7" s="63" t="s">
        <v>2873</v>
      </c>
      <c r="C7" s="62" t="s">
        <v>2874</v>
      </c>
      <c r="D7" s="74" t="s">
        <v>2875</v>
      </c>
      <c r="E7" s="64">
        <v>40000</v>
      </c>
      <c r="F7" s="62" t="s">
        <v>2876</v>
      </c>
      <c r="G7" s="62">
        <v>8</v>
      </c>
      <c r="H7" s="62">
        <v>3</v>
      </c>
      <c r="I7" s="65" t="s">
        <v>50</v>
      </c>
      <c r="J7" s="65" t="s">
        <v>62</v>
      </c>
    </row>
    <row r="8" spans="1:10" ht="24" customHeight="1" x14ac:dyDescent="0.25">
      <c r="A8" s="66" t="s">
        <v>2877</v>
      </c>
      <c r="B8" s="67" t="s">
        <v>2878</v>
      </c>
      <c r="C8" s="66" t="s">
        <v>2879</v>
      </c>
      <c r="D8" s="75" t="s">
        <v>2880</v>
      </c>
      <c r="E8" s="68">
        <v>30000</v>
      </c>
      <c r="F8" s="66" t="s">
        <v>2383</v>
      </c>
      <c r="G8" s="66">
        <v>15</v>
      </c>
      <c r="H8" s="66">
        <v>7</v>
      </c>
      <c r="I8" s="65" t="s">
        <v>50</v>
      </c>
      <c r="J8" s="65" t="s">
        <v>62</v>
      </c>
    </row>
    <row r="9" spans="1:10" ht="24" customHeight="1" x14ac:dyDescent="0.25">
      <c r="A9" s="62" t="s">
        <v>2881</v>
      </c>
      <c r="B9" s="63" t="s">
        <v>2882</v>
      </c>
      <c r="C9" s="62" t="s">
        <v>2883</v>
      </c>
      <c r="D9" s="74" t="s">
        <v>2884</v>
      </c>
      <c r="E9" s="64">
        <v>35000</v>
      </c>
      <c r="F9" s="62" t="s">
        <v>2383</v>
      </c>
      <c r="G9" s="62">
        <v>6</v>
      </c>
      <c r="H9" s="62">
        <v>2</v>
      </c>
      <c r="I9" s="65" t="s">
        <v>50</v>
      </c>
      <c r="J9" s="65" t="s">
        <v>62</v>
      </c>
    </row>
    <row r="10" spans="1:10" ht="24" customHeight="1" x14ac:dyDescent="0.25">
      <c r="A10" s="66" t="s">
        <v>2885</v>
      </c>
      <c r="B10" s="67" t="s">
        <v>2886</v>
      </c>
      <c r="C10" s="66" t="s">
        <v>2887</v>
      </c>
      <c r="D10" s="75" t="s">
        <v>2888</v>
      </c>
      <c r="E10" s="68">
        <v>25000</v>
      </c>
      <c r="F10" s="66" t="s">
        <v>2383</v>
      </c>
      <c r="G10" s="66">
        <v>10</v>
      </c>
      <c r="H10" s="66">
        <v>3</v>
      </c>
      <c r="I10" s="65" t="s">
        <v>50</v>
      </c>
      <c r="J10" s="65" t="s">
        <v>62</v>
      </c>
    </row>
    <row r="11" spans="1:10" ht="24" customHeight="1" x14ac:dyDescent="0.25">
      <c r="A11" s="62" t="s">
        <v>2889</v>
      </c>
      <c r="B11" s="63" t="s">
        <v>2890</v>
      </c>
      <c r="C11" s="62" t="s">
        <v>2891</v>
      </c>
      <c r="D11" s="74" t="s">
        <v>2892</v>
      </c>
      <c r="E11" s="64">
        <v>60000</v>
      </c>
      <c r="F11" s="62" t="s">
        <v>2893</v>
      </c>
      <c r="G11" s="62">
        <v>4</v>
      </c>
      <c r="H11" s="62">
        <v>2</v>
      </c>
      <c r="I11" s="65" t="s">
        <v>50</v>
      </c>
      <c r="J11" s="65" t="s">
        <v>62</v>
      </c>
    </row>
    <row r="12" spans="1:10" ht="24" customHeight="1" x14ac:dyDescent="0.25">
      <c r="A12" s="66" t="s">
        <v>2894</v>
      </c>
      <c r="B12" s="67" t="s">
        <v>2895</v>
      </c>
      <c r="C12" s="66" t="s">
        <v>2896</v>
      </c>
      <c r="D12" s="75" t="s">
        <v>2897</v>
      </c>
      <c r="E12" s="68">
        <v>20000</v>
      </c>
      <c r="F12" s="66" t="s">
        <v>2898</v>
      </c>
      <c r="G12" s="66">
        <v>5</v>
      </c>
      <c r="H12" s="66">
        <v>1</v>
      </c>
      <c r="I12" s="65" t="s">
        <v>50</v>
      </c>
      <c r="J12" s="65" t="s">
        <v>62</v>
      </c>
    </row>
    <row r="13" spans="1:10" ht="24" customHeight="1" x14ac:dyDescent="0.25">
      <c r="A13" s="62" t="s">
        <v>2899</v>
      </c>
      <c r="B13" s="63" t="s">
        <v>2900</v>
      </c>
      <c r="C13" s="62" t="s">
        <v>2901</v>
      </c>
      <c r="D13" s="74" t="s">
        <v>2902</v>
      </c>
      <c r="E13" s="64">
        <v>45000</v>
      </c>
      <c r="F13" s="62" t="s">
        <v>2871</v>
      </c>
      <c r="G13" s="62">
        <v>4</v>
      </c>
      <c r="H13" s="62">
        <v>2</v>
      </c>
      <c r="I13" s="65" t="s">
        <v>50</v>
      </c>
      <c r="J13" s="65" t="s">
        <v>62</v>
      </c>
    </row>
    <row r="14" spans="1:10" ht="24" customHeight="1" x14ac:dyDescent="0.25">
      <c r="A14" s="66" t="s">
        <v>2903</v>
      </c>
      <c r="B14" s="67" t="s">
        <v>2904</v>
      </c>
      <c r="C14" s="66" t="s">
        <v>2901</v>
      </c>
      <c r="D14" s="75" t="s">
        <v>2905</v>
      </c>
      <c r="E14" s="68">
        <v>30000</v>
      </c>
      <c r="F14" s="66" t="s">
        <v>2876</v>
      </c>
      <c r="G14" s="66">
        <v>4</v>
      </c>
      <c r="H14" s="66">
        <v>1</v>
      </c>
      <c r="I14" s="65" t="s">
        <v>50</v>
      </c>
      <c r="J14" s="65" t="s">
        <v>62</v>
      </c>
    </row>
    <row r="15" spans="1:10" ht="27.75" customHeight="1" x14ac:dyDescent="0.25">
      <c r="A15" s="76" t="s">
        <v>2906</v>
      </c>
      <c r="B15" s="77" t="s">
        <v>2907</v>
      </c>
      <c r="C15" s="78" t="s">
        <v>2887</v>
      </c>
      <c r="D15" s="77" t="s">
        <v>2908</v>
      </c>
      <c r="E15" s="77">
        <v>75000</v>
      </c>
      <c r="F15" s="77" t="s">
        <v>2909</v>
      </c>
      <c r="G15" s="77">
        <v>5</v>
      </c>
      <c r="H15" s="77">
        <v>0</v>
      </c>
      <c r="I15" s="77" t="s">
        <v>50</v>
      </c>
      <c r="J15" s="77" t="s">
        <v>62</v>
      </c>
    </row>
    <row r="16" spans="1:10" ht="15" customHeight="1" x14ac:dyDescent="0.25">
      <c r="A16" s="62" t="s">
        <v>2910</v>
      </c>
      <c r="B16" s="63" t="s">
        <v>2911</v>
      </c>
      <c r="C16" s="62" t="s">
        <v>2865</v>
      </c>
      <c r="D16" s="74" t="s">
        <v>2866</v>
      </c>
      <c r="E16" s="64">
        <v>100000</v>
      </c>
      <c r="F16" s="62" t="s">
        <v>2867</v>
      </c>
      <c r="G16" s="62">
        <v>5</v>
      </c>
      <c r="H16" s="62">
        <v>2</v>
      </c>
      <c r="I16" s="65" t="s">
        <v>50</v>
      </c>
      <c r="J16" s="65" t="s">
        <v>484</v>
      </c>
    </row>
    <row r="17" spans="1:10" ht="15" customHeight="1" x14ac:dyDescent="0.25">
      <c r="A17" s="62" t="s">
        <v>2912</v>
      </c>
      <c r="B17" s="63" t="s">
        <v>2869</v>
      </c>
      <c r="C17" s="62" t="s">
        <v>2865</v>
      </c>
      <c r="D17" s="74" t="s">
        <v>2870</v>
      </c>
      <c r="E17" s="64">
        <v>50000</v>
      </c>
      <c r="F17" s="62" t="s">
        <v>2871</v>
      </c>
      <c r="G17" s="62">
        <v>10</v>
      </c>
      <c r="H17" s="62">
        <v>4</v>
      </c>
      <c r="I17" s="65" t="s">
        <v>50</v>
      </c>
      <c r="J17" s="65" t="s">
        <v>484</v>
      </c>
    </row>
    <row r="18" spans="1:10" ht="15" customHeight="1" x14ac:dyDescent="0.25">
      <c r="A18" s="62" t="s">
        <v>2913</v>
      </c>
      <c r="B18" s="63" t="s">
        <v>2873</v>
      </c>
      <c r="C18" s="62" t="s">
        <v>2874</v>
      </c>
      <c r="D18" s="74" t="s">
        <v>2914</v>
      </c>
      <c r="E18" s="64">
        <v>40000</v>
      </c>
      <c r="F18" s="62" t="s">
        <v>2876</v>
      </c>
      <c r="G18" s="62">
        <v>8</v>
      </c>
      <c r="H18" s="62">
        <v>3</v>
      </c>
      <c r="I18" s="65" t="s">
        <v>50</v>
      </c>
      <c r="J18" s="65" t="s">
        <v>484</v>
      </c>
    </row>
    <row r="19" spans="1:10" ht="15" customHeight="1" x14ac:dyDescent="0.25">
      <c r="A19" s="62" t="s">
        <v>2915</v>
      </c>
      <c r="B19" s="63" t="s">
        <v>2916</v>
      </c>
      <c r="C19" s="62" t="s">
        <v>2879</v>
      </c>
      <c r="D19" s="74" t="s">
        <v>2917</v>
      </c>
      <c r="E19" s="64">
        <v>30000</v>
      </c>
      <c r="F19" s="62" t="s">
        <v>2383</v>
      </c>
      <c r="G19" s="62">
        <v>15</v>
      </c>
      <c r="H19" s="62">
        <v>7</v>
      </c>
      <c r="I19" s="65" t="s">
        <v>50</v>
      </c>
      <c r="J19" s="65" t="s">
        <v>484</v>
      </c>
    </row>
    <row r="20" spans="1:10" ht="15" customHeight="1" x14ac:dyDescent="0.25">
      <c r="A20" s="62" t="s">
        <v>2918</v>
      </c>
      <c r="B20" s="63" t="s">
        <v>2919</v>
      </c>
      <c r="C20" s="62" t="s">
        <v>2883</v>
      </c>
      <c r="D20" s="74" t="s">
        <v>2920</v>
      </c>
      <c r="E20" s="64">
        <v>35000</v>
      </c>
      <c r="F20" s="62" t="s">
        <v>2383</v>
      </c>
      <c r="G20" s="62">
        <v>6</v>
      </c>
      <c r="H20" s="62">
        <v>3</v>
      </c>
      <c r="I20" s="65" t="s">
        <v>50</v>
      </c>
      <c r="J20" s="65" t="s">
        <v>484</v>
      </c>
    </row>
    <row r="21" spans="1:10" ht="15" customHeight="1" x14ac:dyDescent="0.25">
      <c r="A21" s="62" t="s">
        <v>2921</v>
      </c>
      <c r="B21" s="63" t="s">
        <v>2886</v>
      </c>
      <c r="C21" s="62" t="s">
        <v>2887</v>
      </c>
      <c r="D21" s="74" t="s">
        <v>2888</v>
      </c>
      <c r="E21" s="64">
        <v>25000</v>
      </c>
      <c r="F21" s="62" t="s">
        <v>2383</v>
      </c>
      <c r="G21" s="62">
        <v>10</v>
      </c>
      <c r="H21" s="62">
        <v>3</v>
      </c>
      <c r="I21" s="65" t="s">
        <v>50</v>
      </c>
      <c r="J21" s="65" t="s">
        <v>484</v>
      </c>
    </row>
    <row r="22" spans="1:10" ht="23.25" customHeight="1" x14ac:dyDescent="0.25">
      <c r="A22" s="62" t="s">
        <v>2922</v>
      </c>
      <c r="B22" s="63" t="s">
        <v>2890</v>
      </c>
      <c r="C22" s="62" t="s">
        <v>2891</v>
      </c>
      <c r="D22" s="74" t="s">
        <v>2892</v>
      </c>
      <c r="E22" s="64">
        <v>60000</v>
      </c>
      <c r="F22" s="62" t="s">
        <v>2893</v>
      </c>
      <c r="G22" s="62">
        <v>4</v>
      </c>
      <c r="H22" s="62">
        <v>2</v>
      </c>
      <c r="I22" s="65" t="s">
        <v>50</v>
      </c>
      <c r="J22" s="65" t="s">
        <v>484</v>
      </c>
    </row>
    <row r="23" spans="1:10" ht="23.25" customHeight="1" x14ac:dyDescent="0.25">
      <c r="A23" s="62" t="s">
        <v>2923</v>
      </c>
      <c r="B23" s="63" t="s">
        <v>2895</v>
      </c>
      <c r="C23" s="62" t="s">
        <v>2896</v>
      </c>
      <c r="D23" s="74" t="s">
        <v>2897</v>
      </c>
      <c r="E23" s="64">
        <v>20000</v>
      </c>
      <c r="F23" s="62" t="s">
        <v>2898</v>
      </c>
      <c r="G23" s="62">
        <v>5</v>
      </c>
      <c r="H23" s="62">
        <v>1</v>
      </c>
      <c r="I23" s="65" t="s">
        <v>50</v>
      </c>
      <c r="J23" s="65" t="s">
        <v>484</v>
      </c>
    </row>
    <row r="24" spans="1:10" ht="15" customHeight="1" x14ac:dyDescent="0.25">
      <c r="A24" s="62" t="s">
        <v>2924</v>
      </c>
      <c r="B24" s="63" t="s">
        <v>2925</v>
      </c>
      <c r="C24" s="62" t="s">
        <v>2901</v>
      </c>
      <c r="D24" s="74" t="s">
        <v>2926</v>
      </c>
      <c r="E24" s="64">
        <v>45000</v>
      </c>
      <c r="F24" s="62" t="s">
        <v>2871</v>
      </c>
      <c r="G24" s="62">
        <v>4</v>
      </c>
      <c r="H24" s="62">
        <v>2</v>
      </c>
      <c r="I24" s="65" t="s">
        <v>50</v>
      </c>
      <c r="J24" s="65" t="s">
        <v>484</v>
      </c>
    </row>
    <row r="25" spans="1:10" ht="23.25" customHeight="1" x14ac:dyDescent="0.25">
      <c r="A25" s="62" t="s">
        <v>2927</v>
      </c>
      <c r="B25" s="63" t="s">
        <v>2928</v>
      </c>
      <c r="C25" s="62" t="s">
        <v>2901</v>
      </c>
      <c r="D25" s="74" t="s">
        <v>2929</v>
      </c>
      <c r="E25" s="64">
        <v>30000</v>
      </c>
      <c r="F25" s="62" t="s">
        <v>2876</v>
      </c>
      <c r="G25" s="62">
        <v>4</v>
      </c>
      <c r="H25" s="62">
        <v>1</v>
      </c>
      <c r="I25" s="65" t="s">
        <v>50</v>
      </c>
      <c r="J25" s="65" t="s">
        <v>484</v>
      </c>
    </row>
    <row r="26" spans="1:10" ht="23.25" customHeight="1" x14ac:dyDescent="0.25">
      <c r="A26" s="62" t="s">
        <v>2930</v>
      </c>
      <c r="B26" s="63" t="s">
        <v>2907</v>
      </c>
      <c r="C26" s="62" t="s">
        <v>2887</v>
      </c>
      <c r="D26" s="74" t="s">
        <v>2908</v>
      </c>
      <c r="E26" s="64">
        <v>75000</v>
      </c>
      <c r="F26" s="62" t="s">
        <v>2909</v>
      </c>
      <c r="G26" s="62">
        <v>5</v>
      </c>
      <c r="H26" s="62">
        <v>1</v>
      </c>
      <c r="I26" s="65" t="s">
        <v>50</v>
      </c>
      <c r="J26" s="65" t="s">
        <v>484</v>
      </c>
    </row>
    <row r="27" spans="1:10" ht="15" customHeight="1" x14ac:dyDescent="0.25">
      <c r="A27" s="62" t="s">
        <v>2931</v>
      </c>
      <c r="B27" s="63" t="s">
        <v>2864</v>
      </c>
      <c r="C27" s="62" t="s">
        <v>2865</v>
      </c>
      <c r="D27" s="74" t="s">
        <v>2866</v>
      </c>
      <c r="E27" s="64">
        <v>100000</v>
      </c>
      <c r="F27" s="62" t="s">
        <v>2867</v>
      </c>
      <c r="G27" s="62">
        <v>5</v>
      </c>
      <c r="H27" s="62">
        <v>2</v>
      </c>
      <c r="I27" s="65" t="s">
        <v>50</v>
      </c>
      <c r="J27" s="65" t="s">
        <v>786</v>
      </c>
    </row>
    <row r="28" spans="1:10" ht="15" customHeight="1" x14ac:dyDescent="0.25">
      <c r="A28" s="62" t="s">
        <v>2932</v>
      </c>
      <c r="B28" s="63" t="s">
        <v>2869</v>
      </c>
      <c r="C28" s="62" t="s">
        <v>2865</v>
      </c>
      <c r="D28" s="74" t="s">
        <v>2870</v>
      </c>
      <c r="E28" s="64">
        <v>50000</v>
      </c>
      <c r="F28" s="62" t="s">
        <v>2871</v>
      </c>
      <c r="G28" s="62">
        <v>10</v>
      </c>
      <c r="H28" s="62">
        <v>4</v>
      </c>
      <c r="I28" s="65" t="s">
        <v>50</v>
      </c>
      <c r="J28" s="65" t="s">
        <v>786</v>
      </c>
    </row>
    <row r="29" spans="1:10" ht="15" customHeight="1" x14ac:dyDescent="0.25">
      <c r="A29" s="62" t="s">
        <v>2933</v>
      </c>
      <c r="B29" s="63" t="s">
        <v>2934</v>
      </c>
      <c r="C29" s="62" t="s">
        <v>2887</v>
      </c>
      <c r="D29" s="74" t="s">
        <v>2888</v>
      </c>
      <c r="E29" s="64">
        <v>25000</v>
      </c>
      <c r="F29" s="62" t="s">
        <v>2383</v>
      </c>
      <c r="G29" s="62">
        <v>12</v>
      </c>
      <c r="H29" s="62">
        <v>5</v>
      </c>
      <c r="I29" s="65" t="s">
        <v>50</v>
      </c>
      <c r="J29" s="65" t="s">
        <v>786</v>
      </c>
    </row>
    <row r="30" spans="1:10" ht="15" customHeight="1" x14ac:dyDescent="0.25">
      <c r="A30" s="62" t="s">
        <v>2935</v>
      </c>
      <c r="B30" s="63" t="s">
        <v>2936</v>
      </c>
      <c r="C30" s="62" t="s">
        <v>2937</v>
      </c>
      <c r="D30" s="74" t="s">
        <v>2938</v>
      </c>
      <c r="E30" s="64">
        <v>40000</v>
      </c>
      <c r="F30" s="62" t="s">
        <v>2876</v>
      </c>
      <c r="G30" s="62">
        <v>10</v>
      </c>
      <c r="H30" s="62">
        <v>4</v>
      </c>
      <c r="I30" s="65" t="s">
        <v>50</v>
      </c>
      <c r="J30" s="65" t="s">
        <v>786</v>
      </c>
    </row>
    <row r="31" spans="1:10" ht="23.25" customHeight="1" x14ac:dyDescent="0.25">
      <c r="A31" s="62" t="s">
        <v>2939</v>
      </c>
      <c r="B31" s="63" t="s">
        <v>2940</v>
      </c>
      <c r="C31" s="62" t="s">
        <v>2883</v>
      </c>
      <c r="D31" s="74" t="s">
        <v>2941</v>
      </c>
      <c r="E31" s="64">
        <v>35000</v>
      </c>
      <c r="F31" s="62" t="s">
        <v>2383</v>
      </c>
      <c r="G31" s="62">
        <v>6</v>
      </c>
      <c r="H31" s="62">
        <v>3</v>
      </c>
      <c r="I31" s="65" t="s">
        <v>50</v>
      </c>
      <c r="J31" s="65" t="s">
        <v>786</v>
      </c>
    </row>
    <row r="32" spans="1:10" ht="23.25" customHeight="1" x14ac:dyDescent="0.25">
      <c r="A32" s="62" t="s">
        <v>2942</v>
      </c>
      <c r="B32" s="63" t="s">
        <v>2943</v>
      </c>
      <c r="C32" s="62" t="s">
        <v>2891</v>
      </c>
      <c r="D32" s="74" t="s">
        <v>2944</v>
      </c>
      <c r="E32" s="64">
        <v>60000</v>
      </c>
      <c r="F32" s="62" t="s">
        <v>2893</v>
      </c>
      <c r="G32" s="62">
        <v>4</v>
      </c>
      <c r="H32" s="62">
        <v>2</v>
      </c>
      <c r="I32" s="65" t="s">
        <v>50</v>
      </c>
      <c r="J32" s="65" t="s">
        <v>786</v>
      </c>
    </row>
    <row r="33" spans="1:10" ht="23.25" customHeight="1" x14ac:dyDescent="0.25">
      <c r="A33" s="62" t="s">
        <v>2945</v>
      </c>
      <c r="B33" s="63" t="s">
        <v>2895</v>
      </c>
      <c r="C33" s="62" t="s">
        <v>2896</v>
      </c>
      <c r="D33" s="74" t="s">
        <v>2897</v>
      </c>
      <c r="E33" s="64">
        <v>20000</v>
      </c>
      <c r="F33" s="62" t="s">
        <v>2898</v>
      </c>
      <c r="G33" s="62">
        <v>5</v>
      </c>
      <c r="H33" s="62">
        <v>1</v>
      </c>
      <c r="I33" s="65" t="s">
        <v>50</v>
      </c>
      <c r="J33" s="65" t="s">
        <v>786</v>
      </c>
    </row>
    <row r="34" spans="1:10" ht="15" customHeight="1" x14ac:dyDescent="0.25">
      <c r="A34" s="62" t="s">
        <v>2946</v>
      </c>
      <c r="B34" s="63" t="s">
        <v>2947</v>
      </c>
      <c r="C34" s="62" t="s">
        <v>2901</v>
      </c>
      <c r="D34" s="74" t="s">
        <v>2948</v>
      </c>
      <c r="E34" s="64">
        <v>30000</v>
      </c>
      <c r="F34" s="62" t="s">
        <v>2876</v>
      </c>
      <c r="G34" s="62">
        <v>6</v>
      </c>
      <c r="H34" s="62">
        <v>3</v>
      </c>
      <c r="I34" s="65" t="s">
        <v>50</v>
      </c>
      <c r="J34" s="65" t="s">
        <v>786</v>
      </c>
    </row>
    <row r="35" spans="1:10" ht="15" customHeight="1" x14ac:dyDescent="0.25">
      <c r="A35" s="62" t="s">
        <v>2949</v>
      </c>
      <c r="B35" s="63" t="s">
        <v>2873</v>
      </c>
      <c r="C35" s="62" t="s">
        <v>2874</v>
      </c>
      <c r="D35" s="74" t="s">
        <v>2950</v>
      </c>
      <c r="E35" s="64">
        <v>40000</v>
      </c>
      <c r="F35" s="62" t="s">
        <v>2876</v>
      </c>
      <c r="G35" s="62">
        <v>8</v>
      </c>
      <c r="H35" s="62">
        <v>3</v>
      </c>
      <c r="I35" s="65" t="s">
        <v>50</v>
      </c>
      <c r="J35" s="65" t="s">
        <v>786</v>
      </c>
    </row>
    <row r="36" spans="1:10" ht="23.25" customHeight="1" x14ac:dyDescent="0.25">
      <c r="A36" s="62" t="s">
        <v>2951</v>
      </c>
      <c r="B36" s="63" t="s">
        <v>2952</v>
      </c>
      <c r="C36" s="62" t="s">
        <v>2901</v>
      </c>
      <c r="D36" s="74" t="s">
        <v>2953</v>
      </c>
      <c r="E36" s="64">
        <v>25000</v>
      </c>
      <c r="F36" s="62" t="s">
        <v>2954</v>
      </c>
      <c r="G36" s="62">
        <v>4</v>
      </c>
      <c r="H36" s="62">
        <v>1</v>
      </c>
      <c r="I36" s="65" t="s">
        <v>50</v>
      </c>
      <c r="J36" s="65" t="s">
        <v>786</v>
      </c>
    </row>
    <row r="37" spans="1:10" ht="23.25" customHeight="1" x14ac:dyDescent="0.25">
      <c r="A37" s="62" t="s">
        <v>2955</v>
      </c>
      <c r="B37" s="63" t="s">
        <v>2907</v>
      </c>
      <c r="C37" s="62" t="s">
        <v>2887</v>
      </c>
      <c r="D37" s="74" t="s">
        <v>2908</v>
      </c>
      <c r="E37" s="64">
        <v>75000</v>
      </c>
      <c r="F37" s="62" t="s">
        <v>2909</v>
      </c>
      <c r="G37" s="62">
        <v>5</v>
      </c>
      <c r="H37" s="62">
        <v>1</v>
      </c>
      <c r="I37" s="65" t="s">
        <v>50</v>
      </c>
      <c r="J37" s="65" t="s">
        <v>786</v>
      </c>
    </row>
    <row r="38" spans="1:10" ht="15" customHeight="1" x14ac:dyDescent="0.25">
      <c r="A38" s="63" t="s">
        <v>2956</v>
      </c>
      <c r="B38" s="63" t="s">
        <v>2957</v>
      </c>
      <c r="C38" s="63" t="s">
        <v>2958</v>
      </c>
      <c r="D38" s="63" t="s">
        <v>2959</v>
      </c>
      <c r="E38" s="64" t="s">
        <v>2960</v>
      </c>
      <c r="F38" s="62" t="s">
        <v>2961</v>
      </c>
      <c r="G38" s="62">
        <v>20</v>
      </c>
      <c r="H38" s="62">
        <v>20</v>
      </c>
      <c r="I38" s="62" t="s">
        <v>50</v>
      </c>
      <c r="J38" s="63" t="s">
        <v>62</v>
      </c>
    </row>
  </sheetData>
  <mergeCells count="2">
    <mergeCell ref="A1:I1"/>
    <mergeCell ref="A2:I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6"/>
  <sheetViews>
    <sheetView showGridLines="0" zoomScaleNormal="100" workbookViewId="0"/>
  </sheetViews>
  <sheetFormatPr defaultColWidth="8.7109375" defaultRowHeight="15" x14ac:dyDescent="0.25"/>
  <cols>
    <col min="1" max="1" width="28" customWidth="1"/>
    <col min="2" max="2" width="18" customWidth="1"/>
    <col min="3" max="3" width="28" customWidth="1"/>
    <col min="4" max="4" width="18" customWidth="1"/>
  </cols>
  <sheetData>
    <row r="1" spans="1:4" ht="36" customHeight="1" x14ac:dyDescent="0.25">
      <c r="A1" s="12" t="s">
        <v>2962</v>
      </c>
      <c r="B1" s="12"/>
      <c r="C1" s="12"/>
      <c r="D1" s="12"/>
    </row>
    <row r="2" spans="1:4" ht="18" customHeight="1" x14ac:dyDescent="0.25">
      <c r="A2" s="11" t="s">
        <v>2963</v>
      </c>
      <c r="B2" s="11"/>
      <c r="C2" s="11"/>
      <c r="D2" s="11"/>
    </row>
    <row r="3" spans="1:4" ht="15" customHeight="1" x14ac:dyDescent="0.25">
      <c r="A3" s="79" t="s">
        <v>2964</v>
      </c>
    </row>
    <row r="4" spans="1:4" ht="19.5" customHeight="1" x14ac:dyDescent="0.25">
      <c r="A4" s="10" t="s">
        <v>2965</v>
      </c>
      <c r="B4" s="10"/>
      <c r="C4" s="10" t="s">
        <v>2966</v>
      </c>
      <c r="D4" s="10"/>
    </row>
    <row r="5" spans="1:4" ht="21.75" customHeight="1" x14ac:dyDescent="0.25">
      <c r="A5" s="80" t="s">
        <v>2967</v>
      </c>
      <c r="B5" s="81">
        <v>41</v>
      </c>
      <c r="C5" s="80" t="s">
        <v>2968</v>
      </c>
      <c r="D5" s="81">
        <v>32</v>
      </c>
    </row>
    <row r="6" spans="1:4" ht="21.75" customHeight="1" x14ac:dyDescent="0.25">
      <c r="A6" s="80" t="s">
        <v>50</v>
      </c>
      <c r="B6" s="81">
        <v>29</v>
      </c>
      <c r="C6" s="80" t="s">
        <v>2969</v>
      </c>
      <c r="D6" s="81">
        <v>31</v>
      </c>
    </row>
    <row r="7" spans="1:4" ht="21.75" customHeight="1" x14ac:dyDescent="0.25">
      <c r="A7" s="80" t="s">
        <v>2970</v>
      </c>
      <c r="B7" s="81">
        <v>3</v>
      </c>
      <c r="C7" s="80" t="s">
        <v>2971</v>
      </c>
      <c r="D7" s="81">
        <v>124</v>
      </c>
    </row>
    <row r="8" spans="1:4" ht="21.75" customHeight="1" x14ac:dyDescent="0.25">
      <c r="A8" s="80" t="s">
        <v>103</v>
      </c>
      <c r="B8" s="81">
        <v>5</v>
      </c>
      <c r="C8" s="80" t="s">
        <v>2972</v>
      </c>
      <c r="D8" s="81">
        <v>114</v>
      </c>
    </row>
    <row r="9" spans="1:4" ht="21.75" customHeight="1" x14ac:dyDescent="0.25">
      <c r="A9" s="80" t="s">
        <v>195</v>
      </c>
      <c r="B9" s="81">
        <v>1</v>
      </c>
      <c r="C9" s="80" t="s">
        <v>107</v>
      </c>
      <c r="D9" s="81">
        <f>COUNTIF(Enrolments!G2:G1000,"Completed")</f>
        <v>27</v>
      </c>
    </row>
    <row r="10" spans="1:4" ht="21.75" customHeight="1" x14ac:dyDescent="0.25">
      <c r="A10" s="80" t="s">
        <v>158</v>
      </c>
      <c r="B10" s="81">
        <v>3</v>
      </c>
      <c r="C10" s="80" t="s">
        <v>1497</v>
      </c>
      <c r="D10" s="81">
        <f>COUNTIF(Enrolments!G2:G1000,"Dropped")</f>
        <v>15</v>
      </c>
    </row>
    <row r="11" spans="1:4" ht="21.75" customHeight="1" x14ac:dyDescent="0.25">
      <c r="A11" s="80" t="s">
        <v>2973</v>
      </c>
      <c r="B11" s="81">
        <v>3.35</v>
      </c>
      <c r="C11" s="80" t="s">
        <v>2974</v>
      </c>
      <c r="D11" s="81" t="str">
        <f>ROUND(AVERAGE(Enrolments!I2:I1000),1)&amp;"%"</f>
        <v>82.6%</v>
      </c>
    </row>
    <row r="12" spans="1:4" ht="21.75" customHeight="1" x14ac:dyDescent="0.25">
      <c r="A12" s="80" t="s">
        <v>2975</v>
      </c>
      <c r="B12" s="81">
        <v>2502</v>
      </c>
      <c r="C12" s="80" t="s">
        <v>2976</v>
      </c>
      <c r="D12" s="81">
        <f>COUNTIF(Grades!J2:J1000,"A")</f>
        <v>81</v>
      </c>
    </row>
    <row r="14" spans="1:4" ht="19.5" customHeight="1" x14ac:dyDescent="0.25">
      <c r="A14" s="9" t="s">
        <v>2977</v>
      </c>
      <c r="B14" s="9"/>
      <c r="C14" s="10" t="s">
        <v>2978</v>
      </c>
      <c r="D14" s="10"/>
    </row>
    <row r="15" spans="1:4" ht="21.75" customHeight="1" x14ac:dyDescent="0.25">
      <c r="A15" s="82" t="s">
        <v>2979</v>
      </c>
      <c r="B15" s="83">
        <v>16</v>
      </c>
      <c r="C15" s="84" t="s">
        <v>2980</v>
      </c>
      <c r="D15" s="85" t="s">
        <v>258</v>
      </c>
    </row>
    <row r="16" spans="1:4" ht="21.75" customHeight="1" x14ac:dyDescent="0.25">
      <c r="A16" s="82" t="s">
        <v>2981</v>
      </c>
      <c r="B16" s="83">
        <v>6</v>
      </c>
      <c r="C16" s="80" t="s">
        <v>2982</v>
      </c>
      <c r="D16" s="81" t="str">
        <f>IFERROR(VLOOKUP(D15,Students!A:B,2,0),"-")</f>
        <v>Stephen Gaita Gaikia</v>
      </c>
    </row>
    <row r="17" spans="1:8" ht="21.75" customHeight="1" x14ac:dyDescent="0.25">
      <c r="A17" s="82" t="s">
        <v>342</v>
      </c>
      <c r="B17" s="83">
        <v>6</v>
      </c>
      <c r="C17" s="80" t="s">
        <v>2983</v>
      </c>
      <c r="D17" s="81" t="str">
        <f>IFERROR(VLOOKUP(D15,Students!A:H,8,0),"-")</f>
        <v>Computer Science</v>
      </c>
    </row>
    <row r="18" spans="1:8" ht="21.75" customHeight="1" x14ac:dyDescent="0.25">
      <c r="A18" s="80" t="s">
        <v>430</v>
      </c>
      <c r="B18" s="81">
        <v>4</v>
      </c>
      <c r="C18" s="80" t="s">
        <v>2984</v>
      </c>
      <c r="D18" s="81">
        <f>IFERROR(VLOOKUP(D15,Students!A:K,11,0),"-")</f>
        <v>3.65</v>
      </c>
    </row>
    <row r="19" spans="1:8" ht="21.75" customHeight="1" x14ac:dyDescent="0.25">
      <c r="A19" s="80" t="s">
        <v>2985</v>
      </c>
      <c r="B19" s="81" t="str">
        <f>ROUND(AVERAGE(Attendance!J2:J1000),0)&amp;"%"</f>
        <v>90%</v>
      </c>
      <c r="C19" s="80" t="s">
        <v>2359</v>
      </c>
      <c r="D19" s="81" t="str">
        <f>IFERROR(VLOOKUP(D15,Students!A:M,13,0),"-")</f>
        <v>Active</v>
      </c>
    </row>
    <row r="21" spans="1:8" ht="15" customHeight="1" x14ac:dyDescent="0.25">
      <c r="A21" s="10" t="s">
        <v>2986</v>
      </c>
      <c r="B21" s="10"/>
      <c r="C21" s="10"/>
      <c r="D21" s="10"/>
      <c r="E21" s="10"/>
      <c r="F21" s="10"/>
      <c r="G21" s="10"/>
      <c r="H21" s="10"/>
    </row>
    <row r="22" spans="1:8" ht="15" customHeight="1" x14ac:dyDescent="0.25">
      <c r="A22" s="80" t="s">
        <v>35</v>
      </c>
      <c r="B22" s="80" t="s">
        <v>2967</v>
      </c>
      <c r="C22" s="80" t="s">
        <v>50</v>
      </c>
      <c r="D22" s="80" t="s">
        <v>2987</v>
      </c>
      <c r="E22" s="80" t="s">
        <v>2988</v>
      </c>
      <c r="F22" s="80" t="s">
        <v>429</v>
      </c>
      <c r="G22" s="80" t="s">
        <v>2989</v>
      </c>
      <c r="H22" s="80" t="s">
        <v>2985</v>
      </c>
    </row>
    <row r="23" spans="1:8" ht="15" customHeight="1" x14ac:dyDescent="0.25">
      <c r="A23" s="80" t="s">
        <v>62</v>
      </c>
      <c r="B23" s="80">
        <f>COUNTIF(Students!$AJ:$AJ,"Templumis University")</f>
        <v>64</v>
      </c>
      <c r="C23" s="80">
        <f>COUNTIFS(Students!$AJ:$AJ,"Templumis University",Students!$M:$M,"Active")</f>
        <v>46</v>
      </c>
      <c r="D23" s="80">
        <f>COUNTIFS(Students!$AJ:$AJ,"Templumis University",Students!$Q:$Q,"Undergraduate")</f>
        <v>46</v>
      </c>
      <c r="E23" s="80">
        <f>COUNTIFS(Students!$AJ:$AJ,"Templumis University",Students!$Q:$Q,"Postgraduate")-COUNTIFS(Students!$AJ:$AJ,"Templumis University",Students!$R:$R,"PhD by Research")</f>
        <v>13</v>
      </c>
      <c r="F23" s="80">
        <f>COUNTIFS(Students!$AJ:$AJ,"Templumis University",Students!$R:$R,"PhD by Research")</f>
        <v>5</v>
      </c>
      <c r="G23" s="80">
        <f>ROUND(AVERAGEIFS(Students!$K:$K,Students!$AJ:$AJ,"Templumis University"),2)</f>
        <v>3.25</v>
      </c>
      <c r="H23" s="80" t="str">
        <f>ROUND(AVERAGEIFS(Attendance!$J:$J,Attendance!$L:$L,"Templumis University"),0)&amp;"%"</f>
        <v>83%</v>
      </c>
    </row>
    <row r="24" spans="1:8" ht="15" customHeight="1" x14ac:dyDescent="0.25">
      <c r="A24" s="80" t="s">
        <v>484</v>
      </c>
      <c r="B24" s="80">
        <f>COUNTIF(Students!$AJ:$AJ,"Kitaptech University")</f>
        <v>44</v>
      </c>
      <c r="C24" s="80">
        <f>COUNTIFS(Students!$AJ:$AJ,"Kitaptech University",Students!$M:$M,"Active")</f>
        <v>33</v>
      </c>
      <c r="D24" s="80">
        <f>COUNTIFS(Students!$AJ:$AJ,"Kitaptech University",Students!$Q:$Q,"Undergraduate")</f>
        <v>26</v>
      </c>
      <c r="E24" s="80">
        <f>COUNTIFS(Students!$AJ:$AJ,"Kitaptech University",Students!$Q:$Q,"Postgraduate")-COUNTIFS(Students!$AJ:$AJ,"Kitaptech University",Students!$R:$R,"PhD by Research")</f>
        <v>13</v>
      </c>
      <c r="F24" s="80">
        <f>COUNTIFS(Students!$AJ:$AJ,"Kitaptech University",Students!$R:$R,"PhD by Research")</f>
        <v>5</v>
      </c>
      <c r="G24" s="80">
        <f>ROUND(AVERAGEIFS(Students!$K:$K,Students!$AJ:$AJ,"Kitaptech University"),2)</f>
        <v>3.34</v>
      </c>
      <c r="H24" s="80" t="str">
        <f>ROUND(AVERAGEIFS(Attendance!$J:$J,Attendance!$L:$L,"Kitaptech University"),0)&amp;"%"</f>
        <v>96%</v>
      </c>
    </row>
    <row r="25" spans="1:8" ht="15" customHeight="1" x14ac:dyDescent="0.25">
      <c r="A25" s="80" t="s">
        <v>786</v>
      </c>
      <c r="B25" s="80">
        <f>COUNTIF(Students!$AJ:$AJ,"Rongo University")</f>
        <v>44</v>
      </c>
      <c r="C25" s="80">
        <f>COUNTIFS(Students!$AJ:$AJ,"Rongo University",Students!$M:$M,"Active")</f>
        <v>33</v>
      </c>
      <c r="D25" s="80">
        <f>COUNTIFS(Students!$AJ:$AJ,"Rongo University",Students!$Q:$Q,"Undergraduate")</f>
        <v>26</v>
      </c>
      <c r="E25" s="80">
        <f>COUNTIFS(Students!$AJ:$AJ,"Rongo University",Students!$Q:$Q,"Postgraduate")-COUNTIFS(Students!$AJ:$AJ,"Rongo University",Students!$R:$R,"PhD by Research")</f>
        <v>13</v>
      </c>
      <c r="F25" s="80">
        <f>COUNTIFS(Students!$AJ:$AJ,"Rongo University",Students!$R:$R,"PhD by Research")</f>
        <v>5</v>
      </c>
      <c r="G25" s="80">
        <f>ROUND(AVERAGEIFS(Students!$K:$K,Students!$AJ:$AJ,"Rongo University"),2)</f>
        <v>3.3</v>
      </c>
      <c r="H25" s="80" t="str">
        <f>ROUND(AVERAGEIFS(Attendance!$J:$J,Attendance!$L:$L,"Rongo University"),0)&amp;"%"</f>
        <v>96%</v>
      </c>
    </row>
    <row r="26" spans="1:8" ht="15" customHeight="1" x14ac:dyDescent="0.25">
      <c r="A26" s="80" t="s">
        <v>2990</v>
      </c>
      <c r="B26" s="80">
        <f>SUM(B23:B25)</f>
        <v>152</v>
      </c>
      <c r="C26" s="80">
        <f>SUM(C23:C25)</f>
        <v>112</v>
      </c>
      <c r="D26" s="80">
        <f>SUM(D23:D25)</f>
        <v>98</v>
      </c>
      <c r="E26" s="80">
        <f>SUM(E23:E25)</f>
        <v>39</v>
      </c>
      <c r="F26" s="80">
        <f>SUM(F23:F25)</f>
        <v>15</v>
      </c>
      <c r="G26" s="80">
        <f>ROUND(AVERAGE(G23:G25),2)</f>
        <v>3.3</v>
      </c>
      <c r="H26" s="80" t="str">
        <f>ROUND(AVERAGE(Attendance!$J:$J),0)&amp;"%"</f>
        <v>90%</v>
      </c>
    </row>
  </sheetData>
  <mergeCells count="7">
    <mergeCell ref="A21:H21"/>
    <mergeCell ref="A1:D1"/>
    <mergeCell ref="A2:D2"/>
    <mergeCell ref="A4:B4"/>
    <mergeCell ref="C4:D4"/>
    <mergeCell ref="A14:B14"/>
    <mergeCell ref="C14:D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134"/>
  <sheetViews>
    <sheetView zoomScaleNormal="100" workbookViewId="0">
      <pane xSplit="2" ySplit="2" topLeftCell="C3" activePane="bottomRight" state="frozen"/>
      <selection pane="topRight" activeCell="C1" sqref="C1"/>
      <selection pane="bottomLeft" activeCell="A3" sqref="A3"/>
      <selection pane="bottomRight"/>
    </sheetView>
  </sheetViews>
  <sheetFormatPr defaultColWidth="8.7109375" defaultRowHeight="15" x14ac:dyDescent="0.25"/>
  <cols>
    <col min="1" max="1" width="16" customWidth="1"/>
    <col min="2" max="2" width="22" customWidth="1"/>
    <col min="3" max="3" width="14" customWidth="1"/>
    <col min="4" max="4" width="20" customWidth="1"/>
    <col min="5" max="5" width="22" customWidth="1"/>
    <col min="6" max="7" width="14" customWidth="1"/>
    <col min="8" max="9" width="12" customWidth="1"/>
    <col min="10" max="11" width="14" customWidth="1"/>
    <col min="12" max="12" width="7" customWidth="1"/>
    <col min="13" max="13" width="16" customWidth="1"/>
    <col min="14" max="14" width="14" customWidth="1"/>
    <col min="15" max="16" width="12" customWidth="1"/>
    <col min="17" max="17" width="14" customWidth="1"/>
    <col min="18" max="18" width="18" customWidth="1"/>
    <col min="19" max="19" width="24" customWidth="1"/>
    <col min="20" max="20" width="16" customWidth="1"/>
    <col min="21" max="21" width="14" customWidth="1"/>
    <col min="22" max="22" width="18" customWidth="1"/>
    <col min="23" max="24" width="14" customWidth="1"/>
    <col min="25" max="25" width="32" customWidth="1"/>
  </cols>
  <sheetData>
    <row r="1" spans="1:26" ht="21.75" customHeight="1" x14ac:dyDescent="0.25">
      <c r="A1" s="8" t="s">
        <v>2991</v>
      </c>
      <c r="B1" s="8"/>
      <c r="C1" s="8"/>
      <c r="D1" s="8"/>
      <c r="E1" s="8"/>
      <c r="F1" s="8"/>
      <c r="G1" s="7" t="s">
        <v>2992</v>
      </c>
      <c r="H1" s="7"/>
      <c r="I1" s="7"/>
      <c r="J1" s="7"/>
      <c r="K1" s="7"/>
      <c r="L1" s="6" t="s">
        <v>2993</v>
      </c>
      <c r="M1" s="6"/>
      <c r="N1" s="6"/>
      <c r="O1" s="5" t="s">
        <v>2994</v>
      </c>
      <c r="P1" s="5"/>
      <c r="Q1" s="5"/>
      <c r="R1" s="4" t="s">
        <v>2995</v>
      </c>
      <c r="S1" s="4"/>
      <c r="T1" s="4"/>
      <c r="U1" s="4"/>
      <c r="V1" s="3" t="s">
        <v>2996</v>
      </c>
      <c r="W1" s="3"/>
      <c r="X1" s="3"/>
      <c r="Y1" s="3"/>
    </row>
    <row r="2" spans="1:26" ht="30" customHeight="1" x14ac:dyDescent="0.25">
      <c r="A2" s="86" t="s">
        <v>2185</v>
      </c>
      <c r="B2" s="86" t="s">
        <v>2997</v>
      </c>
      <c r="C2" s="86" t="s">
        <v>16</v>
      </c>
      <c r="D2" s="86" t="s">
        <v>17</v>
      </c>
      <c r="E2" s="86" t="s">
        <v>2188</v>
      </c>
      <c r="F2" s="86" t="s">
        <v>2998</v>
      </c>
      <c r="G2" s="87" t="s">
        <v>2999</v>
      </c>
      <c r="H2" s="87" t="s">
        <v>3000</v>
      </c>
      <c r="I2" s="87" t="s">
        <v>3001</v>
      </c>
      <c r="J2" s="87" t="s">
        <v>3002</v>
      </c>
      <c r="K2" s="87" t="s">
        <v>3003</v>
      </c>
      <c r="L2" s="87" t="s">
        <v>2984</v>
      </c>
      <c r="M2" s="87" t="s">
        <v>22</v>
      </c>
      <c r="N2" s="87" t="s">
        <v>3004</v>
      </c>
      <c r="O2" s="87" t="s">
        <v>3005</v>
      </c>
      <c r="P2" s="87" t="s">
        <v>3006</v>
      </c>
      <c r="Q2" s="87" t="s">
        <v>21</v>
      </c>
      <c r="R2" s="87" t="s">
        <v>3007</v>
      </c>
      <c r="S2" s="87" t="s">
        <v>3008</v>
      </c>
      <c r="T2" s="87" t="s">
        <v>3009</v>
      </c>
      <c r="U2" s="87" t="s">
        <v>3010</v>
      </c>
      <c r="V2" s="87" t="s">
        <v>26</v>
      </c>
      <c r="W2" s="87" t="s">
        <v>3011</v>
      </c>
      <c r="X2" s="87" t="s">
        <v>3012</v>
      </c>
      <c r="Y2" s="87" t="s">
        <v>18</v>
      </c>
      <c r="Z2" s="87" t="s">
        <v>35</v>
      </c>
    </row>
    <row r="3" spans="1:26" ht="15" customHeight="1" x14ac:dyDescent="0.25">
      <c r="A3" s="18" t="s">
        <v>40</v>
      </c>
      <c r="B3" s="19" t="s">
        <v>41</v>
      </c>
      <c r="C3" s="18" t="s">
        <v>54</v>
      </c>
      <c r="D3" s="19" t="s">
        <v>46</v>
      </c>
      <c r="E3" s="19" t="s">
        <v>48</v>
      </c>
      <c r="F3" s="18" t="s">
        <v>52</v>
      </c>
      <c r="G3" s="18" t="s">
        <v>56</v>
      </c>
      <c r="H3" s="22" t="s">
        <v>3013</v>
      </c>
      <c r="I3" s="22" t="s">
        <v>3013</v>
      </c>
      <c r="J3" s="22" t="s">
        <v>3013</v>
      </c>
      <c r="K3" s="88" t="s">
        <v>92</v>
      </c>
      <c r="L3" s="88">
        <v>3.78</v>
      </c>
      <c r="M3" s="22" t="s">
        <v>58</v>
      </c>
      <c r="N3" s="88" t="s">
        <v>59</v>
      </c>
      <c r="O3" s="22" t="s">
        <v>57</v>
      </c>
      <c r="P3" s="22" t="s">
        <v>57</v>
      </c>
      <c r="Q3" s="88">
        <v>0</v>
      </c>
      <c r="R3" s="89" t="s">
        <v>60</v>
      </c>
      <c r="S3" s="88" t="s">
        <v>3014</v>
      </c>
      <c r="T3" s="89" t="s">
        <v>60</v>
      </c>
      <c r="U3" s="90" t="s">
        <v>60</v>
      </c>
      <c r="V3" s="18" t="s">
        <v>61</v>
      </c>
      <c r="W3" s="18"/>
      <c r="X3" s="19"/>
      <c r="Y3" s="18" t="s">
        <v>55</v>
      </c>
      <c r="Z3" s="18" t="s">
        <v>62</v>
      </c>
    </row>
    <row r="4" spans="1:26" ht="15" customHeight="1" x14ac:dyDescent="0.25">
      <c r="A4" s="18" t="s">
        <v>65</v>
      </c>
      <c r="B4" s="19" t="s">
        <v>66</v>
      </c>
      <c r="C4" s="18" t="s">
        <v>54</v>
      </c>
      <c r="D4" s="19" t="s">
        <v>71</v>
      </c>
      <c r="E4" s="19" t="s">
        <v>73</v>
      </c>
      <c r="F4" s="18" t="s">
        <v>75</v>
      </c>
      <c r="G4" s="18" t="s">
        <v>78</v>
      </c>
      <c r="H4" s="22" t="s">
        <v>3013</v>
      </c>
      <c r="I4" s="22" t="s">
        <v>3013</v>
      </c>
      <c r="J4" s="88" t="s">
        <v>92</v>
      </c>
      <c r="K4" s="88" t="s">
        <v>445</v>
      </c>
      <c r="L4" s="88">
        <v>3.12</v>
      </c>
      <c r="M4" s="22" t="s">
        <v>58</v>
      </c>
      <c r="N4" s="88" t="s">
        <v>59</v>
      </c>
      <c r="O4" s="22" t="s">
        <v>57</v>
      </c>
      <c r="P4" s="22" t="s">
        <v>57</v>
      </c>
      <c r="Q4" s="88">
        <v>0</v>
      </c>
      <c r="R4" s="89" t="s">
        <v>60</v>
      </c>
      <c r="S4" s="88" t="s">
        <v>3015</v>
      </c>
      <c r="T4" s="89" t="s">
        <v>60</v>
      </c>
      <c r="U4" s="90" t="s">
        <v>60</v>
      </c>
      <c r="V4" s="18" t="s">
        <v>61</v>
      </c>
      <c r="W4" s="18"/>
      <c r="X4" s="19"/>
      <c r="Y4" s="18" t="s">
        <v>77</v>
      </c>
      <c r="Z4" s="18" t="s">
        <v>62</v>
      </c>
    </row>
    <row r="5" spans="1:26" ht="15" customHeight="1" x14ac:dyDescent="0.25">
      <c r="A5" s="18" t="s">
        <v>79</v>
      </c>
      <c r="B5" s="19" t="s">
        <v>80</v>
      </c>
      <c r="C5" s="18" t="s">
        <v>54</v>
      </c>
      <c r="D5" s="19" t="s">
        <v>46</v>
      </c>
      <c r="E5" s="19" t="s">
        <v>85</v>
      </c>
      <c r="F5" s="18" t="s">
        <v>88</v>
      </c>
      <c r="G5" s="18" t="s">
        <v>91</v>
      </c>
      <c r="H5" s="22" t="s">
        <v>3013</v>
      </c>
      <c r="I5" s="22" t="s">
        <v>3013</v>
      </c>
      <c r="J5" s="22" t="s">
        <v>3013</v>
      </c>
      <c r="K5" s="22" t="s">
        <v>3013</v>
      </c>
      <c r="L5" s="88">
        <v>3.55</v>
      </c>
      <c r="M5" s="22" t="s">
        <v>58</v>
      </c>
      <c r="N5" s="88" t="s">
        <v>59</v>
      </c>
      <c r="O5" s="22" t="s">
        <v>57</v>
      </c>
      <c r="P5" s="22" t="s">
        <v>57</v>
      </c>
      <c r="Q5" s="88">
        <v>0</v>
      </c>
      <c r="R5" s="89" t="s">
        <v>60</v>
      </c>
      <c r="S5" s="88" t="s">
        <v>3016</v>
      </c>
      <c r="T5" s="89" t="s">
        <v>60</v>
      </c>
      <c r="U5" s="90" t="s">
        <v>60</v>
      </c>
      <c r="V5" s="18" t="s">
        <v>92</v>
      </c>
      <c r="W5" s="18"/>
      <c r="X5" s="19"/>
      <c r="Y5" s="18" t="s">
        <v>90</v>
      </c>
      <c r="Z5" s="18" t="s">
        <v>62</v>
      </c>
    </row>
    <row r="6" spans="1:26" ht="15" customHeight="1" x14ac:dyDescent="0.25">
      <c r="A6" s="22" t="s">
        <v>96</v>
      </c>
      <c r="B6" s="23" t="s">
        <v>97</v>
      </c>
      <c r="C6" s="22" t="s">
        <v>54</v>
      </c>
      <c r="D6" s="23" t="s">
        <v>46</v>
      </c>
      <c r="E6" s="23" t="s">
        <v>102</v>
      </c>
      <c r="F6" s="22" t="s">
        <v>105</v>
      </c>
      <c r="G6" s="22" t="s">
        <v>107</v>
      </c>
      <c r="H6" s="22" t="s">
        <v>3013</v>
      </c>
      <c r="I6" s="22" t="s">
        <v>3013</v>
      </c>
      <c r="J6" s="22" t="s">
        <v>3013</v>
      </c>
      <c r="K6" s="22" t="s">
        <v>3013</v>
      </c>
      <c r="L6" s="88">
        <v>3.9</v>
      </c>
      <c r="M6" s="22" t="s">
        <v>108</v>
      </c>
      <c r="N6" s="88" t="s">
        <v>59</v>
      </c>
      <c r="O6" s="22" t="s">
        <v>57</v>
      </c>
      <c r="P6" s="22" t="s">
        <v>108</v>
      </c>
      <c r="Q6" s="88">
        <v>0</v>
      </c>
      <c r="R6" s="89" t="s">
        <v>60</v>
      </c>
      <c r="S6" s="88" t="s">
        <v>3016</v>
      </c>
      <c r="T6" s="89" t="s">
        <v>60</v>
      </c>
      <c r="U6" s="90" t="s">
        <v>60</v>
      </c>
      <c r="V6" s="22" t="s">
        <v>109</v>
      </c>
      <c r="W6" s="22" t="s">
        <v>59</v>
      </c>
      <c r="X6" s="23" t="s">
        <v>110</v>
      </c>
      <c r="Y6" s="22" t="s">
        <v>106</v>
      </c>
      <c r="Z6" s="22" t="s">
        <v>62</v>
      </c>
    </row>
    <row r="7" spans="1:26" ht="15" customHeight="1" x14ac:dyDescent="0.25">
      <c r="A7" s="26" t="s">
        <v>111</v>
      </c>
      <c r="B7" s="27" t="s">
        <v>112</v>
      </c>
      <c r="C7" s="26" t="s">
        <v>54</v>
      </c>
      <c r="D7" s="27" t="s">
        <v>46</v>
      </c>
      <c r="E7" s="27" t="s">
        <v>117</v>
      </c>
      <c r="F7" s="26" t="s">
        <v>120</v>
      </c>
      <c r="G7" s="26" t="s">
        <v>123</v>
      </c>
      <c r="H7" s="88" t="s">
        <v>92</v>
      </c>
      <c r="I7" s="88" t="s">
        <v>92</v>
      </c>
      <c r="J7" s="88" t="s">
        <v>445</v>
      </c>
      <c r="K7" s="88" t="s">
        <v>445</v>
      </c>
      <c r="L7" s="88">
        <v>2.4500000000000002</v>
      </c>
      <c r="M7" s="34" t="s">
        <v>119</v>
      </c>
      <c r="N7" s="88" t="s">
        <v>125</v>
      </c>
      <c r="O7" s="88" t="s">
        <v>124</v>
      </c>
      <c r="P7" s="88" t="s">
        <v>124</v>
      </c>
      <c r="Q7" s="88">
        <v>35000</v>
      </c>
      <c r="R7" s="89" t="s">
        <v>60</v>
      </c>
      <c r="S7" s="88" t="s">
        <v>3017</v>
      </c>
      <c r="T7" s="89" t="s">
        <v>60</v>
      </c>
      <c r="U7" s="90" t="s">
        <v>60</v>
      </c>
      <c r="V7" s="26" t="s">
        <v>126</v>
      </c>
      <c r="W7" s="26"/>
      <c r="X7" s="27"/>
      <c r="Y7" s="26" t="s">
        <v>122</v>
      </c>
      <c r="Z7" s="26" t="s">
        <v>62</v>
      </c>
    </row>
    <row r="8" spans="1:26" ht="15" customHeight="1" x14ac:dyDescent="0.25">
      <c r="A8" s="18" t="s">
        <v>127</v>
      </c>
      <c r="B8" s="19" t="s">
        <v>128</v>
      </c>
      <c r="C8" s="18" t="s">
        <v>54</v>
      </c>
      <c r="D8" s="19" t="s">
        <v>132</v>
      </c>
      <c r="E8" s="19" t="s">
        <v>134</v>
      </c>
      <c r="F8" s="18" t="s">
        <v>52</v>
      </c>
      <c r="G8" s="18" t="s">
        <v>56</v>
      </c>
      <c r="H8" s="22" t="s">
        <v>3013</v>
      </c>
      <c r="I8" s="22" t="s">
        <v>3013</v>
      </c>
      <c r="J8" s="22" t="s">
        <v>3013</v>
      </c>
      <c r="K8" s="88" t="s">
        <v>92</v>
      </c>
      <c r="L8" s="88">
        <v>3.22</v>
      </c>
      <c r="M8" s="22" t="s">
        <v>58</v>
      </c>
      <c r="N8" s="88" t="s">
        <v>59</v>
      </c>
      <c r="O8" s="22" t="s">
        <v>57</v>
      </c>
      <c r="P8" s="22" t="s">
        <v>57</v>
      </c>
      <c r="Q8" s="88">
        <v>0</v>
      </c>
      <c r="R8" s="89" t="s">
        <v>60</v>
      </c>
      <c r="S8" s="88" t="s">
        <v>3014</v>
      </c>
      <c r="T8" s="89" t="s">
        <v>60</v>
      </c>
      <c r="U8" s="90" t="s">
        <v>60</v>
      </c>
      <c r="V8" s="18" t="s">
        <v>61</v>
      </c>
      <c r="W8" s="18"/>
      <c r="X8" s="19"/>
      <c r="Y8" s="18" t="s">
        <v>55</v>
      </c>
      <c r="Z8" s="18" t="s">
        <v>62</v>
      </c>
    </row>
    <row r="9" spans="1:26" ht="15" customHeight="1" x14ac:dyDescent="0.25">
      <c r="A9" s="18" t="s">
        <v>135</v>
      </c>
      <c r="B9" s="19" t="s">
        <v>136</v>
      </c>
      <c r="C9" s="18" t="s">
        <v>54</v>
      </c>
      <c r="D9" s="19" t="s">
        <v>46</v>
      </c>
      <c r="E9" s="19" t="s">
        <v>117</v>
      </c>
      <c r="F9" s="18" t="s">
        <v>141</v>
      </c>
      <c r="G9" s="18" t="s">
        <v>78</v>
      </c>
      <c r="H9" s="22" t="s">
        <v>3013</v>
      </c>
      <c r="I9" s="22" t="s">
        <v>3013</v>
      </c>
      <c r="J9" s="88" t="s">
        <v>92</v>
      </c>
      <c r="K9" s="88" t="s">
        <v>445</v>
      </c>
      <c r="L9" s="88">
        <v>3.68</v>
      </c>
      <c r="M9" s="22" t="s">
        <v>58</v>
      </c>
      <c r="N9" s="88" t="s">
        <v>59</v>
      </c>
      <c r="O9" s="22" t="s">
        <v>57</v>
      </c>
      <c r="P9" s="22" t="s">
        <v>57</v>
      </c>
      <c r="Q9" s="88">
        <v>0</v>
      </c>
      <c r="R9" s="89" t="s">
        <v>60</v>
      </c>
      <c r="S9" s="88" t="s">
        <v>3015</v>
      </c>
      <c r="T9" s="89" t="s">
        <v>60</v>
      </c>
      <c r="U9" s="90" t="s">
        <v>60</v>
      </c>
      <c r="V9" s="18" t="s">
        <v>61</v>
      </c>
      <c r="W9" s="18"/>
      <c r="X9" s="19"/>
      <c r="Y9" s="18" t="s">
        <v>77</v>
      </c>
      <c r="Z9" s="18" t="s">
        <v>62</v>
      </c>
    </row>
    <row r="10" spans="1:26" ht="15" customHeight="1" x14ac:dyDescent="0.25">
      <c r="A10" s="18" t="s">
        <v>142</v>
      </c>
      <c r="B10" s="19" t="s">
        <v>143</v>
      </c>
      <c r="C10" s="18" t="s">
        <v>54</v>
      </c>
      <c r="D10" s="19" t="s">
        <v>147</v>
      </c>
      <c r="E10" s="19" t="s">
        <v>149</v>
      </c>
      <c r="F10" s="18" t="s">
        <v>88</v>
      </c>
      <c r="G10" s="18" t="s">
        <v>91</v>
      </c>
      <c r="H10" s="22" t="s">
        <v>3013</v>
      </c>
      <c r="I10" s="22" t="s">
        <v>3013</v>
      </c>
      <c r="J10" s="22" t="s">
        <v>3013</v>
      </c>
      <c r="K10" s="22" t="s">
        <v>3013</v>
      </c>
      <c r="L10" s="88">
        <v>3.1</v>
      </c>
      <c r="M10" s="22" t="s">
        <v>58</v>
      </c>
      <c r="N10" s="88" t="s">
        <v>59</v>
      </c>
      <c r="O10" s="22" t="s">
        <v>57</v>
      </c>
      <c r="P10" s="22" t="s">
        <v>57</v>
      </c>
      <c r="Q10" s="88">
        <v>0</v>
      </c>
      <c r="R10" s="89" t="s">
        <v>60</v>
      </c>
      <c r="S10" s="88" t="s">
        <v>3016</v>
      </c>
      <c r="T10" s="89" t="s">
        <v>60</v>
      </c>
      <c r="U10" s="90" t="s">
        <v>60</v>
      </c>
      <c r="V10" s="18" t="s">
        <v>92</v>
      </c>
      <c r="W10" s="18"/>
      <c r="X10" s="19"/>
      <c r="Y10" s="18" t="s">
        <v>90</v>
      </c>
      <c r="Z10" s="18" t="s">
        <v>62</v>
      </c>
    </row>
    <row r="11" spans="1:26" ht="15" customHeight="1" x14ac:dyDescent="0.25">
      <c r="A11" s="30" t="s">
        <v>151</v>
      </c>
      <c r="B11" s="31" t="s">
        <v>152</v>
      </c>
      <c r="C11" s="30" t="s">
        <v>54</v>
      </c>
      <c r="D11" s="31" t="s">
        <v>156</v>
      </c>
      <c r="E11" s="31" t="s">
        <v>73</v>
      </c>
      <c r="F11" s="30" t="s">
        <v>52</v>
      </c>
      <c r="G11" s="30" t="s">
        <v>56</v>
      </c>
      <c r="H11" s="22" t="s">
        <v>3013</v>
      </c>
      <c r="I11" s="22" t="s">
        <v>3013</v>
      </c>
      <c r="J11" s="22" t="s">
        <v>3013</v>
      </c>
      <c r="K11" s="88" t="s">
        <v>92</v>
      </c>
      <c r="L11" s="88">
        <v>2.8</v>
      </c>
      <c r="M11" s="22" t="s">
        <v>58</v>
      </c>
      <c r="N11" s="88" t="s">
        <v>59</v>
      </c>
      <c r="O11" s="89" t="s">
        <v>160</v>
      </c>
      <c r="P11" s="89" t="s">
        <v>160</v>
      </c>
      <c r="Q11" s="88">
        <v>0</v>
      </c>
      <c r="R11" s="89" t="s">
        <v>60</v>
      </c>
      <c r="S11" s="88" t="s">
        <v>3014</v>
      </c>
      <c r="T11" s="89" t="s">
        <v>60</v>
      </c>
      <c r="U11" s="90" t="s">
        <v>60</v>
      </c>
      <c r="V11" s="30" t="s">
        <v>61</v>
      </c>
      <c r="W11" s="30"/>
      <c r="X11" s="31"/>
      <c r="Y11" s="30" t="s">
        <v>159</v>
      </c>
      <c r="Z11" s="30" t="s">
        <v>62</v>
      </c>
    </row>
    <row r="12" spans="1:26" ht="15" customHeight="1" x14ac:dyDescent="0.25">
      <c r="A12" s="18" t="s">
        <v>161</v>
      </c>
      <c r="B12" s="19" t="s">
        <v>162</v>
      </c>
      <c r="C12" s="18" t="s">
        <v>54</v>
      </c>
      <c r="D12" s="19" t="s">
        <v>46</v>
      </c>
      <c r="E12" s="19" t="s">
        <v>48</v>
      </c>
      <c r="F12" s="18" t="s">
        <v>120</v>
      </c>
      <c r="G12" s="18" t="s">
        <v>123</v>
      </c>
      <c r="H12" s="88" t="s">
        <v>92</v>
      </c>
      <c r="I12" s="88" t="s">
        <v>92</v>
      </c>
      <c r="J12" s="88" t="s">
        <v>445</v>
      </c>
      <c r="K12" s="88" t="s">
        <v>445</v>
      </c>
      <c r="L12" s="88">
        <v>3.4</v>
      </c>
      <c r="M12" s="22" t="s">
        <v>58</v>
      </c>
      <c r="N12" s="88" t="s">
        <v>59</v>
      </c>
      <c r="O12" s="22" t="s">
        <v>57</v>
      </c>
      <c r="P12" s="22" t="s">
        <v>57</v>
      </c>
      <c r="Q12" s="88">
        <v>0</v>
      </c>
      <c r="R12" s="89" t="s">
        <v>60</v>
      </c>
      <c r="S12" s="88" t="s">
        <v>3017</v>
      </c>
      <c r="T12" s="89" t="s">
        <v>60</v>
      </c>
      <c r="U12" s="90" t="s">
        <v>60</v>
      </c>
      <c r="V12" s="18" t="s">
        <v>61</v>
      </c>
      <c r="W12" s="18"/>
      <c r="X12" s="19"/>
      <c r="Y12" s="18" t="s">
        <v>167</v>
      </c>
      <c r="Z12" s="18" t="s">
        <v>62</v>
      </c>
    </row>
    <row r="13" spans="1:26" ht="15" customHeight="1" x14ac:dyDescent="0.25">
      <c r="A13" s="18" t="s">
        <v>168</v>
      </c>
      <c r="B13" s="19" t="s">
        <v>169</v>
      </c>
      <c r="C13" s="18" t="s">
        <v>54</v>
      </c>
      <c r="D13" s="19" t="s">
        <v>46</v>
      </c>
      <c r="E13" s="19" t="s">
        <v>117</v>
      </c>
      <c r="F13" s="18" t="s">
        <v>141</v>
      </c>
      <c r="G13" s="18" t="s">
        <v>78</v>
      </c>
      <c r="H13" s="22" t="s">
        <v>3013</v>
      </c>
      <c r="I13" s="22" t="s">
        <v>3013</v>
      </c>
      <c r="J13" s="88" t="s">
        <v>92</v>
      </c>
      <c r="K13" s="88" t="s">
        <v>445</v>
      </c>
      <c r="L13" s="88">
        <v>3.05</v>
      </c>
      <c r="M13" s="22" t="s">
        <v>58</v>
      </c>
      <c r="N13" s="88" t="s">
        <v>59</v>
      </c>
      <c r="O13" s="22" t="s">
        <v>57</v>
      </c>
      <c r="P13" s="22" t="s">
        <v>57</v>
      </c>
      <c r="Q13" s="88">
        <v>0</v>
      </c>
      <c r="R13" s="89" t="s">
        <v>60</v>
      </c>
      <c r="S13" s="88" t="s">
        <v>3015</v>
      </c>
      <c r="T13" s="89" t="s">
        <v>60</v>
      </c>
      <c r="U13" s="90" t="s">
        <v>60</v>
      </c>
      <c r="V13" s="18" t="s">
        <v>61</v>
      </c>
      <c r="W13" s="18"/>
      <c r="X13" s="19"/>
      <c r="Y13" s="18" t="s">
        <v>77</v>
      </c>
      <c r="Z13" s="18" t="s">
        <v>62</v>
      </c>
    </row>
    <row r="14" spans="1:26" ht="15" customHeight="1" x14ac:dyDescent="0.25">
      <c r="A14" s="22" t="s">
        <v>174</v>
      </c>
      <c r="B14" s="23" t="s">
        <v>175</v>
      </c>
      <c r="C14" s="22" t="s">
        <v>54</v>
      </c>
      <c r="D14" s="23" t="s">
        <v>46</v>
      </c>
      <c r="E14" s="23" t="s">
        <v>85</v>
      </c>
      <c r="F14" s="22" t="s">
        <v>105</v>
      </c>
      <c r="G14" s="22" t="s">
        <v>107</v>
      </c>
      <c r="H14" s="22" t="s">
        <v>3013</v>
      </c>
      <c r="I14" s="22" t="s">
        <v>3013</v>
      </c>
      <c r="J14" s="22" t="s">
        <v>3013</v>
      </c>
      <c r="K14" s="22" t="s">
        <v>3013</v>
      </c>
      <c r="L14" s="88">
        <v>2.6</v>
      </c>
      <c r="M14" s="22" t="s">
        <v>108</v>
      </c>
      <c r="N14" s="88" t="s">
        <v>59</v>
      </c>
      <c r="O14" s="22" t="s">
        <v>57</v>
      </c>
      <c r="P14" s="22" t="s">
        <v>108</v>
      </c>
      <c r="Q14" s="88">
        <v>0</v>
      </c>
      <c r="R14" s="89" t="s">
        <v>60</v>
      </c>
      <c r="S14" s="88" t="s">
        <v>3016</v>
      </c>
      <c r="T14" s="89" t="s">
        <v>60</v>
      </c>
      <c r="U14" s="90" t="s">
        <v>60</v>
      </c>
      <c r="V14" s="22" t="s">
        <v>109</v>
      </c>
      <c r="W14" s="22" t="s">
        <v>59</v>
      </c>
      <c r="X14" s="23" t="s">
        <v>110</v>
      </c>
      <c r="Y14" s="22" t="s">
        <v>106</v>
      </c>
      <c r="Z14" s="22" t="s">
        <v>62</v>
      </c>
    </row>
    <row r="15" spans="1:26" ht="15" customHeight="1" x14ac:dyDescent="0.25">
      <c r="A15" s="18" t="s">
        <v>181</v>
      </c>
      <c r="B15" s="19" t="s">
        <v>182</v>
      </c>
      <c r="C15" s="18" t="s">
        <v>54</v>
      </c>
      <c r="D15" s="19" t="s">
        <v>71</v>
      </c>
      <c r="E15" s="19" t="s">
        <v>187</v>
      </c>
      <c r="F15" s="18" t="s">
        <v>52</v>
      </c>
      <c r="G15" s="18" t="s">
        <v>56</v>
      </c>
      <c r="H15" s="22" t="s">
        <v>3013</v>
      </c>
      <c r="I15" s="22" t="s">
        <v>3013</v>
      </c>
      <c r="J15" s="22" t="s">
        <v>3013</v>
      </c>
      <c r="K15" s="88" t="s">
        <v>92</v>
      </c>
      <c r="L15" s="88">
        <v>3.5</v>
      </c>
      <c r="M15" s="22" t="s">
        <v>58</v>
      </c>
      <c r="N15" s="88" t="s">
        <v>59</v>
      </c>
      <c r="O15" s="22" t="s">
        <v>57</v>
      </c>
      <c r="P15" s="22" t="s">
        <v>57</v>
      </c>
      <c r="Q15" s="88">
        <v>0</v>
      </c>
      <c r="R15" s="89" t="s">
        <v>60</v>
      </c>
      <c r="S15" s="88" t="s">
        <v>3014</v>
      </c>
      <c r="T15" s="89" t="s">
        <v>60</v>
      </c>
      <c r="U15" s="90" t="s">
        <v>60</v>
      </c>
      <c r="V15" s="18" t="s">
        <v>61</v>
      </c>
      <c r="W15" s="18"/>
      <c r="X15" s="19"/>
      <c r="Y15" s="18" t="s">
        <v>55</v>
      </c>
      <c r="Z15" s="18" t="s">
        <v>62</v>
      </c>
    </row>
    <row r="16" spans="1:26" ht="15" customHeight="1" x14ac:dyDescent="0.25">
      <c r="A16" s="34" t="s">
        <v>188</v>
      </c>
      <c r="B16" s="35" t="s">
        <v>189</v>
      </c>
      <c r="C16" s="34" t="s">
        <v>54</v>
      </c>
      <c r="D16" s="35" t="s">
        <v>193</v>
      </c>
      <c r="E16" s="35" t="s">
        <v>102</v>
      </c>
      <c r="F16" s="34" t="s">
        <v>88</v>
      </c>
      <c r="G16" s="34" t="s">
        <v>91</v>
      </c>
      <c r="H16" s="22" t="s">
        <v>3013</v>
      </c>
      <c r="I16" s="22" t="s">
        <v>3013</v>
      </c>
      <c r="J16" s="22" t="s">
        <v>3013</v>
      </c>
      <c r="K16" s="22" t="s">
        <v>3013</v>
      </c>
      <c r="L16" s="88">
        <v>1.9</v>
      </c>
      <c r="M16" s="34" t="s">
        <v>195</v>
      </c>
      <c r="N16" s="88" t="s">
        <v>125</v>
      </c>
      <c r="O16" s="34" t="s">
        <v>197</v>
      </c>
      <c r="P16" s="34" t="s">
        <v>197</v>
      </c>
      <c r="Q16" s="88">
        <v>75000</v>
      </c>
      <c r="R16" s="89" t="s">
        <v>60</v>
      </c>
      <c r="S16" s="88" t="s">
        <v>3016</v>
      </c>
      <c r="T16" s="89" t="s">
        <v>60</v>
      </c>
      <c r="U16" s="90" t="s">
        <v>60</v>
      </c>
      <c r="V16" s="34" t="s">
        <v>126</v>
      </c>
      <c r="W16" s="34"/>
      <c r="X16" s="35"/>
      <c r="Y16" s="34" t="s">
        <v>196</v>
      </c>
      <c r="Z16" s="34" t="s">
        <v>62</v>
      </c>
    </row>
    <row r="17" spans="1:26" ht="15" customHeight="1" x14ac:dyDescent="0.25">
      <c r="A17" s="18" t="s">
        <v>198</v>
      </c>
      <c r="B17" s="19" t="s">
        <v>199</v>
      </c>
      <c r="C17" s="18" t="s">
        <v>54</v>
      </c>
      <c r="D17" s="19" t="s">
        <v>71</v>
      </c>
      <c r="E17" s="19" t="s">
        <v>204</v>
      </c>
      <c r="F17" s="18" t="s">
        <v>120</v>
      </c>
      <c r="G17" s="18" t="s">
        <v>123</v>
      </c>
      <c r="H17" s="88" t="s">
        <v>92</v>
      </c>
      <c r="I17" s="88" t="s">
        <v>92</v>
      </c>
      <c r="J17" s="88" t="s">
        <v>445</v>
      </c>
      <c r="K17" s="88" t="s">
        <v>445</v>
      </c>
      <c r="L17" s="88">
        <v>3.82</v>
      </c>
      <c r="M17" s="22" t="s">
        <v>58</v>
      </c>
      <c r="N17" s="88" t="s">
        <v>59</v>
      </c>
      <c r="O17" s="22" t="s">
        <v>57</v>
      </c>
      <c r="P17" s="22" t="s">
        <v>57</v>
      </c>
      <c r="Q17" s="88">
        <v>0</v>
      </c>
      <c r="R17" s="89" t="s">
        <v>60</v>
      </c>
      <c r="S17" s="88" t="s">
        <v>3017</v>
      </c>
      <c r="T17" s="89" t="s">
        <v>60</v>
      </c>
      <c r="U17" s="90" t="s">
        <v>60</v>
      </c>
      <c r="V17" s="18" t="s">
        <v>61</v>
      </c>
      <c r="W17" s="18"/>
      <c r="X17" s="19"/>
      <c r="Y17" s="18" t="s">
        <v>167</v>
      </c>
      <c r="Z17" s="18" t="s">
        <v>62</v>
      </c>
    </row>
    <row r="18" spans="1:26" ht="15" customHeight="1" x14ac:dyDescent="0.25">
      <c r="A18" s="18" t="s">
        <v>205</v>
      </c>
      <c r="B18" s="19" t="s">
        <v>206</v>
      </c>
      <c r="C18" s="18" t="s">
        <v>54</v>
      </c>
      <c r="D18" s="19" t="s">
        <v>46</v>
      </c>
      <c r="E18" s="19" t="s">
        <v>117</v>
      </c>
      <c r="F18" s="18" t="s">
        <v>141</v>
      </c>
      <c r="G18" s="18" t="s">
        <v>78</v>
      </c>
      <c r="H18" s="22" t="s">
        <v>3013</v>
      </c>
      <c r="I18" s="22" t="s">
        <v>3013</v>
      </c>
      <c r="J18" s="88" t="s">
        <v>92</v>
      </c>
      <c r="K18" s="88" t="s">
        <v>445</v>
      </c>
      <c r="L18" s="88">
        <v>2.95</v>
      </c>
      <c r="M18" s="22" t="s">
        <v>58</v>
      </c>
      <c r="N18" s="88" t="s">
        <v>59</v>
      </c>
      <c r="O18" s="22" t="s">
        <v>57</v>
      </c>
      <c r="P18" s="22" t="s">
        <v>57</v>
      </c>
      <c r="Q18" s="88">
        <v>0</v>
      </c>
      <c r="R18" s="89" t="s">
        <v>60</v>
      </c>
      <c r="S18" s="88" t="s">
        <v>3015</v>
      </c>
      <c r="T18" s="89" t="s">
        <v>60</v>
      </c>
      <c r="U18" s="90" t="s">
        <v>60</v>
      </c>
      <c r="V18" s="18" t="s">
        <v>61</v>
      </c>
      <c r="W18" s="18"/>
      <c r="X18" s="19"/>
      <c r="Y18" s="18" t="s">
        <v>77</v>
      </c>
      <c r="Z18" s="18" t="s">
        <v>62</v>
      </c>
    </row>
    <row r="19" spans="1:26" ht="15" customHeight="1" x14ac:dyDescent="0.25">
      <c r="A19" s="18" t="s">
        <v>213</v>
      </c>
      <c r="B19" s="19" t="s">
        <v>214</v>
      </c>
      <c r="C19" s="18" t="s">
        <v>54</v>
      </c>
      <c r="D19" s="19" t="s">
        <v>46</v>
      </c>
      <c r="E19" s="19" t="s">
        <v>48</v>
      </c>
      <c r="F19" s="18" t="s">
        <v>52</v>
      </c>
      <c r="G19" s="18" t="s">
        <v>56</v>
      </c>
      <c r="H19" s="22" t="s">
        <v>3013</v>
      </c>
      <c r="I19" s="22" t="s">
        <v>3013</v>
      </c>
      <c r="J19" s="22" t="s">
        <v>3013</v>
      </c>
      <c r="K19" s="88" t="s">
        <v>92</v>
      </c>
      <c r="L19" s="88">
        <v>3.95</v>
      </c>
      <c r="M19" s="22" t="s">
        <v>58</v>
      </c>
      <c r="N19" s="88" t="s">
        <v>59</v>
      </c>
      <c r="O19" s="22" t="s">
        <v>57</v>
      </c>
      <c r="P19" s="22" t="s">
        <v>57</v>
      </c>
      <c r="Q19" s="88">
        <v>0</v>
      </c>
      <c r="R19" s="89" t="s">
        <v>60</v>
      </c>
      <c r="S19" s="88" t="s">
        <v>3014</v>
      </c>
      <c r="T19" s="89" t="s">
        <v>60</v>
      </c>
      <c r="U19" s="90" t="s">
        <v>60</v>
      </c>
      <c r="V19" s="18" t="s">
        <v>61</v>
      </c>
      <c r="W19" s="18"/>
      <c r="X19" s="19"/>
      <c r="Y19" s="18" t="s">
        <v>55</v>
      </c>
      <c r="Z19" s="18" t="s">
        <v>62</v>
      </c>
    </row>
    <row r="20" spans="1:26" ht="15" customHeight="1" x14ac:dyDescent="0.25">
      <c r="A20" s="18" t="s">
        <v>218</v>
      </c>
      <c r="B20" s="19" t="s">
        <v>219</v>
      </c>
      <c r="C20" s="18" t="s">
        <v>54</v>
      </c>
      <c r="D20" s="19" t="s">
        <v>132</v>
      </c>
      <c r="E20" s="19" t="s">
        <v>134</v>
      </c>
      <c r="F20" s="18" t="s">
        <v>88</v>
      </c>
      <c r="G20" s="18" t="s">
        <v>91</v>
      </c>
      <c r="H20" s="22" t="s">
        <v>3013</v>
      </c>
      <c r="I20" s="22" t="s">
        <v>3013</v>
      </c>
      <c r="J20" s="22" t="s">
        <v>3013</v>
      </c>
      <c r="K20" s="22" t="s">
        <v>3013</v>
      </c>
      <c r="L20" s="88">
        <v>3.3</v>
      </c>
      <c r="M20" s="22" t="s">
        <v>58</v>
      </c>
      <c r="N20" s="88" t="s">
        <v>59</v>
      </c>
      <c r="O20" s="22" t="s">
        <v>57</v>
      </c>
      <c r="P20" s="22" t="s">
        <v>57</v>
      </c>
      <c r="Q20" s="88">
        <v>0</v>
      </c>
      <c r="R20" s="89" t="s">
        <v>60</v>
      </c>
      <c r="S20" s="88" t="s">
        <v>3016</v>
      </c>
      <c r="T20" s="89" t="s">
        <v>60</v>
      </c>
      <c r="U20" s="90" t="s">
        <v>60</v>
      </c>
      <c r="V20" s="18" t="s">
        <v>92</v>
      </c>
      <c r="W20" s="18"/>
      <c r="X20" s="19"/>
      <c r="Y20" s="18" t="s">
        <v>90</v>
      </c>
      <c r="Z20" s="18" t="s">
        <v>62</v>
      </c>
    </row>
    <row r="21" spans="1:26" ht="15" customHeight="1" x14ac:dyDescent="0.25">
      <c r="A21" s="18" t="s">
        <v>225</v>
      </c>
      <c r="B21" s="19" t="s">
        <v>226</v>
      </c>
      <c r="C21" s="18" t="s">
        <v>54</v>
      </c>
      <c r="D21" s="19" t="s">
        <v>46</v>
      </c>
      <c r="E21" s="19" t="s">
        <v>102</v>
      </c>
      <c r="F21" s="18" t="s">
        <v>120</v>
      </c>
      <c r="G21" s="18" t="s">
        <v>123</v>
      </c>
      <c r="H21" s="88" t="s">
        <v>92</v>
      </c>
      <c r="I21" s="88" t="s">
        <v>92</v>
      </c>
      <c r="J21" s="88" t="s">
        <v>445</v>
      </c>
      <c r="K21" s="88" t="s">
        <v>445</v>
      </c>
      <c r="L21" s="88">
        <v>3.15</v>
      </c>
      <c r="M21" s="22" t="s">
        <v>58</v>
      </c>
      <c r="N21" s="88" t="s">
        <v>59</v>
      </c>
      <c r="O21" s="22" t="s">
        <v>57</v>
      </c>
      <c r="P21" s="22" t="s">
        <v>57</v>
      </c>
      <c r="Q21" s="88">
        <v>0</v>
      </c>
      <c r="R21" s="89" t="s">
        <v>60</v>
      </c>
      <c r="S21" s="88" t="s">
        <v>3017</v>
      </c>
      <c r="T21" s="89" t="s">
        <v>60</v>
      </c>
      <c r="U21" s="90" t="s">
        <v>60</v>
      </c>
      <c r="V21" s="18" t="s">
        <v>61</v>
      </c>
      <c r="W21" s="18"/>
      <c r="X21" s="19"/>
      <c r="Y21" s="18" t="s">
        <v>167</v>
      </c>
      <c r="Z21" s="18" t="s">
        <v>62</v>
      </c>
    </row>
    <row r="22" spans="1:26" ht="15" customHeight="1" x14ac:dyDescent="0.25">
      <c r="A22" s="18" t="s">
        <v>231</v>
      </c>
      <c r="B22" s="19" t="s">
        <v>232</v>
      </c>
      <c r="C22" s="18" t="s">
        <v>54</v>
      </c>
      <c r="D22" s="19" t="s">
        <v>147</v>
      </c>
      <c r="E22" s="19" t="s">
        <v>149</v>
      </c>
      <c r="F22" s="18" t="s">
        <v>141</v>
      </c>
      <c r="G22" s="18" t="s">
        <v>78</v>
      </c>
      <c r="H22" s="22" t="s">
        <v>3013</v>
      </c>
      <c r="I22" s="22" t="s">
        <v>3013</v>
      </c>
      <c r="J22" s="88" t="s">
        <v>92</v>
      </c>
      <c r="K22" s="88" t="s">
        <v>445</v>
      </c>
      <c r="L22" s="88">
        <v>3.6</v>
      </c>
      <c r="M22" s="22" t="s">
        <v>58</v>
      </c>
      <c r="N22" s="88" t="s">
        <v>59</v>
      </c>
      <c r="O22" s="22" t="s">
        <v>57</v>
      </c>
      <c r="P22" s="22" t="s">
        <v>57</v>
      </c>
      <c r="Q22" s="88">
        <v>0</v>
      </c>
      <c r="R22" s="89" t="s">
        <v>60</v>
      </c>
      <c r="S22" s="88" t="s">
        <v>3015</v>
      </c>
      <c r="T22" s="89" t="s">
        <v>60</v>
      </c>
      <c r="U22" s="90" t="s">
        <v>60</v>
      </c>
      <c r="V22" s="18" t="s">
        <v>61</v>
      </c>
      <c r="W22" s="18"/>
      <c r="X22" s="19"/>
      <c r="Y22" s="18" t="s">
        <v>77</v>
      </c>
      <c r="Z22" s="18" t="s">
        <v>62</v>
      </c>
    </row>
    <row r="23" spans="1:26" ht="15" customHeight="1" x14ac:dyDescent="0.25">
      <c r="A23" s="30" t="s">
        <v>236</v>
      </c>
      <c r="B23" s="31" t="s">
        <v>237</v>
      </c>
      <c r="C23" s="30" t="s">
        <v>54</v>
      </c>
      <c r="D23" s="31" t="s">
        <v>71</v>
      </c>
      <c r="E23" s="31" t="s">
        <v>187</v>
      </c>
      <c r="F23" s="30" t="s">
        <v>52</v>
      </c>
      <c r="G23" s="30" t="s">
        <v>56</v>
      </c>
      <c r="H23" s="22" t="s">
        <v>3013</v>
      </c>
      <c r="I23" s="22" t="s">
        <v>3013</v>
      </c>
      <c r="J23" s="22" t="s">
        <v>3013</v>
      </c>
      <c r="K23" s="88" t="s">
        <v>92</v>
      </c>
      <c r="L23" s="88">
        <v>2.75</v>
      </c>
      <c r="M23" s="22" t="s">
        <v>58</v>
      </c>
      <c r="N23" s="88" t="s">
        <v>59</v>
      </c>
      <c r="O23" s="89" t="s">
        <v>160</v>
      </c>
      <c r="P23" s="89" t="s">
        <v>160</v>
      </c>
      <c r="Q23" s="88">
        <v>0</v>
      </c>
      <c r="R23" s="89" t="s">
        <v>60</v>
      </c>
      <c r="S23" s="88" t="s">
        <v>3014</v>
      </c>
      <c r="T23" s="89" t="s">
        <v>60</v>
      </c>
      <c r="U23" s="90" t="s">
        <v>60</v>
      </c>
      <c r="V23" s="30" t="s">
        <v>61</v>
      </c>
      <c r="W23" s="30"/>
      <c r="X23" s="31"/>
      <c r="Y23" s="30" t="s">
        <v>159</v>
      </c>
      <c r="Z23" s="30" t="s">
        <v>62</v>
      </c>
    </row>
    <row r="24" spans="1:26" ht="15" customHeight="1" x14ac:dyDescent="0.25">
      <c r="A24" s="22" t="s">
        <v>242</v>
      </c>
      <c r="B24" s="23" t="s">
        <v>243</v>
      </c>
      <c r="C24" s="22" t="s">
        <v>54</v>
      </c>
      <c r="D24" s="23" t="s">
        <v>46</v>
      </c>
      <c r="E24" s="23" t="s">
        <v>117</v>
      </c>
      <c r="F24" s="22" t="s">
        <v>105</v>
      </c>
      <c r="G24" s="22" t="s">
        <v>107</v>
      </c>
      <c r="H24" s="22" t="s">
        <v>3013</v>
      </c>
      <c r="I24" s="22" t="s">
        <v>3013</v>
      </c>
      <c r="J24" s="22" t="s">
        <v>3013</v>
      </c>
      <c r="K24" s="22" t="s">
        <v>3013</v>
      </c>
      <c r="L24" s="88">
        <v>3.88</v>
      </c>
      <c r="M24" s="22" t="s">
        <v>108</v>
      </c>
      <c r="N24" s="88" t="s">
        <v>59</v>
      </c>
      <c r="O24" s="22" t="s">
        <v>57</v>
      </c>
      <c r="P24" s="22" t="s">
        <v>108</v>
      </c>
      <c r="Q24" s="88">
        <v>0</v>
      </c>
      <c r="R24" s="89" t="s">
        <v>60</v>
      </c>
      <c r="S24" s="88" t="s">
        <v>3016</v>
      </c>
      <c r="T24" s="89" t="s">
        <v>60</v>
      </c>
      <c r="U24" s="90" t="s">
        <v>60</v>
      </c>
      <c r="V24" s="22" t="s">
        <v>109</v>
      </c>
      <c r="W24" s="22" t="s">
        <v>59</v>
      </c>
      <c r="X24" s="23" t="s">
        <v>110</v>
      </c>
      <c r="Y24" s="22" t="s">
        <v>106</v>
      </c>
      <c r="Z24" s="22" t="s">
        <v>62</v>
      </c>
    </row>
    <row r="25" spans="1:26" ht="15" customHeight="1" x14ac:dyDescent="0.25">
      <c r="A25" s="26" t="s">
        <v>247</v>
      </c>
      <c r="B25" s="27" t="s">
        <v>248</v>
      </c>
      <c r="C25" s="26" t="s">
        <v>54</v>
      </c>
      <c r="D25" s="27" t="s">
        <v>156</v>
      </c>
      <c r="E25" s="27" t="s">
        <v>73</v>
      </c>
      <c r="F25" s="26" t="s">
        <v>120</v>
      </c>
      <c r="G25" s="26" t="s">
        <v>123</v>
      </c>
      <c r="H25" s="88" t="s">
        <v>92</v>
      </c>
      <c r="I25" s="88" t="s">
        <v>92</v>
      </c>
      <c r="J25" s="88" t="s">
        <v>445</v>
      </c>
      <c r="K25" s="88" t="s">
        <v>445</v>
      </c>
      <c r="L25" s="88">
        <v>2.2000000000000002</v>
      </c>
      <c r="M25" s="34" t="s">
        <v>119</v>
      </c>
      <c r="N25" s="88" t="s">
        <v>125</v>
      </c>
      <c r="O25" s="88" t="s">
        <v>124</v>
      </c>
      <c r="P25" s="88" t="s">
        <v>124</v>
      </c>
      <c r="Q25" s="88">
        <v>35000</v>
      </c>
      <c r="R25" s="89" t="s">
        <v>60</v>
      </c>
      <c r="S25" s="88" t="s">
        <v>3017</v>
      </c>
      <c r="T25" s="89" t="s">
        <v>60</v>
      </c>
      <c r="U25" s="90" t="s">
        <v>60</v>
      </c>
      <c r="V25" s="26" t="s">
        <v>126</v>
      </c>
      <c r="W25" s="26"/>
      <c r="X25" s="27"/>
      <c r="Y25" s="26" t="s">
        <v>122</v>
      </c>
      <c r="Z25" s="26" t="s">
        <v>62</v>
      </c>
    </row>
    <row r="26" spans="1:26" ht="15" customHeight="1" x14ac:dyDescent="0.25">
      <c r="A26" s="18" t="s">
        <v>253</v>
      </c>
      <c r="B26" s="19" t="s">
        <v>254</v>
      </c>
      <c r="C26" s="18" t="s">
        <v>54</v>
      </c>
      <c r="D26" s="19" t="s">
        <v>46</v>
      </c>
      <c r="E26" s="19" t="s">
        <v>48</v>
      </c>
      <c r="F26" s="18" t="s">
        <v>141</v>
      </c>
      <c r="G26" s="18" t="s">
        <v>78</v>
      </c>
      <c r="H26" s="22" t="s">
        <v>3013</v>
      </c>
      <c r="I26" s="22" t="s">
        <v>3013</v>
      </c>
      <c r="J26" s="88" t="s">
        <v>92</v>
      </c>
      <c r="K26" s="88" t="s">
        <v>445</v>
      </c>
      <c r="L26" s="88">
        <v>3.42</v>
      </c>
      <c r="M26" s="22" t="s">
        <v>58</v>
      </c>
      <c r="N26" s="88" t="s">
        <v>59</v>
      </c>
      <c r="O26" s="22" t="s">
        <v>57</v>
      </c>
      <c r="P26" s="22" t="s">
        <v>57</v>
      </c>
      <c r="Q26" s="88">
        <v>0</v>
      </c>
      <c r="R26" s="89" t="s">
        <v>60</v>
      </c>
      <c r="S26" s="88" t="s">
        <v>3015</v>
      </c>
      <c r="T26" s="89" t="s">
        <v>60</v>
      </c>
      <c r="U26" s="90" t="s">
        <v>60</v>
      </c>
      <c r="V26" s="18" t="s">
        <v>61</v>
      </c>
      <c r="W26" s="18"/>
      <c r="X26" s="19"/>
      <c r="Y26" s="18" t="s">
        <v>77</v>
      </c>
      <c r="Z26" s="18" t="s">
        <v>62</v>
      </c>
    </row>
    <row r="27" spans="1:26" ht="15" customHeight="1" x14ac:dyDescent="0.25">
      <c r="A27" s="18" t="s">
        <v>258</v>
      </c>
      <c r="B27" s="19" t="s">
        <v>259</v>
      </c>
      <c r="C27" s="18" t="s">
        <v>54</v>
      </c>
      <c r="D27" s="19" t="s">
        <v>46</v>
      </c>
      <c r="E27" s="19" t="s">
        <v>48</v>
      </c>
      <c r="F27" s="18" t="s">
        <v>120</v>
      </c>
      <c r="G27" s="18" t="s">
        <v>123</v>
      </c>
      <c r="H27" s="88" t="s">
        <v>92</v>
      </c>
      <c r="I27" s="88" t="s">
        <v>92</v>
      </c>
      <c r="J27" s="88" t="s">
        <v>445</v>
      </c>
      <c r="K27" s="88" t="s">
        <v>445</v>
      </c>
      <c r="L27" s="88">
        <v>3.65</v>
      </c>
      <c r="M27" s="22" t="s">
        <v>58</v>
      </c>
      <c r="N27" s="88" t="s">
        <v>59</v>
      </c>
      <c r="O27" s="91" t="s">
        <v>3018</v>
      </c>
      <c r="P27" s="92" t="s">
        <v>3019</v>
      </c>
      <c r="Q27" s="92">
        <v>75000</v>
      </c>
      <c r="R27" s="89" t="s">
        <v>60</v>
      </c>
      <c r="S27" s="88" t="s">
        <v>3017</v>
      </c>
      <c r="T27" s="89" t="s">
        <v>60</v>
      </c>
      <c r="U27" s="90" t="s">
        <v>60</v>
      </c>
      <c r="V27" s="18" t="s">
        <v>61</v>
      </c>
      <c r="W27" s="18"/>
      <c r="X27" s="19"/>
      <c r="Y27" s="18" t="s">
        <v>167</v>
      </c>
      <c r="Z27" s="18" t="s">
        <v>62</v>
      </c>
    </row>
    <row r="28" spans="1:26" ht="15" customHeight="1" x14ac:dyDescent="0.25">
      <c r="A28" s="39" t="s">
        <v>264</v>
      </c>
      <c r="B28" s="40" t="s">
        <v>265</v>
      </c>
      <c r="C28" s="39" t="s">
        <v>272</v>
      </c>
      <c r="D28" s="40" t="s">
        <v>273</v>
      </c>
      <c r="E28" s="40" t="s">
        <v>48</v>
      </c>
      <c r="F28" s="39" t="s">
        <v>75</v>
      </c>
      <c r="G28" s="39" t="s">
        <v>78</v>
      </c>
      <c r="H28" s="22" t="s">
        <v>3013</v>
      </c>
      <c r="I28" s="22" t="s">
        <v>3013</v>
      </c>
      <c r="J28" s="88" t="s">
        <v>92</v>
      </c>
      <c r="K28" s="88" t="s">
        <v>445</v>
      </c>
      <c r="L28" s="88">
        <v>3.72</v>
      </c>
      <c r="M28" s="22" t="s">
        <v>58</v>
      </c>
      <c r="N28" s="88" t="s">
        <v>59</v>
      </c>
      <c r="O28" s="22" t="s">
        <v>57</v>
      </c>
      <c r="P28" s="22" t="s">
        <v>57</v>
      </c>
      <c r="Q28" s="88">
        <v>0</v>
      </c>
      <c r="R28" s="89" t="s">
        <v>60</v>
      </c>
      <c r="S28" s="88" t="s">
        <v>78</v>
      </c>
      <c r="T28" s="89" t="s">
        <v>60</v>
      </c>
      <c r="U28" s="90" t="s">
        <v>60</v>
      </c>
      <c r="V28" s="39" t="s">
        <v>92</v>
      </c>
      <c r="W28" s="39"/>
      <c r="X28" s="40"/>
      <c r="Y28" s="39" t="s">
        <v>274</v>
      </c>
      <c r="Z28" s="39" t="s">
        <v>62</v>
      </c>
    </row>
    <row r="29" spans="1:26" ht="15" customHeight="1" x14ac:dyDescent="0.25">
      <c r="A29" s="39" t="s">
        <v>281</v>
      </c>
      <c r="B29" s="40" t="s">
        <v>282</v>
      </c>
      <c r="C29" s="39" t="s">
        <v>272</v>
      </c>
      <c r="D29" s="40" t="s">
        <v>289</v>
      </c>
      <c r="E29" s="40" t="s">
        <v>73</v>
      </c>
      <c r="F29" s="39" t="s">
        <v>120</v>
      </c>
      <c r="G29" s="39" t="s">
        <v>123</v>
      </c>
      <c r="H29" s="88" t="s">
        <v>92</v>
      </c>
      <c r="I29" s="88" t="s">
        <v>92</v>
      </c>
      <c r="J29" s="88" t="s">
        <v>445</v>
      </c>
      <c r="K29" s="88" t="s">
        <v>445</v>
      </c>
      <c r="L29" s="88">
        <v>3.41</v>
      </c>
      <c r="M29" s="22" t="s">
        <v>58</v>
      </c>
      <c r="N29" s="88" t="s">
        <v>59</v>
      </c>
      <c r="O29" s="22" t="s">
        <v>57</v>
      </c>
      <c r="P29" s="22" t="s">
        <v>57</v>
      </c>
      <c r="Q29" s="88">
        <v>0</v>
      </c>
      <c r="R29" s="89" t="s">
        <v>60</v>
      </c>
      <c r="S29" s="88" t="s">
        <v>123</v>
      </c>
      <c r="T29" s="89" t="s">
        <v>60</v>
      </c>
      <c r="U29" s="90" t="s">
        <v>60</v>
      </c>
      <c r="V29" s="39" t="s">
        <v>61</v>
      </c>
      <c r="W29" s="39"/>
      <c r="X29" s="40"/>
      <c r="Y29" s="39" t="s">
        <v>290</v>
      </c>
      <c r="Z29" s="39" t="s">
        <v>62</v>
      </c>
    </row>
    <row r="30" spans="1:26" ht="15" customHeight="1" x14ac:dyDescent="0.25">
      <c r="A30" s="22" t="s">
        <v>296</v>
      </c>
      <c r="B30" s="23" t="s">
        <v>297</v>
      </c>
      <c r="C30" s="22" t="s">
        <v>272</v>
      </c>
      <c r="D30" s="23" t="s">
        <v>302</v>
      </c>
      <c r="E30" s="23" t="s">
        <v>73</v>
      </c>
      <c r="F30" s="22" t="s">
        <v>75</v>
      </c>
      <c r="G30" s="22" t="s">
        <v>107</v>
      </c>
      <c r="H30" s="22" t="s">
        <v>3013</v>
      </c>
      <c r="I30" s="22" t="s">
        <v>3013</v>
      </c>
      <c r="J30" s="22" t="s">
        <v>3013</v>
      </c>
      <c r="K30" s="22" t="s">
        <v>3013</v>
      </c>
      <c r="L30" s="88">
        <v>3.55</v>
      </c>
      <c r="M30" s="22" t="s">
        <v>108</v>
      </c>
      <c r="N30" s="88" t="s">
        <v>304</v>
      </c>
      <c r="O30" s="22" t="s">
        <v>57</v>
      </c>
      <c r="P30" s="22" t="s">
        <v>108</v>
      </c>
      <c r="Q30" s="88">
        <v>0</v>
      </c>
      <c r="R30" s="89" t="s">
        <v>60</v>
      </c>
      <c r="S30" s="22" t="s">
        <v>107</v>
      </c>
      <c r="T30" s="89" t="s">
        <v>60</v>
      </c>
      <c r="U30" s="90" t="s">
        <v>60</v>
      </c>
      <c r="V30" s="22" t="s">
        <v>109</v>
      </c>
      <c r="W30" s="22" t="s">
        <v>304</v>
      </c>
      <c r="X30" s="23" t="s">
        <v>110</v>
      </c>
      <c r="Y30" s="22" t="s">
        <v>303</v>
      </c>
      <c r="Z30" s="22" t="s">
        <v>62</v>
      </c>
    </row>
    <row r="31" spans="1:26" ht="15" customHeight="1" x14ac:dyDescent="0.25">
      <c r="A31" s="26" t="s">
        <v>309</v>
      </c>
      <c r="B31" s="27" t="s">
        <v>310</v>
      </c>
      <c r="C31" s="26" t="s">
        <v>272</v>
      </c>
      <c r="D31" s="27" t="s">
        <v>273</v>
      </c>
      <c r="E31" s="27" t="s">
        <v>117</v>
      </c>
      <c r="F31" s="26" t="s">
        <v>120</v>
      </c>
      <c r="G31" s="26" t="s">
        <v>123</v>
      </c>
      <c r="H31" s="88" t="s">
        <v>92</v>
      </c>
      <c r="I31" s="88" t="s">
        <v>92</v>
      </c>
      <c r="J31" s="88" t="s">
        <v>445</v>
      </c>
      <c r="K31" s="88" t="s">
        <v>445</v>
      </c>
      <c r="L31" s="88">
        <v>2.81</v>
      </c>
      <c r="M31" s="34" t="s">
        <v>119</v>
      </c>
      <c r="N31" s="88" t="s">
        <v>125</v>
      </c>
      <c r="O31" s="88" t="s">
        <v>124</v>
      </c>
      <c r="P31" s="88" t="s">
        <v>124</v>
      </c>
      <c r="Q31" s="88">
        <v>35000</v>
      </c>
      <c r="R31" s="89" t="s">
        <v>60</v>
      </c>
      <c r="S31" s="88" t="s">
        <v>123</v>
      </c>
      <c r="T31" s="89" t="s">
        <v>60</v>
      </c>
      <c r="U31" s="90" t="s">
        <v>60</v>
      </c>
      <c r="V31" s="26" t="s">
        <v>126</v>
      </c>
      <c r="W31" s="26"/>
      <c r="X31" s="27"/>
      <c r="Y31" s="26" t="s">
        <v>122</v>
      </c>
      <c r="Z31" s="26" t="s">
        <v>62</v>
      </c>
    </row>
    <row r="32" spans="1:26" ht="15" customHeight="1" x14ac:dyDescent="0.25">
      <c r="A32" s="39" t="s">
        <v>319</v>
      </c>
      <c r="B32" s="40" t="s">
        <v>320</v>
      </c>
      <c r="C32" s="39" t="s">
        <v>272</v>
      </c>
      <c r="D32" s="40" t="s">
        <v>302</v>
      </c>
      <c r="E32" s="40" t="s">
        <v>204</v>
      </c>
      <c r="F32" s="39" t="s">
        <v>75</v>
      </c>
      <c r="G32" s="39" t="s">
        <v>78</v>
      </c>
      <c r="H32" s="22" t="s">
        <v>3013</v>
      </c>
      <c r="I32" s="22" t="s">
        <v>3013</v>
      </c>
      <c r="J32" s="88" t="s">
        <v>92</v>
      </c>
      <c r="K32" s="88" t="s">
        <v>445</v>
      </c>
      <c r="L32" s="88">
        <v>3.65</v>
      </c>
      <c r="M32" s="22" t="s">
        <v>58</v>
      </c>
      <c r="N32" s="88" t="s">
        <v>59</v>
      </c>
      <c r="O32" s="22" t="s">
        <v>57</v>
      </c>
      <c r="P32" s="22" t="s">
        <v>57</v>
      </c>
      <c r="Q32" s="88">
        <v>0</v>
      </c>
      <c r="R32" s="89" t="s">
        <v>60</v>
      </c>
      <c r="S32" s="88" t="s">
        <v>78</v>
      </c>
      <c r="T32" s="89" t="s">
        <v>60</v>
      </c>
      <c r="U32" s="90" t="s">
        <v>60</v>
      </c>
      <c r="V32" s="39" t="s">
        <v>92</v>
      </c>
      <c r="W32" s="39"/>
      <c r="X32" s="40"/>
      <c r="Y32" s="39" t="s">
        <v>274</v>
      </c>
      <c r="Z32" s="39" t="s">
        <v>62</v>
      </c>
    </row>
    <row r="33" spans="1:26" ht="15" customHeight="1" x14ac:dyDescent="0.25">
      <c r="A33" s="39" t="s">
        <v>328</v>
      </c>
      <c r="B33" s="40" t="s">
        <v>329</v>
      </c>
      <c r="C33" s="39" t="s">
        <v>272</v>
      </c>
      <c r="D33" s="40" t="s">
        <v>289</v>
      </c>
      <c r="E33" s="40" t="s">
        <v>73</v>
      </c>
      <c r="F33" s="39" t="s">
        <v>120</v>
      </c>
      <c r="G33" s="39" t="s">
        <v>123</v>
      </c>
      <c r="H33" s="88" t="s">
        <v>92</v>
      </c>
      <c r="I33" s="88" t="s">
        <v>92</v>
      </c>
      <c r="J33" s="88" t="s">
        <v>445</v>
      </c>
      <c r="K33" s="88" t="s">
        <v>445</v>
      </c>
      <c r="L33" s="88">
        <v>3.22</v>
      </c>
      <c r="M33" s="22" t="s">
        <v>58</v>
      </c>
      <c r="N33" s="88" t="s">
        <v>59</v>
      </c>
      <c r="O33" s="22" t="s">
        <v>57</v>
      </c>
      <c r="P33" s="22" t="s">
        <v>57</v>
      </c>
      <c r="Q33" s="88">
        <v>0</v>
      </c>
      <c r="R33" s="89" t="s">
        <v>60</v>
      </c>
      <c r="S33" s="88" t="s">
        <v>123</v>
      </c>
      <c r="T33" s="89" t="s">
        <v>60</v>
      </c>
      <c r="U33" s="90" t="s">
        <v>60</v>
      </c>
      <c r="V33" s="39" t="s">
        <v>61</v>
      </c>
      <c r="W33" s="39"/>
      <c r="X33" s="40"/>
      <c r="Y33" s="39" t="s">
        <v>290</v>
      </c>
      <c r="Z33" s="39" t="s">
        <v>62</v>
      </c>
    </row>
    <row r="34" spans="1:26" ht="15" customHeight="1" x14ac:dyDescent="0.25">
      <c r="A34" s="42" t="s">
        <v>337</v>
      </c>
      <c r="B34" s="43" t="s">
        <v>338</v>
      </c>
      <c r="C34" s="42" t="s">
        <v>272</v>
      </c>
      <c r="D34" s="43" t="s">
        <v>342</v>
      </c>
      <c r="E34" s="43" t="s">
        <v>117</v>
      </c>
      <c r="F34" s="42" t="s">
        <v>343</v>
      </c>
      <c r="G34" s="42" t="s">
        <v>345</v>
      </c>
      <c r="H34" s="22" t="s">
        <v>3013</v>
      </c>
      <c r="I34" s="22" t="s">
        <v>3013</v>
      </c>
      <c r="J34" s="22" t="s">
        <v>3013</v>
      </c>
      <c r="K34" s="22" t="s">
        <v>3013</v>
      </c>
      <c r="L34" s="88">
        <v>3.82</v>
      </c>
      <c r="M34" s="22" t="s">
        <v>58</v>
      </c>
      <c r="N34" s="88" t="s">
        <v>59</v>
      </c>
      <c r="O34" s="22" t="s">
        <v>57</v>
      </c>
      <c r="P34" s="22" t="s">
        <v>57</v>
      </c>
      <c r="Q34" s="88">
        <v>0</v>
      </c>
      <c r="R34" s="88" t="s">
        <v>347</v>
      </c>
      <c r="S34" s="88" t="s">
        <v>347</v>
      </c>
      <c r="T34" s="88" t="s">
        <v>92</v>
      </c>
      <c r="U34" s="93" t="s">
        <v>61</v>
      </c>
      <c r="V34" s="42" t="s">
        <v>61</v>
      </c>
      <c r="W34" s="42"/>
      <c r="X34" s="43"/>
      <c r="Y34" s="42" t="s">
        <v>344</v>
      </c>
      <c r="Z34" s="42" t="s">
        <v>62</v>
      </c>
    </row>
    <row r="35" spans="1:26" ht="15" customHeight="1" x14ac:dyDescent="0.25">
      <c r="A35" s="42" t="s">
        <v>354</v>
      </c>
      <c r="B35" s="43" t="s">
        <v>355</v>
      </c>
      <c r="C35" s="42" t="s">
        <v>272</v>
      </c>
      <c r="D35" s="43" t="s">
        <v>342</v>
      </c>
      <c r="E35" s="43" t="s">
        <v>48</v>
      </c>
      <c r="F35" s="42" t="s">
        <v>75</v>
      </c>
      <c r="G35" s="42" t="s">
        <v>361</v>
      </c>
      <c r="H35" s="22" t="s">
        <v>3013</v>
      </c>
      <c r="I35" s="22" t="s">
        <v>3013</v>
      </c>
      <c r="J35" s="22" t="s">
        <v>3013</v>
      </c>
      <c r="K35" s="88" t="s">
        <v>92</v>
      </c>
      <c r="L35" s="88">
        <v>3.61</v>
      </c>
      <c r="M35" s="22" t="s">
        <v>58</v>
      </c>
      <c r="N35" s="88" t="s">
        <v>59</v>
      </c>
      <c r="O35" s="22" t="s">
        <v>57</v>
      </c>
      <c r="P35" s="22" t="s">
        <v>57</v>
      </c>
      <c r="Q35" s="88">
        <v>0</v>
      </c>
      <c r="R35" s="88" t="s">
        <v>363</v>
      </c>
      <c r="S35" s="88" t="s">
        <v>363</v>
      </c>
      <c r="T35" s="88" t="s">
        <v>61</v>
      </c>
      <c r="U35" s="93" t="s">
        <v>61</v>
      </c>
      <c r="V35" s="42" t="s">
        <v>61</v>
      </c>
      <c r="W35" s="42"/>
      <c r="X35" s="43"/>
      <c r="Y35" s="42" t="s">
        <v>360</v>
      </c>
      <c r="Z35" s="42" t="s">
        <v>62</v>
      </c>
    </row>
    <row r="36" spans="1:26" ht="15" customHeight="1" x14ac:dyDescent="0.25">
      <c r="A36" s="42" t="s">
        <v>370</v>
      </c>
      <c r="B36" s="43" t="s">
        <v>371</v>
      </c>
      <c r="C36" s="42" t="s">
        <v>272</v>
      </c>
      <c r="D36" s="43" t="s">
        <v>375</v>
      </c>
      <c r="E36" s="43" t="s">
        <v>134</v>
      </c>
      <c r="F36" s="42" t="s">
        <v>343</v>
      </c>
      <c r="G36" s="42" t="s">
        <v>345</v>
      </c>
      <c r="H36" s="22" t="s">
        <v>3013</v>
      </c>
      <c r="I36" s="22" t="s">
        <v>3013</v>
      </c>
      <c r="J36" s="22" t="s">
        <v>3013</v>
      </c>
      <c r="K36" s="22" t="s">
        <v>3013</v>
      </c>
      <c r="L36" s="88">
        <v>3.48</v>
      </c>
      <c r="M36" s="22" t="s">
        <v>58</v>
      </c>
      <c r="N36" s="88" t="s">
        <v>59</v>
      </c>
      <c r="O36" s="22" t="s">
        <v>57</v>
      </c>
      <c r="P36" s="22" t="s">
        <v>57</v>
      </c>
      <c r="Q36" s="88">
        <v>0</v>
      </c>
      <c r="R36" s="88" t="s">
        <v>347</v>
      </c>
      <c r="S36" s="88" t="s">
        <v>347</v>
      </c>
      <c r="T36" s="88" t="s">
        <v>92</v>
      </c>
      <c r="U36" s="93" t="s">
        <v>61</v>
      </c>
      <c r="V36" s="42" t="s">
        <v>61</v>
      </c>
      <c r="W36" s="42"/>
      <c r="X36" s="43"/>
      <c r="Y36" s="42" t="s">
        <v>344</v>
      </c>
      <c r="Z36" s="42" t="s">
        <v>62</v>
      </c>
    </row>
    <row r="37" spans="1:26" ht="15" customHeight="1" x14ac:dyDescent="0.25">
      <c r="A37" s="30" t="s">
        <v>383</v>
      </c>
      <c r="B37" s="31" t="s">
        <v>384</v>
      </c>
      <c r="C37" s="30" t="s">
        <v>272</v>
      </c>
      <c r="D37" s="31" t="s">
        <v>342</v>
      </c>
      <c r="E37" s="31" t="s">
        <v>85</v>
      </c>
      <c r="F37" s="30" t="s">
        <v>75</v>
      </c>
      <c r="G37" s="30" t="s">
        <v>361</v>
      </c>
      <c r="H37" s="22" t="s">
        <v>3013</v>
      </c>
      <c r="I37" s="22" t="s">
        <v>3013</v>
      </c>
      <c r="J37" s="22" t="s">
        <v>3013</v>
      </c>
      <c r="K37" s="88" t="s">
        <v>92</v>
      </c>
      <c r="L37" s="88">
        <v>3.31</v>
      </c>
      <c r="M37" s="22" t="s">
        <v>58</v>
      </c>
      <c r="N37" s="88" t="s">
        <v>59</v>
      </c>
      <c r="O37" s="89" t="s">
        <v>160</v>
      </c>
      <c r="P37" s="89" t="s">
        <v>160</v>
      </c>
      <c r="Q37" s="88">
        <v>0</v>
      </c>
      <c r="R37" s="22" t="s">
        <v>391</v>
      </c>
      <c r="S37" s="22" t="s">
        <v>391</v>
      </c>
      <c r="T37" s="88" t="s">
        <v>61</v>
      </c>
      <c r="U37" s="93" t="s">
        <v>61</v>
      </c>
      <c r="V37" s="30" t="s">
        <v>61</v>
      </c>
      <c r="W37" s="30"/>
      <c r="X37" s="31"/>
      <c r="Y37" s="30" t="s">
        <v>389</v>
      </c>
      <c r="Z37" s="30" t="s">
        <v>62</v>
      </c>
    </row>
    <row r="38" spans="1:26" ht="15" customHeight="1" x14ac:dyDescent="0.25">
      <c r="A38" s="22" t="s">
        <v>398</v>
      </c>
      <c r="B38" s="23" t="s">
        <v>399</v>
      </c>
      <c r="C38" s="22" t="s">
        <v>272</v>
      </c>
      <c r="D38" s="23" t="s">
        <v>342</v>
      </c>
      <c r="E38" s="23" t="s">
        <v>102</v>
      </c>
      <c r="F38" s="22" t="s">
        <v>88</v>
      </c>
      <c r="G38" s="22" t="s">
        <v>107</v>
      </c>
      <c r="H38" s="22" t="s">
        <v>3013</v>
      </c>
      <c r="I38" s="22" t="s">
        <v>3013</v>
      </c>
      <c r="J38" s="22" t="s">
        <v>3013</v>
      </c>
      <c r="K38" s="22" t="s">
        <v>3013</v>
      </c>
      <c r="L38" s="88">
        <v>3.91</v>
      </c>
      <c r="M38" s="22" t="s">
        <v>108</v>
      </c>
      <c r="N38" s="88" t="s">
        <v>304</v>
      </c>
      <c r="O38" s="22" t="s">
        <v>57</v>
      </c>
      <c r="P38" s="22" t="s">
        <v>108</v>
      </c>
      <c r="Q38" s="88">
        <v>0</v>
      </c>
      <c r="R38" s="22" t="s">
        <v>406</v>
      </c>
      <c r="S38" s="22" t="s">
        <v>406</v>
      </c>
      <c r="T38" s="88" t="s">
        <v>3020</v>
      </c>
      <c r="U38" s="23" t="s">
        <v>3021</v>
      </c>
      <c r="V38" s="22" t="s">
        <v>109</v>
      </c>
      <c r="W38" s="22" t="s">
        <v>304</v>
      </c>
      <c r="X38" s="23" t="s">
        <v>110</v>
      </c>
      <c r="Y38" s="22" t="s">
        <v>404</v>
      </c>
      <c r="Z38" s="22" t="s">
        <v>62</v>
      </c>
    </row>
    <row r="39" spans="1:26" ht="15" customHeight="1" x14ac:dyDescent="0.25">
      <c r="A39" s="42" t="s">
        <v>412</v>
      </c>
      <c r="B39" s="43" t="s">
        <v>413</v>
      </c>
      <c r="C39" s="42" t="s">
        <v>272</v>
      </c>
      <c r="D39" s="43" t="s">
        <v>342</v>
      </c>
      <c r="E39" s="43" t="s">
        <v>48</v>
      </c>
      <c r="F39" s="42" t="s">
        <v>120</v>
      </c>
      <c r="G39" s="42" t="s">
        <v>418</v>
      </c>
      <c r="H39" s="22" t="s">
        <v>3013</v>
      </c>
      <c r="I39" s="88" t="s">
        <v>92</v>
      </c>
      <c r="J39" s="88" t="s">
        <v>445</v>
      </c>
      <c r="K39" s="88" t="s">
        <v>445</v>
      </c>
      <c r="L39" s="88">
        <v>3.52</v>
      </c>
      <c r="M39" s="22" t="s">
        <v>58</v>
      </c>
      <c r="N39" s="88" t="s">
        <v>59</v>
      </c>
      <c r="O39" s="22" t="s">
        <v>57</v>
      </c>
      <c r="P39" s="22" t="s">
        <v>57</v>
      </c>
      <c r="Q39" s="88">
        <v>0</v>
      </c>
      <c r="R39" s="88" t="s">
        <v>420</v>
      </c>
      <c r="S39" s="88" t="s">
        <v>420</v>
      </c>
      <c r="T39" s="88" t="s">
        <v>3020</v>
      </c>
      <c r="U39" s="93" t="s">
        <v>61</v>
      </c>
      <c r="V39" s="42" t="s">
        <v>61</v>
      </c>
      <c r="W39" s="42"/>
      <c r="X39" s="43"/>
      <c r="Y39" s="42" t="s">
        <v>417</v>
      </c>
      <c r="Z39" s="42" t="s">
        <v>62</v>
      </c>
    </row>
    <row r="40" spans="1:26" ht="15" customHeight="1" x14ac:dyDescent="0.25">
      <c r="A40" t="s">
        <v>425</v>
      </c>
      <c r="B40" t="s">
        <v>426</v>
      </c>
      <c r="C40" t="s">
        <v>272</v>
      </c>
      <c r="D40" t="s">
        <v>430</v>
      </c>
      <c r="E40" t="s">
        <v>48</v>
      </c>
      <c r="F40" s="41">
        <v>45175</v>
      </c>
      <c r="G40" t="s">
        <v>345</v>
      </c>
      <c r="H40" t="s">
        <v>3022</v>
      </c>
      <c r="I40" t="s">
        <v>3022</v>
      </c>
      <c r="J40" t="s">
        <v>3022</v>
      </c>
      <c r="K40" t="s">
        <v>92</v>
      </c>
      <c r="L40">
        <v>3.88</v>
      </c>
      <c r="M40" t="s">
        <v>58</v>
      </c>
      <c r="N40" s="41">
        <v>45306</v>
      </c>
      <c r="O40" t="s">
        <v>57</v>
      </c>
      <c r="P40" t="s">
        <v>57</v>
      </c>
      <c r="Q40">
        <v>0</v>
      </c>
      <c r="R40" t="s">
        <v>3023</v>
      </c>
      <c r="S40" t="s">
        <v>3024</v>
      </c>
      <c r="T40" t="s">
        <v>61</v>
      </c>
      <c r="U40" t="s">
        <v>61</v>
      </c>
      <c r="V40" t="s">
        <v>61</v>
      </c>
      <c r="Y40" t="s">
        <v>431</v>
      </c>
      <c r="Z40" t="s">
        <v>62</v>
      </c>
    </row>
    <row r="41" spans="1:26" ht="15" customHeight="1" x14ac:dyDescent="0.25">
      <c r="A41" t="s">
        <v>438</v>
      </c>
      <c r="B41" t="s">
        <v>439</v>
      </c>
      <c r="C41" t="s">
        <v>272</v>
      </c>
      <c r="D41" t="s">
        <v>430</v>
      </c>
      <c r="E41" t="s">
        <v>102</v>
      </c>
      <c r="F41" s="41">
        <v>45176</v>
      </c>
      <c r="G41" t="s">
        <v>443</v>
      </c>
      <c r="H41" t="s">
        <v>3022</v>
      </c>
      <c r="I41" t="s">
        <v>3022</v>
      </c>
      <c r="J41" t="s">
        <v>3022</v>
      </c>
      <c r="K41" t="s">
        <v>3022</v>
      </c>
      <c r="L41">
        <v>3.71</v>
      </c>
      <c r="M41" t="s">
        <v>58</v>
      </c>
      <c r="N41" s="41">
        <v>45306</v>
      </c>
      <c r="O41" t="s">
        <v>57</v>
      </c>
      <c r="P41" t="s">
        <v>57</v>
      </c>
      <c r="Q41">
        <v>0</v>
      </c>
      <c r="R41" t="s">
        <v>3023</v>
      </c>
      <c r="S41" t="s">
        <v>3025</v>
      </c>
      <c r="T41" t="s">
        <v>3026</v>
      </c>
      <c r="U41" t="s">
        <v>61</v>
      </c>
      <c r="V41" t="s">
        <v>61</v>
      </c>
      <c r="Y41" t="s">
        <v>442</v>
      </c>
      <c r="Z41" t="s">
        <v>62</v>
      </c>
    </row>
    <row r="42" spans="1:26" ht="15" customHeight="1" x14ac:dyDescent="0.25">
      <c r="A42" t="s">
        <v>451</v>
      </c>
      <c r="B42" t="s">
        <v>452</v>
      </c>
      <c r="C42" t="s">
        <v>272</v>
      </c>
      <c r="D42" t="s">
        <v>430</v>
      </c>
      <c r="E42" t="s">
        <v>73</v>
      </c>
      <c r="F42" s="41">
        <v>45173</v>
      </c>
      <c r="G42" t="s">
        <v>418</v>
      </c>
      <c r="H42" t="s">
        <v>3022</v>
      </c>
      <c r="I42" t="s">
        <v>92</v>
      </c>
      <c r="J42" t="s">
        <v>445</v>
      </c>
      <c r="K42" t="s">
        <v>445</v>
      </c>
      <c r="L42">
        <v>3.65</v>
      </c>
      <c r="M42" t="s">
        <v>58</v>
      </c>
      <c r="N42" s="41">
        <v>45306</v>
      </c>
      <c r="O42" t="s">
        <v>57</v>
      </c>
      <c r="P42" t="s">
        <v>57</v>
      </c>
      <c r="Q42">
        <v>0</v>
      </c>
      <c r="R42" t="s">
        <v>3027</v>
      </c>
      <c r="S42" t="s">
        <v>3028</v>
      </c>
      <c r="T42" t="s">
        <v>61</v>
      </c>
      <c r="U42" t="s">
        <v>61</v>
      </c>
      <c r="V42" t="s">
        <v>61</v>
      </c>
      <c r="Y42" t="s">
        <v>456</v>
      </c>
      <c r="Z42" t="s">
        <v>62</v>
      </c>
    </row>
    <row r="43" spans="1:26" ht="15" customHeight="1" x14ac:dyDescent="0.25">
      <c r="A43" t="s">
        <v>464</v>
      </c>
      <c r="B43" t="s">
        <v>465</v>
      </c>
      <c r="C43" t="s">
        <v>272</v>
      </c>
      <c r="D43" t="s">
        <v>430</v>
      </c>
      <c r="E43" t="s">
        <v>117</v>
      </c>
      <c r="F43" s="41">
        <v>45540</v>
      </c>
      <c r="G43" t="s">
        <v>361</v>
      </c>
      <c r="H43" t="s">
        <v>3022</v>
      </c>
      <c r="I43" t="s">
        <v>3022</v>
      </c>
      <c r="J43" t="s">
        <v>92</v>
      </c>
      <c r="K43" t="s">
        <v>445</v>
      </c>
      <c r="L43">
        <v>3.42</v>
      </c>
      <c r="M43" t="s">
        <v>58</v>
      </c>
      <c r="N43" s="41">
        <v>45306</v>
      </c>
      <c r="O43" t="s">
        <v>57</v>
      </c>
      <c r="P43" t="s">
        <v>57</v>
      </c>
      <c r="Q43">
        <v>0</v>
      </c>
      <c r="R43" t="s">
        <v>3029</v>
      </c>
      <c r="S43" t="s">
        <v>3030</v>
      </c>
      <c r="T43" t="s">
        <v>61</v>
      </c>
      <c r="U43" t="s">
        <v>61</v>
      </c>
      <c r="V43" t="s">
        <v>61</v>
      </c>
      <c r="Y43" t="s">
        <v>468</v>
      </c>
      <c r="Z43" t="s">
        <v>62</v>
      </c>
    </row>
    <row r="44" spans="1:26" ht="21.75" customHeight="1" x14ac:dyDescent="0.25">
      <c r="A44" s="18" t="s">
        <v>476</v>
      </c>
      <c r="B44" s="19" t="s">
        <v>477</v>
      </c>
      <c r="C44" s="18" t="s">
        <v>54</v>
      </c>
      <c r="D44" s="19" t="s">
        <v>46</v>
      </c>
      <c r="E44" s="19" t="s">
        <v>481</v>
      </c>
      <c r="F44" s="18" t="s">
        <v>483</v>
      </c>
      <c r="G44" s="18" t="s">
        <v>56</v>
      </c>
      <c r="H44" s="22" t="s">
        <v>3013</v>
      </c>
      <c r="I44" s="22" t="s">
        <v>3013</v>
      </c>
      <c r="J44" s="22" t="s">
        <v>3013</v>
      </c>
      <c r="K44" s="88" t="s">
        <v>92</v>
      </c>
      <c r="L44" s="88">
        <v>3.71</v>
      </c>
      <c r="M44" s="22" t="s">
        <v>58</v>
      </c>
      <c r="N44" s="88" t="s">
        <v>59</v>
      </c>
      <c r="O44" s="22" t="s">
        <v>57</v>
      </c>
      <c r="P44" s="22" t="s">
        <v>57</v>
      </c>
      <c r="Q44" s="88">
        <v>0</v>
      </c>
      <c r="R44" s="89" t="s">
        <v>60</v>
      </c>
      <c r="S44" s="88" t="s">
        <v>3014</v>
      </c>
      <c r="T44" s="89" t="s">
        <v>60</v>
      </c>
      <c r="U44" s="90" t="s">
        <v>60</v>
      </c>
      <c r="V44" s="18" t="s">
        <v>61</v>
      </c>
      <c r="W44" s="18"/>
      <c r="X44" s="19"/>
      <c r="Y44" s="18" t="s">
        <v>55</v>
      </c>
      <c r="Z44" s="18" t="s">
        <v>484</v>
      </c>
    </row>
    <row r="45" spans="1:26" ht="21.75" customHeight="1" x14ac:dyDescent="0.25">
      <c r="A45" s="18" t="s">
        <v>485</v>
      </c>
      <c r="B45" s="19" t="s">
        <v>486</v>
      </c>
      <c r="C45" s="18" t="s">
        <v>54</v>
      </c>
      <c r="D45" s="19" t="s">
        <v>46</v>
      </c>
      <c r="E45" s="19" t="s">
        <v>491</v>
      </c>
      <c r="F45" s="18" t="s">
        <v>493</v>
      </c>
      <c r="G45" s="18" t="s">
        <v>78</v>
      </c>
      <c r="H45" s="22" t="s">
        <v>3013</v>
      </c>
      <c r="I45" s="22" t="s">
        <v>3013</v>
      </c>
      <c r="J45" s="22" t="s">
        <v>3013</v>
      </c>
      <c r="K45" s="88" t="s">
        <v>445</v>
      </c>
      <c r="L45" s="88">
        <v>3.18</v>
      </c>
      <c r="M45" s="22" t="s">
        <v>58</v>
      </c>
      <c r="N45" s="88" t="s">
        <v>59</v>
      </c>
      <c r="O45" s="22" t="s">
        <v>57</v>
      </c>
      <c r="P45" s="22" t="s">
        <v>57</v>
      </c>
      <c r="Q45" s="88">
        <v>0</v>
      </c>
      <c r="R45" s="89" t="s">
        <v>60</v>
      </c>
      <c r="S45" s="88" t="s">
        <v>3015</v>
      </c>
      <c r="T45" s="89" t="s">
        <v>60</v>
      </c>
      <c r="U45" s="90" t="s">
        <v>60</v>
      </c>
      <c r="V45" s="18" t="s">
        <v>61</v>
      </c>
      <c r="W45" s="18"/>
      <c r="X45" s="19"/>
      <c r="Y45" s="18" t="s">
        <v>77</v>
      </c>
      <c r="Z45" s="18" t="s">
        <v>484</v>
      </c>
    </row>
    <row r="46" spans="1:26" ht="21.75" customHeight="1" x14ac:dyDescent="0.25">
      <c r="A46" s="18" t="s">
        <v>494</v>
      </c>
      <c r="B46" s="19" t="s">
        <v>495</v>
      </c>
      <c r="C46" s="18" t="s">
        <v>54</v>
      </c>
      <c r="D46" s="19" t="s">
        <v>46</v>
      </c>
      <c r="E46" s="19" t="s">
        <v>499</v>
      </c>
      <c r="F46" s="18" t="s">
        <v>501</v>
      </c>
      <c r="G46" s="18" t="s">
        <v>91</v>
      </c>
      <c r="H46" s="22" t="s">
        <v>3013</v>
      </c>
      <c r="I46" s="22" t="s">
        <v>3013</v>
      </c>
      <c r="J46" s="22" t="s">
        <v>3013</v>
      </c>
      <c r="K46" s="22" t="s">
        <v>3013</v>
      </c>
      <c r="L46" s="88">
        <v>3.49</v>
      </c>
      <c r="M46" s="22" t="s">
        <v>58</v>
      </c>
      <c r="N46" s="88" t="s">
        <v>59</v>
      </c>
      <c r="O46" s="22" t="s">
        <v>57</v>
      </c>
      <c r="P46" s="22" t="s">
        <v>57</v>
      </c>
      <c r="Q46" s="88">
        <v>0</v>
      </c>
      <c r="R46" s="89" t="s">
        <v>60</v>
      </c>
      <c r="S46" s="88" t="s">
        <v>3016</v>
      </c>
      <c r="T46" s="89" t="s">
        <v>60</v>
      </c>
      <c r="U46" s="90" t="s">
        <v>60</v>
      </c>
      <c r="V46" s="88" t="s">
        <v>92</v>
      </c>
      <c r="W46" s="18"/>
      <c r="X46" s="19"/>
      <c r="Y46" s="18" t="s">
        <v>90</v>
      </c>
      <c r="Z46" s="18" t="s">
        <v>484</v>
      </c>
    </row>
    <row r="47" spans="1:26" ht="21.75" customHeight="1" x14ac:dyDescent="0.25">
      <c r="A47" s="18" t="s">
        <v>504</v>
      </c>
      <c r="B47" s="19" t="s">
        <v>505</v>
      </c>
      <c r="C47" s="18" t="s">
        <v>54</v>
      </c>
      <c r="D47" s="19" t="s">
        <v>46</v>
      </c>
      <c r="E47" s="19" t="s">
        <v>509</v>
      </c>
      <c r="F47" s="18" t="s">
        <v>511</v>
      </c>
      <c r="G47" s="18" t="s">
        <v>107</v>
      </c>
      <c r="H47" s="22" t="s">
        <v>3013</v>
      </c>
      <c r="I47" s="22" t="s">
        <v>3013</v>
      </c>
      <c r="J47" s="22" t="s">
        <v>3013</v>
      </c>
      <c r="K47" s="22" t="s">
        <v>3013</v>
      </c>
      <c r="L47" s="88">
        <v>3.92</v>
      </c>
      <c r="M47" s="22" t="s">
        <v>108</v>
      </c>
      <c r="N47" s="88" t="s">
        <v>59</v>
      </c>
      <c r="O47" s="22" t="s">
        <v>57</v>
      </c>
      <c r="P47" s="22" t="s">
        <v>108</v>
      </c>
      <c r="Q47" s="88">
        <v>0</v>
      </c>
      <c r="R47" s="89" t="s">
        <v>60</v>
      </c>
      <c r="S47" s="88" t="s">
        <v>3016</v>
      </c>
      <c r="T47" s="89" t="s">
        <v>60</v>
      </c>
      <c r="U47" s="90" t="s">
        <v>60</v>
      </c>
      <c r="V47" s="22" t="s">
        <v>109</v>
      </c>
      <c r="W47" s="18" t="s">
        <v>59</v>
      </c>
      <c r="X47" s="19" t="s">
        <v>110</v>
      </c>
      <c r="Y47" s="18" t="s">
        <v>106</v>
      </c>
      <c r="Z47" s="18" t="s">
        <v>484</v>
      </c>
    </row>
    <row r="48" spans="1:26" ht="21.75" customHeight="1" x14ac:dyDescent="0.25">
      <c r="A48" s="18" t="s">
        <v>512</v>
      </c>
      <c r="B48" s="19" t="s">
        <v>513</v>
      </c>
      <c r="C48" s="18" t="s">
        <v>54</v>
      </c>
      <c r="D48" s="19" t="s">
        <v>46</v>
      </c>
      <c r="E48" s="19" t="s">
        <v>499</v>
      </c>
      <c r="F48" s="18" t="s">
        <v>519</v>
      </c>
      <c r="G48" s="18" t="s">
        <v>123</v>
      </c>
      <c r="H48" s="88" t="s">
        <v>92</v>
      </c>
      <c r="I48" s="88" t="s">
        <v>92</v>
      </c>
      <c r="J48" s="88" t="s">
        <v>445</v>
      </c>
      <c r="K48" s="88" t="s">
        <v>445</v>
      </c>
      <c r="L48" s="88">
        <v>2.38</v>
      </c>
      <c r="M48" s="22" t="s">
        <v>119</v>
      </c>
      <c r="N48" s="88" t="s">
        <v>125</v>
      </c>
      <c r="O48" s="22" t="s">
        <v>124</v>
      </c>
      <c r="P48" s="22" t="s">
        <v>124</v>
      </c>
      <c r="Q48" s="88">
        <v>35000</v>
      </c>
      <c r="R48" s="89" t="s">
        <v>60</v>
      </c>
      <c r="S48" s="88" t="s">
        <v>3017</v>
      </c>
      <c r="T48" s="89" t="s">
        <v>60</v>
      </c>
      <c r="U48" s="90" t="s">
        <v>60</v>
      </c>
      <c r="V48" s="26" t="s">
        <v>126</v>
      </c>
      <c r="W48" s="18"/>
      <c r="X48" s="19"/>
      <c r="Y48" s="18" t="s">
        <v>122</v>
      </c>
      <c r="Z48" s="18" t="s">
        <v>484</v>
      </c>
    </row>
    <row r="49" spans="1:26" ht="21.75" customHeight="1" x14ac:dyDescent="0.25">
      <c r="A49" s="18" t="s">
        <v>520</v>
      </c>
      <c r="B49" s="19" t="s">
        <v>521</v>
      </c>
      <c r="C49" s="18" t="s">
        <v>54</v>
      </c>
      <c r="D49" s="19" t="s">
        <v>46</v>
      </c>
      <c r="E49" s="19" t="s">
        <v>481</v>
      </c>
      <c r="F49" s="18" t="s">
        <v>483</v>
      </c>
      <c r="G49" s="18" t="s">
        <v>56</v>
      </c>
      <c r="H49" s="22" t="s">
        <v>3013</v>
      </c>
      <c r="I49" s="22" t="s">
        <v>3013</v>
      </c>
      <c r="J49" s="22" t="s">
        <v>3013</v>
      </c>
      <c r="K49" s="88" t="s">
        <v>92</v>
      </c>
      <c r="L49" s="88">
        <v>3.27</v>
      </c>
      <c r="M49" s="22" t="s">
        <v>58</v>
      </c>
      <c r="N49" s="88" t="s">
        <v>59</v>
      </c>
      <c r="O49" s="22" t="s">
        <v>57</v>
      </c>
      <c r="P49" s="22" t="s">
        <v>57</v>
      </c>
      <c r="Q49" s="88">
        <v>0</v>
      </c>
      <c r="R49" s="89" t="s">
        <v>60</v>
      </c>
      <c r="S49" s="88" t="s">
        <v>3014</v>
      </c>
      <c r="T49" s="89" t="s">
        <v>60</v>
      </c>
      <c r="U49" s="90" t="s">
        <v>60</v>
      </c>
      <c r="V49" s="18" t="s">
        <v>61</v>
      </c>
      <c r="W49" s="18"/>
      <c r="X49" s="19"/>
      <c r="Y49" s="18" t="s">
        <v>55</v>
      </c>
      <c r="Z49" s="18" t="s">
        <v>484</v>
      </c>
    </row>
    <row r="50" spans="1:26" ht="21.75" customHeight="1" x14ac:dyDescent="0.25">
      <c r="A50" s="18" t="s">
        <v>526</v>
      </c>
      <c r="B50" s="19" t="s">
        <v>527</v>
      </c>
      <c r="C50" s="18" t="s">
        <v>54</v>
      </c>
      <c r="D50" s="19" t="s">
        <v>46</v>
      </c>
      <c r="E50" s="19" t="s">
        <v>532</v>
      </c>
      <c r="F50" s="18" t="s">
        <v>493</v>
      </c>
      <c r="G50" s="18" t="s">
        <v>78</v>
      </c>
      <c r="H50" s="22" t="s">
        <v>3013</v>
      </c>
      <c r="I50" s="22" t="s">
        <v>3013</v>
      </c>
      <c r="J50" s="22" t="s">
        <v>3013</v>
      </c>
      <c r="K50" s="88" t="s">
        <v>445</v>
      </c>
      <c r="L50" s="88">
        <v>3.61</v>
      </c>
      <c r="M50" s="22" t="s">
        <v>58</v>
      </c>
      <c r="N50" s="88" t="s">
        <v>59</v>
      </c>
      <c r="O50" s="22" t="s">
        <v>57</v>
      </c>
      <c r="P50" s="22" t="s">
        <v>57</v>
      </c>
      <c r="Q50" s="88">
        <v>0</v>
      </c>
      <c r="R50" s="89" t="s">
        <v>60</v>
      </c>
      <c r="S50" s="88" t="s">
        <v>3015</v>
      </c>
      <c r="T50" s="89" t="s">
        <v>60</v>
      </c>
      <c r="U50" s="90" t="s">
        <v>60</v>
      </c>
      <c r="V50" s="18" t="s">
        <v>61</v>
      </c>
      <c r="W50" s="18"/>
      <c r="X50" s="19"/>
      <c r="Y50" s="18" t="s">
        <v>77</v>
      </c>
      <c r="Z50" s="18" t="s">
        <v>484</v>
      </c>
    </row>
    <row r="51" spans="1:26" ht="21.75" customHeight="1" x14ac:dyDescent="0.25">
      <c r="A51" s="18" t="s">
        <v>534</v>
      </c>
      <c r="B51" s="19" t="s">
        <v>535</v>
      </c>
      <c r="C51" s="18" t="s">
        <v>54</v>
      </c>
      <c r="D51" s="19" t="s">
        <v>46</v>
      </c>
      <c r="E51" s="19" t="s">
        <v>491</v>
      </c>
      <c r="F51" s="18" t="s">
        <v>501</v>
      </c>
      <c r="G51" s="18" t="s">
        <v>91</v>
      </c>
      <c r="H51" s="22" t="s">
        <v>3013</v>
      </c>
      <c r="I51" s="22" t="s">
        <v>3013</v>
      </c>
      <c r="J51" s="22" t="s">
        <v>3013</v>
      </c>
      <c r="K51" s="22" t="s">
        <v>3013</v>
      </c>
      <c r="L51" s="88">
        <v>3.15</v>
      </c>
      <c r="M51" s="22" t="s">
        <v>58</v>
      </c>
      <c r="N51" s="88" t="s">
        <v>59</v>
      </c>
      <c r="O51" s="22" t="s">
        <v>57</v>
      </c>
      <c r="P51" s="22" t="s">
        <v>57</v>
      </c>
      <c r="Q51" s="88">
        <v>0</v>
      </c>
      <c r="R51" s="89" t="s">
        <v>60</v>
      </c>
      <c r="S51" s="88" t="s">
        <v>3016</v>
      </c>
      <c r="T51" s="89" t="s">
        <v>60</v>
      </c>
      <c r="U51" s="90" t="s">
        <v>60</v>
      </c>
      <c r="V51" s="88" t="s">
        <v>92</v>
      </c>
      <c r="W51" s="18"/>
      <c r="X51" s="19"/>
      <c r="Y51" s="18" t="s">
        <v>90</v>
      </c>
      <c r="Z51" s="18" t="s">
        <v>484</v>
      </c>
    </row>
    <row r="52" spans="1:26" ht="21.75" customHeight="1" x14ac:dyDescent="0.25">
      <c r="A52" s="18" t="s">
        <v>540</v>
      </c>
      <c r="B52" s="19" t="s">
        <v>541</v>
      </c>
      <c r="C52" s="18" t="s">
        <v>54</v>
      </c>
      <c r="D52" s="19" t="s">
        <v>46</v>
      </c>
      <c r="E52" s="19" t="s">
        <v>509</v>
      </c>
      <c r="F52" s="18" t="s">
        <v>343</v>
      </c>
      <c r="G52" s="18" t="s">
        <v>56</v>
      </c>
      <c r="H52" s="22" t="s">
        <v>3013</v>
      </c>
      <c r="I52" s="22" t="s">
        <v>3013</v>
      </c>
      <c r="J52" s="22" t="s">
        <v>3013</v>
      </c>
      <c r="K52" s="88" t="s">
        <v>92</v>
      </c>
      <c r="L52" s="88">
        <v>2.73</v>
      </c>
      <c r="M52" s="22" t="s">
        <v>58</v>
      </c>
      <c r="N52" s="88" t="s">
        <v>59</v>
      </c>
      <c r="O52" s="22" t="s">
        <v>160</v>
      </c>
      <c r="P52" s="22" t="s">
        <v>160</v>
      </c>
      <c r="Q52" s="88">
        <v>0</v>
      </c>
      <c r="R52" s="89" t="s">
        <v>60</v>
      </c>
      <c r="S52" s="88" t="s">
        <v>3014</v>
      </c>
      <c r="T52" s="89" t="s">
        <v>60</v>
      </c>
      <c r="U52" s="90" t="s">
        <v>60</v>
      </c>
      <c r="V52" s="18" t="s">
        <v>61</v>
      </c>
      <c r="W52" s="18"/>
      <c r="X52" s="19"/>
      <c r="Y52" s="18" t="s">
        <v>159</v>
      </c>
      <c r="Z52" s="18" t="s">
        <v>484</v>
      </c>
    </row>
    <row r="53" spans="1:26" ht="21.75" customHeight="1" x14ac:dyDescent="0.25">
      <c r="A53" s="18" t="s">
        <v>546</v>
      </c>
      <c r="B53" s="19" t="s">
        <v>547</v>
      </c>
      <c r="C53" s="18" t="s">
        <v>54</v>
      </c>
      <c r="D53" s="19" t="s">
        <v>46</v>
      </c>
      <c r="E53" s="19" t="s">
        <v>499</v>
      </c>
      <c r="F53" s="18" t="s">
        <v>519</v>
      </c>
      <c r="G53" s="18" t="s">
        <v>123</v>
      </c>
      <c r="H53" s="88" t="s">
        <v>92</v>
      </c>
      <c r="I53" s="88" t="s">
        <v>92</v>
      </c>
      <c r="J53" s="88" t="s">
        <v>445</v>
      </c>
      <c r="K53" s="88" t="s">
        <v>445</v>
      </c>
      <c r="L53" s="88">
        <v>3.38</v>
      </c>
      <c r="M53" s="22" t="s">
        <v>58</v>
      </c>
      <c r="N53" s="88" t="s">
        <v>59</v>
      </c>
      <c r="O53" s="22" t="s">
        <v>57</v>
      </c>
      <c r="P53" s="22" t="s">
        <v>57</v>
      </c>
      <c r="Q53" s="88">
        <v>0</v>
      </c>
      <c r="R53" s="89" t="s">
        <v>60</v>
      </c>
      <c r="S53" s="88" t="s">
        <v>3017</v>
      </c>
      <c r="T53" s="89" t="s">
        <v>60</v>
      </c>
      <c r="U53" s="90" t="s">
        <v>60</v>
      </c>
      <c r="V53" s="18" t="s">
        <v>61</v>
      </c>
      <c r="W53" s="18"/>
      <c r="X53" s="19"/>
      <c r="Y53" s="18" t="s">
        <v>167</v>
      </c>
      <c r="Z53" s="18" t="s">
        <v>484</v>
      </c>
    </row>
    <row r="54" spans="1:26" ht="21.75" customHeight="1" x14ac:dyDescent="0.25">
      <c r="A54" s="18" t="s">
        <v>552</v>
      </c>
      <c r="B54" s="19" t="s">
        <v>553</v>
      </c>
      <c r="C54" s="18" t="s">
        <v>54</v>
      </c>
      <c r="D54" s="19" t="s">
        <v>46</v>
      </c>
      <c r="E54" s="19" t="s">
        <v>481</v>
      </c>
      <c r="F54" s="18" t="s">
        <v>558</v>
      </c>
      <c r="G54" s="18" t="s">
        <v>78</v>
      </c>
      <c r="H54" s="22" t="s">
        <v>3013</v>
      </c>
      <c r="I54" s="22" t="s">
        <v>3013</v>
      </c>
      <c r="J54" s="22" t="s">
        <v>3013</v>
      </c>
      <c r="K54" s="88" t="s">
        <v>445</v>
      </c>
      <c r="L54" s="88">
        <v>3.02</v>
      </c>
      <c r="M54" s="22" t="s">
        <v>58</v>
      </c>
      <c r="N54" s="88" t="s">
        <v>59</v>
      </c>
      <c r="O54" s="22" t="s">
        <v>57</v>
      </c>
      <c r="P54" s="22" t="s">
        <v>57</v>
      </c>
      <c r="Q54" s="88">
        <v>0</v>
      </c>
      <c r="R54" s="89" t="s">
        <v>60</v>
      </c>
      <c r="S54" s="88" t="s">
        <v>3015</v>
      </c>
      <c r="T54" s="89" t="s">
        <v>60</v>
      </c>
      <c r="U54" s="90" t="s">
        <v>60</v>
      </c>
      <c r="V54" s="18" t="s">
        <v>61</v>
      </c>
      <c r="W54" s="18"/>
      <c r="X54" s="19"/>
      <c r="Y54" s="18" t="s">
        <v>77</v>
      </c>
      <c r="Z54" s="18" t="s">
        <v>484</v>
      </c>
    </row>
    <row r="55" spans="1:26" ht="21.75" customHeight="1" x14ac:dyDescent="0.25">
      <c r="A55" s="18" t="s">
        <v>559</v>
      </c>
      <c r="B55" s="19" t="s">
        <v>560</v>
      </c>
      <c r="C55" s="18" t="s">
        <v>54</v>
      </c>
      <c r="D55" s="19" t="s">
        <v>46</v>
      </c>
      <c r="E55" s="19" t="s">
        <v>491</v>
      </c>
      <c r="F55" s="18" t="s">
        <v>564</v>
      </c>
      <c r="G55" s="18" t="s">
        <v>107</v>
      </c>
      <c r="H55" s="22" t="s">
        <v>3013</v>
      </c>
      <c r="I55" s="22" t="s">
        <v>3013</v>
      </c>
      <c r="J55" s="22" t="s">
        <v>3013</v>
      </c>
      <c r="K55" s="22" t="s">
        <v>3013</v>
      </c>
      <c r="L55" s="88">
        <v>2.58</v>
      </c>
      <c r="M55" s="22" t="s">
        <v>108</v>
      </c>
      <c r="N55" s="88" t="s">
        <v>59</v>
      </c>
      <c r="O55" s="22" t="s">
        <v>57</v>
      </c>
      <c r="P55" s="22" t="s">
        <v>108</v>
      </c>
      <c r="Q55" s="88">
        <v>0</v>
      </c>
      <c r="R55" s="89" t="s">
        <v>60</v>
      </c>
      <c r="S55" s="88" t="s">
        <v>3016</v>
      </c>
      <c r="T55" s="89" t="s">
        <v>60</v>
      </c>
      <c r="U55" s="90" t="s">
        <v>60</v>
      </c>
      <c r="V55" s="22" t="s">
        <v>109</v>
      </c>
      <c r="W55" s="18" t="s">
        <v>59</v>
      </c>
      <c r="X55" s="19" t="s">
        <v>110</v>
      </c>
      <c r="Y55" s="18" t="s">
        <v>106</v>
      </c>
      <c r="Z55" s="18" t="s">
        <v>484</v>
      </c>
    </row>
    <row r="56" spans="1:26" ht="21.75" customHeight="1" x14ac:dyDescent="0.25">
      <c r="A56" s="18" t="s">
        <v>565</v>
      </c>
      <c r="B56" s="19" t="s">
        <v>566</v>
      </c>
      <c r="C56" s="18" t="s">
        <v>54</v>
      </c>
      <c r="D56" s="19" t="s">
        <v>46</v>
      </c>
      <c r="E56" s="19" t="s">
        <v>499</v>
      </c>
      <c r="F56" s="18" t="s">
        <v>52</v>
      </c>
      <c r="G56" s="18" t="s">
        <v>56</v>
      </c>
      <c r="H56" s="22" t="s">
        <v>3013</v>
      </c>
      <c r="I56" s="22" t="s">
        <v>3013</v>
      </c>
      <c r="J56" s="22" t="s">
        <v>3013</v>
      </c>
      <c r="K56" s="88" t="s">
        <v>92</v>
      </c>
      <c r="L56" s="88">
        <v>3.55</v>
      </c>
      <c r="M56" s="22" t="s">
        <v>58</v>
      </c>
      <c r="N56" s="88" t="s">
        <v>59</v>
      </c>
      <c r="O56" s="22" t="s">
        <v>57</v>
      </c>
      <c r="P56" s="22" t="s">
        <v>57</v>
      </c>
      <c r="Q56" s="88">
        <v>0</v>
      </c>
      <c r="R56" s="89" t="s">
        <v>60</v>
      </c>
      <c r="S56" s="88" t="s">
        <v>3014</v>
      </c>
      <c r="T56" s="89" t="s">
        <v>60</v>
      </c>
      <c r="U56" s="90" t="s">
        <v>60</v>
      </c>
      <c r="V56" s="18" t="s">
        <v>61</v>
      </c>
      <c r="W56" s="18"/>
      <c r="X56" s="19"/>
      <c r="Y56" s="18" t="s">
        <v>55</v>
      </c>
      <c r="Z56" s="18" t="s">
        <v>484</v>
      </c>
    </row>
    <row r="57" spans="1:26" ht="21.75" customHeight="1" x14ac:dyDescent="0.25">
      <c r="A57" s="18" t="s">
        <v>571</v>
      </c>
      <c r="B57" s="19" t="s">
        <v>572</v>
      </c>
      <c r="C57" s="18" t="s">
        <v>54</v>
      </c>
      <c r="D57" s="19" t="s">
        <v>46</v>
      </c>
      <c r="E57" s="19" t="s">
        <v>532</v>
      </c>
      <c r="F57" s="18" t="s">
        <v>511</v>
      </c>
      <c r="G57" s="18" t="s">
        <v>91</v>
      </c>
      <c r="H57" s="22" t="s">
        <v>3013</v>
      </c>
      <c r="I57" s="22" t="s">
        <v>3013</v>
      </c>
      <c r="J57" s="22" t="s">
        <v>3013</v>
      </c>
      <c r="K57" s="22" t="s">
        <v>3013</v>
      </c>
      <c r="L57" s="88">
        <v>1.92</v>
      </c>
      <c r="M57" s="22" t="s">
        <v>195</v>
      </c>
      <c r="N57" s="88" t="s">
        <v>125</v>
      </c>
      <c r="O57" s="22" t="s">
        <v>197</v>
      </c>
      <c r="P57" s="22" t="s">
        <v>197</v>
      </c>
      <c r="Q57" s="88">
        <v>75000</v>
      </c>
      <c r="R57" s="89" t="s">
        <v>60</v>
      </c>
      <c r="S57" s="88" t="s">
        <v>3016</v>
      </c>
      <c r="T57" s="89" t="s">
        <v>60</v>
      </c>
      <c r="U57" s="90" t="s">
        <v>60</v>
      </c>
      <c r="V57" s="26" t="s">
        <v>126</v>
      </c>
      <c r="W57" s="18"/>
      <c r="X57" s="19"/>
      <c r="Y57" s="18" t="s">
        <v>196</v>
      </c>
      <c r="Z57" s="18" t="s">
        <v>484</v>
      </c>
    </row>
    <row r="58" spans="1:26" ht="21.75" customHeight="1" x14ac:dyDescent="0.25">
      <c r="A58" s="18" t="s">
        <v>576</v>
      </c>
      <c r="B58" s="19" t="s">
        <v>577</v>
      </c>
      <c r="C58" s="18" t="s">
        <v>54</v>
      </c>
      <c r="D58" s="19" t="s">
        <v>46</v>
      </c>
      <c r="E58" s="19" t="s">
        <v>509</v>
      </c>
      <c r="F58" s="18" t="s">
        <v>519</v>
      </c>
      <c r="G58" s="18" t="s">
        <v>123</v>
      </c>
      <c r="H58" s="88" t="s">
        <v>92</v>
      </c>
      <c r="I58" s="88" t="s">
        <v>92</v>
      </c>
      <c r="J58" s="88" t="s">
        <v>445</v>
      </c>
      <c r="K58" s="88" t="s">
        <v>445</v>
      </c>
      <c r="L58" s="88">
        <v>3.79</v>
      </c>
      <c r="M58" s="22" t="s">
        <v>58</v>
      </c>
      <c r="N58" s="88" t="s">
        <v>59</v>
      </c>
      <c r="O58" s="22" t="s">
        <v>57</v>
      </c>
      <c r="P58" s="22" t="s">
        <v>57</v>
      </c>
      <c r="Q58" s="88">
        <v>0</v>
      </c>
      <c r="R58" s="89" t="s">
        <v>60</v>
      </c>
      <c r="S58" s="88" t="s">
        <v>3017</v>
      </c>
      <c r="T58" s="89" t="s">
        <v>60</v>
      </c>
      <c r="U58" s="90" t="s">
        <v>60</v>
      </c>
      <c r="V58" s="18" t="s">
        <v>61</v>
      </c>
      <c r="W58" s="18"/>
      <c r="X58" s="19"/>
      <c r="Y58" s="18" t="s">
        <v>167</v>
      </c>
      <c r="Z58" s="18" t="s">
        <v>484</v>
      </c>
    </row>
    <row r="59" spans="1:26" ht="21.75" customHeight="1" x14ac:dyDescent="0.25">
      <c r="A59" s="18" t="s">
        <v>581</v>
      </c>
      <c r="B59" s="19" t="s">
        <v>582</v>
      </c>
      <c r="C59" s="18" t="s">
        <v>54</v>
      </c>
      <c r="D59" s="19" t="s">
        <v>46</v>
      </c>
      <c r="E59" s="19" t="s">
        <v>481</v>
      </c>
      <c r="F59" s="18" t="s">
        <v>483</v>
      </c>
      <c r="G59" s="18" t="s">
        <v>56</v>
      </c>
      <c r="H59" s="22" t="s">
        <v>3013</v>
      </c>
      <c r="I59" s="22" t="s">
        <v>3013</v>
      </c>
      <c r="J59" s="22" t="s">
        <v>3013</v>
      </c>
      <c r="K59" s="88" t="s">
        <v>92</v>
      </c>
      <c r="L59" s="88">
        <v>3.11</v>
      </c>
      <c r="M59" s="22" t="s">
        <v>58</v>
      </c>
      <c r="N59" s="88" t="s">
        <v>59</v>
      </c>
      <c r="O59" s="22" t="s">
        <v>57</v>
      </c>
      <c r="P59" s="22" t="s">
        <v>57</v>
      </c>
      <c r="Q59" s="88">
        <v>0</v>
      </c>
      <c r="R59" s="89" t="s">
        <v>60</v>
      </c>
      <c r="S59" s="88" t="s">
        <v>3014</v>
      </c>
      <c r="T59" s="89" t="s">
        <v>60</v>
      </c>
      <c r="U59" s="90" t="s">
        <v>60</v>
      </c>
      <c r="V59" s="18" t="s">
        <v>61</v>
      </c>
      <c r="W59" s="18"/>
      <c r="X59" s="19"/>
      <c r="Y59" s="18" t="s">
        <v>55</v>
      </c>
      <c r="Z59" s="18" t="s">
        <v>484</v>
      </c>
    </row>
    <row r="60" spans="1:26" ht="21.75" customHeight="1" x14ac:dyDescent="0.25">
      <c r="A60" s="18" t="s">
        <v>586</v>
      </c>
      <c r="B60" s="19" t="s">
        <v>587</v>
      </c>
      <c r="C60" s="18" t="s">
        <v>54</v>
      </c>
      <c r="D60" s="19" t="s">
        <v>46</v>
      </c>
      <c r="E60" s="19" t="s">
        <v>499</v>
      </c>
      <c r="F60" s="18" t="s">
        <v>493</v>
      </c>
      <c r="G60" s="18" t="s">
        <v>78</v>
      </c>
      <c r="H60" s="22" t="s">
        <v>3013</v>
      </c>
      <c r="I60" s="22" t="s">
        <v>3013</v>
      </c>
      <c r="J60" s="22" t="s">
        <v>3013</v>
      </c>
      <c r="K60" s="88" t="s">
        <v>445</v>
      </c>
      <c r="L60" s="88">
        <v>3.64</v>
      </c>
      <c r="M60" s="22" t="s">
        <v>58</v>
      </c>
      <c r="N60" s="88" t="s">
        <v>59</v>
      </c>
      <c r="O60" s="22" t="s">
        <v>57</v>
      </c>
      <c r="P60" s="22" t="s">
        <v>57</v>
      </c>
      <c r="Q60" s="88">
        <v>0</v>
      </c>
      <c r="R60" s="89" t="s">
        <v>60</v>
      </c>
      <c r="S60" s="88" t="s">
        <v>3015</v>
      </c>
      <c r="T60" s="89" t="s">
        <v>60</v>
      </c>
      <c r="U60" s="90" t="s">
        <v>60</v>
      </c>
      <c r="V60" s="18" t="s">
        <v>61</v>
      </c>
      <c r="W60" s="18"/>
      <c r="X60" s="19"/>
      <c r="Y60" s="18" t="s">
        <v>77</v>
      </c>
      <c r="Z60" s="18" t="s">
        <v>484</v>
      </c>
    </row>
    <row r="61" spans="1:26" ht="21.75" customHeight="1" x14ac:dyDescent="0.25">
      <c r="A61" s="18" t="s">
        <v>591</v>
      </c>
      <c r="B61" s="19" t="s">
        <v>592</v>
      </c>
      <c r="C61" s="18" t="s">
        <v>54</v>
      </c>
      <c r="D61" s="19" t="s">
        <v>46</v>
      </c>
      <c r="E61" s="19" t="s">
        <v>491</v>
      </c>
      <c r="F61" s="18" t="s">
        <v>501</v>
      </c>
      <c r="G61" s="18" t="s">
        <v>91</v>
      </c>
      <c r="H61" s="22" t="s">
        <v>3013</v>
      </c>
      <c r="I61" s="22" t="s">
        <v>3013</v>
      </c>
      <c r="J61" s="22" t="s">
        <v>3013</v>
      </c>
      <c r="K61" s="22" t="s">
        <v>3013</v>
      </c>
      <c r="L61" s="88">
        <v>3.05</v>
      </c>
      <c r="M61" s="22" t="s">
        <v>58</v>
      </c>
      <c r="N61" s="88" t="s">
        <v>59</v>
      </c>
      <c r="O61" s="22" t="s">
        <v>57</v>
      </c>
      <c r="P61" s="22" t="s">
        <v>57</v>
      </c>
      <c r="Q61" s="88">
        <v>0</v>
      </c>
      <c r="R61" s="89" t="s">
        <v>60</v>
      </c>
      <c r="S61" s="88" t="s">
        <v>3016</v>
      </c>
      <c r="T61" s="89" t="s">
        <v>60</v>
      </c>
      <c r="U61" s="90" t="s">
        <v>60</v>
      </c>
      <c r="V61" s="88" t="s">
        <v>92</v>
      </c>
      <c r="W61" s="18"/>
      <c r="X61" s="19"/>
      <c r="Y61" s="18" t="s">
        <v>90</v>
      </c>
      <c r="Z61" s="18" t="s">
        <v>484</v>
      </c>
    </row>
    <row r="62" spans="1:26" ht="21.75" customHeight="1" x14ac:dyDescent="0.25">
      <c r="A62" s="18" t="s">
        <v>598</v>
      </c>
      <c r="B62" s="19" t="s">
        <v>599</v>
      </c>
      <c r="C62" s="18" t="s">
        <v>54</v>
      </c>
      <c r="D62" s="19" t="s">
        <v>46</v>
      </c>
      <c r="E62" s="19" t="s">
        <v>532</v>
      </c>
      <c r="F62" s="18" t="s">
        <v>343</v>
      </c>
      <c r="G62" s="18" t="s">
        <v>56</v>
      </c>
      <c r="H62" s="22" t="s">
        <v>3013</v>
      </c>
      <c r="I62" s="22" t="s">
        <v>3013</v>
      </c>
      <c r="J62" s="22" t="s">
        <v>3013</v>
      </c>
      <c r="K62" s="88" t="s">
        <v>92</v>
      </c>
      <c r="L62" s="88">
        <v>3.44</v>
      </c>
      <c r="M62" s="22" t="s">
        <v>58</v>
      </c>
      <c r="N62" s="88" t="s">
        <v>59</v>
      </c>
      <c r="O62" s="22" t="s">
        <v>57</v>
      </c>
      <c r="P62" s="22" t="s">
        <v>57</v>
      </c>
      <c r="Q62" s="88">
        <v>0</v>
      </c>
      <c r="R62" s="89" t="s">
        <v>60</v>
      </c>
      <c r="S62" s="88" t="s">
        <v>3014</v>
      </c>
      <c r="T62" s="89" t="s">
        <v>60</v>
      </c>
      <c r="U62" s="90" t="s">
        <v>60</v>
      </c>
      <c r="V62" s="18" t="s">
        <v>61</v>
      </c>
      <c r="W62" s="18"/>
      <c r="X62" s="19"/>
      <c r="Y62" s="18" t="s">
        <v>55</v>
      </c>
      <c r="Z62" s="18" t="s">
        <v>484</v>
      </c>
    </row>
    <row r="63" spans="1:26" ht="21.75" customHeight="1" x14ac:dyDescent="0.25">
      <c r="A63" s="18" t="s">
        <v>604</v>
      </c>
      <c r="B63" s="19" t="s">
        <v>605</v>
      </c>
      <c r="C63" s="18" t="s">
        <v>54</v>
      </c>
      <c r="D63" s="19" t="s">
        <v>46</v>
      </c>
      <c r="E63" s="19" t="s">
        <v>481</v>
      </c>
      <c r="F63" s="18" t="s">
        <v>519</v>
      </c>
      <c r="G63" s="18" t="s">
        <v>123</v>
      </c>
      <c r="H63" s="88" t="s">
        <v>92</v>
      </c>
      <c r="I63" s="88" t="s">
        <v>92</v>
      </c>
      <c r="J63" s="88" t="s">
        <v>445</v>
      </c>
      <c r="K63" s="88" t="s">
        <v>445</v>
      </c>
      <c r="L63" s="88">
        <v>2.21</v>
      </c>
      <c r="M63" s="22" t="s">
        <v>119</v>
      </c>
      <c r="N63" s="88" t="s">
        <v>125</v>
      </c>
      <c r="O63" s="22" t="s">
        <v>124</v>
      </c>
      <c r="P63" s="22" t="s">
        <v>124</v>
      </c>
      <c r="Q63" s="88">
        <v>35000</v>
      </c>
      <c r="R63" s="89" t="s">
        <v>60</v>
      </c>
      <c r="S63" s="88" t="s">
        <v>3017</v>
      </c>
      <c r="T63" s="89" t="s">
        <v>60</v>
      </c>
      <c r="U63" s="90" t="s">
        <v>60</v>
      </c>
      <c r="V63" s="26" t="s">
        <v>126</v>
      </c>
      <c r="W63" s="18"/>
      <c r="X63" s="19"/>
      <c r="Y63" s="18" t="s">
        <v>122</v>
      </c>
      <c r="Z63" s="18" t="s">
        <v>484</v>
      </c>
    </row>
    <row r="64" spans="1:26" ht="21.75" customHeight="1" x14ac:dyDescent="0.25">
      <c r="A64" s="18" t="s">
        <v>610</v>
      </c>
      <c r="B64" s="19" t="s">
        <v>611</v>
      </c>
      <c r="C64" s="18" t="s">
        <v>54</v>
      </c>
      <c r="D64" s="19" t="s">
        <v>46</v>
      </c>
      <c r="E64" s="19" t="s">
        <v>499</v>
      </c>
      <c r="F64" s="18" t="s">
        <v>558</v>
      </c>
      <c r="G64" s="18" t="s">
        <v>78</v>
      </c>
      <c r="H64" s="22" t="s">
        <v>3013</v>
      </c>
      <c r="I64" s="22" t="s">
        <v>3013</v>
      </c>
      <c r="J64" s="22" t="s">
        <v>3013</v>
      </c>
      <c r="K64" s="88" t="s">
        <v>445</v>
      </c>
      <c r="L64" s="88">
        <v>3.59</v>
      </c>
      <c r="M64" s="22" t="s">
        <v>58</v>
      </c>
      <c r="N64" s="88" t="s">
        <v>59</v>
      </c>
      <c r="O64" s="22" t="s">
        <v>57</v>
      </c>
      <c r="P64" s="22" t="s">
        <v>57</v>
      </c>
      <c r="Q64" s="88">
        <v>0</v>
      </c>
      <c r="R64" s="89" t="s">
        <v>60</v>
      </c>
      <c r="S64" s="88" t="s">
        <v>3015</v>
      </c>
      <c r="T64" s="89" t="s">
        <v>60</v>
      </c>
      <c r="U64" s="90" t="s">
        <v>60</v>
      </c>
      <c r="V64" s="18" t="s">
        <v>61</v>
      </c>
      <c r="W64" s="18"/>
      <c r="X64" s="19"/>
      <c r="Y64" s="18" t="s">
        <v>77</v>
      </c>
      <c r="Z64" s="18" t="s">
        <v>484</v>
      </c>
    </row>
    <row r="65" spans="1:26" ht="21.75" customHeight="1" x14ac:dyDescent="0.25">
      <c r="A65" s="18" t="s">
        <v>616</v>
      </c>
      <c r="B65" s="19" t="s">
        <v>617</v>
      </c>
      <c r="C65" s="18" t="s">
        <v>54</v>
      </c>
      <c r="D65" s="19" t="s">
        <v>46</v>
      </c>
      <c r="E65" s="19" t="s">
        <v>509</v>
      </c>
      <c r="F65" s="18" t="s">
        <v>564</v>
      </c>
      <c r="G65" s="18" t="s">
        <v>91</v>
      </c>
      <c r="H65" s="22" t="s">
        <v>3013</v>
      </c>
      <c r="I65" s="22" t="s">
        <v>3013</v>
      </c>
      <c r="J65" s="22" t="s">
        <v>3013</v>
      </c>
      <c r="K65" s="22" t="s">
        <v>3013</v>
      </c>
      <c r="L65" s="88">
        <v>3.67</v>
      </c>
      <c r="M65" s="22" t="s">
        <v>58</v>
      </c>
      <c r="N65" s="88" t="s">
        <v>59</v>
      </c>
      <c r="O65" s="22" t="s">
        <v>57</v>
      </c>
      <c r="P65" s="22" t="s">
        <v>57</v>
      </c>
      <c r="Q65" s="88">
        <v>0</v>
      </c>
      <c r="R65" s="89" t="s">
        <v>60</v>
      </c>
      <c r="S65" s="88" t="s">
        <v>3016</v>
      </c>
      <c r="T65" s="89" t="s">
        <v>60</v>
      </c>
      <c r="U65" s="90" t="s">
        <v>60</v>
      </c>
      <c r="V65" s="88" t="s">
        <v>92</v>
      </c>
      <c r="W65" s="18"/>
      <c r="X65" s="19"/>
      <c r="Y65" s="18" t="s">
        <v>90</v>
      </c>
      <c r="Z65" s="18" t="s">
        <v>484</v>
      </c>
    </row>
    <row r="66" spans="1:26" ht="21.75" customHeight="1" x14ac:dyDescent="0.25">
      <c r="A66" s="18" t="s">
        <v>622</v>
      </c>
      <c r="B66" s="19" t="s">
        <v>623</v>
      </c>
      <c r="C66" s="18" t="s">
        <v>54</v>
      </c>
      <c r="D66" s="19" t="s">
        <v>46</v>
      </c>
      <c r="E66" s="19" t="s">
        <v>491</v>
      </c>
      <c r="F66" s="18" t="s">
        <v>52</v>
      </c>
      <c r="G66" s="18" t="s">
        <v>56</v>
      </c>
      <c r="H66" s="22" t="s">
        <v>3013</v>
      </c>
      <c r="I66" s="22" t="s">
        <v>3013</v>
      </c>
      <c r="J66" s="22" t="s">
        <v>3013</v>
      </c>
      <c r="K66" s="88" t="s">
        <v>92</v>
      </c>
      <c r="L66" s="88">
        <v>2.84</v>
      </c>
      <c r="M66" s="22" t="s">
        <v>58</v>
      </c>
      <c r="N66" s="88" t="s">
        <v>59</v>
      </c>
      <c r="O66" s="22" t="s">
        <v>160</v>
      </c>
      <c r="P66" s="22" t="s">
        <v>160</v>
      </c>
      <c r="Q66" s="88">
        <v>0</v>
      </c>
      <c r="R66" s="89" t="s">
        <v>60</v>
      </c>
      <c r="S66" s="88" t="s">
        <v>3014</v>
      </c>
      <c r="T66" s="89" t="s">
        <v>60</v>
      </c>
      <c r="U66" s="90" t="s">
        <v>60</v>
      </c>
      <c r="V66" s="18" t="s">
        <v>61</v>
      </c>
      <c r="W66" s="18"/>
      <c r="X66" s="19"/>
      <c r="Y66" s="18" t="s">
        <v>159</v>
      </c>
      <c r="Z66" s="18" t="s">
        <v>484</v>
      </c>
    </row>
    <row r="67" spans="1:26" ht="21.75" customHeight="1" x14ac:dyDescent="0.25">
      <c r="A67" s="18" t="s">
        <v>627</v>
      </c>
      <c r="B67" s="19" t="s">
        <v>628</v>
      </c>
      <c r="C67" s="18" t="s">
        <v>54</v>
      </c>
      <c r="D67" s="19" t="s">
        <v>46</v>
      </c>
      <c r="E67" s="19" t="s">
        <v>499</v>
      </c>
      <c r="F67" s="18" t="s">
        <v>141</v>
      </c>
      <c r="G67" s="18" t="s">
        <v>78</v>
      </c>
      <c r="H67" s="22" t="s">
        <v>3013</v>
      </c>
      <c r="I67" s="22" t="s">
        <v>3013</v>
      </c>
      <c r="J67" s="22" t="s">
        <v>3013</v>
      </c>
      <c r="K67" s="88" t="s">
        <v>445</v>
      </c>
      <c r="L67" s="88">
        <v>3.36</v>
      </c>
      <c r="M67" s="22" t="s">
        <v>58</v>
      </c>
      <c r="N67" s="88" t="s">
        <v>59</v>
      </c>
      <c r="O67" s="22" t="s">
        <v>57</v>
      </c>
      <c r="P67" s="22" t="s">
        <v>57</v>
      </c>
      <c r="Q67" s="88">
        <v>0</v>
      </c>
      <c r="R67" s="89" t="s">
        <v>60</v>
      </c>
      <c r="S67" s="88" t="s">
        <v>3015</v>
      </c>
      <c r="T67" s="89" t="s">
        <v>60</v>
      </c>
      <c r="U67" s="90" t="s">
        <v>60</v>
      </c>
      <c r="V67" s="18" t="s">
        <v>61</v>
      </c>
      <c r="W67" s="18"/>
      <c r="X67" s="19"/>
      <c r="Y67" s="18" t="s">
        <v>77</v>
      </c>
      <c r="Z67" s="18" t="s">
        <v>484</v>
      </c>
    </row>
    <row r="68" spans="1:26" ht="21.75" customHeight="1" x14ac:dyDescent="0.25">
      <c r="A68" s="18" t="s">
        <v>632</v>
      </c>
      <c r="B68" s="19" t="s">
        <v>633</v>
      </c>
      <c r="C68" s="18" t="s">
        <v>54</v>
      </c>
      <c r="D68" s="19" t="s">
        <v>46</v>
      </c>
      <c r="E68" s="19" t="s">
        <v>481</v>
      </c>
      <c r="F68" s="18" t="s">
        <v>519</v>
      </c>
      <c r="G68" s="18" t="s">
        <v>123</v>
      </c>
      <c r="H68" s="88" t="s">
        <v>92</v>
      </c>
      <c r="I68" s="88" t="s">
        <v>92</v>
      </c>
      <c r="J68" s="88" t="s">
        <v>445</v>
      </c>
      <c r="K68" s="88" t="s">
        <v>445</v>
      </c>
      <c r="L68" s="88">
        <v>3.58</v>
      </c>
      <c r="M68" s="22" t="s">
        <v>58</v>
      </c>
      <c r="N68" s="88" t="s">
        <v>59</v>
      </c>
      <c r="O68" s="22" t="s">
        <v>57</v>
      </c>
      <c r="P68" s="22" t="s">
        <v>57</v>
      </c>
      <c r="Q68" s="88">
        <v>0</v>
      </c>
      <c r="R68" s="89" t="s">
        <v>60</v>
      </c>
      <c r="S68" s="88" t="s">
        <v>3017</v>
      </c>
      <c r="T68" s="89" t="s">
        <v>60</v>
      </c>
      <c r="U68" s="90" t="s">
        <v>60</v>
      </c>
      <c r="V68" s="18" t="s">
        <v>61</v>
      </c>
      <c r="W68" s="18"/>
      <c r="X68" s="19"/>
      <c r="Y68" s="18" t="s">
        <v>167</v>
      </c>
      <c r="Z68" s="18" t="s">
        <v>484</v>
      </c>
    </row>
    <row r="69" spans="1:26" ht="21.75" customHeight="1" x14ac:dyDescent="0.25">
      <c r="A69" s="18" t="s">
        <v>637</v>
      </c>
      <c r="B69" s="19" t="s">
        <v>638</v>
      </c>
      <c r="C69" s="18" t="s">
        <v>272</v>
      </c>
      <c r="D69" s="19" t="s">
        <v>273</v>
      </c>
      <c r="E69" s="19" t="s">
        <v>509</v>
      </c>
      <c r="F69" s="18" t="s">
        <v>558</v>
      </c>
      <c r="G69" s="18" t="s">
        <v>78</v>
      </c>
      <c r="H69" s="22" t="s">
        <v>3013</v>
      </c>
      <c r="I69" s="22" t="s">
        <v>3013</v>
      </c>
      <c r="J69" s="88" t="s">
        <v>92</v>
      </c>
      <c r="K69" s="88" t="s">
        <v>445</v>
      </c>
      <c r="L69" s="88">
        <v>3.69</v>
      </c>
      <c r="M69" s="22" t="s">
        <v>58</v>
      </c>
      <c r="N69" s="88" t="s">
        <v>59</v>
      </c>
      <c r="O69" s="22" t="s">
        <v>57</v>
      </c>
      <c r="P69" s="22" t="s">
        <v>57</v>
      </c>
      <c r="Q69" s="88">
        <v>0</v>
      </c>
      <c r="R69" s="89" t="s">
        <v>60</v>
      </c>
      <c r="S69" s="88" t="s">
        <v>78</v>
      </c>
      <c r="T69" s="89" t="s">
        <v>60</v>
      </c>
      <c r="U69" s="90" t="s">
        <v>60</v>
      </c>
      <c r="V69" s="88" t="s">
        <v>92</v>
      </c>
      <c r="W69" s="18"/>
      <c r="X69" s="19"/>
      <c r="Y69" s="18" t="s">
        <v>274</v>
      </c>
      <c r="Z69" s="18" t="s">
        <v>484</v>
      </c>
    </row>
    <row r="70" spans="1:26" ht="21.75" customHeight="1" x14ac:dyDescent="0.25">
      <c r="A70" s="18" t="s">
        <v>645</v>
      </c>
      <c r="B70" s="19" t="s">
        <v>646</v>
      </c>
      <c r="C70" s="18" t="s">
        <v>272</v>
      </c>
      <c r="D70" s="19" t="s">
        <v>289</v>
      </c>
      <c r="E70" s="19" t="s">
        <v>532</v>
      </c>
      <c r="F70" s="18" t="s">
        <v>120</v>
      </c>
      <c r="G70" s="18" t="s">
        <v>123</v>
      </c>
      <c r="H70" s="22" t="s">
        <v>3013</v>
      </c>
      <c r="I70" s="88" t="s">
        <v>92</v>
      </c>
      <c r="J70" s="88" t="s">
        <v>445</v>
      </c>
      <c r="K70" s="88" t="s">
        <v>445</v>
      </c>
      <c r="L70" s="88">
        <v>3.35</v>
      </c>
      <c r="M70" s="22" t="s">
        <v>58</v>
      </c>
      <c r="N70" s="88" t="s">
        <v>59</v>
      </c>
      <c r="O70" s="22" t="s">
        <v>57</v>
      </c>
      <c r="P70" s="22" t="s">
        <v>57</v>
      </c>
      <c r="Q70" s="88">
        <v>0</v>
      </c>
      <c r="R70" s="89" t="s">
        <v>60</v>
      </c>
      <c r="S70" s="88" t="s">
        <v>123</v>
      </c>
      <c r="T70" s="89" t="s">
        <v>60</v>
      </c>
      <c r="U70" s="90" t="s">
        <v>60</v>
      </c>
      <c r="V70" s="18" t="s">
        <v>61</v>
      </c>
      <c r="W70" s="18"/>
      <c r="X70" s="19"/>
      <c r="Y70" s="18" t="s">
        <v>290</v>
      </c>
      <c r="Z70" s="18" t="s">
        <v>484</v>
      </c>
    </row>
    <row r="71" spans="1:26" ht="21.75" customHeight="1" x14ac:dyDescent="0.25">
      <c r="A71" s="18" t="s">
        <v>653</v>
      </c>
      <c r="B71" s="19" t="s">
        <v>654</v>
      </c>
      <c r="C71" s="18" t="s">
        <v>272</v>
      </c>
      <c r="D71" s="19" t="s">
        <v>273</v>
      </c>
      <c r="E71" s="19" t="s">
        <v>499</v>
      </c>
      <c r="F71" s="18" t="s">
        <v>75</v>
      </c>
      <c r="G71" s="18" t="s">
        <v>107</v>
      </c>
      <c r="H71" s="22" t="s">
        <v>3013</v>
      </c>
      <c r="I71" s="22" t="s">
        <v>3013</v>
      </c>
      <c r="J71" s="22" t="s">
        <v>3013</v>
      </c>
      <c r="K71" s="22" t="s">
        <v>3013</v>
      </c>
      <c r="L71" s="88">
        <v>3.58</v>
      </c>
      <c r="M71" s="22" t="s">
        <v>108</v>
      </c>
      <c r="N71" s="88" t="s">
        <v>304</v>
      </c>
      <c r="O71" s="22" t="s">
        <v>57</v>
      </c>
      <c r="P71" s="22" t="s">
        <v>108</v>
      </c>
      <c r="Q71" s="88">
        <v>0</v>
      </c>
      <c r="R71" s="89" t="s">
        <v>60</v>
      </c>
      <c r="S71" s="88" t="s">
        <v>107</v>
      </c>
      <c r="T71" s="89" t="s">
        <v>60</v>
      </c>
      <c r="U71" s="90" t="s">
        <v>60</v>
      </c>
      <c r="V71" s="22" t="s">
        <v>109</v>
      </c>
      <c r="W71" s="18" t="s">
        <v>304</v>
      </c>
      <c r="X71" s="19" t="s">
        <v>110</v>
      </c>
      <c r="Y71" s="18" t="s">
        <v>303</v>
      </c>
      <c r="Z71" s="18" t="s">
        <v>484</v>
      </c>
    </row>
    <row r="72" spans="1:26" ht="21.75" customHeight="1" x14ac:dyDescent="0.25">
      <c r="A72" s="18" t="s">
        <v>661</v>
      </c>
      <c r="B72" s="19" t="s">
        <v>662</v>
      </c>
      <c r="C72" s="18" t="s">
        <v>272</v>
      </c>
      <c r="D72" s="19" t="s">
        <v>273</v>
      </c>
      <c r="E72" s="19" t="s">
        <v>491</v>
      </c>
      <c r="F72" s="18" t="s">
        <v>666</v>
      </c>
      <c r="G72" s="18" t="s">
        <v>123</v>
      </c>
      <c r="H72" s="22" t="s">
        <v>3013</v>
      </c>
      <c r="I72" s="88" t="s">
        <v>92</v>
      </c>
      <c r="J72" s="88" t="s">
        <v>445</v>
      </c>
      <c r="K72" s="88" t="s">
        <v>445</v>
      </c>
      <c r="L72" s="88">
        <v>2.77</v>
      </c>
      <c r="M72" s="22" t="s">
        <v>119</v>
      </c>
      <c r="N72" s="88" t="s">
        <v>125</v>
      </c>
      <c r="O72" s="22" t="s">
        <v>124</v>
      </c>
      <c r="P72" s="22" t="s">
        <v>124</v>
      </c>
      <c r="Q72" s="88">
        <v>35000</v>
      </c>
      <c r="R72" s="89" t="s">
        <v>60</v>
      </c>
      <c r="S72" s="88" t="s">
        <v>123</v>
      </c>
      <c r="T72" s="89" t="s">
        <v>60</v>
      </c>
      <c r="U72" s="90" t="s">
        <v>60</v>
      </c>
      <c r="V72" s="26" t="s">
        <v>126</v>
      </c>
      <c r="W72" s="18"/>
      <c r="X72" s="19"/>
      <c r="Y72" s="18" t="s">
        <v>122</v>
      </c>
      <c r="Z72" s="18" t="s">
        <v>484</v>
      </c>
    </row>
    <row r="73" spans="1:26" ht="21.75" customHeight="1" x14ac:dyDescent="0.25">
      <c r="A73" s="18" t="s">
        <v>670</v>
      </c>
      <c r="B73" s="19" t="s">
        <v>671</v>
      </c>
      <c r="C73" s="18" t="s">
        <v>272</v>
      </c>
      <c r="D73" s="19" t="s">
        <v>273</v>
      </c>
      <c r="E73" s="19" t="s">
        <v>509</v>
      </c>
      <c r="F73" s="18" t="s">
        <v>675</v>
      </c>
      <c r="G73" s="18" t="s">
        <v>78</v>
      </c>
      <c r="H73" s="22" t="s">
        <v>3013</v>
      </c>
      <c r="I73" s="22" t="s">
        <v>3013</v>
      </c>
      <c r="J73" s="88" t="s">
        <v>92</v>
      </c>
      <c r="K73" s="88" t="s">
        <v>445</v>
      </c>
      <c r="L73" s="88">
        <v>3.62</v>
      </c>
      <c r="M73" s="22" t="s">
        <v>58</v>
      </c>
      <c r="N73" s="88" t="s">
        <v>59</v>
      </c>
      <c r="O73" s="22" t="s">
        <v>57</v>
      </c>
      <c r="P73" s="22" t="s">
        <v>57</v>
      </c>
      <c r="Q73" s="88">
        <v>0</v>
      </c>
      <c r="R73" s="89" t="s">
        <v>60</v>
      </c>
      <c r="S73" s="88" t="s">
        <v>78</v>
      </c>
      <c r="T73" s="89" t="s">
        <v>60</v>
      </c>
      <c r="U73" s="90" t="s">
        <v>60</v>
      </c>
      <c r="V73" s="88" t="s">
        <v>92</v>
      </c>
      <c r="W73" s="18"/>
      <c r="X73" s="19"/>
      <c r="Y73" s="18" t="s">
        <v>274</v>
      </c>
      <c r="Z73" s="18" t="s">
        <v>484</v>
      </c>
    </row>
    <row r="74" spans="1:26" ht="21.75" customHeight="1" x14ac:dyDescent="0.25">
      <c r="A74" s="18" t="s">
        <v>678</v>
      </c>
      <c r="B74" s="19" t="s">
        <v>679</v>
      </c>
      <c r="C74" s="18" t="s">
        <v>272</v>
      </c>
      <c r="D74" s="19" t="s">
        <v>289</v>
      </c>
      <c r="E74" s="19" t="s">
        <v>532</v>
      </c>
      <c r="F74" s="18" t="s">
        <v>683</v>
      </c>
      <c r="G74" s="18" t="s">
        <v>123</v>
      </c>
      <c r="H74" s="22" t="s">
        <v>3013</v>
      </c>
      <c r="I74" s="88" t="s">
        <v>92</v>
      </c>
      <c r="J74" s="88" t="s">
        <v>445</v>
      </c>
      <c r="K74" s="88" t="s">
        <v>445</v>
      </c>
      <c r="L74" s="88">
        <v>3.24</v>
      </c>
      <c r="M74" s="22" t="s">
        <v>58</v>
      </c>
      <c r="N74" s="88" t="s">
        <v>59</v>
      </c>
      <c r="O74" s="22" t="s">
        <v>57</v>
      </c>
      <c r="P74" s="22" t="s">
        <v>57</v>
      </c>
      <c r="Q74" s="88">
        <v>0</v>
      </c>
      <c r="R74" s="89" t="s">
        <v>60</v>
      </c>
      <c r="S74" s="88" t="s">
        <v>123</v>
      </c>
      <c r="T74" s="89" t="s">
        <v>60</v>
      </c>
      <c r="U74" s="90" t="s">
        <v>60</v>
      </c>
      <c r="V74" s="18" t="s">
        <v>61</v>
      </c>
      <c r="W74" s="18"/>
      <c r="X74" s="19"/>
      <c r="Y74" s="18" t="s">
        <v>290</v>
      </c>
      <c r="Z74" s="18" t="s">
        <v>484</v>
      </c>
    </row>
    <row r="75" spans="1:26" ht="21.75" customHeight="1" x14ac:dyDescent="0.25">
      <c r="A75" s="18" t="s">
        <v>685</v>
      </c>
      <c r="B75" s="19" t="s">
        <v>686</v>
      </c>
      <c r="C75" s="18" t="s">
        <v>272</v>
      </c>
      <c r="D75" s="19" t="s">
        <v>342</v>
      </c>
      <c r="E75" s="19" t="s">
        <v>509</v>
      </c>
      <c r="F75" s="18" t="s">
        <v>483</v>
      </c>
      <c r="G75" s="18" t="s">
        <v>345</v>
      </c>
      <c r="H75" s="22" t="s">
        <v>3013</v>
      </c>
      <c r="I75" s="22" t="s">
        <v>3013</v>
      </c>
      <c r="J75" s="22" t="s">
        <v>3013</v>
      </c>
      <c r="K75" s="88" t="s">
        <v>92</v>
      </c>
      <c r="L75" s="88">
        <v>3.84</v>
      </c>
      <c r="M75" s="22" t="s">
        <v>58</v>
      </c>
      <c r="N75" s="88" t="s">
        <v>59</v>
      </c>
      <c r="O75" s="22" t="s">
        <v>57</v>
      </c>
      <c r="P75" s="22" t="s">
        <v>57</v>
      </c>
      <c r="Q75" s="88">
        <v>0</v>
      </c>
      <c r="R75" s="89" t="s">
        <v>347</v>
      </c>
      <c r="S75" s="88" t="s">
        <v>347</v>
      </c>
      <c r="T75" s="89" t="s">
        <v>92</v>
      </c>
      <c r="U75" s="90" t="s">
        <v>61</v>
      </c>
      <c r="V75" s="18" t="s">
        <v>61</v>
      </c>
      <c r="W75" s="18"/>
      <c r="X75" s="19"/>
      <c r="Y75" s="18" t="s">
        <v>344</v>
      </c>
      <c r="Z75" s="18" t="s">
        <v>484</v>
      </c>
    </row>
    <row r="76" spans="1:26" ht="21.75" customHeight="1" x14ac:dyDescent="0.25">
      <c r="A76" s="18" t="s">
        <v>697</v>
      </c>
      <c r="B76" s="19" t="s">
        <v>698</v>
      </c>
      <c r="C76" s="18" t="s">
        <v>272</v>
      </c>
      <c r="D76" s="19" t="s">
        <v>342</v>
      </c>
      <c r="E76" s="19" t="s">
        <v>481</v>
      </c>
      <c r="F76" s="18" t="s">
        <v>493</v>
      </c>
      <c r="G76" s="18" t="s">
        <v>361</v>
      </c>
      <c r="H76" s="22" t="s">
        <v>3013</v>
      </c>
      <c r="I76" s="22" t="s">
        <v>3013</v>
      </c>
      <c r="J76" s="22" t="s">
        <v>3013</v>
      </c>
      <c r="K76" s="88" t="s">
        <v>92</v>
      </c>
      <c r="L76" s="88">
        <v>3.47</v>
      </c>
      <c r="M76" s="22" t="s">
        <v>58</v>
      </c>
      <c r="N76" s="88" t="s">
        <v>59</v>
      </c>
      <c r="O76" s="22" t="s">
        <v>57</v>
      </c>
      <c r="P76" s="22" t="s">
        <v>57</v>
      </c>
      <c r="Q76" s="88">
        <v>0</v>
      </c>
      <c r="R76" s="89" t="s">
        <v>363</v>
      </c>
      <c r="S76" s="88" t="s">
        <v>363</v>
      </c>
      <c r="T76" s="89" t="s">
        <v>61</v>
      </c>
      <c r="U76" s="90" t="s">
        <v>61</v>
      </c>
      <c r="V76" s="18" t="s">
        <v>61</v>
      </c>
      <c r="W76" s="18"/>
      <c r="X76" s="19"/>
      <c r="Y76" s="18" t="s">
        <v>360</v>
      </c>
      <c r="Z76" s="18" t="s">
        <v>484</v>
      </c>
    </row>
    <row r="77" spans="1:26" ht="21.75" customHeight="1" x14ac:dyDescent="0.25">
      <c r="A77" s="18" t="s">
        <v>708</v>
      </c>
      <c r="B77" s="19" t="s">
        <v>709</v>
      </c>
      <c r="C77" s="18" t="s">
        <v>272</v>
      </c>
      <c r="D77" s="19" t="s">
        <v>375</v>
      </c>
      <c r="E77" s="19" t="s">
        <v>499</v>
      </c>
      <c r="F77" s="18" t="s">
        <v>52</v>
      </c>
      <c r="G77" s="18" t="s">
        <v>345</v>
      </c>
      <c r="H77" s="22" t="s">
        <v>3013</v>
      </c>
      <c r="I77" s="22" t="s">
        <v>3013</v>
      </c>
      <c r="J77" s="22" t="s">
        <v>3013</v>
      </c>
      <c r="K77" s="88" t="s">
        <v>92</v>
      </c>
      <c r="L77" s="88">
        <v>3.51</v>
      </c>
      <c r="M77" s="22" t="s">
        <v>58</v>
      </c>
      <c r="N77" s="88" t="s">
        <v>59</v>
      </c>
      <c r="O77" s="22" t="s">
        <v>57</v>
      </c>
      <c r="P77" s="22" t="s">
        <v>57</v>
      </c>
      <c r="Q77" s="88">
        <v>0</v>
      </c>
      <c r="R77" s="89" t="s">
        <v>347</v>
      </c>
      <c r="S77" s="88" t="s">
        <v>347</v>
      </c>
      <c r="T77" s="89" t="s">
        <v>92</v>
      </c>
      <c r="U77" s="90" t="s">
        <v>61</v>
      </c>
      <c r="V77" s="18" t="s">
        <v>61</v>
      </c>
      <c r="W77" s="18"/>
      <c r="X77" s="19"/>
      <c r="Y77" s="18" t="s">
        <v>344</v>
      </c>
      <c r="Z77" s="18" t="s">
        <v>484</v>
      </c>
    </row>
    <row r="78" spans="1:26" ht="21.75" customHeight="1" x14ac:dyDescent="0.25">
      <c r="A78" s="18" t="s">
        <v>718</v>
      </c>
      <c r="B78" s="19" t="s">
        <v>719</v>
      </c>
      <c r="C78" s="18" t="s">
        <v>272</v>
      </c>
      <c r="D78" s="19" t="s">
        <v>342</v>
      </c>
      <c r="E78" s="19" t="s">
        <v>499</v>
      </c>
      <c r="F78" s="18" t="s">
        <v>141</v>
      </c>
      <c r="G78" s="18" t="s">
        <v>361</v>
      </c>
      <c r="H78" s="22" t="s">
        <v>3013</v>
      </c>
      <c r="I78" s="22" t="s">
        <v>3013</v>
      </c>
      <c r="J78" s="22" t="s">
        <v>3013</v>
      </c>
      <c r="K78" s="88" t="s">
        <v>92</v>
      </c>
      <c r="L78" s="88">
        <v>3.29</v>
      </c>
      <c r="M78" s="22" t="s">
        <v>58</v>
      </c>
      <c r="N78" s="88" t="s">
        <v>59</v>
      </c>
      <c r="O78" s="22" t="s">
        <v>160</v>
      </c>
      <c r="P78" s="22" t="s">
        <v>160</v>
      </c>
      <c r="Q78" s="88">
        <v>0</v>
      </c>
      <c r="R78" s="89" t="s">
        <v>363</v>
      </c>
      <c r="S78" s="88" t="s">
        <v>363</v>
      </c>
      <c r="T78" s="89" t="s">
        <v>61</v>
      </c>
      <c r="U78" s="90" t="s">
        <v>61</v>
      </c>
      <c r="V78" s="18" t="s">
        <v>61</v>
      </c>
      <c r="W78" s="18"/>
      <c r="X78" s="19"/>
      <c r="Y78" s="18" t="s">
        <v>389</v>
      </c>
      <c r="Z78" s="18" t="s">
        <v>484</v>
      </c>
    </row>
    <row r="79" spans="1:26" ht="21.75" customHeight="1" x14ac:dyDescent="0.25">
      <c r="A79" s="18" t="s">
        <v>725</v>
      </c>
      <c r="B79" s="19" t="s">
        <v>726</v>
      </c>
      <c r="C79" s="18" t="s">
        <v>272</v>
      </c>
      <c r="D79" s="19" t="s">
        <v>342</v>
      </c>
      <c r="E79" s="19" t="s">
        <v>509</v>
      </c>
      <c r="F79" s="18" t="s">
        <v>88</v>
      </c>
      <c r="G79" s="18" t="s">
        <v>107</v>
      </c>
      <c r="H79" s="22" t="s">
        <v>3013</v>
      </c>
      <c r="I79" s="22" t="s">
        <v>3013</v>
      </c>
      <c r="J79" s="22" t="s">
        <v>3013</v>
      </c>
      <c r="K79" s="22" t="s">
        <v>3013</v>
      </c>
      <c r="L79" s="88">
        <v>3.88</v>
      </c>
      <c r="M79" s="22" t="s">
        <v>108</v>
      </c>
      <c r="N79" s="88" t="s">
        <v>304</v>
      </c>
      <c r="O79" s="22" t="s">
        <v>57</v>
      </c>
      <c r="P79" s="22" t="s">
        <v>108</v>
      </c>
      <c r="Q79" s="88">
        <v>0</v>
      </c>
      <c r="R79" s="89" t="s">
        <v>406</v>
      </c>
      <c r="S79" s="88" t="s">
        <v>406</v>
      </c>
      <c r="T79" s="89" t="s">
        <v>109</v>
      </c>
      <c r="U79" s="90" t="s">
        <v>109</v>
      </c>
      <c r="V79" s="22" t="s">
        <v>109</v>
      </c>
      <c r="W79" s="18" t="s">
        <v>304</v>
      </c>
      <c r="X79" s="19" t="s">
        <v>110</v>
      </c>
      <c r="Y79" s="18" t="s">
        <v>404</v>
      </c>
      <c r="Z79" s="18" t="s">
        <v>484</v>
      </c>
    </row>
    <row r="80" spans="1:26" ht="21.75" customHeight="1" x14ac:dyDescent="0.25">
      <c r="A80" s="18" t="s">
        <v>734</v>
      </c>
      <c r="B80" s="19" t="s">
        <v>735</v>
      </c>
      <c r="C80" s="18" t="s">
        <v>272</v>
      </c>
      <c r="D80" s="19" t="s">
        <v>342</v>
      </c>
      <c r="E80" s="19" t="s">
        <v>481</v>
      </c>
      <c r="F80" s="18" t="s">
        <v>683</v>
      </c>
      <c r="G80" s="18" t="s">
        <v>418</v>
      </c>
      <c r="H80" s="22" t="s">
        <v>3013</v>
      </c>
      <c r="I80" s="22" t="s">
        <v>3013</v>
      </c>
      <c r="J80" s="22" t="s">
        <v>3013</v>
      </c>
      <c r="K80" s="88" t="s">
        <v>92</v>
      </c>
      <c r="L80" s="88">
        <v>3.49</v>
      </c>
      <c r="M80" s="22" t="s">
        <v>58</v>
      </c>
      <c r="N80" s="88" t="s">
        <v>59</v>
      </c>
      <c r="O80" s="22" t="s">
        <v>57</v>
      </c>
      <c r="P80" s="22" t="s">
        <v>57</v>
      </c>
      <c r="Q80" s="88">
        <v>0</v>
      </c>
      <c r="R80" s="89" t="s">
        <v>420</v>
      </c>
      <c r="S80" s="88" t="s">
        <v>420</v>
      </c>
      <c r="T80" s="89" t="s">
        <v>61</v>
      </c>
      <c r="U80" s="90" t="s">
        <v>61</v>
      </c>
      <c r="V80" s="18" t="s">
        <v>61</v>
      </c>
      <c r="W80" s="18"/>
      <c r="X80" s="19"/>
      <c r="Y80" s="18" t="s">
        <v>417</v>
      </c>
      <c r="Z80" s="18" t="s">
        <v>484</v>
      </c>
    </row>
    <row r="81" spans="1:26" ht="21.75" customHeight="1" x14ac:dyDescent="0.25">
      <c r="A81" s="18" t="s">
        <v>742</v>
      </c>
      <c r="B81" s="19" t="s">
        <v>743</v>
      </c>
      <c r="C81" s="18" t="s">
        <v>272</v>
      </c>
      <c r="D81" s="19" t="s">
        <v>430</v>
      </c>
      <c r="E81" s="19" t="s">
        <v>481</v>
      </c>
      <c r="F81" s="18" t="s">
        <v>483</v>
      </c>
      <c r="G81" s="18" t="s">
        <v>345</v>
      </c>
      <c r="H81" s="22" t="s">
        <v>3013</v>
      </c>
      <c r="I81" s="22" t="s">
        <v>3013</v>
      </c>
      <c r="J81" s="22" t="s">
        <v>3013</v>
      </c>
      <c r="K81" s="88" t="s">
        <v>92</v>
      </c>
      <c r="L81" s="88">
        <v>3.81</v>
      </c>
      <c r="M81" s="22" t="s">
        <v>58</v>
      </c>
      <c r="N81" s="88" t="s">
        <v>59</v>
      </c>
      <c r="O81" s="22" t="s">
        <v>57</v>
      </c>
      <c r="P81" s="22" t="s">
        <v>57</v>
      </c>
      <c r="Q81" s="88">
        <v>0</v>
      </c>
      <c r="R81" s="89" t="s">
        <v>363</v>
      </c>
      <c r="S81" s="88" t="s">
        <v>363</v>
      </c>
      <c r="T81" s="89" t="s">
        <v>61</v>
      </c>
      <c r="U81" s="90" t="s">
        <v>61</v>
      </c>
      <c r="V81" s="18" t="s">
        <v>61</v>
      </c>
      <c r="W81" s="18"/>
      <c r="X81" s="19"/>
      <c r="Y81" s="18" t="s">
        <v>431</v>
      </c>
      <c r="Z81" s="18" t="s">
        <v>484</v>
      </c>
    </row>
    <row r="82" spans="1:26" ht="21.75" customHeight="1" x14ac:dyDescent="0.25">
      <c r="A82" s="18" t="s">
        <v>753</v>
      </c>
      <c r="B82" s="19" t="s">
        <v>754</v>
      </c>
      <c r="C82" s="18" t="s">
        <v>272</v>
      </c>
      <c r="D82" s="19" t="s">
        <v>430</v>
      </c>
      <c r="E82" s="19" t="s">
        <v>509</v>
      </c>
      <c r="F82" s="18" t="s">
        <v>564</v>
      </c>
      <c r="G82" s="18" t="s">
        <v>443</v>
      </c>
      <c r="H82" s="22" t="s">
        <v>3013</v>
      </c>
      <c r="I82" s="22" t="s">
        <v>3013</v>
      </c>
      <c r="J82" s="22" t="s">
        <v>3013</v>
      </c>
      <c r="K82" s="88" t="s">
        <v>92</v>
      </c>
      <c r="L82" s="88">
        <v>3.73</v>
      </c>
      <c r="M82" s="22" t="s">
        <v>58</v>
      </c>
      <c r="N82" s="88" t="s">
        <v>59</v>
      </c>
      <c r="O82" s="22" t="s">
        <v>57</v>
      </c>
      <c r="P82" s="22" t="s">
        <v>57</v>
      </c>
      <c r="Q82" s="88">
        <v>0</v>
      </c>
      <c r="R82" s="89" t="s">
        <v>347</v>
      </c>
      <c r="S82" s="88" t="s">
        <v>347</v>
      </c>
      <c r="T82" s="89" t="s">
        <v>92</v>
      </c>
      <c r="U82" s="90" t="s">
        <v>61</v>
      </c>
      <c r="V82" s="18" t="s">
        <v>61</v>
      </c>
      <c r="W82" s="18"/>
      <c r="X82" s="19"/>
      <c r="Y82" s="18" t="s">
        <v>442</v>
      </c>
      <c r="Z82" s="18" t="s">
        <v>484</v>
      </c>
    </row>
    <row r="83" spans="1:26" ht="21.75" customHeight="1" x14ac:dyDescent="0.25">
      <c r="A83" s="18" t="s">
        <v>763</v>
      </c>
      <c r="B83" s="19" t="s">
        <v>764</v>
      </c>
      <c r="C83" s="18" t="s">
        <v>272</v>
      </c>
      <c r="D83" s="19" t="s">
        <v>430</v>
      </c>
      <c r="E83" s="19" t="s">
        <v>499</v>
      </c>
      <c r="F83" s="18" t="s">
        <v>768</v>
      </c>
      <c r="G83" s="18" t="s">
        <v>418</v>
      </c>
      <c r="H83" s="22" t="s">
        <v>3013</v>
      </c>
      <c r="I83" s="22" t="s">
        <v>3013</v>
      </c>
      <c r="J83" s="22" t="s">
        <v>3013</v>
      </c>
      <c r="K83" s="88" t="s">
        <v>92</v>
      </c>
      <c r="L83" s="88">
        <v>3.55</v>
      </c>
      <c r="M83" s="22" t="s">
        <v>58</v>
      </c>
      <c r="N83" s="88" t="s">
        <v>59</v>
      </c>
      <c r="O83" s="22" t="s">
        <v>57</v>
      </c>
      <c r="P83" s="22" t="s">
        <v>57</v>
      </c>
      <c r="Q83" s="88">
        <v>0</v>
      </c>
      <c r="R83" s="89" t="s">
        <v>458</v>
      </c>
      <c r="S83" s="88" t="s">
        <v>458</v>
      </c>
      <c r="T83" s="89" t="s">
        <v>61</v>
      </c>
      <c r="U83" s="90" t="s">
        <v>61</v>
      </c>
      <c r="V83" s="18" t="s">
        <v>61</v>
      </c>
      <c r="W83" s="18"/>
      <c r="X83" s="19"/>
      <c r="Y83" s="18" t="s">
        <v>456</v>
      </c>
      <c r="Z83" s="18" t="s">
        <v>484</v>
      </c>
    </row>
    <row r="84" spans="1:26" ht="21.75" customHeight="1" x14ac:dyDescent="0.25">
      <c r="A84" s="18" t="s">
        <v>773</v>
      </c>
      <c r="B84" s="19" t="s">
        <v>774</v>
      </c>
      <c r="C84" s="18" t="s">
        <v>272</v>
      </c>
      <c r="D84" s="19" t="s">
        <v>430</v>
      </c>
      <c r="E84" s="19" t="s">
        <v>491</v>
      </c>
      <c r="F84" s="18" t="s">
        <v>141</v>
      </c>
      <c r="G84" s="18" t="s">
        <v>361</v>
      </c>
      <c r="H84" s="22" t="s">
        <v>3013</v>
      </c>
      <c r="I84" s="22" t="s">
        <v>3013</v>
      </c>
      <c r="J84" s="22" t="s">
        <v>3013</v>
      </c>
      <c r="K84" s="88" t="s">
        <v>92</v>
      </c>
      <c r="L84" s="88">
        <v>3.38</v>
      </c>
      <c r="M84" s="22" t="s">
        <v>58</v>
      </c>
      <c r="N84" s="88" t="s">
        <v>59</v>
      </c>
      <c r="O84" s="22" t="s">
        <v>57</v>
      </c>
      <c r="P84" s="22" t="s">
        <v>57</v>
      </c>
      <c r="Q84" s="88">
        <v>0</v>
      </c>
      <c r="R84" s="89" t="s">
        <v>470</v>
      </c>
      <c r="S84" s="88" t="s">
        <v>470</v>
      </c>
      <c r="T84" s="89" t="s">
        <v>61</v>
      </c>
      <c r="U84" s="90" t="s">
        <v>61</v>
      </c>
      <c r="V84" s="18" t="s">
        <v>61</v>
      </c>
      <c r="W84" s="18"/>
      <c r="X84" s="19"/>
      <c r="Y84" s="18" t="s">
        <v>468</v>
      </c>
      <c r="Z84" s="18" t="s">
        <v>484</v>
      </c>
    </row>
    <row r="85" spans="1:26" ht="21.75" customHeight="1" x14ac:dyDescent="0.25">
      <c r="A85" s="18" t="s">
        <v>782</v>
      </c>
      <c r="B85" s="19" t="s">
        <v>783</v>
      </c>
      <c r="C85" s="18" t="s">
        <v>54</v>
      </c>
      <c r="D85" s="19" t="s">
        <v>132</v>
      </c>
      <c r="E85" s="19" t="s">
        <v>134</v>
      </c>
      <c r="F85" s="18" t="s">
        <v>483</v>
      </c>
      <c r="G85" s="18" t="s">
        <v>56</v>
      </c>
      <c r="H85" s="22" t="s">
        <v>3013</v>
      </c>
      <c r="I85" s="22" t="s">
        <v>3013</v>
      </c>
      <c r="J85" s="22" t="s">
        <v>3013</v>
      </c>
      <c r="K85" s="88" t="s">
        <v>92</v>
      </c>
      <c r="L85" s="88">
        <v>3.41</v>
      </c>
      <c r="M85" s="22" t="s">
        <v>58</v>
      </c>
      <c r="N85" s="88" t="s">
        <v>59</v>
      </c>
      <c r="O85" s="22" t="s">
        <v>57</v>
      </c>
      <c r="P85" s="22" t="s">
        <v>57</v>
      </c>
      <c r="Q85" s="88">
        <v>0</v>
      </c>
      <c r="R85" s="89" t="s">
        <v>60</v>
      </c>
      <c r="S85" s="88" t="s">
        <v>3014</v>
      </c>
      <c r="T85" s="89" t="s">
        <v>60</v>
      </c>
      <c r="U85" s="90" t="s">
        <v>60</v>
      </c>
      <c r="V85" s="18" t="s">
        <v>61</v>
      </c>
      <c r="W85" s="18"/>
      <c r="X85" s="19"/>
      <c r="Y85" s="18" t="s">
        <v>55</v>
      </c>
      <c r="Z85" s="18" t="s">
        <v>786</v>
      </c>
    </row>
    <row r="86" spans="1:26" ht="32.25" customHeight="1" x14ac:dyDescent="0.25">
      <c r="A86" s="18" t="s">
        <v>787</v>
      </c>
      <c r="B86" s="19" t="s">
        <v>788</v>
      </c>
      <c r="C86" s="18" t="s">
        <v>54</v>
      </c>
      <c r="D86" s="19" t="s">
        <v>791</v>
      </c>
      <c r="E86" s="19" t="s">
        <v>793</v>
      </c>
      <c r="F86" s="18" t="s">
        <v>493</v>
      </c>
      <c r="G86" s="18" t="s">
        <v>78</v>
      </c>
      <c r="H86" s="22" t="s">
        <v>3013</v>
      </c>
      <c r="I86" s="22" t="s">
        <v>3013</v>
      </c>
      <c r="J86" s="22" t="s">
        <v>3013</v>
      </c>
      <c r="K86" s="88" t="s">
        <v>445</v>
      </c>
      <c r="L86" s="88">
        <v>3.09</v>
      </c>
      <c r="M86" s="22" t="s">
        <v>58</v>
      </c>
      <c r="N86" s="88" t="s">
        <v>59</v>
      </c>
      <c r="O86" s="22" t="s">
        <v>57</v>
      </c>
      <c r="P86" s="22" t="s">
        <v>57</v>
      </c>
      <c r="Q86" s="88">
        <v>0</v>
      </c>
      <c r="R86" s="89" t="s">
        <v>60</v>
      </c>
      <c r="S86" s="88" t="s">
        <v>3015</v>
      </c>
      <c r="T86" s="89" t="s">
        <v>60</v>
      </c>
      <c r="U86" s="90" t="s">
        <v>60</v>
      </c>
      <c r="V86" s="18" t="s">
        <v>61</v>
      </c>
      <c r="W86" s="18"/>
      <c r="X86" s="19"/>
      <c r="Y86" s="18" t="s">
        <v>77</v>
      </c>
      <c r="Z86" s="18" t="s">
        <v>786</v>
      </c>
    </row>
    <row r="87" spans="1:26" ht="32.25" customHeight="1" x14ac:dyDescent="0.25">
      <c r="A87" s="18" t="s">
        <v>794</v>
      </c>
      <c r="B87" s="19" t="s">
        <v>795</v>
      </c>
      <c r="C87" s="18" t="s">
        <v>54</v>
      </c>
      <c r="D87" s="19" t="s">
        <v>71</v>
      </c>
      <c r="E87" s="19" t="s">
        <v>800</v>
      </c>
      <c r="F87" s="18" t="s">
        <v>501</v>
      </c>
      <c r="G87" s="18" t="s">
        <v>91</v>
      </c>
      <c r="H87" s="22" t="s">
        <v>3013</v>
      </c>
      <c r="I87" s="22" t="s">
        <v>3013</v>
      </c>
      <c r="J87" s="22" t="s">
        <v>3013</v>
      </c>
      <c r="K87" s="22" t="s">
        <v>3013</v>
      </c>
      <c r="L87" s="88">
        <v>3.52</v>
      </c>
      <c r="M87" s="22" t="s">
        <v>58</v>
      </c>
      <c r="N87" s="88" t="s">
        <v>59</v>
      </c>
      <c r="O87" s="22" t="s">
        <v>57</v>
      </c>
      <c r="P87" s="22" t="s">
        <v>57</v>
      </c>
      <c r="Q87" s="88">
        <v>0</v>
      </c>
      <c r="R87" s="89" t="s">
        <v>60</v>
      </c>
      <c r="S87" s="88" t="s">
        <v>3016</v>
      </c>
      <c r="T87" s="89" t="s">
        <v>60</v>
      </c>
      <c r="U87" s="90" t="s">
        <v>60</v>
      </c>
      <c r="V87" s="88" t="s">
        <v>92</v>
      </c>
      <c r="W87" s="18"/>
      <c r="X87" s="19"/>
      <c r="Y87" s="18" t="s">
        <v>90</v>
      </c>
      <c r="Z87" s="18" t="s">
        <v>786</v>
      </c>
    </row>
    <row r="88" spans="1:26" ht="21.75" customHeight="1" x14ac:dyDescent="0.25">
      <c r="A88" s="18" t="s">
        <v>803</v>
      </c>
      <c r="B88" s="19" t="s">
        <v>804</v>
      </c>
      <c r="C88" s="18" t="s">
        <v>54</v>
      </c>
      <c r="D88" s="19" t="s">
        <v>46</v>
      </c>
      <c r="E88" s="19" t="s">
        <v>808</v>
      </c>
      <c r="F88" s="18" t="s">
        <v>511</v>
      </c>
      <c r="G88" s="18" t="s">
        <v>107</v>
      </c>
      <c r="H88" s="22" t="s">
        <v>3013</v>
      </c>
      <c r="I88" s="22" t="s">
        <v>3013</v>
      </c>
      <c r="J88" s="22" t="s">
        <v>3013</v>
      </c>
      <c r="K88" s="22" t="s">
        <v>3013</v>
      </c>
      <c r="L88" s="88">
        <v>3.87</v>
      </c>
      <c r="M88" s="22" t="s">
        <v>108</v>
      </c>
      <c r="N88" s="88" t="s">
        <v>59</v>
      </c>
      <c r="O88" s="22" t="s">
        <v>57</v>
      </c>
      <c r="P88" s="22" t="s">
        <v>108</v>
      </c>
      <c r="Q88" s="88">
        <v>0</v>
      </c>
      <c r="R88" s="89" t="s">
        <v>60</v>
      </c>
      <c r="S88" s="88" t="s">
        <v>3016</v>
      </c>
      <c r="T88" s="89" t="s">
        <v>60</v>
      </c>
      <c r="U88" s="90" t="s">
        <v>60</v>
      </c>
      <c r="V88" s="22" t="s">
        <v>109</v>
      </c>
      <c r="W88" s="18" t="s">
        <v>59</v>
      </c>
      <c r="X88" s="19" t="s">
        <v>110</v>
      </c>
      <c r="Y88" s="18" t="s">
        <v>106</v>
      </c>
      <c r="Z88" s="18" t="s">
        <v>786</v>
      </c>
    </row>
    <row r="89" spans="1:26" ht="21.75" customHeight="1" x14ac:dyDescent="0.25">
      <c r="A89" s="18" t="s">
        <v>809</v>
      </c>
      <c r="B89" s="19" t="s">
        <v>810</v>
      </c>
      <c r="C89" s="18" t="s">
        <v>54</v>
      </c>
      <c r="D89" s="19" t="s">
        <v>71</v>
      </c>
      <c r="E89" s="19" t="s">
        <v>813</v>
      </c>
      <c r="F89" s="18" t="s">
        <v>519</v>
      </c>
      <c r="G89" s="18" t="s">
        <v>123</v>
      </c>
      <c r="H89" s="88" t="s">
        <v>92</v>
      </c>
      <c r="I89" s="88" t="s">
        <v>92</v>
      </c>
      <c r="J89" s="88" t="s">
        <v>445</v>
      </c>
      <c r="K89" s="88" t="s">
        <v>445</v>
      </c>
      <c r="L89" s="88">
        <v>2.31</v>
      </c>
      <c r="M89" s="22" t="s">
        <v>119</v>
      </c>
      <c r="N89" s="88" t="s">
        <v>125</v>
      </c>
      <c r="O89" s="22" t="s">
        <v>124</v>
      </c>
      <c r="P89" s="22" t="s">
        <v>124</v>
      </c>
      <c r="Q89" s="88">
        <v>35000</v>
      </c>
      <c r="R89" s="89" t="s">
        <v>60</v>
      </c>
      <c r="S89" s="88" t="s">
        <v>3017</v>
      </c>
      <c r="T89" s="89" t="s">
        <v>60</v>
      </c>
      <c r="U89" s="90" t="s">
        <v>60</v>
      </c>
      <c r="V89" s="26" t="s">
        <v>126</v>
      </c>
      <c r="W89" s="18"/>
      <c r="X89" s="19"/>
      <c r="Y89" s="18" t="s">
        <v>122</v>
      </c>
      <c r="Z89" s="18" t="s">
        <v>786</v>
      </c>
    </row>
    <row r="90" spans="1:26" ht="32.25" customHeight="1" x14ac:dyDescent="0.25">
      <c r="A90" s="18" t="s">
        <v>814</v>
      </c>
      <c r="B90" s="19" t="s">
        <v>815</v>
      </c>
      <c r="C90" s="18" t="s">
        <v>54</v>
      </c>
      <c r="D90" s="19" t="s">
        <v>46</v>
      </c>
      <c r="E90" s="19" t="s">
        <v>819</v>
      </c>
      <c r="F90" s="18" t="s">
        <v>483</v>
      </c>
      <c r="G90" s="18" t="s">
        <v>56</v>
      </c>
      <c r="H90" s="22" t="s">
        <v>3013</v>
      </c>
      <c r="I90" s="22" t="s">
        <v>3013</v>
      </c>
      <c r="J90" s="22" t="s">
        <v>3013</v>
      </c>
      <c r="K90" s="88" t="s">
        <v>92</v>
      </c>
      <c r="L90" s="88">
        <v>3.22</v>
      </c>
      <c r="M90" s="22" t="s">
        <v>58</v>
      </c>
      <c r="N90" s="88" t="s">
        <v>59</v>
      </c>
      <c r="O90" s="22" t="s">
        <v>57</v>
      </c>
      <c r="P90" s="22" t="s">
        <v>57</v>
      </c>
      <c r="Q90" s="88">
        <v>0</v>
      </c>
      <c r="R90" s="89" t="s">
        <v>60</v>
      </c>
      <c r="S90" s="88" t="s">
        <v>3014</v>
      </c>
      <c r="T90" s="89" t="s">
        <v>60</v>
      </c>
      <c r="U90" s="90" t="s">
        <v>60</v>
      </c>
      <c r="V90" s="18" t="s">
        <v>61</v>
      </c>
      <c r="W90" s="18"/>
      <c r="X90" s="19"/>
      <c r="Y90" s="18" t="s">
        <v>55</v>
      </c>
      <c r="Z90" s="18" t="s">
        <v>786</v>
      </c>
    </row>
    <row r="91" spans="1:26" ht="32.25" customHeight="1" x14ac:dyDescent="0.25">
      <c r="A91" s="18" t="s">
        <v>820</v>
      </c>
      <c r="B91" s="19" t="s">
        <v>821</v>
      </c>
      <c r="C91" s="18" t="s">
        <v>54</v>
      </c>
      <c r="D91" s="19" t="s">
        <v>791</v>
      </c>
      <c r="E91" s="19" t="s">
        <v>793</v>
      </c>
      <c r="F91" s="18" t="s">
        <v>493</v>
      </c>
      <c r="G91" s="18" t="s">
        <v>78</v>
      </c>
      <c r="H91" s="22" t="s">
        <v>3013</v>
      </c>
      <c r="I91" s="22" t="s">
        <v>3013</v>
      </c>
      <c r="J91" s="22" t="s">
        <v>3013</v>
      </c>
      <c r="K91" s="88" t="s">
        <v>445</v>
      </c>
      <c r="L91" s="88">
        <v>3.64</v>
      </c>
      <c r="M91" s="22" t="s">
        <v>58</v>
      </c>
      <c r="N91" s="88" t="s">
        <v>59</v>
      </c>
      <c r="O91" s="22" t="s">
        <v>57</v>
      </c>
      <c r="P91" s="22" t="s">
        <v>57</v>
      </c>
      <c r="Q91" s="88">
        <v>0</v>
      </c>
      <c r="R91" s="89" t="s">
        <v>60</v>
      </c>
      <c r="S91" s="88" t="s">
        <v>3015</v>
      </c>
      <c r="T91" s="89" t="s">
        <v>60</v>
      </c>
      <c r="U91" s="90" t="s">
        <v>60</v>
      </c>
      <c r="V91" s="18" t="s">
        <v>61</v>
      </c>
      <c r="W91" s="18"/>
      <c r="X91" s="19"/>
      <c r="Y91" s="18" t="s">
        <v>77</v>
      </c>
      <c r="Z91" s="18" t="s">
        <v>786</v>
      </c>
    </row>
    <row r="92" spans="1:26" ht="21.75" customHeight="1" x14ac:dyDescent="0.25">
      <c r="A92" s="18" t="s">
        <v>824</v>
      </c>
      <c r="B92" s="19" t="s">
        <v>825</v>
      </c>
      <c r="C92" s="18" t="s">
        <v>54</v>
      </c>
      <c r="D92" s="19" t="s">
        <v>132</v>
      </c>
      <c r="E92" s="19" t="s">
        <v>134</v>
      </c>
      <c r="F92" s="18" t="s">
        <v>501</v>
      </c>
      <c r="G92" s="18" t="s">
        <v>91</v>
      </c>
      <c r="H92" s="22" t="s">
        <v>3013</v>
      </c>
      <c r="I92" s="22" t="s">
        <v>3013</v>
      </c>
      <c r="J92" s="22" t="s">
        <v>3013</v>
      </c>
      <c r="K92" s="22" t="s">
        <v>3013</v>
      </c>
      <c r="L92" s="88">
        <v>3.17</v>
      </c>
      <c r="M92" s="22" t="s">
        <v>58</v>
      </c>
      <c r="N92" s="88" t="s">
        <v>59</v>
      </c>
      <c r="O92" s="22" t="s">
        <v>57</v>
      </c>
      <c r="P92" s="22" t="s">
        <v>57</v>
      </c>
      <c r="Q92" s="88">
        <v>0</v>
      </c>
      <c r="R92" s="89" t="s">
        <v>60</v>
      </c>
      <c r="S92" s="88" t="s">
        <v>3016</v>
      </c>
      <c r="T92" s="89" t="s">
        <v>60</v>
      </c>
      <c r="U92" s="90" t="s">
        <v>60</v>
      </c>
      <c r="V92" s="88" t="s">
        <v>92</v>
      </c>
      <c r="W92" s="18"/>
      <c r="X92" s="19"/>
      <c r="Y92" s="18" t="s">
        <v>90</v>
      </c>
      <c r="Z92" s="18" t="s">
        <v>786</v>
      </c>
    </row>
    <row r="93" spans="1:26" ht="32.25" customHeight="1" x14ac:dyDescent="0.25">
      <c r="A93" s="18" t="s">
        <v>830</v>
      </c>
      <c r="B93" s="19" t="s">
        <v>831</v>
      </c>
      <c r="C93" s="18" t="s">
        <v>54</v>
      </c>
      <c r="D93" s="19" t="s">
        <v>46</v>
      </c>
      <c r="E93" s="19" t="s">
        <v>819</v>
      </c>
      <c r="F93" s="18" t="s">
        <v>343</v>
      </c>
      <c r="G93" s="18" t="s">
        <v>56</v>
      </c>
      <c r="H93" s="22" t="s">
        <v>3013</v>
      </c>
      <c r="I93" s="22" t="s">
        <v>3013</v>
      </c>
      <c r="J93" s="22" t="s">
        <v>3013</v>
      </c>
      <c r="K93" s="88" t="s">
        <v>92</v>
      </c>
      <c r="L93" s="88">
        <v>2.78</v>
      </c>
      <c r="M93" s="22" t="s">
        <v>58</v>
      </c>
      <c r="N93" s="88" t="s">
        <v>59</v>
      </c>
      <c r="O93" s="22" t="s">
        <v>160</v>
      </c>
      <c r="P93" s="22" t="s">
        <v>160</v>
      </c>
      <c r="Q93" s="88">
        <v>0</v>
      </c>
      <c r="R93" s="89" t="s">
        <v>60</v>
      </c>
      <c r="S93" s="88" t="s">
        <v>3014</v>
      </c>
      <c r="T93" s="89" t="s">
        <v>60</v>
      </c>
      <c r="U93" s="90" t="s">
        <v>60</v>
      </c>
      <c r="V93" s="18" t="s">
        <v>61</v>
      </c>
      <c r="W93" s="18"/>
      <c r="X93" s="19"/>
      <c r="Y93" s="18" t="s">
        <v>159</v>
      </c>
      <c r="Z93" s="18" t="s">
        <v>786</v>
      </c>
    </row>
    <row r="94" spans="1:26" ht="32.25" customHeight="1" x14ac:dyDescent="0.25">
      <c r="A94" s="18" t="s">
        <v>834</v>
      </c>
      <c r="B94" s="19" t="s">
        <v>835</v>
      </c>
      <c r="C94" s="18" t="s">
        <v>54</v>
      </c>
      <c r="D94" s="19" t="s">
        <v>71</v>
      </c>
      <c r="E94" s="19" t="s">
        <v>800</v>
      </c>
      <c r="F94" s="18" t="s">
        <v>519</v>
      </c>
      <c r="G94" s="18" t="s">
        <v>123</v>
      </c>
      <c r="H94" s="88" t="s">
        <v>92</v>
      </c>
      <c r="I94" s="88" t="s">
        <v>92</v>
      </c>
      <c r="J94" s="88" t="s">
        <v>445</v>
      </c>
      <c r="K94" s="88" t="s">
        <v>445</v>
      </c>
      <c r="L94" s="88">
        <v>3.45</v>
      </c>
      <c r="M94" s="22" t="s">
        <v>58</v>
      </c>
      <c r="N94" s="88" t="s">
        <v>59</v>
      </c>
      <c r="O94" s="22" t="s">
        <v>57</v>
      </c>
      <c r="P94" s="22" t="s">
        <v>57</v>
      </c>
      <c r="Q94" s="88">
        <v>0</v>
      </c>
      <c r="R94" s="89" t="s">
        <v>60</v>
      </c>
      <c r="S94" s="88" t="s">
        <v>3017</v>
      </c>
      <c r="T94" s="89" t="s">
        <v>60</v>
      </c>
      <c r="U94" s="90" t="s">
        <v>60</v>
      </c>
      <c r="V94" s="18" t="s">
        <v>61</v>
      </c>
      <c r="W94" s="18"/>
      <c r="X94" s="19"/>
      <c r="Y94" s="18" t="s">
        <v>167</v>
      </c>
      <c r="Z94" s="18" t="s">
        <v>786</v>
      </c>
    </row>
    <row r="95" spans="1:26" ht="21.75" customHeight="1" x14ac:dyDescent="0.25">
      <c r="A95" s="18" t="s">
        <v>838</v>
      </c>
      <c r="B95" s="19" t="s">
        <v>839</v>
      </c>
      <c r="C95" s="18" t="s">
        <v>54</v>
      </c>
      <c r="D95" s="19" t="s">
        <v>46</v>
      </c>
      <c r="E95" s="19" t="s">
        <v>808</v>
      </c>
      <c r="F95" s="18" t="s">
        <v>558</v>
      </c>
      <c r="G95" s="18" t="s">
        <v>78</v>
      </c>
      <c r="H95" s="22" t="s">
        <v>3013</v>
      </c>
      <c r="I95" s="22" t="s">
        <v>3013</v>
      </c>
      <c r="J95" s="22" t="s">
        <v>3013</v>
      </c>
      <c r="K95" s="88" t="s">
        <v>445</v>
      </c>
      <c r="L95" s="88">
        <v>3.06</v>
      </c>
      <c r="M95" s="22" t="s">
        <v>58</v>
      </c>
      <c r="N95" s="88" t="s">
        <v>59</v>
      </c>
      <c r="O95" s="22" t="s">
        <v>57</v>
      </c>
      <c r="P95" s="22" t="s">
        <v>57</v>
      </c>
      <c r="Q95" s="88">
        <v>0</v>
      </c>
      <c r="R95" s="89" t="s">
        <v>60</v>
      </c>
      <c r="S95" s="88" t="s">
        <v>3015</v>
      </c>
      <c r="T95" s="89" t="s">
        <v>60</v>
      </c>
      <c r="U95" s="90" t="s">
        <v>60</v>
      </c>
      <c r="V95" s="18" t="s">
        <v>61</v>
      </c>
      <c r="W95" s="18"/>
      <c r="X95" s="19"/>
      <c r="Y95" s="18" t="s">
        <v>77</v>
      </c>
      <c r="Z95" s="18" t="s">
        <v>786</v>
      </c>
    </row>
    <row r="96" spans="1:26" ht="21.75" customHeight="1" x14ac:dyDescent="0.25">
      <c r="A96" s="18" t="s">
        <v>842</v>
      </c>
      <c r="B96" s="19" t="s">
        <v>843</v>
      </c>
      <c r="C96" s="18" t="s">
        <v>54</v>
      </c>
      <c r="D96" s="19" t="s">
        <v>132</v>
      </c>
      <c r="E96" s="19" t="s">
        <v>134</v>
      </c>
      <c r="F96" s="18" t="s">
        <v>564</v>
      </c>
      <c r="G96" s="18" t="s">
        <v>107</v>
      </c>
      <c r="H96" s="22" t="s">
        <v>3013</v>
      </c>
      <c r="I96" s="22" t="s">
        <v>3013</v>
      </c>
      <c r="J96" s="22" t="s">
        <v>3013</v>
      </c>
      <c r="K96" s="22" t="s">
        <v>3013</v>
      </c>
      <c r="L96" s="88">
        <v>2.61</v>
      </c>
      <c r="M96" s="22" t="s">
        <v>108</v>
      </c>
      <c r="N96" s="88" t="s">
        <v>59</v>
      </c>
      <c r="O96" s="22" t="s">
        <v>57</v>
      </c>
      <c r="P96" s="22" t="s">
        <v>108</v>
      </c>
      <c r="Q96" s="88">
        <v>0</v>
      </c>
      <c r="R96" s="89" t="s">
        <v>60</v>
      </c>
      <c r="S96" s="88" t="s">
        <v>3016</v>
      </c>
      <c r="T96" s="89" t="s">
        <v>60</v>
      </c>
      <c r="U96" s="90" t="s">
        <v>60</v>
      </c>
      <c r="V96" s="22" t="s">
        <v>109</v>
      </c>
      <c r="W96" s="18" t="s">
        <v>59</v>
      </c>
      <c r="X96" s="19" t="s">
        <v>110</v>
      </c>
      <c r="Y96" s="18" t="s">
        <v>106</v>
      </c>
      <c r="Z96" s="18" t="s">
        <v>786</v>
      </c>
    </row>
    <row r="97" spans="1:26" ht="21.75" customHeight="1" x14ac:dyDescent="0.25">
      <c r="A97" s="18" t="s">
        <v>848</v>
      </c>
      <c r="B97" s="19" t="s">
        <v>849</v>
      </c>
      <c r="C97" s="18" t="s">
        <v>54</v>
      </c>
      <c r="D97" s="19" t="s">
        <v>71</v>
      </c>
      <c r="E97" s="19" t="s">
        <v>813</v>
      </c>
      <c r="F97" s="18" t="s">
        <v>52</v>
      </c>
      <c r="G97" s="18" t="s">
        <v>56</v>
      </c>
      <c r="H97" s="22" t="s">
        <v>3013</v>
      </c>
      <c r="I97" s="22" t="s">
        <v>3013</v>
      </c>
      <c r="J97" s="22" t="s">
        <v>3013</v>
      </c>
      <c r="K97" s="88" t="s">
        <v>92</v>
      </c>
      <c r="L97" s="88">
        <v>3.48</v>
      </c>
      <c r="M97" s="22" t="s">
        <v>58</v>
      </c>
      <c r="N97" s="88" t="s">
        <v>59</v>
      </c>
      <c r="O97" s="22" t="s">
        <v>57</v>
      </c>
      <c r="P97" s="22" t="s">
        <v>57</v>
      </c>
      <c r="Q97" s="88">
        <v>0</v>
      </c>
      <c r="R97" s="89" t="s">
        <v>60</v>
      </c>
      <c r="S97" s="88" t="s">
        <v>3014</v>
      </c>
      <c r="T97" s="89" t="s">
        <v>60</v>
      </c>
      <c r="U97" s="90" t="s">
        <v>60</v>
      </c>
      <c r="V97" s="18" t="s">
        <v>61</v>
      </c>
      <c r="W97" s="18"/>
      <c r="X97" s="19"/>
      <c r="Y97" s="18" t="s">
        <v>55</v>
      </c>
      <c r="Z97" s="18" t="s">
        <v>786</v>
      </c>
    </row>
    <row r="98" spans="1:26" ht="32.25" customHeight="1" x14ac:dyDescent="0.25">
      <c r="A98" s="18" t="s">
        <v>852</v>
      </c>
      <c r="B98" s="19" t="s">
        <v>853</v>
      </c>
      <c r="C98" s="18" t="s">
        <v>54</v>
      </c>
      <c r="D98" s="19" t="s">
        <v>46</v>
      </c>
      <c r="E98" s="19" t="s">
        <v>819</v>
      </c>
      <c r="F98" s="18" t="s">
        <v>511</v>
      </c>
      <c r="G98" s="18" t="s">
        <v>91</v>
      </c>
      <c r="H98" s="22" t="s">
        <v>3013</v>
      </c>
      <c r="I98" s="22" t="s">
        <v>3013</v>
      </c>
      <c r="J98" s="22" t="s">
        <v>3013</v>
      </c>
      <c r="K98" s="22" t="s">
        <v>3013</v>
      </c>
      <c r="L98" s="88">
        <v>1.96</v>
      </c>
      <c r="M98" s="22" t="s">
        <v>195</v>
      </c>
      <c r="N98" s="88" t="s">
        <v>125</v>
      </c>
      <c r="O98" s="22" t="s">
        <v>197</v>
      </c>
      <c r="P98" s="22" t="s">
        <v>197</v>
      </c>
      <c r="Q98" s="88">
        <v>75000</v>
      </c>
      <c r="R98" s="89" t="s">
        <v>60</v>
      </c>
      <c r="S98" s="88" t="s">
        <v>3016</v>
      </c>
      <c r="T98" s="89" t="s">
        <v>60</v>
      </c>
      <c r="U98" s="90" t="s">
        <v>60</v>
      </c>
      <c r="V98" s="26" t="s">
        <v>126</v>
      </c>
      <c r="W98" s="18"/>
      <c r="X98" s="19"/>
      <c r="Y98" s="18" t="s">
        <v>196</v>
      </c>
      <c r="Z98" s="18" t="s">
        <v>786</v>
      </c>
    </row>
    <row r="99" spans="1:26" ht="21.75" customHeight="1" x14ac:dyDescent="0.25">
      <c r="A99" s="18" t="s">
        <v>857</v>
      </c>
      <c r="B99" s="19" t="s">
        <v>858</v>
      </c>
      <c r="C99" s="18" t="s">
        <v>54</v>
      </c>
      <c r="D99" s="19" t="s">
        <v>46</v>
      </c>
      <c r="E99" s="19" t="s">
        <v>808</v>
      </c>
      <c r="F99" s="18" t="s">
        <v>519</v>
      </c>
      <c r="G99" s="18" t="s">
        <v>123</v>
      </c>
      <c r="H99" s="88" t="s">
        <v>92</v>
      </c>
      <c r="I99" s="88" t="s">
        <v>92</v>
      </c>
      <c r="J99" s="88" t="s">
        <v>445</v>
      </c>
      <c r="K99" s="88" t="s">
        <v>445</v>
      </c>
      <c r="L99" s="88">
        <v>3.71</v>
      </c>
      <c r="M99" s="22" t="s">
        <v>58</v>
      </c>
      <c r="N99" s="88" t="s">
        <v>59</v>
      </c>
      <c r="O99" s="22" t="s">
        <v>57</v>
      </c>
      <c r="P99" s="22" t="s">
        <v>57</v>
      </c>
      <c r="Q99" s="88">
        <v>0</v>
      </c>
      <c r="R99" s="89" t="s">
        <v>60</v>
      </c>
      <c r="S99" s="88" t="s">
        <v>3017</v>
      </c>
      <c r="T99" s="89" t="s">
        <v>60</v>
      </c>
      <c r="U99" s="90" t="s">
        <v>60</v>
      </c>
      <c r="V99" s="18" t="s">
        <v>61</v>
      </c>
      <c r="W99" s="18"/>
      <c r="X99" s="19"/>
      <c r="Y99" s="18" t="s">
        <v>167</v>
      </c>
      <c r="Z99" s="18" t="s">
        <v>786</v>
      </c>
    </row>
    <row r="100" spans="1:26" ht="32.25" customHeight="1" x14ac:dyDescent="0.25">
      <c r="A100" s="18" t="s">
        <v>862</v>
      </c>
      <c r="B100" s="19" t="s">
        <v>863</v>
      </c>
      <c r="C100" s="18" t="s">
        <v>54</v>
      </c>
      <c r="D100" s="19" t="s">
        <v>791</v>
      </c>
      <c r="E100" s="19" t="s">
        <v>793</v>
      </c>
      <c r="F100" s="18" t="s">
        <v>483</v>
      </c>
      <c r="G100" s="18" t="s">
        <v>56</v>
      </c>
      <c r="H100" s="22" t="s">
        <v>3013</v>
      </c>
      <c r="I100" s="22" t="s">
        <v>3013</v>
      </c>
      <c r="J100" s="22" t="s">
        <v>3013</v>
      </c>
      <c r="K100" s="88" t="s">
        <v>92</v>
      </c>
      <c r="L100" s="88">
        <v>3.13</v>
      </c>
      <c r="M100" s="22" t="s">
        <v>58</v>
      </c>
      <c r="N100" s="88" t="s">
        <v>59</v>
      </c>
      <c r="O100" s="22" t="s">
        <v>57</v>
      </c>
      <c r="P100" s="22" t="s">
        <v>57</v>
      </c>
      <c r="Q100" s="88">
        <v>0</v>
      </c>
      <c r="R100" s="89" t="s">
        <v>60</v>
      </c>
      <c r="S100" s="88" t="s">
        <v>3014</v>
      </c>
      <c r="T100" s="89" t="s">
        <v>60</v>
      </c>
      <c r="U100" s="90" t="s">
        <v>60</v>
      </c>
      <c r="V100" s="18" t="s">
        <v>61</v>
      </c>
      <c r="W100" s="18"/>
      <c r="X100" s="19"/>
      <c r="Y100" s="18" t="s">
        <v>55</v>
      </c>
      <c r="Z100" s="18" t="s">
        <v>786</v>
      </c>
    </row>
    <row r="101" spans="1:26" ht="21.75" customHeight="1" x14ac:dyDescent="0.25">
      <c r="A101" s="18" t="s">
        <v>867</v>
      </c>
      <c r="B101" s="19" t="s">
        <v>868</v>
      </c>
      <c r="C101" s="18" t="s">
        <v>54</v>
      </c>
      <c r="D101" s="19" t="s">
        <v>46</v>
      </c>
      <c r="E101" s="19" t="s">
        <v>808</v>
      </c>
      <c r="F101" s="18" t="s">
        <v>493</v>
      </c>
      <c r="G101" s="18" t="s">
        <v>78</v>
      </c>
      <c r="H101" s="22" t="s">
        <v>3013</v>
      </c>
      <c r="I101" s="22" t="s">
        <v>3013</v>
      </c>
      <c r="J101" s="22" t="s">
        <v>3013</v>
      </c>
      <c r="K101" s="88" t="s">
        <v>445</v>
      </c>
      <c r="L101" s="88">
        <v>3.59</v>
      </c>
      <c r="M101" s="22" t="s">
        <v>58</v>
      </c>
      <c r="N101" s="88" t="s">
        <v>59</v>
      </c>
      <c r="O101" s="22" t="s">
        <v>57</v>
      </c>
      <c r="P101" s="22" t="s">
        <v>57</v>
      </c>
      <c r="Q101" s="88">
        <v>0</v>
      </c>
      <c r="R101" s="89" t="s">
        <v>60</v>
      </c>
      <c r="S101" s="88" t="s">
        <v>3015</v>
      </c>
      <c r="T101" s="89" t="s">
        <v>60</v>
      </c>
      <c r="U101" s="90" t="s">
        <v>60</v>
      </c>
      <c r="V101" s="18" t="s">
        <v>61</v>
      </c>
      <c r="W101" s="18"/>
      <c r="X101" s="19"/>
      <c r="Y101" s="18" t="s">
        <v>77</v>
      </c>
      <c r="Z101" s="18" t="s">
        <v>786</v>
      </c>
    </row>
    <row r="102" spans="1:26" ht="21.75" customHeight="1" x14ac:dyDescent="0.25">
      <c r="A102" s="18" t="s">
        <v>874</v>
      </c>
      <c r="B102" s="19" t="s">
        <v>875</v>
      </c>
      <c r="C102" s="18" t="s">
        <v>54</v>
      </c>
      <c r="D102" s="19" t="s">
        <v>71</v>
      </c>
      <c r="E102" s="19" t="s">
        <v>813</v>
      </c>
      <c r="F102" s="18" t="s">
        <v>501</v>
      </c>
      <c r="G102" s="18" t="s">
        <v>91</v>
      </c>
      <c r="H102" s="22" t="s">
        <v>3013</v>
      </c>
      <c r="I102" s="22" t="s">
        <v>3013</v>
      </c>
      <c r="J102" s="22" t="s">
        <v>3013</v>
      </c>
      <c r="K102" s="22" t="s">
        <v>3013</v>
      </c>
      <c r="L102" s="88">
        <v>2.97</v>
      </c>
      <c r="M102" s="22" t="s">
        <v>58</v>
      </c>
      <c r="N102" s="88" t="s">
        <v>59</v>
      </c>
      <c r="O102" s="22" t="s">
        <v>57</v>
      </c>
      <c r="P102" s="22" t="s">
        <v>57</v>
      </c>
      <c r="Q102" s="88">
        <v>0</v>
      </c>
      <c r="R102" s="89" t="s">
        <v>60</v>
      </c>
      <c r="S102" s="88" t="s">
        <v>3016</v>
      </c>
      <c r="T102" s="89" t="s">
        <v>60</v>
      </c>
      <c r="U102" s="90" t="s">
        <v>60</v>
      </c>
      <c r="V102" s="88" t="s">
        <v>92</v>
      </c>
      <c r="W102" s="18"/>
      <c r="X102" s="19"/>
      <c r="Y102" s="18" t="s">
        <v>90</v>
      </c>
      <c r="Z102" s="18" t="s">
        <v>786</v>
      </c>
    </row>
    <row r="103" spans="1:26" ht="21.75" customHeight="1" x14ac:dyDescent="0.25">
      <c r="A103" s="18" t="s">
        <v>879</v>
      </c>
      <c r="B103" s="19" t="s">
        <v>880</v>
      </c>
      <c r="C103" s="18" t="s">
        <v>54</v>
      </c>
      <c r="D103" s="19" t="s">
        <v>132</v>
      </c>
      <c r="E103" s="19" t="s">
        <v>134</v>
      </c>
      <c r="F103" s="18" t="s">
        <v>343</v>
      </c>
      <c r="G103" s="18" t="s">
        <v>56</v>
      </c>
      <c r="H103" s="22" t="s">
        <v>3013</v>
      </c>
      <c r="I103" s="22" t="s">
        <v>3013</v>
      </c>
      <c r="J103" s="22" t="s">
        <v>3013</v>
      </c>
      <c r="K103" s="88" t="s">
        <v>92</v>
      </c>
      <c r="L103" s="88">
        <v>3.34</v>
      </c>
      <c r="M103" s="22" t="s">
        <v>58</v>
      </c>
      <c r="N103" s="88" t="s">
        <v>59</v>
      </c>
      <c r="O103" s="22" t="s">
        <v>57</v>
      </c>
      <c r="P103" s="22" t="s">
        <v>57</v>
      </c>
      <c r="Q103" s="88">
        <v>0</v>
      </c>
      <c r="R103" s="89" t="s">
        <v>60</v>
      </c>
      <c r="S103" s="88" t="s">
        <v>3014</v>
      </c>
      <c r="T103" s="89" t="s">
        <v>60</v>
      </c>
      <c r="U103" s="90" t="s">
        <v>60</v>
      </c>
      <c r="V103" s="18" t="s">
        <v>61</v>
      </c>
      <c r="W103" s="18"/>
      <c r="X103" s="19"/>
      <c r="Y103" s="18" t="s">
        <v>55</v>
      </c>
      <c r="Z103" s="18" t="s">
        <v>786</v>
      </c>
    </row>
    <row r="104" spans="1:26" ht="32.25" customHeight="1" x14ac:dyDescent="0.25">
      <c r="A104" s="18" t="s">
        <v>884</v>
      </c>
      <c r="B104" s="19" t="s">
        <v>885</v>
      </c>
      <c r="C104" s="18" t="s">
        <v>54</v>
      </c>
      <c r="D104" s="19" t="s">
        <v>46</v>
      </c>
      <c r="E104" s="19" t="s">
        <v>819</v>
      </c>
      <c r="F104" s="18" t="s">
        <v>519</v>
      </c>
      <c r="G104" s="18" t="s">
        <v>123</v>
      </c>
      <c r="H104" s="88" t="s">
        <v>92</v>
      </c>
      <c r="I104" s="88" t="s">
        <v>92</v>
      </c>
      <c r="J104" s="88" t="s">
        <v>445</v>
      </c>
      <c r="K104" s="88" t="s">
        <v>445</v>
      </c>
      <c r="L104" s="88">
        <v>2.2400000000000002</v>
      </c>
      <c r="M104" s="22" t="s">
        <v>119</v>
      </c>
      <c r="N104" s="88" t="s">
        <v>125</v>
      </c>
      <c r="O104" s="22" t="s">
        <v>124</v>
      </c>
      <c r="P104" s="22" t="s">
        <v>124</v>
      </c>
      <c r="Q104" s="88">
        <v>35000</v>
      </c>
      <c r="R104" s="89" t="s">
        <v>60</v>
      </c>
      <c r="S104" s="88" t="s">
        <v>3017</v>
      </c>
      <c r="T104" s="89" t="s">
        <v>60</v>
      </c>
      <c r="U104" s="90" t="s">
        <v>60</v>
      </c>
      <c r="V104" s="26" t="s">
        <v>126</v>
      </c>
      <c r="W104" s="18"/>
      <c r="X104" s="19"/>
      <c r="Y104" s="18" t="s">
        <v>122</v>
      </c>
      <c r="Z104" s="18" t="s">
        <v>786</v>
      </c>
    </row>
    <row r="105" spans="1:26" ht="32.25" customHeight="1" x14ac:dyDescent="0.25">
      <c r="A105" s="18" t="s">
        <v>890</v>
      </c>
      <c r="B105" s="19" t="s">
        <v>891</v>
      </c>
      <c r="C105" s="18" t="s">
        <v>54</v>
      </c>
      <c r="D105" s="19" t="s">
        <v>71</v>
      </c>
      <c r="E105" s="19" t="s">
        <v>800</v>
      </c>
      <c r="F105" s="18" t="s">
        <v>558</v>
      </c>
      <c r="G105" s="18" t="s">
        <v>78</v>
      </c>
      <c r="H105" s="22" t="s">
        <v>3013</v>
      </c>
      <c r="I105" s="22" t="s">
        <v>3013</v>
      </c>
      <c r="J105" s="22" t="s">
        <v>3013</v>
      </c>
      <c r="K105" s="88" t="s">
        <v>445</v>
      </c>
      <c r="L105" s="88">
        <v>3.37</v>
      </c>
      <c r="M105" s="22" t="s">
        <v>58</v>
      </c>
      <c r="N105" s="88" t="s">
        <v>59</v>
      </c>
      <c r="O105" s="22" t="s">
        <v>57</v>
      </c>
      <c r="P105" s="22" t="s">
        <v>57</v>
      </c>
      <c r="Q105" s="88">
        <v>0</v>
      </c>
      <c r="R105" s="89" t="s">
        <v>60</v>
      </c>
      <c r="S105" s="88" t="s">
        <v>3015</v>
      </c>
      <c r="T105" s="89" t="s">
        <v>60</v>
      </c>
      <c r="U105" s="90" t="s">
        <v>60</v>
      </c>
      <c r="V105" s="18" t="s">
        <v>61</v>
      </c>
      <c r="W105" s="18"/>
      <c r="X105" s="19"/>
      <c r="Y105" s="18" t="s">
        <v>77</v>
      </c>
      <c r="Z105" s="18" t="s">
        <v>786</v>
      </c>
    </row>
    <row r="106" spans="1:26" ht="21.75" customHeight="1" x14ac:dyDescent="0.25">
      <c r="A106" s="18" t="s">
        <v>896</v>
      </c>
      <c r="B106" s="19" t="s">
        <v>897</v>
      </c>
      <c r="C106" s="18" t="s">
        <v>54</v>
      </c>
      <c r="D106" s="19" t="s">
        <v>46</v>
      </c>
      <c r="E106" s="19" t="s">
        <v>808</v>
      </c>
      <c r="F106" s="18" t="s">
        <v>564</v>
      </c>
      <c r="G106" s="18" t="s">
        <v>91</v>
      </c>
      <c r="H106" s="22" t="s">
        <v>3013</v>
      </c>
      <c r="I106" s="22" t="s">
        <v>3013</v>
      </c>
      <c r="J106" s="22" t="s">
        <v>3013</v>
      </c>
      <c r="K106" s="22" t="s">
        <v>3013</v>
      </c>
      <c r="L106" s="88">
        <v>3.63</v>
      </c>
      <c r="M106" s="22" t="s">
        <v>58</v>
      </c>
      <c r="N106" s="88" t="s">
        <v>59</v>
      </c>
      <c r="O106" s="22" t="s">
        <v>57</v>
      </c>
      <c r="P106" s="22" t="s">
        <v>57</v>
      </c>
      <c r="Q106" s="88">
        <v>0</v>
      </c>
      <c r="R106" s="89" t="s">
        <v>60</v>
      </c>
      <c r="S106" s="88" t="s">
        <v>3016</v>
      </c>
      <c r="T106" s="89" t="s">
        <v>60</v>
      </c>
      <c r="U106" s="90" t="s">
        <v>60</v>
      </c>
      <c r="V106" s="88" t="s">
        <v>92</v>
      </c>
      <c r="W106" s="18"/>
      <c r="X106" s="19"/>
      <c r="Y106" s="18" t="s">
        <v>90</v>
      </c>
      <c r="Z106" s="18" t="s">
        <v>786</v>
      </c>
    </row>
    <row r="107" spans="1:26" ht="32.25" customHeight="1" x14ac:dyDescent="0.25">
      <c r="A107" s="18" t="s">
        <v>900</v>
      </c>
      <c r="B107" s="19" t="s">
        <v>901</v>
      </c>
      <c r="C107" s="18" t="s">
        <v>54</v>
      </c>
      <c r="D107" s="19" t="s">
        <v>791</v>
      </c>
      <c r="E107" s="19" t="s">
        <v>793</v>
      </c>
      <c r="F107" s="18" t="s">
        <v>52</v>
      </c>
      <c r="G107" s="18" t="s">
        <v>56</v>
      </c>
      <c r="H107" s="22" t="s">
        <v>3013</v>
      </c>
      <c r="I107" s="22" t="s">
        <v>3013</v>
      </c>
      <c r="J107" s="22" t="s">
        <v>3013</v>
      </c>
      <c r="K107" s="88" t="s">
        <v>92</v>
      </c>
      <c r="L107" s="88">
        <v>2.85</v>
      </c>
      <c r="M107" s="22" t="s">
        <v>58</v>
      </c>
      <c r="N107" s="88" t="s">
        <v>59</v>
      </c>
      <c r="O107" s="22" t="s">
        <v>160</v>
      </c>
      <c r="P107" s="22" t="s">
        <v>160</v>
      </c>
      <c r="Q107" s="88">
        <v>0</v>
      </c>
      <c r="R107" s="89" t="s">
        <v>60</v>
      </c>
      <c r="S107" s="88" t="s">
        <v>3014</v>
      </c>
      <c r="T107" s="89" t="s">
        <v>60</v>
      </c>
      <c r="U107" s="90" t="s">
        <v>60</v>
      </c>
      <c r="V107" s="18" t="s">
        <v>61</v>
      </c>
      <c r="W107" s="18"/>
      <c r="X107" s="19"/>
      <c r="Y107" s="18" t="s">
        <v>159</v>
      </c>
      <c r="Z107" s="18" t="s">
        <v>786</v>
      </c>
    </row>
    <row r="108" spans="1:26" ht="32.25" customHeight="1" x14ac:dyDescent="0.25">
      <c r="A108" s="18" t="s">
        <v>904</v>
      </c>
      <c r="B108" s="19" t="s">
        <v>905</v>
      </c>
      <c r="C108" s="18" t="s">
        <v>54</v>
      </c>
      <c r="D108" s="19" t="s">
        <v>46</v>
      </c>
      <c r="E108" s="19" t="s">
        <v>819</v>
      </c>
      <c r="F108" s="18" t="s">
        <v>141</v>
      </c>
      <c r="G108" s="18" t="s">
        <v>78</v>
      </c>
      <c r="H108" s="22" t="s">
        <v>3013</v>
      </c>
      <c r="I108" s="22" t="s">
        <v>3013</v>
      </c>
      <c r="J108" s="22" t="s">
        <v>3013</v>
      </c>
      <c r="K108" s="88" t="s">
        <v>445</v>
      </c>
      <c r="L108" s="88">
        <v>3.41</v>
      </c>
      <c r="M108" s="22" t="s">
        <v>58</v>
      </c>
      <c r="N108" s="88" t="s">
        <v>59</v>
      </c>
      <c r="O108" s="22" t="s">
        <v>57</v>
      </c>
      <c r="P108" s="22" t="s">
        <v>57</v>
      </c>
      <c r="Q108" s="88">
        <v>0</v>
      </c>
      <c r="R108" s="89" t="s">
        <v>60</v>
      </c>
      <c r="S108" s="88" t="s">
        <v>3015</v>
      </c>
      <c r="T108" s="89" t="s">
        <v>60</v>
      </c>
      <c r="U108" s="90" t="s">
        <v>60</v>
      </c>
      <c r="V108" s="18" t="s">
        <v>61</v>
      </c>
      <c r="W108" s="18"/>
      <c r="X108" s="19"/>
      <c r="Y108" s="18" t="s">
        <v>77</v>
      </c>
      <c r="Z108" s="18" t="s">
        <v>786</v>
      </c>
    </row>
    <row r="109" spans="1:26" ht="32.25" customHeight="1" x14ac:dyDescent="0.25">
      <c r="A109" s="18" t="s">
        <v>909</v>
      </c>
      <c r="B109" s="19" t="s">
        <v>910</v>
      </c>
      <c r="C109" s="18" t="s">
        <v>54</v>
      </c>
      <c r="D109" s="19" t="s">
        <v>71</v>
      </c>
      <c r="E109" s="19" t="s">
        <v>800</v>
      </c>
      <c r="F109" s="18" t="s">
        <v>519</v>
      </c>
      <c r="G109" s="18" t="s">
        <v>123</v>
      </c>
      <c r="H109" s="88" t="s">
        <v>92</v>
      </c>
      <c r="I109" s="88" t="s">
        <v>92</v>
      </c>
      <c r="J109" s="88" t="s">
        <v>445</v>
      </c>
      <c r="K109" s="88" t="s">
        <v>445</v>
      </c>
      <c r="L109" s="88">
        <v>3.56</v>
      </c>
      <c r="M109" s="22" t="s">
        <v>58</v>
      </c>
      <c r="N109" s="88" t="s">
        <v>59</v>
      </c>
      <c r="O109" s="22" t="s">
        <v>57</v>
      </c>
      <c r="P109" s="22" t="s">
        <v>57</v>
      </c>
      <c r="Q109" s="88">
        <v>0</v>
      </c>
      <c r="R109" s="89" t="s">
        <v>60</v>
      </c>
      <c r="S109" s="88" t="s">
        <v>3017</v>
      </c>
      <c r="T109" s="89" t="s">
        <v>60</v>
      </c>
      <c r="U109" s="90" t="s">
        <v>60</v>
      </c>
      <c r="V109" s="18" t="s">
        <v>61</v>
      </c>
      <c r="W109" s="18"/>
      <c r="X109" s="19"/>
      <c r="Y109" s="18" t="s">
        <v>167</v>
      </c>
      <c r="Z109" s="18" t="s">
        <v>786</v>
      </c>
    </row>
    <row r="110" spans="1:26" ht="21.75" customHeight="1" x14ac:dyDescent="0.25">
      <c r="A110" s="18" t="s">
        <v>913</v>
      </c>
      <c r="B110" s="19" t="s">
        <v>914</v>
      </c>
      <c r="C110" s="18" t="s">
        <v>272</v>
      </c>
      <c r="D110" s="19" t="s">
        <v>920</v>
      </c>
      <c r="E110" s="19" t="s">
        <v>134</v>
      </c>
      <c r="F110" s="18" t="s">
        <v>558</v>
      </c>
      <c r="G110" s="18" t="s">
        <v>78</v>
      </c>
      <c r="H110" s="22" t="s">
        <v>3013</v>
      </c>
      <c r="I110" s="22" t="s">
        <v>3013</v>
      </c>
      <c r="J110" s="88" t="s">
        <v>92</v>
      </c>
      <c r="K110" s="88" t="s">
        <v>445</v>
      </c>
      <c r="L110" s="88">
        <v>3.66</v>
      </c>
      <c r="M110" s="22" t="s">
        <v>58</v>
      </c>
      <c r="N110" s="88" t="s">
        <v>59</v>
      </c>
      <c r="O110" s="22" t="s">
        <v>57</v>
      </c>
      <c r="P110" s="22" t="s">
        <v>57</v>
      </c>
      <c r="Q110" s="88">
        <v>0</v>
      </c>
      <c r="R110" s="89" t="s">
        <v>60</v>
      </c>
      <c r="S110" s="88" t="s">
        <v>78</v>
      </c>
      <c r="T110" s="89" t="s">
        <v>60</v>
      </c>
      <c r="U110" s="90" t="s">
        <v>60</v>
      </c>
      <c r="V110" s="88" t="s">
        <v>92</v>
      </c>
      <c r="W110" s="18"/>
      <c r="X110" s="19"/>
      <c r="Y110" s="18" t="s">
        <v>274</v>
      </c>
      <c r="Z110" s="18" t="s">
        <v>786</v>
      </c>
    </row>
    <row r="111" spans="1:26" ht="32.25" customHeight="1" x14ac:dyDescent="0.25">
      <c r="A111" s="18" t="s">
        <v>923</v>
      </c>
      <c r="B111" s="19" t="s">
        <v>924</v>
      </c>
      <c r="C111" s="18" t="s">
        <v>272</v>
      </c>
      <c r="D111" s="19" t="s">
        <v>289</v>
      </c>
      <c r="E111" s="19" t="s">
        <v>793</v>
      </c>
      <c r="F111" s="18" t="s">
        <v>120</v>
      </c>
      <c r="G111" s="18" t="s">
        <v>123</v>
      </c>
      <c r="H111" s="22" t="s">
        <v>3013</v>
      </c>
      <c r="I111" s="88" t="s">
        <v>92</v>
      </c>
      <c r="J111" s="88" t="s">
        <v>445</v>
      </c>
      <c r="K111" s="88" t="s">
        <v>445</v>
      </c>
      <c r="L111" s="88">
        <v>3.29</v>
      </c>
      <c r="M111" s="22" t="s">
        <v>58</v>
      </c>
      <c r="N111" s="88" t="s">
        <v>59</v>
      </c>
      <c r="O111" s="22" t="s">
        <v>57</v>
      </c>
      <c r="P111" s="22" t="s">
        <v>57</v>
      </c>
      <c r="Q111" s="88">
        <v>0</v>
      </c>
      <c r="R111" s="89" t="s">
        <v>60</v>
      </c>
      <c r="S111" s="88" t="s">
        <v>123</v>
      </c>
      <c r="T111" s="89" t="s">
        <v>60</v>
      </c>
      <c r="U111" s="90" t="s">
        <v>60</v>
      </c>
      <c r="V111" s="18" t="s">
        <v>61</v>
      </c>
      <c r="W111" s="18"/>
      <c r="X111" s="19"/>
      <c r="Y111" s="18" t="s">
        <v>290</v>
      </c>
      <c r="Z111" s="18" t="s">
        <v>786</v>
      </c>
    </row>
    <row r="112" spans="1:26" ht="32.25" customHeight="1" x14ac:dyDescent="0.25">
      <c r="A112" s="18" t="s">
        <v>930</v>
      </c>
      <c r="B112" s="19" t="s">
        <v>931</v>
      </c>
      <c r="C112" s="18" t="s">
        <v>272</v>
      </c>
      <c r="D112" s="19" t="s">
        <v>302</v>
      </c>
      <c r="E112" s="19" t="s">
        <v>800</v>
      </c>
      <c r="F112" s="18" t="s">
        <v>75</v>
      </c>
      <c r="G112" s="18" t="s">
        <v>107</v>
      </c>
      <c r="H112" s="22" t="s">
        <v>3013</v>
      </c>
      <c r="I112" s="22" t="s">
        <v>3013</v>
      </c>
      <c r="J112" s="22" t="s">
        <v>3013</v>
      </c>
      <c r="K112" s="22" t="s">
        <v>3013</v>
      </c>
      <c r="L112" s="88">
        <v>3.57</v>
      </c>
      <c r="M112" s="22" t="s">
        <v>108</v>
      </c>
      <c r="N112" s="88" t="s">
        <v>304</v>
      </c>
      <c r="O112" s="22" t="s">
        <v>57</v>
      </c>
      <c r="P112" s="22" t="s">
        <v>108</v>
      </c>
      <c r="Q112" s="88">
        <v>0</v>
      </c>
      <c r="R112" s="89" t="s">
        <v>60</v>
      </c>
      <c r="S112" s="88" t="s">
        <v>107</v>
      </c>
      <c r="T112" s="89" t="s">
        <v>60</v>
      </c>
      <c r="U112" s="90" t="s">
        <v>60</v>
      </c>
      <c r="V112" s="22" t="s">
        <v>109</v>
      </c>
      <c r="W112" s="18" t="s">
        <v>304</v>
      </c>
      <c r="X112" s="19" t="s">
        <v>110</v>
      </c>
      <c r="Y112" s="18" t="s">
        <v>303</v>
      </c>
      <c r="Z112" s="18" t="s">
        <v>786</v>
      </c>
    </row>
    <row r="113" spans="1:26" ht="21.75" customHeight="1" x14ac:dyDescent="0.25">
      <c r="A113" s="18" t="s">
        <v>937</v>
      </c>
      <c r="B113" s="19" t="s">
        <v>938</v>
      </c>
      <c r="C113" s="18" t="s">
        <v>272</v>
      </c>
      <c r="D113" s="19" t="s">
        <v>273</v>
      </c>
      <c r="E113" s="19" t="s">
        <v>808</v>
      </c>
      <c r="F113" s="18" t="s">
        <v>666</v>
      </c>
      <c r="G113" s="18" t="s">
        <v>123</v>
      </c>
      <c r="H113" s="22" t="s">
        <v>3013</v>
      </c>
      <c r="I113" s="88" t="s">
        <v>92</v>
      </c>
      <c r="J113" s="88" t="s">
        <v>445</v>
      </c>
      <c r="K113" s="88" t="s">
        <v>445</v>
      </c>
      <c r="L113" s="88">
        <v>2.69</v>
      </c>
      <c r="M113" s="22" t="s">
        <v>119</v>
      </c>
      <c r="N113" s="88" t="s">
        <v>125</v>
      </c>
      <c r="O113" s="22" t="s">
        <v>124</v>
      </c>
      <c r="P113" s="22" t="s">
        <v>124</v>
      </c>
      <c r="Q113" s="88">
        <v>35000</v>
      </c>
      <c r="R113" s="89" t="s">
        <v>60</v>
      </c>
      <c r="S113" s="88" t="s">
        <v>123</v>
      </c>
      <c r="T113" s="89" t="s">
        <v>60</v>
      </c>
      <c r="U113" s="90" t="s">
        <v>60</v>
      </c>
      <c r="V113" s="26" t="s">
        <v>126</v>
      </c>
      <c r="W113" s="18"/>
      <c r="X113" s="19"/>
      <c r="Y113" s="18" t="s">
        <v>122</v>
      </c>
      <c r="Z113" s="18" t="s">
        <v>786</v>
      </c>
    </row>
    <row r="114" spans="1:26" ht="32.25" customHeight="1" x14ac:dyDescent="0.25">
      <c r="A114" s="18" t="s">
        <v>945</v>
      </c>
      <c r="B114" s="19" t="s">
        <v>946</v>
      </c>
      <c r="C114" s="18" t="s">
        <v>272</v>
      </c>
      <c r="D114" s="19" t="s">
        <v>273</v>
      </c>
      <c r="E114" s="19" t="s">
        <v>819</v>
      </c>
      <c r="F114" s="18" t="s">
        <v>675</v>
      </c>
      <c r="G114" s="18" t="s">
        <v>78</v>
      </c>
      <c r="H114" s="22" t="s">
        <v>3013</v>
      </c>
      <c r="I114" s="22" t="s">
        <v>3013</v>
      </c>
      <c r="J114" s="88" t="s">
        <v>92</v>
      </c>
      <c r="K114" s="88" t="s">
        <v>445</v>
      </c>
      <c r="L114" s="88">
        <v>3.48</v>
      </c>
      <c r="M114" s="22" t="s">
        <v>58</v>
      </c>
      <c r="N114" s="88" t="s">
        <v>59</v>
      </c>
      <c r="O114" s="22" t="s">
        <v>57</v>
      </c>
      <c r="P114" s="22" t="s">
        <v>57</v>
      </c>
      <c r="Q114" s="88">
        <v>0</v>
      </c>
      <c r="R114" s="89" t="s">
        <v>60</v>
      </c>
      <c r="S114" s="88" t="s">
        <v>78</v>
      </c>
      <c r="T114" s="89" t="s">
        <v>60</v>
      </c>
      <c r="U114" s="90" t="s">
        <v>60</v>
      </c>
      <c r="V114" s="88" t="s">
        <v>92</v>
      </c>
      <c r="W114" s="18"/>
      <c r="X114" s="19"/>
      <c r="Y114" s="18" t="s">
        <v>274</v>
      </c>
      <c r="Z114" s="18" t="s">
        <v>786</v>
      </c>
    </row>
    <row r="115" spans="1:26" ht="32.25" customHeight="1" x14ac:dyDescent="0.25">
      <c r="A115" s="18" t="s">
        <v>952</v>
      </c>
      <c r="B115" s="19" t="s">
        <v>953</v>
      </c>
      <c r="C115" s="18" t="s">
        <v>272</v>
      </c>
      <c r="D115" s="19" t="s">
        <v>289</v>
      </c>
      <c r="E115" s="19" t="s">
        <v>793</v>
      </c>
      <c r="F115" s="18" t="s">
        <v>683</v>
      </c>
      <c r="G115" s="18" t="s">
        <v>123</v>
      </c>
      <c r="H115" s="22" t="s">
        <v>3013</v>
      </c>
      <c r="I115" s="88" t="s">
        <v>92</v>
      </c>
      <c r="J115" s="88" t="s">
        <v>445</v>
      </c>
      <c r="K115" s="88" t="s">
        <v>445</v>
      </c>
      <c r="L115" s="88">
        <v>3.18</v>
      </c>
      <c r="M115" s="22" t="s">
        <v>58</v>
      </c>
      <c r="N115" s="88" t="s">
        <v>59</v>
      </c>
      <c r="O115" s="22" t="s">
        <v>57</v>
      </c>
      <c r="P115" s="22" t="s">
        <v>57</v>
      </c>
      <c r="Q115" s="88">
        <v>0</v>
      </c>
      <c r="R115" s="89" t="s">
        <v>60</v>
      </c>
      <c r="S115" s="88" t="s">
        <v>123</v>
      </c>
      <c r="T115" s="89" t="s">
        <v>60</v>
      </c>
      <c r="U115" s="90" t="s">
        <v>60</v>
      </c>
      <c r="V115" s="18" t="s">
        <v>61</v>
      </c>
      <c r="W115" s="18"/>
      <c r="X115" s="19"/>
      <c r="Y115" s="18" t="s">
        <v>290</v>
      </c>
      <c r="Z115" s="18" t="s">
        <v>786</v>
      </c>
    </row>
    <row r="116" spans="1:26" ht="32.25" customHeight="1" x14ac:dyDescent="0.25">
      <c r="A116" s="18" t="s">
        <v>958</v>
      </c>
      <c r="B116" s="19" t="s">
        <v>959</v>
      </c>
      <c r="C116" s="18" t="s">
        <v>272</v>
      </c>
      <c r="D116" s="19" t="s">
        <v>342</v>
      </c>
      <c r="E116" s="19" t="s">
        <v>819</v>
      </c>
      <c r="F116" s="18" t="s">
        <v>483</v>
      </c>
      <c r="G116" s="18" t="s">
        <v>345</v>
      </c>
      <c r="H116" s="22" t="s">
        <v>3013</v>
      </c>
      <c r="I116" s="22" t="s">
        <v>3013</v>
      </c>
      <c r="J116" s="22" t="s">
        <v>3013</v>
      </c>
      <c r="K116" s="88" t="s">
        <v>92</v>
      </c>
      <c r="L116" s="88">
        <v>3.79</v>
      </c>
      <c r="M116" s="22" t="s">
        <v>58</v>
      </c>
      <c r="N116" s="88" t="s">
        <v>59</v>
      </c>
      <c r="O116" s="22" t="s">
        <v>57</v>
      </c>
      <c r="P116" s="22" t="s">
        <v>57</v>
      </c>
      <c r="Q116" s="88">
        <v>0</v>
      </c>
      <c r="R116" s="89" t="s">
        <v>347</v>
      </c>
      <c r="S116" s="88" t="s">
        <v>347</v>
      </c>
      <c r="T116" s="89" t="s">
        <v>92</v>
      </c>
      <c r="U116" s="90" t="s">
        <v>61</v>
      </c>
      <c r="V116" s="18" t="s">
        <v>61</v>
      </c>
      <c r="W116" s="18"/>
      <c r="X116" s="19"/>
      <c r="Y116" s="18" t="s">
        <v>344</v>
      </c>
      <c r="Z116" s="18" t="s">
        <v>786</v>
      </c>
    </row>
    <row r="117" spans="1:26" ht="21.75" customHeight="1" x14ac:dyDescent="0.25">
      <c r="A117" s="18" t="s">
        <v>966</v>
      </c>
      <c r="B117" s="19" t="s">
        <v>967</v>
      </c>
      <c r="C117" s="18" t="s">
        <v>272</v>
      </c>
      <c r="D117" s="19" t="s">
        <v>342</v>
      </c>
      <c r="E117" s="19" t="s">
        <v>808</v>
      </c>
      <c r="F117" s="18" t="s">
        <v>493</v>
      </c>
      <c r="G117" s="18" t="s">
        <v>361</v>
      </c>
      <c r="H117" s="22" t="s">
        <v>3013</v>
      </c>
      <c r="I117" s="22" t="s">
        <v>3013</v>
      </c>
      <c r="J117" s="22" t="s">
        <v>3013</v>
      </c>
      <c r="K117" s="88" t="s">
        <v>92</v>
      </c>
      <c r="L117" s="88">
        <v>3.44</v>
      </c>
      <c r="M117" s="22" t="s">
        <v>58</v>
      </c>
      <c r="N117" s="88" t="s">
        <v>59</v>
      </c>
      <c r="O117" s="22" t="s">
        <v>57</v>
      </c>
      <c r="P117" s="22" t="s">
        <v>57</v>
      </c>
      <c r="Q117" s="88">
        <v>0</v>
      </c>
      <c r="R117" s="89" t="s">
        <v>363</v>
      </c>
      <c r="S117" s="88" t="s">
        <v>363</v>
      </c>
      <c r="T117" s="89" t="s">
        <v>61</v>
      </c>
      <c r="U117" s="90" t="s">
        <v>61</v>
      </c>
      <c r="V117" s="18" t="s">
        <v>61</v>
      </c>
      <c r="W117" s="18"/>
      <c r="X117" s="19"/>
      <c r="Y117" s="18" t="s">
        <v>360</v>
      </c>
      <c r="Z117" s="18" t="s">
        <v>786</v>
      </c>
    </row>
    <row r="118" spans="1:26" ht="21.75" customHeight="1" x14ac:dyDescent="0.25">
      <c r="A118" s="18" t="s">
        <v>975</v>
      </c>
      <c r="B118" s="19" t="s">
        <v>976</v>
      </c>
      <c r="C118" s="18" t="s">
        <v>272</v>
      </c>
      <c r="D118" s="19" t="s">
        <v>375</v>
      </c>
      <c r="E118" s="19" t="s">
        <v>134</v>
      </c>
      <c r="F118" s="18" t="s">
        <v>52</v>
      </c>
      <c r="G118" s="18" t="s">
        <v>345</v>
      </c>
      <c r="H118" s="22" t="s">
        <v>3013</v>
      </c>
      <c r="I118" s="22" t="s">
        <v>3013</v>
      </c>
      <c r="J118" s="22" t="s">
        <v>3013</v>
      </c>
      <c r="K118" s="88" t="s">
        <v>92</v>
      </c>
      <c r="L118" s="88">
        <v>3.52</v>
      </c>
      <c r="M118" s="22" t="s">
        <v>58</v>
      </c>
      <c r="N118" s="88" t="s">
        <v>59</v>
      </c>
      <c r="O118" s="22" t="s">
        <v>57</v>
      </c>
      <c r="P118" s="22" t="s">
        <v>57</v>
      </c>
      <c r="Q118" s="88">
        <v>0</v>
      </c>
      <c r="R118" s="89" t="s">
        <v>347</v>
      </c>
      <c r="S118" s="88" t="s">
        <v>347</v>
      </c>
      <c r="T118" s="89" t="s">
        <v>92</v>
      </c>
      <c r="U118" s="90" t="s">
        <v>61</v>
      </c>
      <c r="V118" s="18" t="s">
        <v>61</v>
      </c>
      <c r="W118" s="18"/>
      <c r="X118" s="19"/>
      <c r="Y118" s="18" t="s">
        <v>344</v>
      </c>
      <c r="Z118" s="18" t="s">
        <v>786</v>
      </c>
    </row>
    <row r="119" spans="1:26" ht="32.25" customHeight="1" x14ac:dyDescent="0.25">
      <c r="A119" s="18" t="s">
        <v>983</v>
      </c>
      <c r="B119" s="19" t="s">
        <v>984</v>
      </c>
      <c r="C119" s="18" t="s">
        <v>272</v>
      </c>
      <c r="D119" s="19" t="s">
        <v>342</v>
      </c>
      <c r="E119" s="19" t="s">
        <v>819</v>
      </c>
      <c r="F119" s="18" t="s">
        <v>141</v>
      </c>
      <c r="G119" s="18" t="s">
        <v>361</v>
      </c>
      <c r="H119" s="22" t="s">
        <v>3013</v>
      </c>
      <c r="I119" s="22" t="s">
        <v>3013</v>
      </c>
      <c r="J119" s="22" t="s">
        <v>3013</v>
      </c>
      <c r="K119" s="88" t="s">
        <v>92</v>
      </c>
      <c r="L119" s="88">
        <v>3.21</v>
      </c>
      <c r="M119" s="22" t="s">
        <v>58</v>
      </c>
      <c r="N119" s="88" t="s">
        <v>59</v>
      </c>
      <c r="O119" s="22" t="s">
        <v>160</v>
      </c>
      <c r="P119" s="22" t="s">
        <v>160</v>
      </c>
      <c r="Q119" s="88">
        <v>0</v>
      </c>
      <c r="R119" s="89" t="s">
        <v>363</v>
      </c>
      <c r="S119" s="88" t="s">
        <v>363</v>
      </c>
      <c r="T119" s="89" t="s">
        <v>61</v>
      </c>
      <c r="U119" s="90" t="s">
        <v>61</v>
      </c>
      <c r="V119" s="18" t="s">
        <v>61</v>
      </c>
      <c r="W119" s="18"/>
      <c r="X119" s="19"/>
      <c r="Y119" s="18" t="s">
        <v>389</v>
      </c>
      <c r="Z119" s="18" t="s">
        <v>786</v>
      </c>
    </row>
    <row r="120" spans="1:26" ht="32.25" customHeight="1" x14ac:dyDescent="0.25">
      <c r="A120" s="18" t="s">
        <v>990</v>
      </c>
      <c r="B120" s="19" t="s">
        <v>991</v>
      </c>
      <c r="C120" s="18" t="s">
        <v>272</v>
      </c>
      <c r="D120" s="19" t="s">
        <v>375</v>
      </c>
      <c r="E120" s="19" t="s">
        <v>800</v>
      </c>
      <c r="F120" s="18" t="s">
        <v>88</v>
      </c>
      <c r="G120" s="18" t="s">
        <v>107</v>
      </c>
      <c r="H120" s="22" t="s">
        <v>3013</v>
      </c>
      <c r="I120" s="22" t="s">
        <v>3013</v>
      </c>
      <c r="J120" s="22" t="s">
        <v>3013</v>
      </c>
      <c r="K120" s="22" t="s">
        <v>3013</v>
      </c>
      <c r="L120" s="88">
        <v>3.86</v>
      </c>
      <c r="M120" s="22" t="s">
        <v>108</v>
      </c>
      <c r="N120" s="88" t="s">
        <v>304</v>
      </c>
      <c r="O120" s="22" t="s">
        <v>57</v>
      </c>
      <c r="P120" s="22" t="s">
        <v>108</v>
      </c>
      <c r="Q120" s="88">
        <v>0</v>
      </c>
      <c r="R120" s="89" t="s">
        <v>406</v>
      </c>
      <c r="S120" s="88" t="s">
        <v>406</v>
      </c>
      <c r="T120" s="89" t="s">
        <v>109</v>
      </c>
      <c r="U120" s="90" t="s">
        <v>109</v>
      </c>
      <c r="V120" s="22" t="s">
        <v>109</v>
      </c>
      <c r="W120" s="18" t="s">
        <v>304</v>
      </c>
      <c r="X120" s="19" t="s">
        <v>110</v>
      </c>
      <c r="Y120" s="18" t="s">
        <v>404</v>
      </c>
      <c r="Z120" s="18" t="s">
        <v>786</v>
      </c>
    </row>
    <row r="121" spans="1:26" ht="21.75" customHeight="1" x14ac:dyDescent="0.25">
      <c r="A121" s="18" t="s">
        <v>997</v>
      </c>
      <c r="B121" s="19" t="s">
        <v>998</v>
      </c>
      <c r="C121" s="18" t="s">
        <v>272</v>
      </c>
      <c r="D121" s="19" t="s">
        <v>342</v>
      </c>
      <c r="E121" s="19" t="s">
        <v>808</v>
      </c>
      <c r="F121" s="18" t="s">
        <v>683</v>
      </c>
      <c r="G121" s="18" t="s">
        <v>418</v>
      </c>
      <c r="H121" s="22" t="s">
        <v>3013</v>
      </c>
      <c r="I121" s="22" t="s">
        <v>3013</v>
      </c>
      <c r="J121" s="22" t="s">
        <v>3013</v>
      </c>
      <c r="K121" s="88" t="s">
        <v>92</v>
      </c>
      <c r="L121" s="88">
        <v>3.39</v>
      </c>
      <c r="M121" s="22" t="s">
        <v>58</v>
      </c>
      <c r="N121" s="88" t="s">
        <v>59</v>
      </c>
      <c r="O121" s="22" t="s">
        <v>57</v>
      </c>
      <c r="P121" s="22" t="s">
        <v>57</v>
      </c>
      <c r="Q121" s="88">
        <v>0</v>
      </c>
      <c r="R121" s="89" t="s">
        <v>420</v>
      </c>
      <c r="S121" s="88" t="s">
        <v>420</v>
      </c>
      <c r="T121" s="89" t="s">
        <v>61</v>
      </c>
      <c r="U121" s="90" t="s">
        <v>61</v>
      </c>
      <c r="V121" s="18" t="s">
        <v>61</v>
      </c>
      <c r="W121" s="18"/>
      <c r="X121" s="19"/>
      <c r="Y121" s="18" t="s">
        <v>417</v>
      </c>
      <c r="Z121" s="18" t="s">
        <v>786</v>
      </c>
    </row>
    <row r="122" spans="1:26" ht="21.75" customHeight="1" x14ac:dyDescent="0.25">
      <c r="A122" s="18" t="s">
        <v>1003</v>
      </c>
      <c r="B122" s="19" t="s">
        <v>1004</v>
      </c>
      <c r="C122" s="18" t="s">
        <v>272</v>
      </c>
      <c r="D122" s="19" t="s">
        <v>430</v>
      </c>
      <c r="E122" s="19" t="s">
        <v>134</v>
      </c>
      <c r="F122" s="18" t="s">
        <v>483</v>
      </c>
      <c r="G122" s="18" t="s">
        <v>345</v>
      </c>
      <c r="H122" s="22" t="s">
        <v>3013</v>
      </c>
      <c r="I122" s="22" t="s">
        <v>3013</v>
      </c>
      <c r="J122" s="22" t="s">
        <v>3013</v>
      </c>
      <c r="K122" s="88" t="s">
        <v>92</v>
      </c>
      <c r="L122" s="88">
        <v>3.69</v>
      </c>
      <c r="M122" s="22" t="s">
        <v>58</v>
      </c>
      <c r="N122" s="88" t="s">
        <v>59</v>
      </c>
      <c r="O122" s="22" t="s">
        <v>57</v>
      </c>
      <c r="P122" s="22" t="s">
        <v>57</v>
      </c>
      <c r="Q122" s="88">
        <v>0</v>
      </c>
      <c r="R122" s="89" t="s">
        <v>363</v>
      </c>
      <c r="S122" s="88" t="s">
        <v>363</v>
      </c>
      <c r="T122" s="89" t="s">
        <v>61</v>
      </c>
      <c r="U122" s="90" t="s">
        <v>61</v>
      </c>
      <c r="V122" s="18" t="s">
        <v>61</v>
      </c>
      <c r="W122" s="18"/>
      <c r="X122" s="19"/>
      <c r="Y122" s="18" t="s">
        <v>431</v>
      </c>
      <c r="Z122" s="18" t="s">
        <v>786</v>
      </c>
    </row>
    <row r="123" spans="1:26" ht="32.25" customHeight="1" x14ac:dyDescent="0.25">
      <c r="A123" s="18" t="s">
        <v>1012</v>
      </c>
      <c r="B123" s="19" t="s">
        <v>1013</v>
      </c>
      <c r="C123" s="18" t="s">
        <v>272</v>
      </c>
      <c r="D123" s="19" t="s">
        <v>430</v>
      </c>
      <c r="E123" s="19" t="s">
        <v>819</v>
      </c>
      <c r="F123" s="18" t="s">
        <v>564</v>
      </c>
      <c r="G123" s="18" t="s">
        <v>443</v>
      </c>
      <c r="H123" s="22" t="s">
        <v>3013</v>
      </c>
      <c r="I123" s="22" t="s">
        <v>3013</v>
      </c>
      <c r="J123" s="22" t="s">
        <v>3013</v>
      </c>
      <c r="K123" s="88" t="s">
        <v>92</v>
      </c>
      <c r="L123" s="88">
        <v>3.77</v>
      </c>
      <c r="M123" s="22" t="s">
        <v>58</v>
      </c>
      <c r="N123" s="88" t="s">
        <v>59</v>
      </c>
      <c r="O123" s="22" t="s">
        <v>57</v>
      </c>
      <c r="P123" s="22" t="s">
        <v>57</v>
      </c>
      <c r="Q123" s="88">
        <v>0</v>
      </c>
      <c r="R123" s="89" t="s">
        <v>347</v>
      </c>
      <c r="S123" s="88" t="s">
        <v>347</v>
      </c>
      <c r="T123" s="89" t="s">
        <v>92</v>
      </c>
      <c r="U123" s="90" t="s">
        <v>61</v>
      </c>
      <c r="V123" s="18" t="s">
        <v>61</v>
      </c>
      <c r="W123" s="18"/>
      <c r="X123" s="19"/>
      <c r="Y123" s="18" t="s">
        <v>442</v>
      </c>
      <c r="Z123" s="18" t="s">
        <v>786</v>
      </c>
    </row>
    <row r="124" spans="1:26" ht="32.25" customHeight="1" x14ac:dyDescent="0.25">
      <c r="A124" s="18" t="s">
        <v>1020</v>
      </c>
      <c r="B124" s="19" t="s">
        <v>1021</v>
      </c>
      <c r="C124" s="18" t="s">
        <v>272</v>
      </c>
      <c r="D124" s="19" t="s">
        <v>430</v>
      </c>
      <c r="E124" s="19" t="s">
        <v>793</v>
      </c>
      <c r="F124" s="18" t="s">
        <v>768</v>
      </c>
      <c r="G124" s="18" t="s">
        <v>418</v>
      </c>
      <c r="H124" s="22" t="s">
        <v>3013</v>
      </c>
      <c r="I124" s="22" t="s">
        <v>3013</v>
      </c>
      <c r="J124" s="22" t="s">
        <v>3013</v>
      </c>
      <c r="K124" s="88" t="s">
        <v>92</v>
      </c>
      <c r="L124" s="88">
        <v>3.58</v>
      </c>
      <c r="M124" s="22" t="s">
        <v>58</v>
      </c>
      <c r="N124" s="88" t="s">
        <v>59</v>
      </c>
      <c r="O124" s="22" t="s">
        <v>57</v>
      </c>
      <c r="P124" s="22" t="s">
        <v>57</v>
      </c>
      <c r="Q124" s="88">
        <v>0</v>
      </c>
      <c r="R124" s="89" t="s">
        <v>458</v>
      </c>
      <c r="S124" s="88" t="s">
        <v>458</v>
      </c>
      <c r="T124" s="89" t="s">
        <v>61</v>
      </c>
      <c r="U124" s="90" t="s">
        <v>61</v>
      </c>
      <c r="V124" s="18" t="s">
        <v>61</v>
      </c>
      <c r="W124" s="18"/>
      <c r="X124" s="19"/>
      <c r="Y124" s="18" t="s">
        <v>456</v>
      </c>
      <c r="Z124" s="18" t="s">
        <v>786</v>
      </c>
    </row>
    <row r="125" spans="1:26" ht="21.75" customHeight="1" x14ac:dyDescent="0.25">
      <c r="A125" s="18" t="s">
        <v>1028</v>
      </c>
      <c r="B125" s="19" t="s">
        <v>1029</v>
      </c>
      <c r="C125" s="18" t="s">
        <v>272</v>
      </c>
      <c r="D125" s="19" t="s">
        <v>430</v>
      </c>
      <c r="E125" s="19" t="s">
        <v>808</v>
      </c>
      <c r="F125" s="18" t="s">
        <v>141</v>
      </c>
      <c r="G125" s="18" t="s">
        <v>361</v>
      </c>
      <c r="H125" s="22" t="s">
        <v>3013</v>
      </c>
      <c r="I125" s="22" t="s">
        <v>3013</v>
      </c>
      <c r="J125" s="22" t="s">
        <v>3013</v>
      </c>
      <c r="K125" s="88" t="s">
        <v>92</v>
      </c>
      <c r="L125" s="88">
        <v>3.41</v>
      </c>
      <c r="M125" s="22" t="s">
        <v>58</v>
      </c>
      <c r="N125" s="88" t="s">
        <v>59</v>
      </c>
      <c r="O125" s="22" t="s">
        <v>57</v>
      </c>
      <c r="P125" s="22" t="s">
        <v>57</v>
      </c>
      <c r="Q125" s="88">
        <v>0</v>
      </c>
      <c r="R125" s="89" t="s">
        <v>470</v>
      </c>
      <c r="S125" s="88" t="s">
        <v>470</v>
      </c>
      <c r="T125" s="89" t="s">
        <v>61</v>
      </c>
      <c r="U125" s="90" t="s">
        <v>61</v>
      </c>
      <c r="V125" s="18" t="s">
        <v>61</v>
      </c>
      <c r="W125" s="18"/>
      <c r="X125" s="19"/>
      <c r="Y125" s="18" t="s">
        <v>468</v>
      </c>
      <c r="Z125" s="18" t="s">
        <v>786</v>
      </c>
    </row>
    <row r="126" spans="1:26" ht="21.75" customHeight="1" x14ac:dyDescent="0.25">
      <c r="A126" s="18" t="s">
        <v>1035</v>
      </c>
      <c r="B126" s="19" t="s">
        <v>1036</v>
      </c>
      <c r="C126" s="18" t="s">
        <v>54</v>
      </c>
      <c r="D126" s="19" t="s">
        <v>46</v>
      </c>
      <c r="E126" s="19" t="s">
        <v>48</v>
      </c>
      <c r="F126" s="18" t="s">
        <v>493</v>
      </c>
      <c r="G126" s="18" t="s">
        <v>78</v>
      </c>
      <c r="H126" s="22" t="s">
        <v>3013</v>
      </c>
      <c r="I126" s="22" t="s">
        <v>3013</v>
      </c>
      <c r="J126" s="22" t="s">
        <v>3013</v>
      </c>
      <c r="K126" s="88" t="s">
        <v>445</v>
      </c>
      <c r="L126" s="88">
        <v>3.5</v>
      </c>
      <c r="M126" s="22" t="s">
        <v>58</v>
      </c>
      <c r="N126" s="88" t="s">
        <v>59</v>
      </c>
      <c r="O126" s="22" t="s">
        <v>57</v>
      </c>
      <c r="P126" s="22" t="s">
        <v>57</v>
      </c>
      <c r="Q126" s="88">
        <v>0</v>
      </c>
      <c r="R126" s="89" t="s">
        <v>60</v>
      </c>
      <c r="S126" s="88" t="s">
        <v>3015</v>
      </c>
      <c r="T126" s="89" t="s">
        <v>60</v>
      </c>
      <c r="U126" s="90" t="s">
        <v>60</v>
      </c>
      <c r="V126" s="18" t="s">
        <v>61</v>
      </c>
      <c r="W126" s="18"/>
      <c r="X126" s="19"/>
      <c r="Y126" s="18" t="s">
        <v>77</v>
      </c>
      <c r="Z126" s="18" t="s">
        <v>62</v>
      </c>
    </row>
    <row r="127" spans="1:26" ht="21.75" customHeight="1" x14ac:dyDescent="0.25">
      <c r="A127" s="18" t="s">
        <v>1040</v>
      </c>
      <c r="B127" s="19" t="s">
        <v>1041</v>
      </c>
      <c r="C127" s="18" t="s">
        <v>272</v>
      </c>
      <c r="D127" s="19" t="s">
        <v>273</v>
      </c>
      <c r="E127" s="19" t="s">
        <v>48</v>
      </c>
      <c r="F127" s="18" t="s">
        <v>1045</v>
      </c>
      <c r="G127" s="18" t="s">
        <v>123</v>
      </c>
      <c r="H127" s="22" t="s">
        <v>3013</v>
      </c>
      <c r="I127" s="88" t="s">
        <v>92</v>
      </c>
      <c r="J127" s="88" t="s">
        <v>445</v>
      </c>
      <c r="K127" s="88" t="s">
        <v>445</v>
      </c>
      <c r="L127" s="88">
        <v>3.5</v>
      </c>
      <c r="M127" s="22" t="s">
        <v>58</v>
      </c>
      <c r="N127" s="88" t="s">
        <v>59</v>
      </c>
      <c r="O127" s="22" t="s">
        <v>57</v>
      </c>
      <c r="P127" s="22" t="s">
        <v>57</v>
      </c>
      <c r="Q127" s="88">
        <v>0</v>
      </c>
      <c r="R127" s="89" t="s">
        <v>60</v>
      </c>
      <c r="S127" s="88" t="s">
        <v>123</v>
      </c>
      <c r="T127" s="89" t="s">
        <v>60</v>
      </c>
      <c r="U127" s="90" t="s">
        <v>60</v>
      </c>
      <c r="V127" s="18" t="s">
        <v>61</v>
      </c>
      <c r="W127" s="18"/>
      <c r="X127" s="19"/>
      <c r="Y127" s="18" t="s">
        <v>290</v>
      </c>
      <c r="Z127" s="18" t="s">
        <v>62</v>
      </c>
    </row>
    <row r="128" spans="1:26" ht="21.75" customHeight="1" x14ac:dyDescent="0.25">
      <c r="A128" s="18" t="s">
        <v>1048</v>
      </c>
      <c r="B128" s="19" t="s">
        <v>1049</v>
      </c>
      <c r="C128" s="18" t="s">
        <v>272</v>
      </c>
      <c r="D128" s="19" t="s">
        <v>430</v>
      </c>
      <c r="E128" s="19" t="s">
        <v>48</v>
      </c>
      <c r="F128" s="18" t="s">
        <v>1053</v>
      </c>
      <c r="G128" s="18" t="s">
        <v>418</v>
      </c>
      <c r="H128" s="22" t="s">
        <v>3013</v>
      </c>
      <c r="I128" s="22" t="s">
        <v>3013</v>
      </c>
      <c r="J128" s="22" t="s">
        <v>3013</v>
      </c>
      <c r="K128" s="88" t="s">
        <v>92</v>
      </c>
      <c r="L128" s="88">
        <v>3.5</v>
      </c>
      <c r="M128" s="22" t="s">
        <v>58</v>
      </c>
      <c r="N128" s="88" t="s">
        <v>59</v>
      </c>
      <c r="O128" s="22" t="s">
        <v>57</v>
      </c>
      <c r="P128" s="22" t="s">
        <v>57</v>
      </c>
      <c r="Q128" s="88">
        <v>0</v>
      </c>
      <c r="R128" s="89" t="s">
        <v>458</v>
      </c>
      <c r="S128" s="88" t="s">
        <v>458</v>
      </c>
      <c r="T128" s="89" t="s">
        <v>61</v>
      </c>
      <c r="U128" s="90" t="s">
        <v>61</v>
      </c>
      <c r="V128" s="18" t="s">
        <v>61</v>
      </c>
      <c r="W128" s="18"/>
      <c r="X128" s="19"/>
      <c r="Y128" s="18" t="s">
        <v>456</v>
      </c>
      <c r="Z128" s="18" t="s">
        <v>62</v>
      </c>
    </row>
    <row r="129" spans="1:26" ht="21.75" customHeight="1" x14ac:dyDescent="0.25">
      <c r="A129" s="18" t="s">
        <v>1057</v>
      </c>
      <c r="B129" s="19" t="s">
        <v>1036</v>
      </c>
      <c r="C129" s="18" t="s">
        <v>54</v>
      </c>
      <c r="D129" s="19" t="s">
        <v>46</v>
      </c>
      <c r="E129" s="19" t="s">
        <v>481</v>
      </c>
      <c r="F129" s="18" t="s">
        <v>493</v>
      </c>
      <c r="G129" s="18" t="s">
        <v>78</v>
      </c>
      <c r="H129" s="22" t="s">
        <v>3013</v>
      </c>
      <c r="I129" s="22" t="s">
        <v>3013</v>
      </c>
      <c r="J129" s="22" t="s">
        <v>3013</v>
      </c>
      <c r="K129" s="88" t="s">
        <v>445</v>
      </c>
      <c r="L129" s="88">
        <v>3.5</v>
      </c>
      <c r="M129" s="22" t="s">
        <v>58</v>
      </c>
      <c r="N129" s="88" t="s">
        <v>59</v>
      </c>
      <c r="O129" s="22" t="s">
        <v>57</v>
      </c>
      <c r="P129" s="22" t="s">
        <v>57</v>
      </c>
      <c r="Q129" s="88">
        <v>0</v>
      </c>
      <c r="R129" s="89" t="s">
        <v>60</v>
      </c>
      <c r="S129" s="88" t="s">
        <v>3015</v>
      </c>
      <c r="T129" s="89" t="s">
        <v>60</v>
      </c>
      <c r="U129" s="90" t="s">
        <v>60</v>
      </c>
      <c r="V129" s="18" t="s">
        <v>61</v>
      </c>
      <c r="W129" s="18"/>
      <c r="X129" s="19"/>
      <c r="Y129" s="18" t="s">
        <v>77</v>
      </c>
      <c r="Z129" s="18" t="s">
        <v>484</v>
      </c>
    </row>
    <row r="130" spans="1:26" ht="21.75" customHeight="1" x14ac:dyDescent="0.25">
      <c r="A130" s="18" t="s">
        <v>1060</v>
      </c>
      <c r="B130" s="19" t="s">
        <v>1041</v>
      </c>
      <c r="C130" s="18" t="s">
        <v>272</v>
      </c>
      <c r="D130" s="19" t="s">
        <v>273</v>
      </c>
      <c r="E130" s="19" t="s">
        <v>481</v>
      </c>
      <c r="F130" s="18" t="s">
        <v>1045</v>
      </c>
      <c r="G130" s="18" t="s">
        <v>123</v>
      </c>
      <c r="H130" s="22" t="s">
        <v>3013</v>
      </c>
      <c r="I130" s="88" t="s">
        <v>92</v>
      </c>
      <c r="J130" s="88" t="s">
        <v>445</v>
      </c>
      <c r="K130" s="88" t="s">
        <v>445</v>
      </c>
      <c r="L130" s="88">
        <v>3.5</v>
      </c>
      <c r="M130" s="22" t="s">
        <v>58</v>
      </c>
      <c r="N130" s="88" t="s">
        <v>59</v>
      </c>
      <c r="O130" s="22" t="s">
        <v>57</v>
      </c>
      <c r="P130" s="22" t="s">
        <v>57</v>
      </c>
      <c r="Q130" s="88">
        <v>0</v>
      </c>
      <c r="R130" s="89" t="s">
        <v>60</v>
      </c>
      <c r="S130" s="88" t="s">
        <v>123</v>
      </c>
      <c r="T130" s="89" t="s">
        <v>60</v>
      </c>
      <c r="U130" s="90" t="s">
        <v>60</v>
      </c>
      <c r="V130" s="18" t="s">
        <v>61</v>
      </c>
      <c r="W130" s="18"/>
      <c r="X130" s="19"/>
      <c r="Y130" s="18" t="s">
        <v>290</v>
      </c>
      <c r="Z130" s="18" t="s">
        <v>484</v>
      </c>
    </row>
    <row r="131" spans="1:26" ht="21.75" customHeight="1" x14ac:dyDescent="0.25">
      <c r="A131" s="18" t="s">
        <v>1063</v>
      </c>
      <c r="B131" s="19" t="s">
        <v>1049</v>
      </c>
      <c r="C131" s="18" t="s">
        <v>272</v>
      </c>
      <c r="D131" s="19" t="s">
        <v>430</v>
      </c>
      <c r="E131" s="19" t="s">
        <v>481</v>
      </c>
      <c r="F131" s="18" t="s">
        <v>1053</v>
      </c>
      <c r="G131" s="18" t="s">
        <v>418</v>
      </c>
      <c r="H131" s="22" t="s">
        <v>3013</v>
      </c>
      <c r="I131" s="22" t="s">
        <v>3013</v>
      </c>
      <c r="J131" s="22" t="s">
        <v>3013</v>
      </c>
      <c r="K131" s="88" t="s">
        <v>92</v>
      </c>
      <c r="L131" s="88">
        <v>3.5</v>
      </c>
      <c r="M131" s="22" t="s">
        <v>58</v>
      </c>
      <c r="N131" s="88" t="s">
        <v>59</v>
      </c>
      <c r="O131" s="22" t="s">
        <v>57</v>
      </c>
      <c r="P131" s="22" t="s">
        <v>57</v>
      </c>
      <c r="Q131" s="88">
        <v>0</v>
      </c>
      <c r="R131" s="89" t="s">
        <v>458</v>
      </c>
      <c r="S131" s="88" t="s">
        <v>458</v>
      </c>
      <c r="T131" s="89" t="s">
        <v>61</v>
      </c>
      <c r="U131" s="90" t="s">
        <v>61</v>
      </c>
      <c r="V131" s="18" t="s">
        <v>61</v>
      </c>
      <c r="W131" s="18"/>
      <c r="X131" s="19"/>
      <c r="Y131" s="18" t="s">
        <v>456</v>
      </c>
      <c r="Z131" s="18" t="s">
        <v>484</v>
      </c>
    </row>
    <row r="132" spans="1:26" ht="21.75" customHeight="1" x14ac:dyDescent="0.25">
      <c r="A132" s="18" t="s">
        <v>1066</v>
      </c>
      <c r="B132" s="19" t="s">
        <v>1036</v>
      </c>
      <c r="C132" s="18" t="s">
        <v>54</v>
      </c>
      <c r="D132" s="19" t="s">
        <v>46</v>
      </c>
      <c r="E132" s="19" t="s">
        <v>808</v>
      </c>
      <c r="F132" s="18" t="s">
        <v>493</v>
      </c>
      <c r="G132" s="18" t="s">
        <v>78</v>
      </c>
      <c r="H132" s="22" t="s">
        <v>3013</v>
      </c>
      <c r="I132" s="22" t="s">
        <v>3013</v>
      </c>
      <c r="J132" s="22" t="s">
        <v>3013</v>
      </c>
      <c r="K132" s="88" t="s">
        <v>445</v>
      </c>
      <c r="L132" s="88">
        <v>3.5</v>
      </c>
      <c r="M132" s="22" t="s">
        <v>58</v>
      </c>
      <c r="N132" s="88" t="s">
        <v>59</v>
      </c>
      <c r="O132" s="22" t="s">
        <v>57</v>
      </c>
      <c r="P132" s="22" t="s">
        <v>57</v>
      </c>
      <c r="Q132" s="88">
        <v>0</v>
      </c>
      <c r="R132" s="89" t="s">
        <v>60</v>
      </c>
      <c r="S132" s="88" t="s">
        <v>3015</v>
      </c>
      <c r="T132" s="89" t="s">
        <v>60</v>
      </c>
      <c r="U132" s="90" t="s">
        <v>60</v>
      </c>
      <c r="V132" s="18" t="s">
        <v>61</v>
      </c>
      <c r="W132" s="18"/>
      <c r="X132" s="19"/>
      <c r="Y132" s="18" t="s">
        <v>77</v>
      </c>
      <c r="Z132" s="18" t="s">
        <v>786</v>
      </c>
    </row>
    <row r="133" spans="1:26" ht="21.75" customHeight="1" x14ac:dyDescent="0.25">
      <c r="A133" s="18" t="s">
        <v>1068</v>
      </c>
      <c r="B133" s="19" t="s">
        <v>1041</v>
      </c>
      <c r="C133" s="18" t="s">
        <v>272</v>
      </c>
      <c r="D133" s="19" t="s">
        <v>273</v>
      </c>
      <c r="E133" s="19" t="s">
        <v>808</v>
      </c>
      <c r="F133" s="18" t="s">
        <v>1045</v>
      </c>
      <c r="G133" s="18" t="s">
        <v>123</v>
      </c>
      <c r="H133" s="22" t="s">
        <v>3013</v>
      </c>
      <c r="I133" s="88" t="s">
        <v>92</v>
      </c>
      <c r="J133" s="88" t="s">
        <v>445</v>
      </c>
      <c r="K133" s="88" t="s">
        <v>445</v>
      </c>
      <c r="L133" s="88">
        <v>3.5</v>
      </c>
      <c r="M133" s="22" t="s">
        <v>58</v>
      </c>
      <c r="N133" s="88" t="s">
        <v>59</v>
      </c>
      <c r="O133" s="22" t="s">
        <v>57</v>
      </c>
      <c r="P133" s="22" t="s">
        <v>57</v>
      </c>
      <c r="Q133" s="88">
        <v>0</v>
      </c>
      <c r="R133" s="89" t="s">
        <v>60</v>
      </c>
      <c r="S133" s="88" t="s">
        <v>123</v>
      </c>
      <c r="T133" s="89" t="s">
        <v>60</v>
      </c>
      <c r="U133" s="90" t="s">
        <v>60</v>
      </c>
      <c r="V133" s="18" t="s">
        <v>61</v>
      </c>
      <c r="W133" s="18"/>
      <c r="X133" s="19"/>
      <c r="Y133" s="18" t="s">
        <v>290</v>
      </c>
      <c r="Z133" s="18" t="s">
        <v>786</v>
      </c>
    </row>
    <row r="134" spans="1:26" ht="21.75" customHeight="1" x14ac:dyDescent="0.25">
      <c r="A134" s="18" t="s">
        <v>1070</v>
      </c>
      <c r="B134" s="19" t="s">
        <v>1049</v>
      </c>
      <c r="C134" s="18" t="s">
        <v>272</v>
      </c>
      <c r="D134" s="19" t="s">
        <v>430</v>
      </c>
      <c r="E134" s="19" t="s">
        <v>808</v>
      </c>
      <c r="F134" s="18" t="s">
        <v>1053</v>
      </c>
      <c r="G134" s="18" t="s">
        <v>418</v>
      </c>
      <c r="H134" s="22" t="s">
        <v>3013</v>
      </c>
      <c r="I134" s="22" t="s">
        <v>3013</v>
      </c>
      <c r="J134" s="22" t="s">
        <v>3013</v>
      </c>
      <c r="K134" s="88" t="s">
        <v>92</v>
      </c>
      <c r="L134" s="88">
        <v>3.5</v>
      </c>
      <c r="M134" s="22" t="s">
        <v>58</v>
      </c>
      <c r="N134" s="88" t="s">
        <v>59</v>
      </c>
      <c r="O134" s="22" t="s">
        <v>57</v>
      </c>
      <c r="P134" s="22" t="s">
        <v>57</v>
      </c>
      <c r="Q134" s="88">
        <v>0</v>
      </c>
      <c r="R134" s="89" t="s">
        <v>458</v>
      </c>
      <c r="S134" s="88" t="s">
        <v>458</v>
      </c>
      <c r="T134" s="89" t="s">
        <v>61</v>
      </c>
      <c r="U134" s="90" t="s">
        <v>61</v>
      </c>
      <c r="V134" s="18" t="s">
        <v>61</v>
      </c>
      <c r="W134" s="18"/>
      <c r="X134" s="19"/>
      <c r="Y134" s="18" t="s">
        <v>456</v>
      </c>
      <c r="Z134" s="18" t="s">
        <v>786</v>
      </c>
    </row>
  </sheetData>
  <mergeCells count="6">
    <mergeCell ref="V1:Y1"/>
    <mergeCell ref="A1:F1"/>
    <mergeCell ref="G1:K1"/>
    <mergeCell ref="L1:N1"/>
    <mergeCell ref="O1:Q1"/>
    <mergeCell ref="R1:U1"/>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97"/>
  <sheetViews>
    <sheetView showGridLines="0" zoomScaleNormal="100" workbookViewId="0"/>
  </sheetViews>
  <sheetFormatPr defaultColWidth="8.7109375" defaultRowHeight="15" x14ac:dyDescent="0.25"/>
  <cols>
    <col min="1" max="1" width="32" customWidth="1"/>
    <col min="2" max="2" width="12" customWidth="1"/>
    <col min="3" max="3" width="14" customWidth="1"/>
    <col min="4" max="4" width="60" customWidth="1"/>
    <col min="5" max="5" width="8" customWidth="1"/>
    <col min="8" max="8" width="5" customWidth="1"/>
  </cols>
  <sheetData>
    <row r="1" spans="1:8" ht="27.75" customHeight="1" x14ac:dyDescent="0.25">
      <c r="A1" s="2" t="s">
        <v>3031</v>
      </c>
      <c r="B1" s="2"/>
      <c r="C1" s="2"/>
      <c r="D1" s="2"/>
      <c r="E1" s="2"/>
      <c r="F1" s="2"/>
      <c r="G1" s="2"/>
      <c r="H1" s="2"/>
    </row>
    <row r="2" spans="1:8" ht="15.75" customHeight="1" x14ac:dyDescent="0.25">
      <c r="A2" s="1" t="s">
        <v>3032</v>
      </c>
      <c r="B2" s="1"/>
      <c r="C2" s="1"/>
      <c r="D2" s="1"/>
      <c r="E2" s="1"/>
      <c r="F2" s="1"/>
      <c r="G2" s="1"/>
      <c r="H2" s="1"/>
    </row>
    <row r="4" spans="1:8" ht="19.5" customHeight="1" x14ac:dyDescent="0.25">
      <c r="A4" s="199" t="s">
        <v>3033</v>
      </c>
      <c r="B4" s="199"/>
      <c r="C4" s="199"/>
      <c r="D4" s="199"/>
      <c r="E4" s="199"/>
      <c r="F4" s="199"/>
      <c r="G4" s="199"/>
      <c r="H4" s="199"/>
    </row>
    <row r="5" spans="1:8" ht="19.5" customHeight="1" x14ac:dyDescent="0.25">
      <c r="A5" s="94" t="s">
        <v>2967</v>
      </c>
      <c r="B5" s="95" t="s">
        <v>3034</v>
      </c>
      <c r="C5" s="94" t="s">
        <v>2989</v>
      </c>
      <c r="D5" s="95" t="s">
        <v>3035</v>
      </c>
      <c r="E5" s="94" t="s">
        <v>3036</v>
      </c>
      <c r="F5" s="95" t="s">
        <v>3037</v>
      </c>
      <c r="G5" s="94" t="s">
        <v>3038</v>
      </c>
      <c r="H5" s="95" t="s">
        <v>3039</v>
      </c>
    </row>
    <row r="6" spans="1:8" ht="19.5" customHeight="1" x14ac:dyDescent="0.25">
      <c r="A6" s="94" t="s">
        <v>3040</v>
      </c>
      <c r="B6" s="95" t="s">
        <v>3041</v>
      </c>
      <c r="C6" s="94" t="s">
        <v>3042</v>
      </c>
      <c r="D6" s="95" t="s">
        <v>3041</v>
      </c>
      <c r="E6" s="94" t="s">
        <v>3043</v>
      </c>
      <c r="F6" s="95" t="s">
        <v>3044</v>
      </c>
      <c r="G6" s="94" t="s">
        <v>3045</v>
      </c>
      <c r="H6" s="95" t="s">
        <v>3046</v>
      </c>
    </row>
    <row r="7" spans="1:8" ht="19.5" customHeight="1" x14ac:dyDescent="0.25">
      <c r="A7" s="94" t="s">
        <v>2979</v>
      </c>
      <c r="B7" s="95" t="s">
        <v>3047</v>
      </c>
      <c r="C7" s="94" t="s">
        <v>3048</v>
      </c>
      <c r="D7" s="95" t="s">
        <v>3049</v>
      </c>
      <c r="E7" s="94" t="s">
        <v>3050</v>
      </c>
      <c r="F7" s="95" t="s">
        <v>3051</v>
      </c>
      <c r="G7" s="94" t="s">
        <v>3052</v>
      </c>
      <c r="H7" s="95" t="s">
        <v>3053</v>
      </c>
    </row>
    <row r="8" spans="1:8" ht="19.5" customHeight="1" x14ac:dyDescent="0.25">
      <c r="A8" s="94" t="s">
        <v>3054</v>
      </c>
      <c r="B8" s="95" t="s">
        <v>3055</v>
      </c>
      <c r="C8" s="94" t="s">
        <v>2969</v>
      </c>
      <c r="D8" s="95" t="s">
        <v>3056</v>
      </c>
      <c r="E8" s="94" t="s">
        <v>3057</v>
      </c>
      <c r="F8" s="95" t="s">
        <v>3058</v>
      </c>
      <c r="G8" s="94" t="s">
        <v>3059</v>
      </c>
      <c r="H8" s="95" t="s">
        <v>3060</v>
      </c>
    </row>
    <row r="10" spans="1:8" ht="21.75" customHeight="1" x14ac:dyDescent="0.25">
      <c r="A10" s="200" t="s">
        <v>3061</v>
      </c>
      <c r="B10" s="200"/>
      <c r="C10" s="200"/>
      <c r="D10" s="200"/>
      <c r="E10" s="200"/>
      <c r="F10" s="200"/>
      <c r="G10" s="200"/>
      <c r="H10" s="200"/>
    </row>
    <row r="11" spans="1:8" ht="15.75" customHeight="1" x14ac:dyDescent="0.25">
      <c r="A11" s="201" t="s">
        <v>3062</v>
      </c>
      <c r="B11" s="201"/>
      <c r="C11" s="201"/>
      <c r="D11" s="201"/>
      <c r="E11" s="201"/>
      <c r="F11" s="201"/>
      <c r="G11" s="201"/>
      <c r="H11" s="201"/>
    </row>
    <row r="12" spans="1:8" ht="15.75" customHeight="1" x14ac:dyDescent="0.25">
      <c r="A12" s="96" t="s">
        <v>3063</v>
      </c>
      <c r="B12" s="96" t="s">
        <v>3064</v>
      </c>
      <c r="C12" s="96" t="s">
        <v>3065</v>
      </c>
      <c r="D12" s="96" t="s">
        <v>3066</v>
      </c>
      <c r="E12" s="96" t="s">
        <v>2359</v>
      </c>
    </row>
    <row r="13" spans="1:8" ht="30" customHeight="1" x14ac:dyDescent="0.25">
      <c r="A13" s="97" t="s">
        <v>3067</v>
      </c>
      <c r="B13" s="98" t="s">
        <v>3068</v>
      </c>
      <c r="C13" s="98" t="s">
        <v>3069</v>
      </c>
      <c r="D13" s="97" t="s">
        <v>3070</v>
      </c>
      <c r="E13" s="99" t="s">
        <v>3071</v>
      </c>
    </row>
    <row r="14" spans="1:8" ht="30" customHeight="1" x14ac:dyDescent="0.25">
      <c r="A14" s="97" t="s">
        <v>3072</v>
      </c>
      <c r="B14" s="98" t="s">
        <v>3073</v>
      </c>
      <c r="C14" s="98" t="s">
        <v>3074</v>
      </c>
      <c r="D14" s="97" t="s">
        <v>3075</v>
      </c>
      <c r="E14" s="99" t="s">
        <v>3071</v>
      </c>
    </row>
    <row r="15" spans="1:8" ht="30" customHeight="1" x14ac:dyDescent="0.25">
      <c r="A15" s="97" t="s">
        <v>3076</v>
      </c>
      <c r="B15" s="98" t="s">
        <v>3073</v>
      </c>
      <c r="C15" s="98" t="s">
        <v>3077</v>
      </c>
      <c r="D15" s="97" t="s">
        <v>3078</v>
      </c>
      <c r="E15" s="100" t="s">
        <v>3079</v>
      </c>
    </row>
    <row r="16" spans="1:8" ht="30" customHeight="1" x14ac:dyDescent="0.25">
      <c r="A16" s="97" t="s">
        <v>3080</v>
      </c>
      <c r="B16" s="98" t="s">
        <v>3081</v>
      </c>
      <c r="C16" s="98" t="s">
        <v>3082</v>
      </c>
      <c r="D16" s="97" t="s">
        <v>3083</v>
      </c>
      <c r="E16" s="99" t="s">
        <v>3071</v>
      </c>
    </row>
    <row r="17" spans="1:8" ht="18" customHeight="1" x14ac:dyDescent="0.25">
      <c r="A17" s="101" t="s">
        <v>3084</v>
      </c>
      <c r="B17" s="102" t="s">
        <v>2396</v>
      </c>
      <c r="C17" s="103" t="s">
        <v>3085</v>
      </c>
      <c r="D17" s="104" t="s">
        <v>3086</v>
      </c>
      <c r="E17" s="105"/>
    </row>
    <row r="19" spans="1:8" ht="21.75" customHeight="1" x14ac:dyDescent="0.25">
      <c r="A19" s="202" t="s">
        <v>3087</v>
      </c>
      <c r="B19" s="202"/>
      <c r="C19" s="202"/>
      <c r="D19" s="202"/>
      <c r="E19" s="202"/>
      <c r="F19" s="202"/>
      <c r="G19" s="202"/>
      <c r="H19" s="202"/>
    </row>
    <row r="20" spans="1:8" ht="15.75" customHeight="1" x14ac:dyDescent="0.25">
      <c r="A20" s="203" t="s">
        <v>3088</v>
      </c>
      <c r="B20" s="203"/>
      <c r="C20" s="203"/>
      <c r="D20" s="203"/>
      <c r="E20" s="203"/>
      <c r="F20" s="203"/>
      <c r="G20" s="203"/>
      <c r="H20" s="203"/>
    </row>
    <row r="21" spans="1:8" ht="15.75" customHeight="1" x14ac:dyDescent="0.25">
      <c r="A21" s="96" t="s">
        <v>3063</v>
      </c>
      <c r="B21" s="96" t="s">
        <v>3064</v>
      </c>
      <c r="C21" s="96" t="s">
        <v>3065</v>
      </c>
      <c r="D21" s="96" t="s">
        <v>3066</v>
      </c>
      <c r="E21" s="96" t="s">
        <v>2359</v>
      </c>
    </row>
    <row r="22" spans="1:8" ht="30" customHeight="1" x14ac:dyDescent="0.25">
      <c r="A22" s="97" t="s">
        <v>3089</v>
      </c>
      <c r="B22" s="98" t="s">
        <v>3090</v>
      </c>
      <c r="C22" s="98" t="s">
        <v>3091</v>
      </c>
      <c r="D22" s="97" t="s">
        <v>3092</v>
      </c>
      <c r="E22" s="106" t="s">
        <v>3093</v>
      </c>
    </row>
    <row r="23" spans="1:8" ht="30" customHeight="1" x14ac:dyDescent="0.25">
      <c r="A23" s="97" t="s">
        <v>3094</v>
      </c>
      <c r="B23" s="98" t="s">
        <v>3095</v>
      </c>
      <c r="C23" s="98" t="s">
        <v>3096</v>
      </c>
      <c r="D23" s="97" t="s">
        <v>3097</v>
      </c>
      <c r="E23" s="100" t="s">
        <v>3079</v>
      </c>
    </row>
    <row r="24" spans="1:8" ht="30" customHeight="1" x14ac:dyDescent="0.25">
      <c r="A24" s="97" t="s">
        <v>3098</v>
      </c>
      <c r="B24" s="98" t="s">
        <v>3099</v>
      </c>
      <c r="C24" s="98" t="s">
        <v>3100</v>
      </c>
      <c r="D24" s="97" t="s">
        <v>3101</v>
      </c>
      <c r="E24" s="100" t="s">
        <v>3079</v>
      </c>
    </row>
    <row r="25" spans="1:8" ht="30" customHeight="1" x14ac:dyDescent="0.25">
      <c r="A25" s="97" t="s">
        <v>3102</v>
      </c>
      <c r="B25" s="98" t="s">
        <v>3103</v>
      </c>
      <c r="C25" s="98" t="s">
        <v>3104</v>
      </c>
      <c r="D25" s="97" t="s">
        <v>3105</v>
      </c>
      <c r="E25" s="106" t="s">
        <v>3093</v>
      </c>
    </row>
    <row r="26" spans="1:8" ht="30" customHeight="1" x14ac:dyDescent="0.25">
      <c r="A26" s="97" t="s">
        <v>3106</v>
      </c>
      <c r="B26" s="98" t="s">
        <v>3107</v>
      </c>
      <c r="C26" s="98" t="s">
        <v>3100</v>
      </c>
      <c r="D26" s="97" t="s">
        <v>3108</v>
      </c>
      <c r="E26" s="100" t="s">
        <v>3079</v>
      </c>
    </row>
    <row r="27" spans="1:8" ht="18" customHeight="1" x14ac:dyDescent="0.25">
      <c r="A27" s="107" t="s">
        <v>3084</v>
      </c>
      <c r="B27" s="102" t="s">
        <v>2396</v>
      </c>
      <c r="C27" s="108" t="s">
        <v>3109</v>
      </c>
      <c r="D27" s="104" t="s">
        <v>3086</v>
      </c>
      <c r="E27" s="105"/>
    </row>
    <row r="29" spans="1:8" ht="21.75" customHeight="1" x14ac:dyDescent="0.25">
      <c r="A29" s="204" t="s">
        <v>3110</v>
      </c>
      <c r="B29" s="204"/>
      <c r="C29" s="204"/>
      <c r="D29" s="204"/>
      <c r="E29" s="204"/>
      <c r="F29" s="204"/>
      <c r="G29" s="204"/>
      <c r="H29" s="204"/>
    </row>
    <row r="30" spans="1:8" ht="15.75" customHeight="1" x14ac:dyDescent="0.25">
      <c r="A30" s="205" t="s">
        <v>3111</v>
      </c>
      <c r="B30" s="205"/>
      <c r="C30" s="205"/>
      <c r="D30" s="205"/>
      <c r="E30" s="205"/>
      <c r="F30" s="205"/>
      <c r="G30" s="205"/>
      <c r="H30" s="205"/>
    </row>
    <row r="31" spans="1:8" ht="15.75" customHeight="1" x14ac:dyDescent="0.25">
      <c r="A31" s="96" t="s">
        <v>3063</v>
      </c>
      <c r="B31" s="96" t="s">
        <v>3064</v>
      </c>
      <c r="C31" s="96" t="s">
        <v>3065</v>
      </c>
      <c r="D31" s="96" t="s">
        <v>3066</v>
      </c>
      <c r="E31" s="96" t="s">
        <v>2359</v>
      </c>
    </row>
    <row r="32" spans="1:8" ht="30" customHeight="1" x14ac:dyDescent="0.25">
      <c r="A32" s="97" t="s">
        <v>3112</v>
      </c>
      <c r="B32" s="98" t="s">
        <v>3113</v>
      </c>
      <c r="C32" s="98" t="s">
        <v>3114</v>
      </c>
      <c r="D32" s="97" t="s">
        <v>3115</v>
      </c>
      <c r="E32" s="106" t="s">
        <v>3093</v>
      </c>
    </row>
    <row r="33" spans="1:8" ht="30" customHeight="1" x14ac:dyDescent="0.25">
      <c r="A33" s="97" t="s">
        <v>2891</v>
      </c>
      <c r="B33" s="98" t="s">
        <v>3099</v>
      </c>
      <c r="C33" s="98" t="s">
        <v>3116</v>
      </c>
      <c r="D33" s="97" t="s">
        <v>3117</v>
      </c>
      <c r="E33" s="99" t="s">
        <v>3071</v>
      </c>
    </row>
    <row r="34" spans="1:8" ht="30" customHeight="1" x14ac:dyDescent="0.25">
      <c r="A34" s="97" t="s">
        <v>3118</v>
      </c>
      <c r="B34" s="98" t="s">
        <v>3119</v>
      </c>
      <c r="C34" s="98" t="s">
        <v>3120</v>
      </c>
      <c r="D34" s="97" t="s">
        <v>3121</v>
      </c>
      <c r="E34" s="99" t="s">
        <v>3071</v>
      </c>
    </row>
    <row r="35" spans="1:8" ht="30" customHeight="1" x14ac:dyDescent="0.25">
      <c r="A35" s="97" t="s">
        <v>3102</v>
      </c>
      <c r="B35" s="98" t="s">
        <v>3122</v>
      </c>
      <c r="C35" s="98" t="s">
        <v>3123</v>
      </c>
      <c r="D35" s="97" t="s">
        <v>3124</v>
      </c>
      <c r="E35" s="106" t="s">
        <v>3093</v>
      </c>
    </row>
    <row r="36" spans="1:8" ht="30" customHeight="1" x14ac:dyDescent="0.25">
      <c r="A36" s="97" t="s">
        <v>3125</v>
      </c>
      <c r="B36" s="98" t="s">
        <v>3073</v>
      </c>
      <c r="C36" s="98" t="s">
        <v>3126</v>
      </c>
      <c r="D36" s="97" t="s">
        <v>3127</v>
      </c>
      <c r="E36" s="106" t="s">
        <v>3093</v>
      </c>
    </row>
    <row r="37" spans="1:8" ht="18" customHeight="1" x14ac:dyDescent="0.25">
      <c r="A37" s="109" t="s">
        <v>3084</v>
      </c>
      <c r="B37" s="102" t="s">
        <v>2396</v>
      </c>
      <c r="C37" s="110" t="s">
        <v>3128</v>
      </c>
      <c r="D37" s="104" t="s">
        <v>3086</v>
      </c>
      <c r="E37" s="105"/>
    </row>
    <row r="39" spans="1:8" ht="21.75" customHeight="1" x14ac:dyDescent="0.25">
      <c r="A39" s="206" t="s">
        <v>3129</v>
      </c>
      <c r="B39" s="206"/>
      <c r="C39" s="206"/>
      <c r="D39" s="206"/>
      <c r="E39" s="206"/>
      <c r="F39" s="206"/>
      <c r="G39" s="206"/>
      <c r="H39" s="206"/>
    </row>
    <row r="40" spans="1:8" ht="15.75" customHeight="1" x14ac:dyDescent="0.25">
      <c r="A40" s="207" t="s">
        <v>3130</v>
      </c>
      <c r="B40" s="207"/>
      <c r="C40" s="207"/>
      <c r="D40" s="207"/>
      <c r="E40" s="207"/>
      <c r="F40" s="207"/>
      <c r="G40" s="207"/>
      <c r="H40" s="207"/>
    </row>
    <row r="41" spans="1:8" ht="15.75" customHeight="1" x14ac:dyDescent="0.25">
      <c r="A41" s="96" t="s">
        <v>3063</v>
      </c>
      <c r="B41" s="96" t="s">
        <v>3064</v>
      </c>
      <c r="C41" s="96" t="s">
        <v>3065</v>
      </c>
      <c r="D41" s="96" t="s">
        <v>3066</v>
      </c>
      <c r="E41" s="96" t="s">
        <v>2359</v>
      </c>
    </row>
    <row r="42" spans="1:8" ht="30" customHeight="1" x14ac:dyDescent="0.25">
      <c r="A42" s="97" t="s">
        <v>3131</v>
      </c>
      <c r="B42" s="98" t="s">
        <v>3073</v>
      </c>
      <c r="C42" s="98" t="s">
        <v>3132</v>
      </c>
      <c r="D42" s="97" t="s">
        <v>3133</v>
      </c>
      <c r="E42" s="100" t="s">
        <v>3079</v>
      </c>
    </row>
    <row r="43" spans="1:8" ht="30" customHeight="1" x14ac:dyDescent="0.25">
      <c r="A43" s="97" t="s">
        <v>3134</v>
      </c>
      <c r="B43" s="98" t="s">
        <v>3119</v>
      </c>
      <c r="C43" s="98" t="s">
        <v>3132</v>
      </c>
      <c r="D43" s="97" t="s">
        <v>3135</v>
      </c>
      <c r="E43" s="100" t="s">
        <v>3079</v>
      </c>
    </row>
    <row r="44" spans="1:8" ht="30" customHeight="1" x14ac:dyDescent="0.25">
      <c r="A44" s="97" t="s">
        <v>3136</v>
      </c>
      <c r="B44" s="98" t="s">
        <v>3119</v>
      </c>
      <c r="C44" s="98" t="s">
        <v>3132</v>
      </c>
      <c r="D44" s="97" t="s">
        <v>3137</v>
      </c>
      <c r="E44" s="100" t="s">
        <v>3079</v>
      </c>
    </row>
    <row r="45" spans="1:8" ht="30" customHeight="1" x14ac:dyDescent="0.25">
      <c r="A45" s="97" t="s">
        <v>3138</v>
      </c>
      <c r="B45" s="98" t="s">
        <v>3119</v>
      </c>
      <c r="C45" s="98" t="s">
        <v>3132</v>
      </c>
      <c r="D45" s="97" t="s">
        <v>3139</v>
      </c>
      <c r="E45" s="100" t="s">
        <v>3079</v>
      </c>
    </row>
    <row r="46" spans="1:8" ht="30" customHeight="1" x14ac:dyDescent="0.25">
      <c r="A46" s="97" t="s">
        <v>3140</v>
      </c>
      <c r="B46" s="98" t="s">
        <v>3119</v>
      </c>
      <c r="C46" s="98" t="s">
        <v>3100</v>
      </c>
      <c r="D46" s="97" t="s">
        <v>3141</v>
      </c>
      <c r="E46" s="99" t="s">
        <v>3071</v>
      </c>
    </row>
    <row r="47" spans="1:8" ht="30" customHeight="1" x14ac:dyDescent="0.25">
      <c r="A47" s="97" t="s">
        <v>3142</v>
      </c>
      <c r="B47" s="98" t="s">
        <v>3073</v>
      </c>
      <c r="C47" s="98" t="s">
        <v>3143</v>
      </c>
      <c r="D47" s="97" t="s">
        <v>3144</v>
      </c>
      <c r="E47" s="99" t="s">
        <v>3071</v>
      </c>
    </row>
    <row r="48" spans="1:8" ht="18" customHeight="1" x14ac:dyDescent="0.25">
      <c r="A48" s="111" t="s">
        <v>3084</v>
      </c>
      <c r="B48" s="102" t="s">
        <v>2396</v>
      </c>
      <c r="C48" s="112" t="s">
        <v>3100</v>
      </c>
      <c r="D48" s="104" t="s">
        <v>3086</v>
      </c>
      <c r="E48" s="105"/>
    </row>
    <row r="50" spans="1:8" ht="21.75" customHeight="1" x14ac:dyDescent="0.25">
      <c r="A50" s="208" t="s">
        <v>3145</v>
      </c>
      <c r="B50" s="208"/>
      <c r="C50" s="208"/>
      <c r="D50" s="208"/>
      <c r="E50" s="208"/>
      <c r="F50" s="208"/>
      <c r="G50" s="208"/>
      <c r="H50" s="208"/>
    </row>
    <row r="51" spans="1:8" ht="15.75" customHeight="1" x14ac:dyDescent="0.25">
      <c r="A51" s="209" t="s">
        <v>3146</v>
      </c>
      <c r="B51" s="209"/>
      <c r="C51" s="209"/>
      <c r="D51" s="209"/>
      <c r="E51" s="209"/>
      <c r="F51" s="209"/>
      <c r="G51" s="209"/>
      <c r="H51" s="209"/>
    </row>
    <row r="52" spans="1:8" ht="15.75" customHeight="1" x14ac:dyDescent="0.25">
      <c r="A52" s="96" t="s">
        <v>3063</v>
      </c>
      <c r="B52" s="96" t="s">
        <v>3064</v>
      </c>
      <c r="C52" s="96" t="s">
        <v>3065</v>
      </c>
      <c r="D52" s="96" t="s">
        <v>3066</v>
      </c>
      <c r="E52" s="96" t="s">
        <v>2359</v>
      </c>
    </row>
    <row r="53" spans="1:8" ht="30" customHeight="1" x14ac:dyDescent="0.25">
      <c r="A53" s="97" t="s">
        <v>3147</v>
      </c>
      <c r="B53" s="98" t="s">
        <v>3099</v>
      </c>
      <c r="C53" s="98" t="s">
        <v>3148</v>
      </c>
      <c r="D53" s="97" t="s">
        <v>3149</v>
      </c>
      <c r="E53" s="100" t="s">
        <v>3079</v>
      </c>
    </row>
    <row r="54" spans="1:8" ht="30" customHeight="1" x14ac:dyDescent="0.25">
      <c r="A54" s="97" t="s">
        <v>3150</v>
      </c>
      <c r="B54" s="98" t="s">
        <v>3122</v>
      </c>
      <c r="C54" s="98" t="s">
        <v>3148</v>
      </c>
      <c r="D54" s="97" t="s">
        <v>3151</v>
      </c>
      <c r="E54" s="100" t="s">
        <v>3079</v>
      </c>
    </row>
    <row r="55" spans="1:8" ht="30" customHeight="1" x14ac:dyDescent="0.25">
      <c r="A55" s="97" t="s">
        <v>3152</v>
      </c>
      <c r="B55" s="98" t="s">
        <v>3073</v>
      </c>
      <c r="C55" s="98" t="s">
        <v>3153</v>
      </c>
      <c r="D55" s="97" t="s">
        <v>3154</v>
      </c>
      <c r="E55" s="106" t="s">
        <v>3093</v>
      </c>
    </row>
    <row r="56" spans="1:8" ht="30" customHeight="1" x14ac:dyDescent="0.25">
      <c r="A56" s="97" t="s">
        <v>3155</v>
      </c>
      <c r="B56" s="98" t="s">
        <v>3119</v>
      </c>
      <c r="C56" s="98" t="s">
        <v>3100</v>
      </c>
      <c r="D56" s="97" t="s">
        <v>3156</v>
      </c>
      <c r="E56" s="100" t="s">
        <v>3079</v>
      </c>
    </row>
    <row r="57" spans="1:8" ht="30" customHeight="1" x14ac:dyDescent="0.25">
      <c r="A57" s="97" t="s">
        <v>3157</v>
      </c>
      <c r="B57" s="98" t="s">
        <v>3081</v>
      </c>
      <c r="C57" s="98" t="s">
        <v>3074</v>
      </c>
      <c r="D57" s="97" t="s">
        <v>3158</v>
      </c>
      <c r="E57" s="99" t="s">
        <v>3071</v>
      </c>
    </row>
    <row r="58" spans="1:8" ht="30" customHeight="1" x14ac:dyDescent="0.25">
      <c r="A58" s="97" t="s">
        <v>3159</v>
      </c>
      <c r="B58" s="98" t="s">
        <v>3081</v>
      </c>
      <c r="C58" s="98" t="s">
        <v>3160</v>
      </c>
      <c r="D58" s="97" t="s">
        <v>3161</v>
      </c>
      <c r="E58" s="106" t="s">
        <v>3093</v>
      </c>
    </row>
    <row r="59" spans="1:8" ht="30" customHeight="1" x14ac:dyDescent="0.25">
      <c r="A59" s="97" t="s">
        <v>3162</v>
      </c>
      <c r="B59" s="98" t="s">
        <v>3081</v>
      </c>
      <c r="C59" s="98" t="s">
        <v>3069</v>
      </c>
      <c r="D59" s="97" t="s">
        <v>3163</v>
      </c>
      <c r="E59" s="99" t="s">
        <v>3071</v>
      </c>
    </row>
    <row r="60" spans="1:8" ht="30" customHeight="1" x14ac:dyDescent="0.25">
      <c r="A60" s="97" t="s">
        <v>3164</v>
      </c>
      <c r="B60" s="98" t="s">
        <v>3073</v>
      </c>
      <c r="C60" s="98" t="s">
        <v>3069</v>
      </c>
      <c r="D60" s="97" t="s">
        <v>3165</v>
      </c>
      <c r="E60" s="99" t="s">
        <v>3071</v>
      </c>
    </row>
    <row r="61" spans="1:8" ht="18" customHeight="1" x14ac:dyDescent="0.25">
      <c r="A61" s="113" t="s">
        <v>3084</v>
      </c>
      <c r="B61" s="102" t="s">
        <v>2396</v>
      </c>
      <c r="C61" s="114" t="s">
        <v>3166</v>
      </c>
      <c r="D61" s="104" t="s">
        <v>3086</v>
      </c>
      <c r="E61" s="105"/>
    </row>
    <row r="63" spans="1:8" ht="21.75" customHeight="1" x14ac:dyDescent="0.25">
      <c r="A63" s="210" t="s">
        <v>3167</v>
      </c>
      <c r="B63" s="210"/>
      <c r="C63" s="210"/>
      <c r="D63" s="210"/>
      <c r="E63" s="210"/>
      <c r="F63" s="210"/>
      <c r="G63" s="210"/>
      <c r="H63" s="210"/>
    </row>
    <row r="64" spans="1:8" ht="15.75" customHeight="1" x14ac:dyDescent="0.25">
      <c r="A64" s="211" t="s">
        <v>3168</v>
      </c>
      <c r="B64" s="211"/>
      <c r="C64" s="211"/>
      <c r="D64" s="211"/>
      <c r="E64" s="211"/>
      <c r="F64" s="211"/>
      <c r="G64" s="211"/>
      <c r="H64" s="211"/>
    </row>
    <row r="65" spans="1:8" ht="15.75" customHeight="1" x14ac:dyDescent="0.25">
      <c r="A65" s="96" t="s">
        <v>3063</v>
      </c>
      <c r="B65" s="96" t="s">
        <v>3064</v>
      </c>
      <c r="C65" s="96" t="s">
        <v>3065</v>
      </c>
      <c r="D65" s="96" t="s">
        <v>3066</v>
      </c>
      <c r="E65" s="96" t="s">
        <v>2359</v>
      </c>
    </row>
    <row r="66" spans="1:8" ht="30" customHeight="1" x14ac:dyDescent="0.25">
      <c r="A66" s="97" t="s">
        <v>3169</v>
      </c>
      <c r="B66" s="98" t="s">
        <v>1185</v>
      </c>
      <c r="C66" s="98" t="s">
        <v>3143</v>
      </c>
      <c r="D66" s="97" t="s">
        <v>3170</v>
      </c>
      <c r="E66" s="99" t="s">
        <v>3071</v>
      </c>
    </row>
    <row r="67" spans="1:8" ht="30" customHeight="1" x14ac:dyDescent="0.25">
      <c r="A67" s="97" t="s">
        <v>3171</v>
      </c>
      <c r="B67" s="98" t="s">
        <v>1185</v>
      </c>
      <c r="C67" s="98" t="s">
        <v>3172</v>
      </c>
      <c r="D67" s="97" t="s">
        <v>3173</v>
      </c>
      <c r="E67" s="100" t="s">
        <v>3079</v>
      </c>
    </row>
    <row r="68" spans="1:8" ht="30" customHeight="1" x14ac:dyDescent="0.25">
      <c r="A68" s="97" t="s">
        <v>3174</v>
      </c>
      <c r="B68" s="98" t="s">
        <v>1185</v>
      </c>
      <c r="C68" s="98" t="s">
        <v>3172</v>
      </c>
      <c r="D68" s="97" t="s">
        <v>3175</v>
      </c>
      <c r="E68" s="100" t="s">
        <v>3079</v>
      </c>
    </row>
    <row r="69" spans="1:8" ht="30" customHeight="1" x14ac:dyDescent="0.25">
      <c r="A69" s="97" t="s">
        <v>3176</v>
      </c>
      <c r="B69" s="98" t="s">
        <v>1185</v>
      </c>
      <c r="C69" s="98" t="s">
        <v>3148</v>
      </c>
      <c r="D69" s="97" t="s">
        <v>3177</v>
      </c>
      <c r="E69" s="99" t="s">
        <v>3071</v>
      </c>
    </row>
    <row r="70" spans="1:8" ht="30" customHeight="1" x14ac:dyDescent="0.25">
      <c r="A70" s="97" t="s">
        <v>3178</v>
      </c>
      <c r="B70" s="98" t="s">
        <v>3179</v>
      </c>
      <c r="C70" s="98" t="s">
        <v>3180</v>
      </c>
      <c r="D70" s="97" t="s">
        <v>3181</v>
      </c>
      <c r="E70" s="99" t="s">
        <v>3071</v>
      </c>
    </row>
    <row r="71" spans="1:8" ht="30" customHeight="1" x14ac:dyDescent="0.25">
      <c r="A71" s="97" t="s">
        <v>3182</v>
      </c>
      <c r="B71" s="98" t="s">
        <v>3179</v>
      </c>
      <c r="C71" s="98" t="s">
        <v>3148</v>
      </c>
      <c r="D71" s="97" t="s">
        <v>3183</v>
      </c>
      <c r="E71" s="100" t="s">
        <v>3079</v>
      </c>
    </row>
    <row r="72" spans="1:8" ht="18" customHeight="1" x14ac:dyDescent="0.25">
      <c r="A72" s="115" t="s">
        <v>3084</v>
      </c>
      <c r="B72" s="102" t="s">
        <v>2396</v>
      </c>
      <c r="C72" s="116" t="s">
        <v>3143</v>
      </c>
      <c r="D72" s="104" t="s">
        <v>3086</v>
      </c>
      <c r="E72" s="105"/>
    </row>
    <row r="74" spans="1:8" ht="18" customHeight="1" x14ac:dyDescent="0.25">
      <c r="A74" s="199" t="s">
        <v>3184</v>
      </c>
      <c r="B74" s="199"/>
      <c r="C74" s="199"/>
      <c r="D74" s="199"/>
      <c r="E74" s="199"/>
      <c r="F74" s="199"/>
      <c r="G74" s="199"/>
      <c r="H74" s="199"/>
    </row>
    <row r="75" spans="1:8" ht="19.5" customHeight="1" x14ac:dyDescent="0.25">
      <c r="A75" s="212" t="s">
        <v>3185</v>
      </c>
      <c r="B75" s="212"/>
      <c r="C75" s="212"/>
      <c r="D75" s="212"/>
      <c r="E75" s="212"/>
      <c r="F75" s="212"/>
      <c r="G75" s="212"/>
      <c r="H75" s="212"/>
    </row>
    <row r="76" spans="1:8" ht="19.5" customHeight="1" x14ac:dyDescent="0.25">
      <c r="A76" s="212"/>
      <c r="B76" s="212"/>
      <c r="C76" s="212"/>
      <c r="D76" s="212"/>
      <c r="E76" s="212"/>
      <c r="F76" s="212"/>
      <c r="G76" s="212"/>
      <c r="H76" s="212"/>
    </row>
    <row r="77" spans="1:8" ht="19.5" customHeight="1" x14ac:dyDescent="0.25">
      <c r="A77" s="212"/>
      <c r="B77" s="212"/>
      <c r="C77" s="212"/>
      <c r="D77" s="212"/>
      <c r="E77" s="212"/>
      <c r="F77" s="212"/>
      <c r="G77" s="212"/>
      <c r="H77" s="212"/>
    </row>
    <row r="79" spans="1:8" ht="15" customHeight="1" x14ac:dyDescent="0.25">
      <c r="A79" s="199" t="s">
        <v>3186</v>
      </c>
      <c r="B79" s="199"/>
      <c r="C79" s="199"/>
      <c r="D79" s="199"/>
      <c r="E79" s="199"/>
      <c r="F79" s="199"/>
      <c r="G79" s="199"/>
      <c r="H79" s="199"/>
    </row>
    <row r="80" spans="1:8" ht="15" customHeight="1" x14ac:dyDescent="0.25">
      <c r="A80" s="201" t="s">
        <v>3187</v>
      </c>
      <c r="B80" s="201"/>
      <c r="C80" s="201"/>
      <c r="D80" s="201"/>
      <c r="E80" s="201"/>
      <c r="F80" s="201"/>
      <c r="G80" s="201"/>
      <c r="H80" s="201"/>
    </row>
    <row r="81" spans="1:8" ht="23.25" customHeight="1" x14ac:dyDescent="0.25">
      <c r="A81" s="96" t="s">
        <v>3188</v>
      </c>
      <c r="B81" s="96" t="s">
        <v>62</v>
      </c>
      <c r="C81" s="96" t="s">
        <v>484</v>
      </c>
      <c r="D81" s="96" t="s">
        <v>786</v>
      </c>
      <c r="E81" s="96"/>
      <c r="F81" s="96"/>
      <c r="G81" s="96"/>
      <c r="H81" s="96"/>
    </row>
    <row r="82" spans="1:8" ht="15" customHeight="1" x14ac:dyDescent="0.25">
      <c r="A82" s="97" t="s">
        <v>2967</v>
      </c>
      <c r="B82" s="98" t="s">
        <v>3189</v>
      </c>
      <c r="C82" s="98" t="s">
        <v>3189</v>
      </c>
      <c r="D82" s="97" t="s">
        <v>3189</v>
      </c>
    </row>
    <row r="83" spans="1:8" ht="15" customHeight="1" x14ac:dyDescent="0.25">
      <c r="A83" s="97" t="s">
        <v>3042</v>
      </c>
      <c r="B83" s="98" t="s">
        <v>3190</v>
      </c>
      <c r="C83" s="98" t="s">
        <v>3191</v>
      </c>
      <c r="D83" s="97" t="s">
        <v>3191</v>
      </c>
    </row>
    <row r="84" spans="1:8" ht="15" customHeight="1" x14ac:dyDescent="0.25">
      <c r="A84" s="97" t="s">
        <v>3192</v>
      </c>
      <c r="B84" s="98" t="s">
        <v>3049</v>
      </c>
      <c r="C84" s="98" t="s">
        <v>3193</v>
      </c>
      <c r="D84" s="97" t="s">
        <v>3193</v>
      </c>
    </row>
    <row r="85" spans="1:8" ht="15" customHeight="1" x14ac:dyDescent="0.25">
      <c r="A85" s="97" t="s">
        <v>3194</v>
      </c>
      <c r="B85" s="98" t="s">
        <v>3195</v>
      </c>
      <c r="C85" s="98" t="s">
        <v>3195</v>
      </c>
      <c r="D85" s="97" t="s">
        <v>3195</v>
      </c>
    </row>
    <row r="86" spans="1:8" ht="23.25" customHeight="1" x14ac:dyDescent="0.25">
      <c r="A86" s="97" t="s">
        <v>3196</v>
      </c>
      <c r="B86" s="98" t="s">
        <v>3046</v>
      </c>
      <c r="C86" s="98" t="s">
        <v>3046</v>
      </c>
      <c r="D86" s="97" t="s">
        <v>3046</v>
      </c>
    </row>
    <row r="87" spans="1:8" ht="15" customHeight="1" x14ac:dyDescent="0.25">
      <c r="A87" s="97" t="s">
        <v>3038</v>
      </c>
      <c r="B87" s="98" t="s">
        <v>3197</v>
      </c>
      <c r="C87" s="98" t="s">
        <v>3197</v>
      </c>
      <c r="D87" s="97" t="s">
        <v>3197</v>
      </c>
    </row>
    <row r="88" spans="1:8" ht="34.5" customHeight="1" x14ac:dyDescent="0.25">
      <c r="A88" s="97" t="s">
        <v>3198</v>
      </c>
      <c r="B88" s="98" t="s">
        <v>3199</v>
      </c>
      <c r="C88" s="98" t="s">
        <v>3200</v>
      </c>
      <c r="D88" s="97" t="s">
        <v>3201</v>
      </c>
    </row>
    <row r="89" spans="1:8" ht="15" customHeight="1" x14ac:dyDescent="0.25">
      <c r="A89" s="97" t="s">
        <v>2989</v>
      </c>
      <c r="B89" s="98" t="s">
        <v>3202</v>
      </c>
      <c r="C89" s="98" t="s">
        <v>3203</v>
      </c>
      <c r="D89" s="97" t="s">
        <v>3204</v>
      </c>
    </row>
    <row r="90" spans="1:8" ht="15" customHeight="1" x14ac:dyDescent="0.25">
      <c r="A90" s="97" t="s">
        <v>3057</v>
      </c>
      <c r="B90" s="98" t="s">
        <v>3205</v>
      </c>
      <c r="C90" s="98" t="s">
        <v>3206</v>
      </c>
      <c r="D90" s="97" t="s">
        <v>3206</v>
      </c>
    </row>
    <row r="91" spans="1:8" ht="15" customHeight="1" x14ac:dyDescent="0.25">
      <c r="A91" s="97" t="s">
        <v>3052</v>
      </c>
      <c r="B91" s="98" t="s">
        <v>3053</v>
      </c>
      <c r="C91" s="98" t="s">
        <v>3207</v>
      </c>
      <c r="D91" s="97" t="s">
        <v>3208</v>
      </c>
    </row>
    <row r="92" spans="1:8" ht="15" customHeight="1" x14ac:dyDescent="0.25">
      <c r="A92" s="97" t="s">
        <v>3054</v>
      </c>
      <c r="B92" s="98" t="s">
        <v>3209</v>
      </c>
      <c r="C92" s="98" t="s">
        <v>3210</v>
      </c>
      <c r="D92" s="97" t="s">
        <v>3047</v>
      </c>
    </row>
    <row r="93" spans="1:8" ht="15" customHeight="1" x14ac:dyDescent="0.25">
      <c r="A93" s="97" t="s">
        <v>3211</v>
      </c>
      <c r="B93" s="98" t="s">
        <v>3212</v>
      </c>
      <c r="C93" s="98" t="s">
        <v>3213</v>
      </c>
      <c r="D93" s="97" t="s">
        <v>3214</v>
      </c>
    </row>
    <row r="94" spans="1:8" ht="15" customHeight="1" x14ac:dyDescent="0.25">
      <c r="A94" s="97" t="s">
        <v>2969</v>
      </c>
      <c r="B94" s="98" t="s">
        <v>3215</v>
      </c>
      <c r="C94" s="98" t="s">
        <v>3216</v>
      </c>
      <c r="D94" s="97" t="s">
        <v>3217</v>
      </c>
    </row>
    <row r="95" spans="1:8" ht="15" customHeight="1" x14ac:dyDescent="0.25">
      <c r="A95" s="97" t="s">
        <v>3218</v>
      </c>
      <c r="B95" s="98" t="s">
        <v>3219</v>
      </c>
      <c r="C95" s="98" t="s">
        <v>3220</v>
      </c>
      <c r="D95" s="97" t="s">
        <v>3221</v>
      </c>
    </row>
    <row r="97" spans="1:8" ht="15" customHeight="1" x14ac:dyDescent="0.25">
      <c r="A97" s="213" t="s">
        <v>3222</v>
      </c>
      <c r="B97" s="213"/>
      <c r="C97" s="213"/>
      <c r="D97" s="213"/>
      <c r="E97" s="213"/>
      <c r="F97" s="213"/>
      <c r="G97" s="213"/>
      <c r="H97" s="213"/>
    </row>
  </sheetData>
  <mergeCells count="20">
    <mergeCell ref="A74:H74"/>
    <mergeCell ref="A75:H77"/>
    <mergeCell ref="A79:H79"/>
    <mergeCell ref="A80:H80"/>
    <mergeCell ref="A97:H97"/>
    <mergeCell ref="A40:H40"/>
    <mergeCell ref="A50:H50"/>
    <mergeCell ref="A51:H51"/>
    <mergeCell ref="A63:H63"/>
    <mergeCell ref="A64:H64"/>
    <mergeCell ref="A19:H19"/>
    <mergeCell ref="A20:H20"/>
    <mergeCell ref="A29:H29"/>
    <mergeCell ref="A30:H30"/>
    <mergeCell ref="A39:H39"/>
    <mergeCell ref="A1:H1"/>
    <mergeCell ref="A2:H2"/>
    <mergeCell ref="A4:H4"/>
    <mergeCell ref="A10:H10"/>
    <mergeCell ref="A11:H1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58"/>
  <sheetViews>
    <sheetView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18" customWidth="1"/>
    <col min="2" max="2" width="20" customWidth="1"/>
    <col min="3" max="3" width="18" customWidth="1"/>
    <col min="4" max="4" width="22" customWidth="1"/>
    <col min="5" max="6" width="28" customWidth="1"/>
    <col min="7" max="7" width="50" customWidth="1"/>
    <col min="8" max="8" width="40" customWidth="1"/>
    <col min="9" max="9" width="14" customWidth="1"/>
    <col min="10" max="10" width="35" customWidth="1"/>
    <col min="11" max="11" width="32" customWidth="1"/>
    <col min="12" max="12" width="20" customWidth="1"/>
    <col min="13" max="15" width="22" customWidth="1"/>
    <col min="16" max="17" width="20" customWidth="1"/>
    <col min="18" max="18" width="22" customWidth="1"/>
    <col min="19" max="19" width="16" customWidth="1"/>
    <col min="20" max="20" width="18" customWidth="1"/>
    <col min="21" max="21" width="42" customWidth="1"/>
    <col min="22" max="22" width="16" customWidth="1"/>
    <col min="23" max="23" width="52" customWidth="1"/>
  </cols>
  <sheetData>
    <row r="1" spans="1:24" ht="25.5" customHeight="1" x14ac:dyDescent="0.25">
      <c r="A1" s="214" t="s">
        <v>3223</v>
      </c>
      <c r="B1" s="214"/>
      <c r="C1" s="214"/>
      <c r="D1" s="214"/>
      <c r="E1" s="214"/>
      <c r="F1" s="214"/>
      <c r="G1" s="214"/>
      <c r="H1" s="214"/>
      <c r="I1" s="214"/>
      <c r="J1" s="214"/>
      <c r="K1" s="214"/>
      <c r="L1" s="214"/>
      <c r="M1" s="214"/>
      <c r="N1" s="214"/>
      <c r="O1" s="214"/>
      <c r="P1" s="214"/>
      <c r="Q1" s="214"/>
      <c r="R1" s="214"/>
      <c r="S1" s="214"/>
      <c r="T1" s="214"/>
      <c r="U1" s="214"/>
      <c r="V1" s="214"/>
      <c r="W1" s="214"/>
    </row>
    <row r="2" spans="1:24" ht="18" customHeight="1" x14ac:dyDescent="0.25">
      <c r="A2" s="215" t="s">
        <v>3224</v>
      </c>
      <c r="B2" s="215"/>
      <c r="C2" s="215"/>
      <c r="D2" s="215"/>
      <c r="E2" s="215"/>
      <c r="F2" s="215"/>
      <c r="G2" s="215"/>
      <c r="H2" s="215"/>
      <c r="I2" s="215"/>
      <c r="J2" s="215"/>
      <c r="K2" s="215"/>
      <c r="L2" s="215"/>
      <c r="M2" s="215"/>
      <c r="N2" s="215"/>
      <c r="O2" s="215"/>
      <c r="P2" s="215"/>
      <c r="Q2" s="215"/>
      <c r="R2" s="215"/>
      <c r="S2" s="215"/>
      <c r="T2" s="215"/>
      <c r="U2" s="215"/>
      <c r="V2" s="215"/>
      <c r="W2" s="215"/>
    </row>
    <row r="3" spans="1:24" ht="6" customHeight="1" x14ac:dyDescent="0.25"/>
    <row r="4" spans="1:24" ht="36" customHeight="1" x14ac:dyDescent="0.25">
      <c r="A4" s="117" t="s">
        <v>2185</v>
      </c>
      <c r="B4" s="117" t="s">
        <v>2186</v>
      </c>
      <c r="C4" s="117" t="s">
        <v>17</v>
      </c>
      <c r="D4" s="117" t="s">
        <v>2188</v>
      </c>
      <c r="E4" s="117" t="s">
        <v>3225</v>
      </c>
      <c r="F4" s="117" t="s">
        <v>29</v>
      </c>
      <c r="G4" s="117" t="s">
        <v>3226</v>
      </c>
      <c r="H4" s="117" t="s">
        <v>3227</v>
      </c>
      <c r="I4" s="117" t="s">
        <v>3228</v>
      </c>
      <c r="J4" s="117" t="s">
        <v>3229</v>
      </c>
      <c r="K4" s="117" t="s">
        <v>3230</v>
      </c>
      <c r="L4" s="117" t="s">
        <v>3231</v>
      </c>
      <c r="M4" s="117" t="s">
        <v>3232</v>
      </c>
      <c r="N4" s="117" t="s">
        <v>3233</v>
      </c>
      <c r="O4" s="117" t="s">
        <v>3234</v>
      </c>
      <c r="P4" s="117" t="s">
        <v>3235</v>
      </c>
      <c r="Q4" s="117" t="s">
        <v>3236</v>
      </c>
      <c r="R4" s="117" t="s">
        <v>3237</v>
      </c>
      <c r="S4" s="117" t="s">
        <v>3238</v>
      </c>
      <c r="T4" s="117" t="s">
        <v>3239</v>
      </c>
      <c r="U4" s="117" t="s">
        <v>34</v>
      </c>
      <c r="V4" s="117" t="s">
        <v>3240</v>
      </c>
      <c r="W4" s="117" t="s">
        <v>3241</v>
      </c>
      <c r="X4" s="117" t="s">
        <v>35</v>
      </c>
    </row>
    <row r="5" spans="1:24" ht="42" customHeight="1" x14ac:dyDescent="0.25">
      <c r="A5" s="118" t="s">
        <v>264</v>
      </c>
      <c r="B5" s="119" t="s">
        <v>265</v>
      </c>
      <c r="C5" s="119" t="s">
        <v>273</v>
      </c>
      <c r="D5" s="119" t="s">
        <v>48</v>
      </c>
      <c r="E5" s="119" t="s">
        <v>275</v>
      </c>
      <c r="F5" s="119" t="s">
        <v>276</v>
      </c>
      <c r="G5" s="119" t="s">
        <v>3242</v>
      </c>
      <c r="H5" s="119" t="s">
        <v>277</v>
      </c>
      <c r="I5" s="118" t="s">
        <v>50</v>
      </c>
      <c r="J5" s="118" t="s">
        <v>3243</v>
      </c>
      <c r="K5" s="118" t="s">
        <v>274</v>
      </c>
      <c r="L5" s="119" t="s">
        <v>3022</v>
      </c>
      <c r="M5" s="119" t="s">
        <v>3022</v>
      </c>
      <c r="N5" s="119" t="s">
        <v>3022</v>
      </c>
      <c r="O5" s="119" t="s">
        <v>3022</v>
      </c>
      <c r="P5" s="119" t="s">
        <v>92</v>
      </c>
      <c r="Q5" s="119" t="s">
        <v>445</v>
      </c>
      <c r="R5" s="119" t="s">
        <v>3244</v>
      </c>
      <c r="S5" s="118">
        <v>80</v>
      </c>
      <c r="T5" s="120">
        <v>45473</v>
      </c>
      <c r="U5" s="119" t="s">
        <v>280</v>
      </c>
      <c r="V5" s="120">
        <v>45366</v>
      </c>
      <c r="W5" s="119" t="s">
        <v>3245</v>
      </c>
      <c r="X5" s="119" t="s">
        <v>62</v>
      </c>
    </row>
    <row r="6" spans="1:24" ht="42" customHeight="1" x14ac:dyDescent="0.25">
      <c r="A6" s="121" t="s">
        <v>281</v>
      </c>
      <c r="B6" s="122" t="s">
        <v>282</v>
      </c>
      <c r="C6" s="122" t="s">
        <v>289</v>
      </c>
      <c r="D6" s="122" t="s">
        <v>73</v>
      </c>
      <c r="E6" s="122" t="s">
        <v>291</v>
      </c>
      <c r="F6" s="122" t="s">
        <v>60</v>
      </c>
      <c r="G6" s="122" t="s">
        <v>3246</v>
      </c>
      <c r="H6" s="122" t="s">
        <v>3247</v>
      </c>
      <c r="I6" s="121" t="s">
        <v>50</v>
      </c>
      <c r="J6" s="121" t="s">
        <v>3248</v>
      </c>
      <c r="K6" s="121" t="s">
        <v>290</v>
      </c>
      <c r="L6" s="122" t="s">
        <v>3022</v>
      </c>
      <c r="M6" s="122" t="s">
        <v>92</v>
      </c>
      <c r="N6" s="122" t="s">
        <v>445</v>
      </c>
      <c r="O6" s="122" t="s">
        <v>445</v>
      </c>
      <c r="P6" s="122" t="s">
        <v>445</v>
      </c>
      <c r="Q6" s="122" t="s">
        <v>445</v>
      </c>
      <c r="R6" s="122" t="s">
        <v>3244</v>
      </c>
      <c r="S6" s="121">
        <v>30</v>
      </c>
      <c r="T6" s="123">
        <v>45838</v>
      </c>
      <c r="U6" s="122" t="s">
        <v>295</v>
      </c>
      <c r="V6" s="123">
        <v>45473</v>
      </c>
      <c r="W6" s="122" t="s">
        <v>3249</v>
      </c>
      <c r="X6" s="122" t="s">
        <v>62</v>
      </c>
    </row>
    <row r="7" spans="1:24" ht="42" customHeight="1" x14ac:dyDescent="0.25">
      <c r="A7" s="118" t="s">
        <v>296</v>
      </c>
      <c r="B7" s="119" t="s">
        <v>297</v>
      </c>
      <c r="C7" s="119" t="s">
        <v>302</v>
      </c>
      <c r="D7" s="119" t="s">
        <v>73</v>
      </c>
      <c r="E7" s="119" t="s">
        <v>291</v>
      </c>
      <c r="F7" s="119" t="s">
        <v>60</v>
      </c>
      <c r="G7" s="119" t="s">
        <v>3250</v>
      </c>
      <c r="H7" s="119" t="s">
        <v>3251</v>
      </c>
      <c r="I7" s="118" t="s">
        <v>103</v>
      </c>
      <c r="J7" s="118" t="s">
        <v>3252</v>
      </c>
      <c r="K7" s="118" t="s">
        <v>303</v>
      </c>
      <c r="L7" s="119" t="s">
        <v>3022</v>
      </c>
      <c r="M7" s="119" t="s">
        <v>3022</v>
      </c>
      <c r="N7" s="119" t="s">
        <v>3022</v>
      </c>
      <c r="O7" s="119" t="s">
        <v>3022</v>
      </c>
      <c r="P7" s="119" t="s">
        <v>3022</v>
      </c>
      <c r="Q7" s="119" t="s">
        <v>3022</v>
      </c>
      <c r="R7" s="119" t="s">
        <v>3022</v>
      </c>
      <c r="S7" s="118">
        <v>100</v>
      </c>
      <c r="T7" s="120">
        <v>45971</v>
      </c>
      <c r="U7" s="119" t="s">
        <v>308</v>
      </c>
      <c r="V7" s="119"/>
      <c r="W7" s="119" t="s">
        <v>3253</v>
      </c>
      <c r="X7" s="119" t="s">
        <v>62</v>
      </c>
    </row>
    <row r="8" spans="1:24" ht="42" customHeight="1" x14ac:dyDescent="0.25">
      <c r="A8" s="121" t="s">
        <v>309</v>
      </c>
      <c r="B8" s="122" t="s">
        <v>310</v>
      </c>
      <c r="C8" s="122" t="s">
        <v>273</v>
      </c>
      <c r="D8" s="122" t="s">
        <v>117</v>
      </c>
      <c r="E8" s="122" t="s">
        <v>314</v>
      </c>
      <c r="F8" s="122" t="s">
        <v>60</v>
      </c>
      <c r="G8" s="122" t="s">
        <v>3254</v>
      </c>
      <c r="H8" s="122" t="s">
        <v>3255</v>
      </c>
      <c r="I8" s="121" t="s">
        <v>119</v>
      </c>
      <c r="J8" s="121" t="s">
        <v>3256</v>
      </c>
      <c r="K8" s="121" t="s">
        <v>122</v>
      </c>
      <c r="L8" s="122" t="s">
        <v>3022</v>
      </c>
      <c r="M8" s="122" t="s">
        <v>3257</v>
      </c>
      <c r="N8" s="122" t="s">
        <v>445</v>
      </c>
      <c r="O8" s="122" t="s">
        <v>445</v>
      </c>
      <c r="P8" s="122" t="s">
        <v>445</v>
      </c>
      <c r="Q8" s="122" t="s">
        <v>445</v>
      </c>
      <c r="R8" s="122" t="s">
        <v>3244</v>
      </c>
      <c r="S8" s="121">
        <v>15</v>
      </c>
      <c r="T8" s="123">
        <v>46022</v>
      </c>
      <c r="U8" s="122" t="s">
        <v>3258</v>
      </c>
      <c r="V8" s="123">
        <v>45473</v>
      </c>
      <c r="W8" s="122" t="s">
        <v>3259</v>
      </c>
      <c r="X8" s="122" t="s">
        <v>62</v>
      </c>
    </row>
    <row r="9" spans="1:24" ht="42" customHeight="1" x14ac:dyDescent="0.25">
      <c r="A9" s="118" t="s">
        <v>319</v>
      </c>
      <c r="B9" s="119" t="s">
        <v>320</v>
      </c>
      <c r="C9" s="119" t="s">
        <v>302</v>
      </c>
      <c r="D9" s="119" t="s">
        <v>204</v>
      </c>
      <c r="E9" s="119" t="s">
        <v>324</v>
      </c>
      <c r="F9" s="119" t="s">
        <v>325</v>
      </c>
      <c r="G9" s="119" t="s">
        <v>3260</v>
      </c>
      <c r="H9" s="119" t="s">
        <v>3261</v>
      </c>
      <c r="I9" s="118" t="s">
        <v>50</v>
      </c>
      <c r="J9" s="118" t="s">
        <v>3243</v>
      </c>
      <c r="K9" s="118" t="s">
        <v>274</v>
      </c>
      <c r="L9" s="119" t="s">
        <v>3022</v>
      </c>
      <c r="M9" s="119" t="s">
        <v>3022</v>
      </c>
      <c r="N9" s="119" t="s">
        <v>3022</v>
      </c>
      <c r="O9" s="119" t="s">
        <v>3022</v>
      </c>
      <c r="P9" s="119" t="s">
        <v>92</v>
      </c>
      <c r="Q9" s="119" t="s">
        <v>445</v>
      </c>
      <c r="R9" s="119" t="s">
        <v>3244</v>
      </c>
      <c r="S9" s="118">
        <v>78</v>
      </c>
      <c r="T9" s="120">
        <v>45473</v>
      </c>
      <c r="U9" s="119" t="s">
        <v>280</v>
      </c>
      <c r="V9" s="120">
        <v>45371</v>
      </c>
      <c r="W9" s="119" t="s">
        <v>3262</v>
      </c>
      <c r="X9" s="119" t="s">
        <v>62</v>
      </c>
    </row>
    <row r="10" spans="1:24" ht="42" customHeight="1" x14ac:dyDescent="0.25">
      <c r="A10" s="121" t="s">
        <v>328</v>
      </c>
      <c r="B10" s="122" t="s">
        <v>329</v>
      </c>
      <c r="C10" s="122" t="s">
        <v>289</v>
      </c>
      <c r="D10" s="122" t="s">
        <v>73</v>
      </c>
      <c r="E10" s="122" t="s">
        <v>291</v>
      </c>
      <c r="F10" s="122" t="s">
        <v>60</v>
      </c>
      <c r="G10" s="122" t="s">
        <v>3246</v>
      </c>
      <c r="H10" s="122" t="s">
        <v>3263</v>
      </c>
      <c r="I10" s="121" t="s">
        <v>50</v>
      </c>
      <c r="J10" s="121" t="s">
        <v>3248</v>
      </c>
      <c r="K10" s="121" t="s">
        <v>290</v>
      </c>
      <c r="L10" s="122" t="s">
        <v>3022</v>
      </c>
      <c r="M10" s="122" t="s">
        <v>92</v>
      </c>
      <c r="N10" s="122" t="s">
        <v>445</v>
      </c>
      <c r="O10" s="122" t="s">
        <v>445</v>
      </c>
      <c r="P10" s="122" t="s">
        <v>445</v>
      </c>
      <c r="Q10" s="122" t="s">
        <v>445</v>
      </c>
      <c r="R10" s="122" t="s">
        <v>3244</v>
      </c>
      <c r="S10" s="121">
        <v>28</v>
      </c>
      <c r="T10" s="123">
        <v>45838</v>
      </c>
      <c r="U10" s="122" t="s">
        <v>295</v>
      </c>
      <c r="V10" s="123">
        <v>45473</v>
      </c>
      <c r="W10" s="122" t="s">
        <v>3264</v>
      </c>
      <c r="X10" s="122" t="s">
        <v>62</v>
      </c>
    </row>
    <row r="11" spans="1:24" ht="42" customHeight="1" x14ac:dyDescent="0.25">
      <c r="A11" s="118" t="s">
        <v>337</v>
      </c>
      <c r="B11" s="119" t="s">
        <v>338</v>
      </c>
      <c r="C11" s="119" t="s">
        <v>342</v>
      </c>
      <c r="D11" s="119" t="s">
        <v>117</v>
      </c>
      <c r="E11" s="119" t="s">
        <v>348</v>
      </c>
      <c r="F11" s="119" t="s">
        <v>349</v>
      </c>
      <c r="G11" s="119" t="s">
        <v>346</v>
      </c>
      <c r="H11" s="119" t="s">
        <v>3265</v>
      </c>
      <c r="I11" s="118" t="s">
        <v>50</v>
      </c>
      <c r="J11" s="118" t="s">
        <v>3266</v>
      </c>
      <c r="K11" s="118" t="s">
        <v>344</v>
      </c>
      <c r="L11" s="119" t="s">
        <v>3022</v>
      </c>
      <c r="M11" s="119" t="s">
        <v>3022</v>
      </c>
      <c r="N11" s="119" t="s">
        <v>3022</v>
      </c>
      <c r="O11" s="119" t="s">
        <v>3022</v>
      </c>
      <c r="P11" s="119" t="s">
        <v>3267</v>
      </c>
      <c r="Q11" s="119" t="s">
        <v>445</v>
      </c>
      <c r="R11" s="119" t="s">
        <v>445</v>
      </c>
      <c r="S11" s="118">
        <v>62</v>
      </c>
      <c r="T11" s="120">
        <v>45580</v>
      </c>
      <c r="U11" s="119" t="s">
        <v>3268</v>
      </c>
      <c r="V11" s="120">
        <v>45350</v>
      </c>
      <c r="W11" s="119" t="s">
        <v>3269</v>
      </c>
      <c r="X11" s="119" t="s">
        <v>62</v>
      </c>
    </row>
    <row r="12" spans="1:24" ht="42" customHeight="1" x14ac:dyDescent="0.25">
      <c r="A12" s="121" t="s">
        <v>354</v>
      </c>
      <c r="B12" s="122" t="s">
        <v>355</v>
      </c>
      <c r="C12" s="122" t="s">
        <v>342</v>
      </c>
      <c r="D12" s="122" t="s">
        <v>48</v>
      </c>
      <c r="E12" s="122" t="s">
        <v>364</v>
      </c>
      <c r="F12" s="122" t="s">
        <v>365</v>
      </c>
      <c r="G12" s="122" t="s">
        <v>362</v>
      </c>
      <c r="H12" s="122" t="s">
        <v>3270</v>
      </c>
      <c r="I12" s="121" t="s">
        <v>50</v>
      </c>
      <c r="J12" s="121" t="s">
        <v>3271</v>
      </c>
      <c r="K12" s="121" t="s">
        <v>360</v>
      </c>
      <c r="L12" s="122" t="s">
        <v>3022</v>
      </c>
      <c r="M12" s="122" t="s">
        <v>3022</v>
      </c>
      <c r="N12" s="122" t="s">
        <v>3022</v>
      </c>
      <c r="O12" s="122" t="s">
        <v>3272</v>
      </c>
      <c r="P12" s="122" t="s">
        <v>61</v>
      </c>
      <c r="Q12" s="122" t="s">
        <v>61</v>
      </c>
      <c r="R12" s="122" t="s">
        <v>61</v>
      </c>
      <c r="S12" s="121">
        <v>38</v>
      </c>
      <c r="T12" s="123">
        <v>45991</v>
      </c>
      <c r="U12" s="122" t="s">
        <v>3273</v>
      </c>
      <c r="V12" s="123">
        <v>45422</v>
      </c>
      <c r="W12" s="122" t="s">
        <v>3274</v>
      </c>
      <c r="X12" s="122" t="s">
        <v>62</v>
      </c>
    </row>
    <row r="13" spans="1:24" ht="42" customHeight="1" x14ac:dyDescent="0.25">
      <c r="A13" s="118" t="s">
        <v>370</v>
      </c>
      <c r="B13" s="119" t="s">
        <v>371</v>
      </c>
      <c r="C13" s="119" t="s">
        <v>375</v>
      </c>
      <c r="D13" s="119" t="s">
        <v>134</v>
      </c>
      <c r="E13" s="119" t="s">
        <v>377</v>
      </c>
      <c r="F13" s="119" t="s">
        <v>378</v>
      </c>
      <c r="G13" s="119" t="s">
        <v>376</v>
      </c>
      <c r="H13" s="119" t="s">
        <v>3275</v>
      </c>
      <c r="I13" s="118" t="s">
        <v>50</v>
      </c>
      <c r="J13" s="118" t="s">
        <v>3276</v>
      </c>
      <c r="K13" s="118" t="s">
        <v>344</v>
      </c>
      <c r="L13" s="119" t="s">
        <v>3022</v>
      </c>
      <c r="M13" s="119" t="s">
        <v>3022</v>
      </c>
      <c r="N13" s="119" t="s">
        <v>3022</v>
      </c>
      <c r="O13" s="119" t="s">
        <v>3022</v>
      </c>
      <c r="P13" s="119" t="s">
        <v>92</v>
      </c>
      <c r="Q13" s="119" t="s">
        <v>445</v>
      </c>
      <c r="R13" s="119" t="s">
        <v>445</v>
      </c>
      <c r="S13" s="118">
        <v>80</v>
      </c>
      <c r="T13" s="120">
        <v>45534</v>
      </c>
      <c r="U13" s="119" t="s">
        <v>382</v>
      </c>
      <c r="V13" s="120">
        <v>45356</v>
      </c>
      <c r="W13" s="119" t="s">
        <v>3277</v>
      </c>
      <c r="X13" s="119" t="s">
        <v>62</v>
      </c>
    </row>
    <row r="14" spans="1:24" ht="42" customHeight="1" x14ac:dyDescent="0.25">
      <c r="A14" s="121" t="s">
        <v>383</v>
      </c>
      <c r="B14" s="122" t="s">
        <v>384</v>
      </c>
      <c r="C14" s="122" t="s">
        <v>342</v>
      </c>
      <c r="D14" s="122" t="s">
        <v>85</v>
      </c>
      <c r="E14" s="122" t="s">
        <v>392</v>
      </c>
      <c r="F14" s="122" t="s">
        <v>393</v>
      </c>
      <c r="G14" s="122" t="s">
        <v>390</v>
      </c>
      <c r="H14" s="122" t="s">
        <v>3278</v>
      </c>
      <c r="I14" s="121" t="s">
        <v>158</v>
      </c>
      <c r="J14" s="121" t="s">
        <v>3279</v>
      </c>
      <c r="K14" s="121" t="s">
        <v>389</v>
      </c>
      <c r="L14" s="122" t="s">
        <v>3022</v>
      </c>
      <c r="M14" s="122" t="s">
        <v>3022</v>
      </c>
      <c r="N14" s="122" t="s">
        <v>3022</v>
      </c>
      <c r="O14" s="122" t="s">
        <v>3280</v>
      </c>
      <c r="P14" s="122" t="s">
        <v>61</v>
      </c>
      <c r="Q14" s="122" t="s">
        <v>61</v>
      </c>
      <c r="R14" s="122" t="s">
        <v>61</v>
      </c>
      <c r="S14" s="121">
        <v>35</v>
      </c>
      <c r="T14" s="123">
        <v>46203</v>
      </c>
      <c r="U14" s="122" t="s">
        <v>397</v>
      </c>
      <c r="V14" s="123">
        <v>45536</v>
      </c>
      <c r="W14" s="122" t="s">
        <v>3281</v>
      </c>
      <c r="X14" s="122" t="s">
        <v>62</v>
      </c>
    </row>
    <row r="15" spans="1:24" ht="42" customHeight="1" x14ac:dyDescent="0.25">
      <c r="A15" s="118" t="s">
        <v>398</v>
      </c>
      <c r="B15" s="119" t="s">
        <v>399</v>
      </c>
      <c r="C15" s="119" t="s">
        <v>342</v>
      </c>
      <c r="D15" s="119" t="s">
        <v>102</v>
      </c>
      <c r="E15" s="119" t="s">
        <v>407</v>
      </c>
      <c r="F15" s="119" t="s">
        <v>408</v>
      </c>
      <c r="G15" s="119" t="s">
        <v>405</v>
      </c>
      <c r="H15" s="119" t="s">
        <v>3282</v>
      </c>
      <c r="I15" s="118" t="s">
        <v>103</v>
      </c>
      <c r="J15" s="118" t="s">
        <v>3283</v>
      </c>
      <c r="K15" s="118" t="s">
        <v>404</v>
      </c>
      <c r="L15" s="119" t="s">
        <v>3022</v>
      </c>
      <c r="M15" s="119" t="s">
        <v>3022</v>
      </c>
      <c r="N15" s="119" t="s">
        <v>3022</v>
      </c>
      <c r="O15" s="119" t="s">
        <v>3022</v>
      </c>
      <c r="P15" s="119" t="s">
        <v>3022</v>
      </c>
      <c r="Q15" s="119" t="s">
        <v>3022</v>
      </c>
      <c r="R15" s="119" t="s">
        <v>3022</v>
      </c>
      <c r="S15" s="118">
        <v>100</v>
      </c>
      <c r="T15" s="120">
        <v>45915</v>
      </c>
      <c r="U15" s="119" t="s">
        <v>411</v>
      </c>
      <c r="V15" s="119"/>
      <c r="W15" s="119" t="s">
        <v>3284</v>
      </c>
      <c r="X15" s="119" t="s">
        <v>62</v>
      </c>
    </row>
    <row r="16" spans="1:24" ht="42" customHeight="1" x14ac:dyDescent="0.25">
      <c r="A16" s="121" t="s">
        <v>412</v>
      </c>
      <c r="B16" s="122" t="s">
        <v>413</v>
      </c>
      <c r="C16" s="122" t="s">
        <v>342</v>
      </c>
      <c r="D16" s="122" t="s">
        <v>48</v>
      </c>
      <c r="E16" s="122" t="s">
        <v>364</v>
      </c>
      <c r="F16" s="122" t="s">
        <v>275</v>
      </c>
      <c r="G16" s="122" t="s">
        <v>419</v>
      </c>
      <c r="H16" s="122" t="s">
        <v>3285</v>
      </c>
      <c r="I16" s="121" t="s">
        <v>50</v>
      </c>
      <c r="J16" s="121" t="s">
        <v>3286</v>
      </c>
      <c r="K16" s="121" t="s">
        <v>417</v>
      </c>
      <c r="L16" s="122" t="s">
        <v>3022</v>
      </c>
      <c r="M16" s="122" t="s">
        <v>92</v>
      </c>
      <c r="N16" s="122" t="s">
        <v>445</v>
      </c>
      <c r="O16" s="122" t="s">
        <v>61</v>
      </c>
      <c r="P16" s="122" t="s">
        <v>61</v>
      </c>
      <c r="Q16" s="122" t="s">
        <v>61</v>
      </c>
      <c r="R16" s="122" t="s">
        <v>61</v>
      </c>
      <c r="S16" s="121">
        <v>20</v>
      </c>
      <c r="T16" s="123">
        <v>46203</v>
      </c>
      <c r="U16" s="122" t="s">
        <v>424</v>
      </c>
      <c r="V16" s="123">
        <v>45397</v>
      </c>
      <c r="W16" s="122" t="s">
        <v>3287</v>
      </c>
      <c r="X16" s="122" t="s">
        <v>62</v>
      </c>
    </row>
    <row r="17" spans="1:24" ht="42" customHeight="1" x14ac:dyDescent="0.25">
      <c r="A17" s="118" t="s">
        <v>425</v>
      </c>
      <c r="B17" s="119" t="s">
        <v>426</v>
      </c>
      <c r="C17" s="119" t="s">
        <v>430</v>
      </c>
      <c r="D17" s="119" t="s">
        <v>48</v>
      </c>
      <c r="E17" s="119" t="s">
        <v>364</v>
      </c>
      <c r="F17" s="119" t="s">
        <v>433</v>
      </c>
      <c r="G17" s="119" t="s">
        <v>432</v>
      </c>
      <c r="H17" s="119" t="s">
        <v>3288</v>
      </c>
      <c r="I17" s="118" t="s">
        <v>50</v>
      </c>
      <c r="J17" s="118" t="s">
        <v>3289</v>
      </c>
      <c r="K17" s="118" t="s">
        <v>3290</v>
      </c>
      <c r="L17" s="119" t="s">
        <v>3022</v>
      </c>
      <c r="M17" s="119" t="s">
        <v>3022</v>
      </c>
      <c r="N17" s="119" t="s">
        <v>3022</v>
      </c>
      <c r="O17" s="119" t="s">
        <v>92</v>
      </c>
      <c r="P17" s="119" t="s">
        <v>61</v>
      </c>
      <c r="Q17" s="119" t="s">
        <v>61</v>
      </c>
      <c r="R17" s="119" t="s">
        <v>61</v>
      </c>
      <c r="S17" s="118">
        <v>55</v>
      </c>
      <c r="T17" s="120">
        <v>46142</v>
      </c>
      <c r="U17" s="119" t="s">
        <v>437</v>
      </c>
      <c r="V17" s="120">
        <v>45458</v>
      </c>
      <c r="W17" s="119" t="s">
        <v>3291</v>
      </c>
      <c r="X17" s="119" t="s">
        <v>62</v>
      </c>
    </row>
    <row r="18" spans="1:24" ht="42" customHeight="1" x14ac:dyDescent="0.25">
      <c r="A18" s="124" t="s">
        <v>438</v>
      </c>
      <c r="B18" s="125" t="s">
        <v>439</v>
      </c>
      <c r="C18" s="125" t="s">
        <v>430</v>
      </c>
      <c r="D18" s="125" t="s">
        <v>102</v>
      </c>
      <c r="E18" s="125" t="s">
        <v>407</v>
      </c>
      <c r="F18" s="125" t="s">
        <v>446</v>
      </c>
      <c r="G18" s="125" t="s">
        <v>444</v>
      </c>
      <c r="H18" s="125" t="s">
        <v>3292</v>
      </c>
      <c r="I18" s="124" t="s">
        <v>50</v>
      </c>
      <c r="J18" s="124" t="s">
        <v>3293</v>
      </c>
      <c r="K18" s="124" t="s">
        <v>442</v>
      </c>
      <c r="L18" s="125" t="s">
        <v>3022</v>
      </c>
      <c r="M18" s="125" t="s">
        <v>3022</v>
      </c>
      <c r="N18" s="125" t="s">
        <v>3022</v>
      </c>
      <c r="O18" s="125" t="s">
        <v>3022</v>
      </c>
      <c r="P18" s="125" t="s">
        <v>92</v>
      </c>
      <c r="Q18" s="125" t="s">
        <v>445</v>
      </c>
      <c r="R18" s="125" t="s">
        <v>61</v>
      </c>
      <c r="S18" s="124">
        <v>78</v>
      </c>
      <c r="T18" s="126">
        <v>45930</v>
      </c>
      <c r="U18" s="125" t="s">
        <v>450</v>
      </c>
      <c r="V18" s="126">
        <v>45371</v>
      </c>
      <c r="W18" s="125" t="s">
        <v>3294</v>
      </c>
      <c r="X18" s="125" t="s">
        <v>62</v>
      </c>
    </row>
    <row r="19" spans="1:24" ht="42" customHeight="1" x14ac:dyDescent="0.25">
      <c r="A19" s="118" t="s">
        <v>451</v>
      </c>
      <c r="B19" s="119" t="s">
        <v>452</v>
      </c>
      <c r="C19" s="119" t="s">
        <v>430</v>
      </c>
      <c r="D19" s="119" t="s">
        <v>73</v>
      </c>
      <c r="E19" s="119" t="s">
        <v>291</v>
      </c>
      <c r="F19" s="119" t="s">
        <v>459</v>
      </c>
      <c r="G19" s="119" t="s">
        <v>457</v>
      </c>
      <c r="H19" s="119" t="s">
        <v>460</v>
      </c>
      <c r="I19" s="118" t="s">
        <v>50</v>
      </c>
      <c r="J19" s="118" t="s">
        <v>3295</v>
      </c>
      <c r="K19" s="118" t="s">
        <v>456</v>
      </c>
      <c r="L19" s="119" t="s">
        <v>3022</v>
      </c>
      <c r="M19" s="119" t="s">
        <v>92</v>
      </c>
      <c r="N19" s="119" t="s">
        <v>445</v>
      </c>
      <c r="O19" s="119" t="s">
        <v>61</v>
      </c>
      <c r="P19" s="119" t="s">
        <v>61</v>
      </c>
      <c r="Q19" s="119" t="s">
        <v>61</v>
      </c>
      <c r="R19" s="119" t="s">
        <v>61</v>
      </c>
      <c r="S19" s="118">
        <v>20</v>
      </c>
      <c r="T19" s="120">
        <v>46203</v>
      </c>
      <c r="U19" s="119" t="s">
        <v>3296</v>
      </c>
      <c r="V19" s="120">
        <v>45412</v>
      </c>
      <c r="W19" s="119" t="s">
        <v>3297</v>
      </c>
      <c r="X19" s="119" t="s">
        <v>62</v>
      </c>
    </row>
    <row r="20" spans="1:24" ht="42" customHeight="1" x14ac:dyDescent="0.25">
      <c r="A20" s="124" t="s">
        <v>464</v>
      </c>
      <c r="B20" s="125" t="s">
        <v>465</v>
      </c>
      <c r="C20" s="125" t="s">
        <v>430</v>
      </c>
      <c r="D20" s="125" t="s">
        <v>117</v>
      </c>
      <c r="E20" s="125" t="s">
        <v>314</v>
      </c>
      <c r="F20" s="125" t="s">
        <v>471</v>
      </c>
      <c r="G20" s="125" t="s">
        <v>469</v>
      </c>
      <c r="H20" s="125" t="s">
        <v>3298</v>
      </c>
      <c r="I20" s="124" t="s">
        <v>50</v>
      </c>
      <c r="J20" s="124" t="s">
        <v>3299</v>
      </c>
      <c r="K20" s="124" t="s">
        <v>3300</v>
      </c>
      <c r="L20" s="125" t="s">
        <v>3022</v>
      </c>
      <c r="M20" s="125" t="s">
        <v>3022</v>
      </c>
      <c r="N20" s="125" t="s">
        <v>92</v>
      </c>
      <c r="O20" s="125" t="s">
        <v>61</v>
      </c>
      <c r="P20" s="125" t="s">
        <v>61</v>
      </c>
      <c r="Q20" s="125" t="s">
        <v>61</v>
      </c>
      <c r="R20" s="125" t="s">
        <v>61</v>
      </c>
      <c r="S20" s="124">
        <v>38</v>
      </c>
      <c r="T20" s="126">
        <v>46387</v>
      </c>
      <c r="U20" s="125" t="s">
        <v>3301</v>
      </c>
      <c r="V20" s="126">
        <v>45361</v>
      </c>
      <c r="W20" s="125" t="s">
        <v>3302</v>
      </c>
      <c r="X20" s="125" t="s">
        <v>62</v>
      </c>
    </row>
    <row r="21" spans="1:24" ht="23.25" customHeight="1" x14ac:dyDescent="0.25">
      <c r="A21" s="118" t="s">
        <v>637</v>
      </c>
      <c r="B21" s="119" t="s">
        <v>638</v>
      </c>
      <c r="C21" s="119" t="s">
        <v>273</v>
      </c>
      <c r="D21" s="119" t="s">
        <v>509</v>
      </c>
      <c r="E21" s="119" t="s">
        <v>643</v>
      </c>
      <c r="F21" s="119" t="s">
        <v>60</v>
      </c>
      <c r="G21" s="119" t="s">
        <v>644</v>
      </c>
      <c r="H21" s="119" t="s">
        <v>644</v>
      </c>
      <c r="I21" s="118" t="s">
        <v>50</v>
      </c>
      <c r="J21" s="118" t="s">
        <v>3243</v>
      </c>
      <c r="K21" s="118" t="s">
        <v>274</v>
      </c>
      <c r="L21" s="119" t="s">
        <v>3022</v>
      </c>
      <c r="M21" s="119" t="s">
        <v>3022</v>
      </c>
      <c r="N21" s="119" t="s">
        <v>3022</v>
      </c>
      <c r="O21" s="119" t="s">
        <v>92</v>
      </c>
      <c r="P21" s="119" t="s">
        <v>445</v>
      </c>
      <c r="Q21" s="119" t="s">
        <v>445</v>
      </c>
      <c r="R21" s="119" t="s">
        <v>445</v>
      </c>
      <c r="S21" s="118">
        <v>78</v>
      </c>
      <c r="T21" s="120" t="s">
        <v>89</v>
      </c>
      <c r="U21" s="119" t="s">
        <v>280</v>
      </c>
      <c r="V21" s="120" t="s">
        <v>59</v>
      </c>
      <c r="W21" s="119" t="s">
        <v>279</v>
      </c>
      <c r="X21" s="119" t="s">
        <v>484</v>
      </c>
    </row>
    <row r="22" spans="1:24" ht="23.25" customHeight="1" x14ac:dyDescent="0.25">
      <c r="A22" s="118" t="s">
        <v>645</v>
      </c>
      <c r="B22" s="119" t="s">
        <v>646</v>
      </c>
      <c r="C22" s="119" t="s">
        <v>289</v>
      </c>
      <c r="D22" s="119" t="s">
        <v>532</v>
      </c>
      <c r="E22" s="119" t="s">
        <v>651</v>
      </c>
      <c r="F22" s="119" t="s">
        <v>60</v>
      </c>
      <c r="G22" s="119" t="s">
        <v>652</v>
      </c>
      <c r="H22" s="119" t="s">
        <v>652</v>
      </c>
      <c r="I22" s="118" t="s">
        <v>50</v>
      </c>
      <c r="J22" s="118" t="s">
        <v>3248</v>
      </c>
      <c r="K22" s="118" t="s">
        <v>290</v>
      </c>
      <c r="L22" s="119" t="s">
        <v>3022</v>
      </c>
      <c r="M22" s="119" t="s">
        <v>92</v>
      </c>
      <c r="N22" s="119" t="s">
        <v>445</v>
      </c>
      <c r="O22" s="119" t="s">
        <v>445</v>
      </c>
      <c r="P22" s="119" t="s">
        <v>445</v>
      </c>
      <c r="Q22" s="119" t="s">
        <v>445</v>
      </c>
      <c r="R22" s="119" t="s">
        <v>445</v>
      </c>
      <c r="S22" s="118">
        <v>28</v>
      </c>
      <c r="T22" s="120" t="s">
        <v>53</v>
      </c>
      <c r="U22" s="119" t="s">
        <v>295</v>
      </c>
      <c r="V22" s="120" t="s">
        <v>59</v>
      </c>
      <c r="W22" s="119" t="s">
        <v>294</v>
      </c>
      <c r="X22" s="119" t="s">
        <v>484</v>
      </c>
    </row>
    <row r="23" spans="1:24" ht="34.5" customHeight="1" x14ac:dyDescent="0.25">
      <c r="A23" s="118" t="s">
        <v>653</v>
      </c>
      <c r="B23" s="119" t="s">
        <v>654</v>
      </c>
      <c r="C23" s="119" t="s">
        <v>273</v>
      </c>
      <c r="D23" s="119" t="s">
        <v>499</v>
      </c>
      <c r="E23" s="119" t="s">
        <v>658</v>
      </c>
      <c r="F23" s="119" t="s">
        <v>60</v>
      </c>
      <c r="G23" s="119" t="s">
        <v>659</v>
      </c>
      <c r="H23" s="119" t="s">
        <v>659</v>
      </c>
      <c r="I23" s="118" t="s">
        <v>103</v>
      </c>
      <c r="J23" s="118" t="s">
        <v>3252</v>
      </c>
      <c r="K23" s="118" t="s">
        <v>303</v>
      </c>
      <c r="L23" s="119" t="s">
        <v>3022</v>
      </c>
      <c r="M23" s="119" t="s">
        <v>3022</v>
      </c>
      <c r="N23" s="119" t="s">
        <v>3022</v>
      </c>
      <c r="O23" s="119" t="s">
        <v>3022</v>
      </c>
      <c r="P23" s="119" t="s">
        <v>3022</v>
      </c>
      <c r="Q23" s="119" t="s">
        <v>3022</v>
      </c>
      <c r="R23" s="119" t="s">
        <v>3022</v>
      </c>
      <c r="S23" s="118">
        <v>100</v>
      </c>
      <c r="T23" s="120" t="s">
        <v>89</v>
      </c>
      <c r="U23" s="119" t="s">
        <v>660</v>
      </c>
      <c r="V23" s="120" t="s">
        <v>304</v>
      </c>
      <c r="W23" s="119" t="s">
        <v>307</v>
      </c>
      <c r="X23" s="119" t="s">
        <v>484</v>
      </c>
    </row>
    <row r="24" spans="1:24" ht="23.25" customHeight="1" x14ac:dyDescent="0.25">
      <c r="A24" s="118" t="s">
        <v>661</v>
      </c>
      <c r="B24" s="119" t="s">
        <v>662</v>
      </c>
      <c r="C24" s="119" t="s">
        <v>273</v>
      </c>
      <c r="D24" s="119" t="s">
        <v>491</v>
      </c>
      <c r="E24" s="119" t="s">
        <v>667</v>
      </c>
      <c r="F24" s="119" t="s">
        <v>60</v>
      </c>
      <c r="G24" s="119" t="s">
        <v>668</v>
      </c>
      <c r="H24" s="119" t="s">
        <v>668</v>
      </c>
      <c r="I24" s="118" t="s">
        <v>119</v>
      </c>
      <c r="J24" s="118" t="s">
        <v>3256</v>
      </c>
      <c r="K24" s="118" t="s">
        <v>122</v>
      </c>
      <c r="L24" s="119" t="s">
        <v>3022</v>
      </c>
      <c r="M24" s="119" t="s">
        <v>92</v>
      </c>
      <c r="N24" s="119" t="s">
        <v>445</v>
      </c>
      <c r="O24" s="119" t="s">
        <v>445</v>
      </c>
      <c r="P24" s="119" t="s">
        <v>445</v>
      </c>
      <c r="Q24" s="119" t="s">
        <v>445</v>
      </c>
      <c r="R24" s="119" t="s">
        <v>445</v>
      </c>
      <c r="S24" s="118">
        <v>15</v>
      </c>
      <c r="T24" s="120" t="s">
        <v>53</v>
      </c>
      <c r="U24" s="119" t="s">
        <v>318</v>
      </c>
      <c r="V24" s="120" t="s">
        <v>125</v>
      </c>
      <c r="W24" s="119" t="s">
        <v>669</v>
      </c>
      <c r="X24" s="119" t="s">
        <v>484</v>
      </c>
    </row>
    <row r="25" spans="1:24" ht="23.25" customHeight="1" x14ac:dyDescent="0.25">
      <c r="A25" s="118" t="s">
        <v>670</v>
      </c>
      <c r="B25" s="119" t="s">
        <v>671</v>
      </c>
      <c r="C25" s="119" t="s">
        <v>273</v>
      </c>
      <c r="D25" s="119" t="s">
        <v>509</v>
      </c>
      <c r="E25" s="119" t="s">
        <v>643</v>
      </c>
      <c r="F25" s="119" t="s">
        <v>676</v>
      </c>
      <c r="G25" s="119" t="s">
        <v>677</v>
      </c>
      <c r="H25" s="119" t="s">
        <v>677</v>
      </c>
      <c r="I25" s="118" t="s">
        <v>50</v>
      </c>
      <c r="J25" s="118" t="s">
        <v>3243</v>
      </c>
      <c r="K25" s="118" t="s">
        <v>274</v>
      </c>
      <c r="L25" s="119" t="s">
        <v>3022</v>
      </c>
      <c r="M25" s="119" t="s">
        <v>3022</v>
      </c>
      <c r="N25" s="119" t="s">
        <v>3022</v>
      </c>
      <c r="O25" s="119" t="s">
        <v>92</v>
      </c>
      <c r="P25" s="119" t="s">
        <v>445</v>
      </c>
      <c r="Q25" s="119" t="s">
        <v>445</v>
      </c>
      <c r="R25" s="119" t="s">
        <v>445</v>
      </c>
      <c r="S25" s="118">
        <v>78</v>
      </c>
      <c r="T25" s="120" t="s">
        <v>89</v>
      </c>
      <c r="U25" s="119" t="s">
        <v>280</v>
      </c>
      <c r="V25" s="120" t="s">
        <v>59</v>
      </c>
      <c r="W25" s="119" t="s">
        <v>279</v>
      </c>
      <c r="X25" s="119" t="s">
        <v>484</v>
      </c>
    </row>
    <row r="26" spans="1:24" ht="23.25" customHeight="1" x14ac:dyDescent="0.25">
      <c r="A26" s="118" t="s">
        <v>678</v>
      </c>
      <c r="B26" s="119" t="s">
        <v>679</v>
      </c>
      <c r="C26" s="119" t="s">
        <v>289</v>
      </c>
      <c r="D26" s="119" t="s">
        <v>532</v>
      </c>
      <c r="E26" s="119" t="s">
        <v>651</v>
      </c>
      <c r="F26" s="119" t="s">
        <v>60</v>
      </c>
      <c r="G26" s="119" t="s">
        <v>684</v>
      </c>
      <c r="H26" s="119" t="s">
        <v>684</v>
      </c>
      <c r="I26" s="118" t="s">
        <v>50</v>
      </c>
      <c r="J26" s="118" t="s">
        <v>3248</v>
      </c>
      <c r="K26" s="118" t="s">
        <v>290</v>
      </c>
      <c r="L26" s="119" t="s">
        <v>3022</v>
      </c>
      <c r="M26" s="119" t="s">
        <v>92</v>
      </c>
      <c r="N26" s="119" t="s">
        <v>445</v>
      </c>
      <c r="O26" s="119" t="s">
        <v>445</v>
      </c>
      <c r="P26" s="119" t="s">
        <v>445</v>
      </c>
      <c r="Q26" s="119" t="s">
        <v>445</v>
      </c>
      <c r="R26" s="119" t="s">
        <v>445</v>
      </c>
      <c r="S26" s="118">
        <v>28</v>
      </c>
      <c r="T26" s="120" t="s">
        <v>53</v>
      </c>
      <c r="U26" s="119" t="s">
        <v>295</v>
      </c>
      <c r="V26" s="120" t="s">
        <v>59</v>
      </c>
      <c r="W26" s="119" t="s">
        <v>294</v>
      </c>
      <c r="X26" s="119" t="s">
        <v>484</v>
      </c>
    </row>
    <row r="27" spans="1:24" ht="23.25" customHeight="1" x14ac:dyDescent="0.25">
      <c r="A27" s="118" t="s">
        <v>685</v>
      </c>
      <c r="B27" s="119" t="s">
        <v>686</v>
      </c>
      <c r="C27" s="119" t="s">
        <v>342</v>
      </c>
      <c r="D27" s="119" t="s">
        <v>509</v>
      </c>
      <c r="E27" s="119" t="s">
        <v>691</v>
      </c>
      <c r="F27" s="119" t="s">
        <v>692</v>
      </c>
      <c r="G27" s="119" t="s">
        <v>690</v>
      </c>
      <c r="H27" s="119" t="s">
        <v>693</v>
      </c>
      <c r="I27" s="118" t="s">
        <v>50</v>
      </c>
      <c r="J27" s="118" t="s">
        <v>3303</v>
      </c>
      <c r="K27" s="118" t="s">
        <v>344</v>
      </c>
      <c r="L27" s="119" t="s">
        <v>3022</v>
      </c>
      <c r="M27" s="119" t="s">
        <v>3022</v>
      </c>
      <c r="N27" s="119" t="s">
        <v>3022</v>
      </c>
      <c r="O27" s="119" t="s">
        <v>3022</v>
      </c>
      <c r="P27" s="119" t="s">
        <v>92</v>
      </c>
      <c r="Q27" s="119" t="s">
        <v>445</v>
      </c>
      <c r="R27" s="119" t="s">
        <v>445</v>
      </c>
      <c r="S27" s="118">
        <v>70</v>
      </c>
      <c r="T27" s="120" t="s">
        <v>89</v>
      </c>
      <c r="U27" s="119" t="s">
        <v>696</v>
      </c>
      <c r="V27" s="120" t="s">
        <v>59</v>
      </c>
      <c r="W27" s="119" t="s">
        <v>695</v>
      </c>
      <c r="X27" s="119" t="s">
        <v>484</v>
      </c>
    </row>
    <row r="28" spans="1:24" ht="23.25" customHeight="1" x14ac:dyDescent="0.25">
      <c r="A28" s="118" t="s">
        <v>697</v>
      </c>
      <c r="B28" s="119" t="s">
        <v>698</v>
      </c>
      <c r="C28" s="119" t="s">
        <v>342</v>
      </c>
      <c r="D28" s="119" t="s">
        <v>481</v>
      </c>
      <c r="E28" s="119" t="s">
        <v>703</v>
      </c>
      <c r="F28" s="119" t="s">
        <v>704</v>
      </c>
      <c r="G28" s="119" t="s">
        <v>702</v>
      </c>
      <c r="H28" s="119" t="s">
        <v>705</v>
      </c>
      <c r="I28" s="118" t="s">
        <v>50</v>
      </c>
      <c r="J28" s="118" t="s">
        <v>3304</v>
      </c>
      <c r="K28" s="118" t="s">
        <v>360</v>
      </c>
      <c r="L28" s="119" t="s">
        <v>3022</v>
      </c>
      <c r="M28" s="119" t="s">
        <v>3022</v>
      </c>
      <c r="N28" s="119" t="s">
        <v>3022</v>
      </c>
      <c r="O28" s="119" t="s">
        <v>92</v>
      </c>
      <c r="P28" s="119" t="s">
        <v>445</v>
      </c>
      <c r="Q28" s="119" t="s">
        <v>445</v>
      </c>
      <c r="R28" s="119" t="s">
        <v>445</v>
      </c>
      <c r="S28" s="118">
        <v>42</v>
      </c>
      <c r="T28" s="120" t="s">
        <v>53</v>
      </c>
      <c r="U28" s="119" t="s">
        <v>707</v>
      </c>
      <c r="V28" s="120" t="s">
        <v>59</v>
      </c>
      <c r="W28" s="119" t="s">
        <v>706</v>
      </c>
      <c r="X28" s="119" t="s">
        <v>484</v>
      </c>
    </row>
    <row r="29" spans="1:24" ht="34.5" customHeight="1" x14ac:dyDescent="0.25">
      <c r="A29" s="118" t="s">
        <v>708</v>
      </c>
      <c r="B29" s="119" t="s">
        <v>709</v>
      </c>
      <c r="C29" s="119" t="s">
        <v>375</v>
      </c>
      <c r="D29" s="119" t="s">
        <v>499</v>
      </c>
      <c r="E29" s="119" t="s">
        <v>658</v>
      </c>
      <c r="F29" s="119" t="s">
        <v>715</v>
      </c>
      <c r="G29" s="119" t="s">
        <v>714</v>
      </c>
      <c r="H29" s="119" t="s">
        <v>716</v>
      </c>
      <c r="I29" s="118" t="s">
        <v>50</v>
      </c>
      <c r="J29" s="118" t="s">
        <v>3303</v>
      </c>
      <c r="K29" s="118" t="s">
        <v>344</v>
      </c>
      <c r="L29" s="119" t="s">
        <v>3022</v>
      </c>
      <c r="M29" s="119" t="s">
        <v>3022</v>
      </c>
      <c r="N29" s="119" t="s">
        <v>3022</v>
      </c>
      <c r="O29" s="119" t="s">
        <v>3022</v>
      </c>
      <c r="P29" s="119" t="s">
        <v>92</v>
      </c>
      <c r="Q29" s="119" t="s">
        <v>445</v>
      </c>
      <c r="R29" s="119" t="s">
        <v>445</v>
      </c>
      <c r="S29" s="118">
        <v>70</v>
      </c>
      <c r="T29" s="120" t="s">
        <v>89</v>
      </c>
      <c r="U29" s="119" t="s">
        <v>717</v>
      </c>
      <c r="V29" s="120" t="s">
        <v>59</v>
      </c>
      <c r="W29" s="119" t="s">
        <v>695</v>
      </c>
      <c r="X29" s="119" t="s">
        <v>484</v>
      </c>
    </row>
    <row r="30" spans="1:24" ht="34.5" customHeight="1" x14ac:dyDescent="0.25">
      <c r="A30" s="118" t="s">
        <v>718</v>
      </c>
      <c r="B30" s="119" t="s">
        <v>719</v>
      </c>
      <c r="C30" s="119" t="s">
        <v>342</v>
      </c>
      <c r="D30" s="119" t="s">
        <v>499</v>
      </c>
      <c r="E30" s="119" t="s">
        <v>658</v>
      </c>
      <c r="F30" s="119" t="s">
        <v>60</v>
      </c>
      <c r="G30" s="119" t="s">
        <v>722</v>
      </c>
      <c r="H30" s="119" t="s">
        <v>723</v>
      </c>
      <c r="I30" s="118" t="s">
        <v>158</v>
      </c>
      <c r="J30" s="118" t="s">
        <v>3305</v>
      </c>
      <c r="K30" s="118" t="s">
        <v>389</v>
      </c>
      <c r="L30" s="119" t="s">
        <v>3022</v>
      </c>
      <c r="M30" s="119" t="s">
        <v>3022</v>
      </c>
      <c r="N30" s="119" t="s">
        <v>3022</v>
      </c>
      <c r="O30" s="119" t="s">
        <v>92</v>
      </c>
      <c r="P30" s="119" t="s">
        <v>445</v>
      </c>
      <c r="Q30" s="119" t="s">
        <v>445</v>
      </c>
      <c r="R30" s="119" t="s">
        <v>445</v>
      </c>
      <c r="S30" s="118">
        <v>32</v>
      </c>
      <c r="T30" s="120" t="s">
        <v>53</v>
      </c>
      <c r="U30" s="119" t="s">
        <v>397</v>
      </c>
      <c r="V30" s="120" t="s">
        <v>59</v>
      </c>
      <c r="W30" s="119" t="s">
        <v>724</v>
      </c>
      <c r="X30" s="119" t="s">
        <v>484</v>
      </c>
    </row>
    <row r="31" spans="1:24" ht="23.25" customHeight="1" x14ac:dyDescent="0.25">
      <c r="A31" s="118" t="s">
        <v>725</v>
      </c>
      <c r="B31" s="119" t="s">
        <v>726</v>
      </c>
      <c r="C31" s="119" t="s">
        <v>342</v>
      </c>
      <c r="D31" s="119" t="s">
        <v>509</v>
      </c>
      <c r="E31" s="119" t="s">
        <v>643</v>
      </c>
      <c r="F31" s="119" t="s">
        <v>730</v>
      </c>
      <c r="G31" s="119" t="s">
        <v>729</v>
      </c>
      <c r="H31" s="119" t="s">
        <v>731</v>
      </c>
      <c r="I31" s="118" t="s">
        <v>103</v>
      </c>
      <c r="J31" s="118" t="s">
        <v>3283</v>
      </c>
      <c r="K31" s="118" t="s">
        <v>404</v>
      </c>
      <c r="L31" s="119" t="s">
        <v>3022</v>
      </c>
      <c r="M31" s="119" t="s">
        <v>3022</v>
      </c>
      <c r="N31" s="119" t="s">
        <v>3022</v>
      </c>
      <c r="O31" s="119" t="s">
        <v>3022</v>
      </c>
      <c r="P31" s="119" t="s">
        <v>3022</v>
      </c>
      <c r="Q31" s="119" t="s">
        <v>3022</v>
      </c>
      <c r="R31" s="119" t="s">
        <v>3022</v>
      </c>
      <c r="S31" s="118">
        <v>100</v>
      </c>
      <c r="T31" s="120" t="s">
        <v>732</v>
      </c>
      <c r="U31" s="119" t="s">
        <v>733</v>
      </c>
      <c r="V31" s="120" t="s">
        <v>304</v>
      </c>
      <c r="W31" s="119" t="s">
        <v>307</v>
      </c>
      <c r="X31" s="119" t="s">
        <v>484</v>
      </c>
    </row>
    <row r="32" spans="1:24" ht="23.25" customHeight="1" x14ac:dyDescent="0.25">
      <c r="A32" s="118" t="s">
        <v>734</v>
      </c>
      <c r="B32" s="119" t="s">
        <v>735</v>
      </c>
      <c r="C32" s="119" t="s">
        <v>342</v>
      </c>
      <c r="D32" s="119" t="s">
        <v>481</v>
      </c>
      <c r="E32" s="119" t="s">
        <v>703</v>
      </c>
      <c r="F32" s="119" t="s">
        <v>60</v>
      </c>
      <c r="G32" s="119" t="s">
        <v>738</v>
      </c>
      <c r="H32" s="119" t="s">
        <v>739</v>
      </c>
      <c r="I32" s="118" t="s">
        <v>50</v>
      </c>
      <c r="J32" s="118" t="s">
        <v>3306</v>
      </c>
      <c r="K32" s="118" t="s">
        <v>417</v>
      </c>
      <c r="L32" s="119" t="s">
        <v>3022</v>
      </c>
      <c r="M32" s="119" t="s">
        <v>92</v>
      </c>
      <c r="N32" s="119" t="s">
        <v>445</v>
      </c>
      <c r="O32" s="119" t="s">
        <v>445</v>
      </c>
      <c r="P32" s="119" t="s">
        <v>445</v>
      </c>
      <c r="Q32" s="119" t="s">
        <v>445</v>
      </c>
      <c r="R32" s="119" t="s">
        <v>445</v>
      </c>
      <c r="S32" s="118">
        <v>20</v>
      </c>
      <c r="T32" s="120" t="s">
        <v>76</v>
      </c>
      <c r="U32" s="119" t="s">
        <v>741</v>
      </c>
      <c r="V32" s="120" t="s">
        <v>59</v>
      </c>
      <c r="W32" s="119" t="s">
        <v>740</v>
      </c>
      <c r="X32" s="119" t="s">
        <v>484</v>
      </c>
    </row>
    <row r="33" spans="1:24" ht="23.25" customHeight="1" x14ac:dyDescent="0.25">
      <c r="A33" s="118" t="s">
        <v>742</v>
      </c>
      <c r="B33" s="119" t="s">
        <v>743</v>
      </c>
      <c r="C33" s="119" t="s">
        <v>430</v>
      </c>
      <c r="D33" s="119" t="s">
        <v>481</v>
      </c>
      <c r="E33" s="119" t="s">
        <v>703</v>
      </c>
      <c r="F33" s="119" t="s">
        <v>748</v>
      </c>
      <c r="G33" s="119" t="s">
        <v>747</v>
      </c>
      <c r="H33" s="119" t="s">
        <v>749</v>
      </c>
      <c r="I33" s="118" t="s">
        <v>50</v>
      </c>
      <c r="J33" s="118" t="s">
        <v>3304</v>
      </c>
      <c r="K33" s="118" t="s">
        <v>431</v>
      </c>
      <c r="L33" s="119" t="s">
        <v>3022</v>
      </c>
      <c r="M33" s="119" t="s">
        <v>3022</v>
      </c>
      <c r="N33" s="119" t="s">
        <v>3022</v>
      </c>
      <c r="O33" s="119" t="s">
        <v>92</v>
      </c>
      <c r="P33" s="119" t="s">
        <v>445</v>
      </c>
      <c r="Q33" s="119" t="s">
        <v>445</v>
      </c>
      <c r="R33" s="119" t="s">
        <v>445</v>
      </c>
      <c r="S33" s="118">
        <v>42</v>
      </c>
      <c r="T33" s="120" t="s">
        <v>53</v>
      </c>
      <c r="U33" s="119" t="s">
        <v>752</v>
      </c>
      <c r="V33" s="120" t="s">
        <v>59</v>
      </c>
      <c r="W33" s="119" t="s">
        <v>751</v>
      </c>
      <c r="X33" s="119" t="s">
        <v>484</v>
      </c>
    </row>
    <row r="34" spans="1:24" ht="23.25" customHeight="1" x14ac:dyDescent="0.25">
      <c r="A34" s="118" t="s">
        <v>753</v>
      </c>
      <c r="B34" s="119" t="s">
        <v>754</v>
      </c>
      <c r="C34" s="119" t="s">
        <v>430</v>
      </c>
      <c r="D34" s="119" t="s">
        <v>509</v>
      </c>
      <c r="E34" s="119" t="s">
        <v>643</v>
      </c>
      <c r="F34" s="119" t="s">
        <v>692</v>
      </c>
      <c r="G34" s="119" t="s">
        <v>758</v>
      </c>
      <c r="H34" s="119" t="s">
        <v>759</v>
      </c>
      <c r="I34" s="118" t="s">
        <v>50</v>
      </c>
      <c r="J34" s="118" t="s">
        <v>3303</v>
      </c>
      <c r="K34" s="118" t="s">
        <v>442</v>
      </c>
      <c r="L34" s="119" t="s">
        <v>3022</v>
      </c>
      <c r="M34" s="119" t="s">
        <v>3022</v>
      </c>
      <c r="N34" s="119" t="s">
        <v>3022</v>
      </c>
      <c r="O34" s="119" t="s">
        <v>3022</v>
      </c>
      <c r="P34" s="119" t="s">
        <v>92</v>
      </c>
      <c r="Q34" s="119" t="s">
        <v>445</v>
      </c>
      <c r="R34" s="119" t="s">
        <v>445</v>
      </c>
      <c r="S34" s="118">
        <v>70</v>
      </c>
      <c r="T34" s="120" t="s">
        <v>89</v>
      </c>
      <c r="U34" s="119" t="s">
        <v>762</v>
      </c>
      <c r="V34" s="120" t="s">
        <v>59</v>
      </c>
      <c r="W34" s="119" t="s">
        <v>761</v>
      </c>
      <c r="X34" s="119" t="s">
        <v>484</v>
      </c>
    </row>
    <row r="35" spans="1:24" ht="34.5" customHeight="1" x14ac:dyDescent="0.25">
      <c r="A35" s="118" t="s">
        <v>763</v>
      </c>
      <c r="B35" s="119" t="s">
        <v>764</v>
      </c>
      <c r="C35" s="119" t="s">
        <v>430</v>
      </c>
      <c r="D35" s="119" t="s">
        <v>499</v>
      </c>
      <c r="E35" s="119" t="s">
        <v>658</v>
      </c>
      <c r="F35" s="119" t="s">
        <v>715</v>
      </c>
      <c r="G35" s="119" t="s">
        <v>769</v>
      </c>
      <c r="H35" s="119" t="s">
        <v>770</v>
      </c>
      <c r="I35" s="118" t="s">
        <v>50</v>
      </c>
      <c r="J35" s="118" t="s">
        <v>3306</v>
      </c>
      <c r="K35" s="118" t="s">
        <v>456</v>
      </c>
      <c r="L35" s="119" t="s">
        <v>3022</v>
      </c>
      <c r="M35" s="119" t="s">
        <v>92</v>
      </c>
      <c r="N35" s="119" t="s">
        <v>445</v>
      </c>
      <c r="O35" s="119" t="s">
        <v>445</v>
      </c>
      <c r="P35" s="119" t="s">
        <v>445</v>
      </c>
      <c r="Q35" s="119" t="s">
        <v>445</v>
      </c>
      <c r="R35" s="119" t="s">
        <v>445</v>
      </c>
      <c r="S35" s="118">
        <v>18</v>
      </c>
      <c r="T35" s="120" t="s">
        <v>121</v>
      </c>
      <c r="U35" s="119" t="s">
        <v>463</v>
      </c>
      <c r="V35" s="120" t="s">
        <v>59</v>
      </c>
      <c r="W35" s="119" t="s">
        <v>772</v>
      </c>
      <c r="X35" s="119" t="s">
        <v>484</v>
      </c>
    </row>
    <row r="36" spans="1:24" ht="23.25" customHeight="1" x14ac:dyDescent="0.25">
      <c r="A36" s="118" t="s">
        <v>773</v>
      </c>
      <c r="B36" s="119" t="s">
        <v>774</v>
      </c>
      <c r="C36" s="119" t="s">
        <v>430</v>
      </c>
      <c r="D36" s="119" t="s">
        <v>491</v>
      </c>
      <c r="E36" s="119" t="s">
        <v>667</v>
      </c>
      <c r="F36" s="119" t="s">
        <v>704</v>
      </c>
      <c r="G36" s="119" t="s">
        <v>778</v>
      </c>
      <c r="H36" s="119" t="s">
        <v>779</v>
      </c>
      <c r="I36" s="118" t="s">
        <v>50</v>
      </c>
      <c r="J36" s="118" t="s">
        <v>3307</v>
      </c>
      <c r="K36" s="118" t="s">
        <v>468</v>
      </c>
      <c r="L36" s="119" t="s">
        <v>3022</v>
      </c>
      <c r="M36" s="119" t="s">
        <v>3022</v>
      </c>
      <c r="N36" s="119" t="s">
        <v>92</v>
      </c>
      <c r="O36" s="119" t="s">
        <v>445</v>
      </c>
      <c r="P36" s="119" t="s">
        <v>445</v>
      </c>
      <c r="Q36" s="119" t="s">
        <v>445</v>
      </c>
      <c r="R36" s="119" t="s">
        <v>445</v>
      </c>
      <c r="S36" s="118">
        <v>34</v>
      </c>
      <c r="T36" s="120" t="s">
        <v>76</v>
      </c>
      <c r="U36" s="119" t="s">
        <v>781</v>
      </c>
      <c r="V36" s="120" t="s">
        <v>59</v>
      </c>
      <c r="W36" s="119" t="s">
        <v>740</v>
      </c>
      <c r="X36" s="119" t="s">
        <v>484</v>
      </c>
    </row>
    <row r="37" spans="1:24" ht="23.25" customHeight="1" x14ac:dyDescent="0.25">
      <c r="A37" s="118" t="s">
        <v>913</v>
      </c>
      <c r="B37" s="119" t="s">
        <v>914</v>
      </c>
      <c r="C37" s="119" t="s">
        <v>920</v>
      </c>
      <c r="D37" s="119" t="s">
        <v>134</v>
      </c>
      <c r="E37" s="119" t="s">
        <v>921</v>
      </c>
      <c r="F37" s="119" t="s">
        <v>60</v>
      </c>
      <c r="G37" s="119" t="s">
        <v>922</v>
      </c>
      <c r="H37" s="119" t="s">
        <v>922</v>
      </c>
      <c r="I37" s="118" t="s">
        <v>50</v>
      </c>
      <c r="J37" s="118" t="s">
        <v>3243</v>
      </c>
      <c r="K37" s="118" t="s">
        <v>274</v>
      </c>
      <c r="L37" s="119" t="s">
        <v>3022</v>
      </c>
      <c r="M37" s="119" t="s">
        <v>3022</v>
      </c>
      <c r="N37" s="119" t="s">
        <v>3022</v>
      </c>
      <c r="O37" s="119" t="s">
        <v>92</v>
      </c>
      <c r="P37" s="119" t="s">
        <v>445</v>
      </c>
      <c r="Q37" s="119" t="s">
        <v>445</v>
      </c>
      <c r="R37" s="119" t="s">
        <v>445</v>
      </c>
      <c r="S37" s="118">
        <v>78</v>
      </c>
      <c r="T37" s="120" t="s">
        <v>89</v>
      </c>
      <c r="U37" s="119" t="s">
        <v>280</v>
      </c>
      <c r="V37" s="120" t="s">
        <v>59</v>
      </c>
      <c r="W37" s="119" t="s">
        <v>279</v>
      </c>
      <c r="X37" s="119" t="s">
        <v>786</v>
      </c>
    </row>
    <row r="38" spans="1:24" ht="34.5" customHeight="1" x14ac:dyDescent="0.25">
      <c r="A38" s="118" t="s">
        <v>923</v>
      </c>
      <c r="B38" s="119" t="s">
        <v>924</v>
      </c>
      <c r="C38" s="119" t="s">
        <v>289</v>
      </c>
      <c r="D38" s="119" t="s">
        <v>793</v>
      </c>
      <c r="E38" s="119" t="s">
        <v>928</v>
      </c>
      <c r="F38" s="119" t="s">
        <v>60</v>
      </c>
      <c r="G38" s="119" t="s">
        <v>929</v>
      </c>
      <c r="H38" s="119" t="s">
        <v>929</v>
      </c>
      <c r="I38" s="118" t="s">
        <v>50</v>
      </c>
      <c r="J38" s="118" t="s">
        <v>3248</v>
      </c>
      <c r="K38" s="118" t="s">
        <v>290</v>
      </c>
      <c r="L38" s="119" t="s">
        <v>3022</v>
      </c>
      <c r="M38" s="119" t="s">
        <v>92</v>
      </c>
      <c r="N38" s="119" t="s">
        <v>445</v>
      </c>
      <c r="O38" s="119" t="s">
        <v>445</v>
      </c>
      <c r="P38" s="119" t="s">
        <v>445</v>
      </c>
      <c r="Q38" s="119" t="s">
        <v>445</v>
      </c>
      <c r="R38" s="119" t="s">
        <v>445</v>
      </c>
      <c r="S38" s="118">
        <v>28</v>
      </c>
      <c r="T38" s="120" t="s">
        <v>53</v>
      </c>
      <c r="U38" s="119" t="s">
        <v>295</v>
      </c>
      <c r="V38" s="120" t="s">
        <v>59</v>
      </c>
      <c r="W38" s="119" t="s">
        <v>294</v>
      </c>
      <c r="X38" s="119" t="s">
        <v>786</v>
      </c>
    </row>
    <row r="39" spans="1:24" ht="34.5" customHeight="1" x14ac:dyDescent="0.25">
      <c r="A39" s="118" t="s">
        <v>930</v>
      </c>
      <c r="B39" s="119" t="s">
        <v>931</v>
      </c>
      <c r="C39" s="119" t="s">
        <v>302</v>
      </c>
      <c r="D39" s="119" t="s">
        <v>800</v>
      </c>
      <c r="E39" s="119" t="s">
        <v>934</v>
      </c>
      <c r="F39" s="119" t="s">
        <v>60</v>
      </c>
      <c r="G39" s="119" t="s">
        <v>935</v>
      </c>
      <c r="H39" s="119" t="s">
        <v>935</v>
      </c>
      <c r="I39" s="118" t="s">
        <v>103</v>
      </c>
      <c r="J39" s="118" t="s">
        <v>3252</v>
      </c>
      <c r="K39" s="118" t="s">
        <v>303</v>
      </c>
      <c r="L39" s="119" t="s">
        <v>3022</v>
      </c>
      <c r="M39" s="119" t="s">
        <v>3022</v>
      </c>
      <c r="N39" s="119" t="s">
        <v>3022</v>
      </c>
      <c r="O39" s="119" t="s">
        <v>3022</v>
      </c>
      <c r="P39" s="119" t="s">
        <v>3022</v>
      </c>
      <c r="Q39" s="119" t="s">
        <v>3022</v>
      </c>
      <c r="R39" s="119" t="s">
        <v>3022</v>
      </c>
      <c r="S39" s="118">
        <v>100</v>
      </c>
      <c r="T39" s="120" t="s">
        <v>89</v>
      </c>
      <c r="U39" s="119" t="s">
        <v>936</v>
      </c>
      <c r="V39" s="120" t="s">
        <v>304</v>
      </c>
      <c r="W39" s="119" t="s">
        <v>307</v>
      </c>
      <c r="X39" s="119" t="s">
        <v>786</v>
      </c>
    </row>
    <row r="40" spans="1:24" ht="34.5" customHeight="1" x14ac:dyDescent="0.25">
      <c r="A40" s="118" t="s">
        <v>937</v>
      </c>
      <c r="B40" s="119" t="s">
        <v>938</v>
      </c>
      <c r="C40" s="119" t="s">
        <v>273</v>
      </c>
      <c r="D40" s="119" t="s">
        <v>808</v>
      </c>
      <c r="E40" s="119" t="s">
        <v>942</v>
      </c>
      <c r="F40" s="119" t="s">
        <v>60</v>
      </c>
      <c r="G40" s="119" t="s">
        <v>943</v>
      </c>
      <c r="H40" s="119" t="s">
        <v>943</v>
      </c>
      <c r="I40" s="118" t="s">
        <v>119</v>
      </c>
      <c r="J40" s="118" t="s">
        <v>3256</v>
      </c>
      <c r="K40" s="118" t="s">
        <v>122</v>
      </c>
      <c r="L40" s="119" t="s">
        <v>3022</v>
      </c>
      <c r="M40" s="119" t="s">
        <v>92</v>
      </c>
      <c r="N40" s="119" t="s">
        <v>445</v>
      </c>
      <c r="O40" s="119" t="s">
        <v>445</v>
      </c>
      <c r="P40" s="119" t="s">
        <v>445</v>
      </c>
      <c r="Q40" s="119" t="s">
        <v>445</v>
      </c>
      <c r="R40" s="119" t="s">
        <v>445</v>
      </c>
      <c r="S40" s="118">
        <v>15</v>
      </c>
      <c r="T40" s="120" t="s">
        <v>53</v>
      </c>
      <c r="U40" s="119" t="s">
        <v>318</v>
      </c>
      <c r="V40" s="120" t="s">
        <v>125</v>
      </c>
      <c r="W40" s="119" t="s">
        <v>944</v>
      </c>
      <c r="X40" s="119" t="s">
        <v>786</v>
      </c>
    </row>
    <row r="41" spans="1:24" ht="34.5" customHeight="1" x14ac:dyDescent="0.25">
      <c r="A41" s="118" t="s">
        <v>945</v>
      </c>
      <c r="B41" s="119" t="s">
        <v>946</v>
      </c>
      <c r="C41" s="119" t="s">
        <v>273</v>
      </c>
      <c r="D41" s="119" t="s">
        <v>819</v>
      </c>
      <c r="E41" s="119" t="s">
        <v>949</v>
      </c>
      <c r="F41" s="119" t="s">
        <v>950</v>
      </c>
      <c r="G41" s="119" t="s">
        <v>951</v>
      </c>
      <c r="H41" s="119" t="s">
        <v>951</v>
      </c>
      <c r="I41" s="118" t="s">
        <v>50</v>
      </c>
      <c r="J41" s="118" t="s">
        <v>3243</v>
      </c>
      <c r="K41" s="118" t="s">
        <v>274</v>
      </c>
      <c r="L41" s="119" t="s">
        <v>3022</v>
      </c>
      <c r="M41" s="119" t="s">
        <v>3022</v>
      </c>
      <c r="N41" s="119" t="s">
        <v>3022</v>
      </c>
      <c r="O41" s="119" t="s">
        <v>92</v>
      </c>
      <c r="P41" s="119" t="s">
        <v>445</v>
      </c>
      <c r="Q41" s="119" t="s">
        <v>445</v>
      </c>
      <c r="R41" s="119" t="s">
        <v>445</v>
      </c>
      <c r="S41" s="118">
        <v>78</v>
      </c>
      <c r="T41" s="120" t="s">
        <v>89</v>
      </c>
      <c r="U41" s="119" t="s">
        <v>280</v>
      </c>
      <c r="V41" s="120" t="s">
        <v>59</v>
      </c>
      <c r="W41" s="119" t="s">
        <v>279</v>
      </c>
      <c r="X41" s="119" t="s">
        <v>786</v>
      </c>
    </row>
    <row r="42" spans="1:24" ht="34.5" customHeight="1" x14ac:dyDescent="0.25">
      <c r="A42" s="118" t="s">
        <v>952</v>
      </c>
      <c r="B42" s="119" t="s">
        <v>953</v>
      </c>
      <c r="C42" s="119" t="s">
        <v>289</v>
      </c>
      <c r="D42" s="119" t="s">
        <v>793</v>
      </c>
      <c r="E42" s="119" t="s">
        <v>928</v>
      </c>
      <c r="F42" s="119" t="s">
        <v>60</v>
      </c>
      <c r="G42" s="119" t="s">
        <v>957</v>
      </c>
      <c r="H42" s="119" t="s">
        <v>957</v>
      </c>
      <c r="I42" s="118" t="s">
        <v>50</v>
      </c>
      <c r="J42" s="118" t="s">
        <v>3248</v>
      </c>
      <c r="K42" s="118" t="s">
        <v>290</v>
      </c>
      <c r="L42" s="119" t="s">
        <v>3022</v>
      </c>
      <c r="M42" s="119" t="s">
        <v>92</v>
      </c>
      <c r="N42" s="119" t="s">
        <v>445</v>
      </c>
      <c r="O42" s="119" t="s">
        <v>445</v>
      </c>
      <c r="P42" s="119" t="s">
        <v>445</v>
      </c>
      <c r="Q42" s="119" t="s">
        <v>445</v>
      </c>
      <c r="R42" s="119" t="s">
        <v>445</v>
      </c>
      <c r="S42" s="118">
        <v>28</v>
      </c>
      <c r="T42" s="120" t="s">
        <v>53</v>
      </c>
      <c r="U42" s="119" t="s">
        <v>295</v>
      </c>
      <c r="V42" s="120" t="s">
        <v>59</v>
      </c>
      <c r="W42" s="119" t="s">
        <v>294</v>
      </c>
      <c r="X42" s="119" t="s">
        <v>786</v>
      </c>
    </row>
    <row r="43" spans="1:24" ht="34.5" customHeight="1" x14ac:dyDescent="0.25">
      <c r="A43" s="118" t="s">
        <v>958</v>
      </c>
      <c r="B43" s="119" t="s">
        <v>959</v>
      </c>
      <c r="C43" s="119" t="s">
        <v>342</v>
      </c>
      <c r="D43" s="119" t="s">
        <v>819</v>
      </c>
      <c r="E43" s="119" t="s">
        <v>949</v>
      </c>
      <c r="F43" s="119" t="s">
        <v>963</v>
      </c>
      <c r="G43" s="119" t="s">
        <v>962</v>
      </c>
      <c r="H43" s="119" t="s">
        <v>964</v>
      </c>
      <c r="I43" s="118" t="s">
        <v>50</v>
      </c>
      <c r="J43" s="118" t="s">
        <v>3303</v>
      </c>
      <c r="K43" s="118" t="s">
        <v>344</v>
      </c>
      <c r="L43" s="119" t="s">
        <v>3022</v>
      </c>
      <c r="M43" s="119" t="s">
        <v>3022</v>
      </c>
      <c r="N43" s="119" t="s">
        <v>3022</v>
      </c>
      <c r="O43" s="119" t="s">
        <v>3022</v>
      </c>
      <c r="P43" s="119" t="s">
        <v>92</v>
      </c>
      <c r="Q43" s="119" t="s">
        <v>445</v>
      </c>
      <c r="R43" s="119" t="s">
        <v>445</v>
      </c>
      <c r="S43" s="118">
        <v>70</v>
      </c>
      <c r="T43" s="120" t="s">
        <v>89</v>
      </c>
      <c r="U43" s="119" t="s">
        <v>965</v>
      </c>
      <c r="V43" s="120" t="s">
        <v>59</v>
      </c>
      <c r="W43" s="119" t="s">
        <v>695</v>
      </c>
      <c r="X43" s="119" t="s">
        <v>786</v>
      </c>
    </row>
    <row r="44" spans="1:24" ht="34.5" customHeight="1" x14ac:dyDescent="0.25">
      <c r="A44" s="118" t="s">
        <v>966</v>
      </c>
      <c r="B44" s="119" t="s">
        <v>967</v>
      </c>
      <c r="C44" s="119" t="s">
        <v>342</v>
      </c>
      <c r="D44" s="119" t="s">
        <v>808</v>
      </c>
      <c r="E44" s="119" t="s">
        <v>942</v>
      </c>
      <c r="F44" s="119" t="s">
        <v>972</v>
      </c>
      <c r="G44" s="119" t="s">
        <v>971</v>
      </c>
      <c r="H44" s="119" t="s">
        <v>973</v>
      </c>
      <c r="I44" s="118" t="s">
        <v>50</v>
      </c>
      <c r="J44" s="118" t="s">
        <v>3304</v>
      </c>
      <c r="K44" s="118" t="s">
        <v>360</v>
      </c>
      <c r="L44" s="119" t="s">
        <v>3022</v>
      </c>
      <c r="M44" s="119" t="s">
        <v>3022</v>
      </c>
      <c r="N44" s="119" t="s">
        <v>3022</v>
      </c>
      <c r="O44" s="119" t="s">
        <v>92</v>
      </c>
      <c r="P44" s="119" t="s">
        <v>445</v>
      </c>
      <c r="Q44" s="119" t="s">
        <v>445</v>
      </c>
      <c r="R44" s="119" t="s">
        <v>445</v>
      </c>
      <c r="S44" s="118">
        <v>42</v>
      </c>
      <c r="T44" s="120" t="s">
        <v>53</v>
      </c>
      <c r="U44" s="119" t="s">
        <v>974</v>
      </c>
      <c r="V44" s="120" t="s">
        <v>59</v>
      </c>
      <c r="W44" s="119" t="s">
        <v>706</v>
      </c>
      <c r="X44" s="119" t="s">
        <v>786</v>
      </c>
    </row>
    <row r="45" spans="1:24" ht="23.25" customHeight="1" x14ac:dyDescent="0.25">
      <c r="A45" s="118" t="s">
        <v>975</v>
      </c>
      <c r="B45" s="119" t="s">
        <v>976</v>
      </c>
      <c r="C45" s="119" t="s">
        <v>375</v>
      </c>
      <c r="D45" s="119" t="s">
        <v>134</v>
      </c>
      <c r="E45" s="119" t="s">
        <v>921</v>
      </c>
      <c r="F45" s="119" t="s">
        <v>980</v>
      </c>
      <c r="G45" s="119" t="s">
        <v>979</v>
      </c>
      <c r="H45" s="119" t="s">
        <v>981</v>
      </c>
      <c r="I45" s="118" t="s">
        <v>50</v>
      </c>
      <c r="J45" s="118" t="s">
        <v>3303</v>
      </c>
      <c r="K45" s="118" t="s">
        <v>344</v>
      </c>
      <c r="L45" s="119" t="s">
        <v>3022</v>
      </c>
      <c r="M45" s="119" t="s">
        <v>3022</v>
      </c>
      <c r="N45" s="119" t="s">
        <v>3022</v>
      </c>
      <c r="O45" s="119" t="s">
        <v>3022</v>
      </c>
      <c r="P45" s="119" t="s">
        <v>92</v>
      </c>
      <c r="Q45" s="119" t="s">
        <v>445</v>
      </c>
      <c r="R45" s="119" t="s">
        <v>445</v>
      </c>
      <c r="S45" s="118">
        <v>70</v>
      </c>
      <c r="T45" s="120" t="s">
        <v>89</v>
      </c>
      <c r="U45" s="119" t="s">
        <v>982</v>
      </c>
      <c r="V45" s="120" t="s">
        <v>59</v>
      </c>
      <c r="W45" s="119" t="s">
        <v>695</v>
      </c>
      <c r="X45" s="119" t="s">
        <v>786</v>
      </c>
    </row>
    <row r="46" spans="1:24" ht="34.5" customHeight="1" x14ac:dyDescent="0.25">
      <c r="A46" s="118" t="s">
        <v>983</v>
      </c>
      <c r="B46" s="119" t="s">
        <v>984</v>
      </c>
      <c r="C46" s="119" t="s">
        <v>342</v>
      </c>
      <c r="D46" s="119" t="s">
        <v>819</v>
      </c>
      <c r="E46" s="119" t="s">
        <v>949</v>
      </c>
      <c r="F46" s="119" t="s">
        <v>60</v>
      </c>
      <c r="G46" s="119" t="s">
        <v>988</v>
      </c>
      <c r="H46" s="119" t="s">
        <v>989</v>
      </c>
      <c r="I46" s="118" t="s">
        <v>158</v>
      </c>
      <c r="J46" s="118" t="s">
        <v>3305</v>
      </c>
      <c r="K46" s="118" t="s">
        <v>389</v>
      </c>
      <c r="L46" s="119" t="s">
        <v>3022</v>
      </c>
      <c r="M46" s="119" t="s">
        <v>3022</v>
      </c>
      <c r="N46" s="119" t="s">
        <v>3022</v>
      </c>
      <c r="O46" s="119" t="s">
        <v>92</v>
      </c>
      <c r="P46" s="119" t="s">
        <v>445</v>
      </c>
      <c r="Q46" s="119" t="s">
        <v>445</v>
      </c>
      <c r="R46" s="119" t="s">
        <v>445</v>
      </c>
      <c r="S46" s="118">
        <v>32</v>
      </c>
      <c r="T46" s="120" t="s">
        <v>53</v>
      </c>
      <c r="U46" s="119" t="s">
        <v>397</v>
      </c>
      <c r="V46" s="120" t="s">
        <v>59</v>
      </c>
      <c r="W46" s="119" t="s">
        <v>724</v>
      </c>
      <c r="X46" s="119" t="s">
        <v>786</v>
      </c>
    </row>
    <row r="47" spans="1:24" ht="34.5" customHeight="1" x14ac:dyDescent="0.25">
      <c r="A47" s="118" t="s">
        <v>990</v>
      </c>
      <c r="B47" s="119" t="s">
        <v>991</v>
      </c>
      <c r="C47" s="119" t="s">
        <v>375</v>
      </c>
      <c r="D47" s="119" t="s">
        <v>800</v>
      </c>
      <c r="E47" s="119" t="s">
        <v>934</v>
      </c>
      <c r="F47" s="119" t="s">
        <v>972</v>
      </c>
      <c r="G47" s="119" t="s">
        <v>994</v>
      </c>
      <c r="H47" s="119" t="s">
        <v>995</v>
      </c>
      <c r="I47" s="118" t="s">
        <v>103</v>
      </c>
      <c r="J47" s="118" t="s">
        <v>3283</v>
      </c>
      <c r="K47" s="118" t="s">
        <v>404</v>
      </c>
      <c r="L47" s="119" t="s">
        <v>3022</v>
      </c>
      <c r="M47" s="119" t="s">
        <v>3022</v>
      </c>
      <c r="N47" s="119" t="s">
        <v>3022</v>
      </c>
      <c r="O47" s="119" t="s">
        <v>3022</v>
      </c>
      <c r="P47" s="119" t="s">
        <v>3022</v>
      </c>
      <c r="Q47" s="119" t="s">
        <v>3022</v>
      </c>
      <c r="R47" s="119" t="s">
        <v>3022</v>
      </c>
      <c r="S47" s="118">
        <v>100</v>
      </c>
      <c r="T47" s="120" t="s">
        <v>732</v>
      </c>
      <c r="U47" s="119" t="s">
        <v>996</v>
      </c>
      <c r="V47" s="120" t="s">
        <v>304</v>
      </c>
      <c r="W47" s="119" t="s">
        <v>307</v>
      </c>
      <c r="X47" s="119" t="s">
        <v>786</v>
      </c>
    </row>
    <row r="48" spans="1:24" ht="34.5" customHeight="1" x14ac:dyDescent="0.25">
      <c r="A48" s="118" t="s">
        <v>997</v>
      </c>
      <c r="B48" s="119" t="s">
        <v>998</v>
      </c>
      <c r="C48" s="119" t="s">
        <v>342</v>
      </c>
      <c r="D48" s="119" t="s">
        <v>808</v>
      </c>
      <c r="E48" s="119" t="s">
        <v>942</v>
      </c>
      <c r="F48" s="119" t="s">
        <v>60</v>
      </c>
      <c r="G48" s="119" t="s">
        <v>1001</v>
      </c>
      <c r="H48" s="119" t="s">
        <v>1002</v>
      </c>
      <c r="I48" s="118" t="s">
        <v>50</v>
      </c>
      <c r="J48" s="118" t="s">
        <v>3306</v>
      </c>
      <c r="K48" s="118" t="s">
        <v>417</v>
      </c>
      <c r="L48" s="119" t="s">
        <v>3022</v>
      </c>
      <c r="M48" s="119" t="s">
        <v>92</v>
      </c>
      <c r="N48" s="119" t="s">
        <v>445</v>
      </c>
      <c r="O48" s="119" t="s">
        <v>445</v>
      </c>
      <c r="P48" s="119" t="s">
        <v>445</v>
      </c>
      <c r="Q48" s="119" t="s">
        <v>445</v>
      </c>
      <c r="R48" s="119" t="s">
        <v>445</v>
      </c>
      <c r="S48" s="118">
        <v>20</v>
      </c>
      <c r="T48" s="120" t="s">
        <v>76</v>
      </c>
      <c r="U48" s="119" t="s">
        <v>741</v>
      </c>
      <c r="V48" s="120" t="s">
        <v>59</v>
      </c>
      <c r="W48" s="119" t="s">
        <v>740</v>
      </c>
      <c r="X48" s="119" t="s">
        <v>786</v>
      </c>
    </row>
    <row r="49" spans="1:24" ht="23.25" customHeight="1" x14ac:dyDescent="0.25">
      <c r="A49" s="118" t="s">
        <v>1003</v>
      </c>
      <c r="B49" s="119" t="s">
        <v>1004</v>
      </c>
      <c r="C49" s="119" t="s">
        <v>430</v>
      </c>
      <c r="D49" s="119" t="s">
        <v>134</v>
      </c>
      <c r="E49" s="119" t="s">
        <v>921</v>
      </c>
      <c r="F49" s="119" t="s">
        <v>1009</v>
      </c>
      <c r="G49" s="119" t="s">
        <v>1008</v>
      </c>
      <c r="H49" s="119" t="s">
        <v>1010</v>
      </c>
      <c r="I49" s="118" t="s">
        <v>50</v>
      </c>
      <c r="J49" s="118" t="s">
        <v>3304</v>
      </c>
      <c r="K49" s="118" t="s">
        <v>431</v>
      </c>
      <c r="L49" s="119" t="s">
        <v>3022</v>
      </c>
      <c r="M49" s="119" t="s">
        <v>3022</v>
      </c>
      <c r="N49" s="119" t="s">
        <v>3022</v>
      </c>
      <c r="O49" s="119" t="s">
        <v>92</v>
      </c>
      <c r="P49" s="119" t="s">
        <v>445</v>
      </c>
      <c r="Q49" s="119" t="s">
        <v>445</v>
      </c>
      <c r="R49" s="119" t="s">
        <v>445</v>
      </c>
      <c r="S49" s="118">
        <v>42</v>
      </c>
      <c r="T49" s="120" t="s">
        <v>53</v>
      </c>
      <c r="U49" s="119" t="s">
        <v>1011</v>
      </c>
      <c r="V49" s="120" t="s">
        <v>59</v>
      </c>
      <c r="W49" s="119" t="s">
        <v>751</v>
      </c>
      <c r="X49" s="119" t="s">
        <v>786</v>
      </c>
    </row>
    <row r="50" spans="1:24" ht="34.5" customHeight="1" x14ac:dyDescent="0.25">
      <c r="A50" s="118" t="s">
        <v>1012</v>
      </c>
      <c r="B50" s="119" t="s">
        <v>1013</v>
      </c>
      <c r="C50" s="119" t="s">
        <v>430</v>
      </c>
      <c r="D50" s="119" t="s">
        <v>819</v>
      </c>
      <c r="E50" s="119" t="s">
        <v>949</v>
      </c>
      <c r="F50" s="119" t="s">
        <v>963</v>
      </c>
      <c r="G50" s="119" t="s">
        <v>1017</v>
      </c>
      <c r="H50" s="119" t="s">
        <v>1018</v>
      </c>
      <c r="I50" s="118" t="s">
        <v>50</v>
      </c>
      <c r="J50" s="118" t="s">
        <v>3303</v>
      </c>
      <c r="K50" s="118" t="s">
        <v>442</v>
      </c>
      <c r="L50" s="119" t="s">
        <v>3022</v>
      </c>
      <c r="M50" s="119" t="s">
        <v>3022</v>
      </c>
      <c r="N50" s="119" t="s">
        <v>3022</v>
      </c>
      <c r="O50" s="119" t="s">
        <v>3022</v>
      </c>
      <c r="P50" s="119" t="s">
        <v>92</v>
      </c>
      <c r="Q50" s="119" t="s">
        <v>445</v>
      </c>
      <c r="R50" s="119" t="s">
        <v>445</v>
      </c>
      <c r="S50" s="118">
        <v>70</v>
      </c>
      <c r="T50" s="120" t="s">
        <v>89</v>
      </c>
      <c r="U50" s="119" t="s">
        <v>1019</v>
      </c>
      <c r="V50" s="120" t="s">
        <v>59</v>
      </c>
      <c r="W50" s="119" t="s">
        <v>761</v>
      </c>
      <c r="X50" s="119" t="s">
        <v>786</v>
      </c>
    </row>
    <row r="51" spans="1:24" ht="34.5" customHeight="1" x14ac:dyDescent="0.25">
      <c r="A51" s="118" t="s">
        <v>1020</v>
      </c>
      <c r="B51" s="119" t="s">
        <v>1021</v>
      </c>
      <c r="C51" s="119" t="s">
        <v>430</v>
      </c>
      <c r="D51" s="119" t="s">
        <v>793</v>
      </c>
      <c r="E51" s="119" t="s">
        <v>928</v>
      </c>
      <c r="F51" s="119" t="s">
        <v>1026</v>
      </c>
      <c r="G51" s="119" t="s">
        <v>1025</v>
      </c>
      <c r="H51" s="119" t="s">
        <v>1027</v>
      </c>
      <c r="I51" s="118" t="s">
        <v>50</v>
      </c>
      <c r="J51" s="118" t="s">
        <v>3306</v>
      </c>
      <c r="K51" s="118" t="s">
        <v>456</v>
      </c>
      <c r="L51" s="119" t="s">
        <v>3022</v>
      </c>
      <c r="M51" s="119" t="s">
        <v>92</v>
      </c>
      <c r="N51" s="119" t="s">
        <v>445</v>
      </c>
      <c r="O51" s="119" t="s">
        <v>445</v>
      </c>
      <c r="P51" s="119" t="s">
        <v>445</v>
      </c>
      <c r="Q51" s="119" t="s">
        <v>445</v>
      </c>
      <c r="R51" s="119" t="s">
        <v>445</v>
      </c>
      <c r="S51" s="118">
        <v>18</v>
      </c>
      <c r="T51" s="120" t="s">
        <v>121</v>
      </c>
      <c r="U51" s="119" t="s">
        <v>463</v>
      </c>
      <c r="V51" s="120" t="s">
        <v>59</v>
      </c>
      <c r="W51" s="119" t="s">
        <v>772</v>
      </c>
      <c r="X51" s="119" t="s">
        <v>786</v>
      </c>
    </row>
    <row r="52" spans="1:24" ht="34.5" customHeight="1" x14ac:dyDescent="0.25">
      <c r="A52" s="118" t="s">
        <v>1028</v>
      </c>
      <c r="B52" s="119" t="s">
        <v>1029</v>
      </c>
      <c r="C52" s="119" t="s">
        <v>430</v>
      </c>
      <c r="D52" s="119" t="s">
        <v>808</v>
      </c>
      <c r="E52" s="119" t="s">
        <v>942</v>
      </c>
      <c r="F52" s="119" t="s">
        <v>972</v>
      </c>
      <c r="G52" s="119" t="s">
        <v>1032</v>
      </c>
      <c r="H52" s="119" t="s">
        <v>1033</v>
      </c>
      <c r="I52" s="118" t="s">
        <v>50</v>
      </c>
      <c r="J52" s="118" t="s">
        <v>3307</v>
      </c>
      <c r="K52" s="118" t="s">
        <v>468</v>
      </c>
      <c r="L52" s="119" t="s">
        <v>3022</v>
      </c>
      <c r="M52" s="119" t="s">
        <v>3022</v>
      </c>
      <c r="N52" s="119" t="s">
        <v>92</v>
      </c>
      <c r="O52" s="119" t="s">
        <v>445</v>
      </c>
      <c r="P52" s="119" t="s">
        <v>445</v>
      </c>
      <c r="Q52" s="119" t="s">
        <v>445</v>
      </c>
      <c r="R52" s="119" t="s">
        <v>445</v>
      </c>
      <c r="S52" s="118">
        <v>34</v>
      </c>
      <c r="T52" s="120" t="s">
        <v>76</v>
      </c>
      <c r="U52" s="119" t="s">
        <v>1034</v>
      </c>
      <c r="V52" s="120" t="s">
        <v>59</v>
      </c>
      <c r="W52" s="119" t="s">
        <v>740</v>
      </c>
      <c r="X52" s="119" t="s">
        <v>786</v>
      </c>
    </row>
    <row r="53" spans="1:24" ht="34.5" customHeight="1" x14ac:dyDescent="0.25">
      <c r="A53" s="118" t="s">
        <v>1040</v>
      </c>
      <c r="B53" s="119" t="s">
        <v>1041</v>
      </c>
      <c r="C53" s="119" t="s">
        <v>273</v>
      </c>
      <c r="D53" s="119" t="s">
        <v>48</v>
      </c>
      <c r="E53" s="119" t="s">
        <v>1046</v>
      </c>
      <c r="F53" s="119" t="s">
        <v>60</v>
      </c>
      <c r="G53" s="119" t="s">
        <v>1047</v>
      </c>
      <c r="H53" s="119" t="s">
        <v>1047</v>
      </c>
      <c r="I53" s="118" t="s">
        <v>50</v>
      </c>
      <c r="J53" s="118" t="s">
        <v>3248</v>
      </c>
      <c r="K53" s="118" t="s">
        <v>290</v>
      </c>
      <c r="L53" s="119" t="s">
        <v>3022</v>
      </c>
      <c r="M53" s="119" t="s">
        <v>92</v>
      </c>
      <c r="N53" s="119" t="s">
        <v>445</v>
      </c>
      <c r="O53" s="119" t="s">
        <v>445</v>
      </c>
      <c r="P53" s="119" t="s">
        <v>445</v>
      </c>
      <c r="Q53" s="119" t="s">
        <v>445</v>
      </c>
      <c r="R53" s="119" t="s">
        <v>445</v>
      </c>
      <c r="S53" s="118">
        <v>28</v>
      </c>
      <c r="T53" s="120" t="s">
        <v>76</v>
      </c>
      <c r="U53" s="119" t="s">
        <v>295</v>
      </c>
      <c r="V53" s="120" t="s">
        <v>59</v>
      </c>
      <c r="W53" s="119" t="s">
        <v>294</v>
      </c>
      <c r="X53" s="119" t="s">
        <v>62</v>
      </c>
    </row>
    <row r="54" spans="1:24" ht="34.5" customHeight="1" x14ac:dyDescent="0.25">
      <c r="A54" s="118" t="s">
        <v>1048</v>
      </c>
      <c r="B54" s="119" t="s">
        <v>1049</v>
      </c>
      <c r="C54" s="119" t="s">
        <v>430</v>
      </c>
      <c r="D54" s="119" t="s">
        <v>48</v>
      </c>
      <c r="E54" s="119" t="s">
        <v>1046</v>
      </c>
      <c r="F54" s="119" t="s">
        <v>60</v>
      </c>
      <c r="G54" s="119" t="s">
        <v>1055</v>
      </c>
      <c r="H54" s="119" t="s">
        <v>1056</v>
      </c>
      <c r="I54" s="118" t="s">
        <v>50</v>
      </c>
      <c r="J54" s="118" t="s">
        <v>3306</v>
      </c>
      <c r="K54" s="118" t="s">
        <v>456</v>
      </c>
      <c r="L54" s="119" t="s">
        <v>3022</v>
      </c>
      <c r="M54" s="119" t="s">
        <v>92</v>
      </c>
      <c r="N54" s="119" t="s">
        <v>445</v>
      </c>
      <c r="O54" s="119" t="s">
        <v>445</v>
      </c>
      <c r="P54" s="119" t="s">
        <v>445</v>
      </c>
      <c r="Q54" s="119" t="s">
        <v>445</v>
      </c>
      <c r="R54" s="119" t="s">
        <v>445</v>
      </c>
      <c r="S54" s="118">
        <v>18</v>
      </c>
      <c r="T54" s="120" t="s">
        <v>1054</v>
      </c>
      <c r="U54" s="119" t="s">
        <v>463</v>
      </c>
      <c r="V54" s="120" t="s">
        <v>59</v>
      </c>
      <c r="W54" s="119" t="s">
        <v>772</v>
      </c>
      <c r="X54" s="119" t="s">
        <v>62</v>
      </c>
    </row>
    <row r="55" spans="1:24" ht="23.25" customHeight="1" x14ac:dyDescent="0.25">
      <c r="A55" s="118" t="s">
        <v>1060</v>
      </c>
      <c r="B55" s="119" t="s">
        <v>1041</v>
      </c>
      <c r="C55" s="119" t="s">
        <v>273</v>
      </c>
      <c r="D55" s="119" t="s">
        <v>481</v>
      </c>
      <c r="E55" s="119" t="s">
        <v>1046</v>
      </c>
      <c r="F55" s="119" t="s">
        <v>60</v>
      </c>
      <c r="G55" s="119" t="s">
        <v>1047</v>
      </c>
      <c r="H55" s="119" t="s">
        <v>1047</v>
      </c>
      <c r="I55" s="118" t="s">
        <v>50</v>
      </c>
      <c r="J55" s="118" t="s">
        <v>3248</v>
      </c>
      <c r="K55" s="118" t="s">
        <v>290</v>
      </c>
      <c r="L55" s="119" t="s">
        <v>3022</v>
      </c>
      <c r="M55" s="119" t="s">
        <v>92</v>
      </c>
      <c r="N55" s="119" t="s">
        <v>445</v>
      </c>
      <c r="O55" s="119" t="s">
        <v>445</v>
      </c>
      <c r="P55" s="119" t="s">
        <v>445</v>
      </c>
      <c r="Q55" s="119" t="s">
        <v>445</v>
      </c>
      <c r="R55" s="119" t="s">
        <v>445</v>
      </c>
      <c r="S55" s="118">
        <v>28</v>
      </c>
      <c r="T55" s="120" t="s">
        <v>76</v>
      </c>
      <c r="U55" s="119" t="s">
        <v>295</v>
      </c>
      <c r="V55" s="120" t="s">
        <v>59</v>
      </c>
      <c r="W55" s="119" t="s">
        <v>294</v>
      </c>
      <c r="X55" s="119" t="s">
        <v>484</v>
      </c>
    </row>
    <row r="56" spans="1:24" ht="23.25" customHeight="1" x14ac:dyDescent="0.25">
      <c r="A56" s="118" t="s">
        <v>1063</v>
      </c>
      <c r="B56" s="119" t="s">
        <v>1049</v>
      </c>
      <c r="C56" s="119" t="s">
        <v>430</v>
      </c>
      <c r="D56" s="119" t="s">
        <v>481</v>
      </c>
      <c r="E56" s="119" t="s">
        <v>1046</v>
      </c>
      <c r="F56" s="119" t="s">
        <v>60</v>
      </c>
      <c r="G56" s="119" t="s">
        <v>1055</v>
      </c>
      <c r="H56" s="119" t="s">
        <v>1056</v>
      </c>
      <c r="I56" s="118" t="s">
        <v>50</v>
      </c>
      <c r="J56" s="118" t="s">
        <v>3306</v>
      </c>
      <c r="K56" s="118" t="s">
        <v>456</v>
      </c>
      <c r="L56" s="119" t="s">
        <v>3022</v>
      </c>
      <c r="M56" s="119" t="s">
        <v>92</v>
      </c>
      <c r="N56" s="119" t="s">
        <v>445</v>
      </c>
      <c r="O56" s="119" t="s">
        <v>445</v>
      </c>
      <c r="P56" s="119" t="s">
        <v>445</v>
      </c>
      <c r="Q56" s="119" t="s">
        <v>445</v>
      </c>
      <c r="R56" s="119" t="s">
        <v>445</v>
      </c>
      <c r="S56" s="118">
        <v>18</v>
      </c>
      <c r="T56" s="120" t="s">
        <v>1054</v>
      </c>
      <c r="U56" s="119" t="s">
        <v>463</v>
      </c>
      <c r="V56" s="120" t="s">
        <v>59</v>
      </c>
      <c r="W56" s="119" t="s">
        <v>772</v>
      </c>
      <c r="X56" s="119" t="s">
        <v>484</v>
      </c>
    </row>
    <row r="57" spans="1:24" ht="34.5" customHeight="1" x14ac:dyDescent="0.25">
      <c r="A57" s="118" t="s">
        <v>1068</v>
      </c>
      <c r="B57" s="119" t="s">
        <v>1041</v>
      </c>
      <c r="C57" s="119" t="s">
        <v>273</v>
      </c>
      <c r="D57" s="119" t="s">
        <v>808</v>
      </c>
      <c r="E57" s="119" t="s">
        <v>1046</v>
      </c>
      <c r="F57" s="119" t="s">
        <v>60</v>
      </c>
      <c r="G57" s="119" t="s">
        <v>1047</v>
      </c>
      <c r="H57" s="119" t="s">
        <v>1047</v>
      </c>
      <c r="I57" s="118" t="s">
        <v>50</v>
      </c>
      <c r="J57" s="118" t="s">
        <v>3248</v>
      </c>
      <c r="K57" s="118" t="s">
        <v>290</v>
      </c>
      <c r="L57" s="119" t="s">
        <v>3022</v>
      </c>
      <c r="M57" s="119" t="s">
        <v>92</v>
      </c>
      <c r="N57" s="119" t="s">
        <v>445</v>
      </c>
      <c r="O57" s="119" t="s">
        <v>445</v>
      </c>
      <c r="P57" s="119" t="s">
        <v>445</v>
      </c>
      <c r="Q57" s="119" t="s">
        <v>445</v>
      </c>
      <c r="R57" s="119" t="s">
        <v>445</v>
      </c>
      <c r="S57" s="118">
        <v>28</v>
      </c>
      <c r="T57" s="120" t="s">
        <v>76</v>
      </c>
      <c r="U57" s="119" t="s">
        <v>295</v>
      </c>
      <c r="V57" s="120" t="s">
        <v>59</v>
      </c>
      <c r="W57" s="119" t="s">
        <v>294</v>
      </c>
      <c r="X57" s="119" t="s">
        <v>786</v>
      </c>
    </row>
    <row r="58" spans="1:24" ht="34.5" customHeight="1" x14ac:dyDescent="0.25">
      <c r="A58" s="118" t="s">
        <v>1070</v>
      </c>
      <c r="B58" s="119" t="s">
        <v>1049</v>
      </c>
      <c r="C58" s="119" t="s">
        <v>430</v>
      </c>
      <c r="D58" s="119" t="s">
        <v>808</v>
      </c>
      <c r="E58" s="119" t="s">
        <v>1046</v>
      </c>
      <c r="F58" s="119" t="s">
        <v>60</v>
      </c>
      <c r="G58" s="119" t="s">
        <v>1055</v>
      </c>
      <c r="H58" s="119" t="s">
        <v>1056</v>
      </c>
      <c r="I58" s="118" t="s">
        <v>50</v>
      </c>
      <c r="J58" s="118" t="s">
        <v>3306</v>
      </c>
      <c r="K58" s="118" t="s">
        <v>456</v>
      </c>
      <c r="L58" s="119" t="s">
        <v>3022</v>
      </c>
      <c r="M58" s="119" t="s">
        <v>92</v>
      </c>
      <c r="N58" s="119" t="s">
        <v>445</v>
      </c>
      <c r="O58" s="119" t="s">
        <v>445</v>
      </c>
      <c r="P58" s="119" t="s">
        <v>445</v>
      </c>
      <c r="Q58" s="119" t="s">
        <v>445</v>
      </c>
      <c r="R58" s="119" t="s">
        <v>445</v>
      </c>
      <c r="S58" s="118">
        <v>18</v>
      </c>
      <c r="T58" s="120" t="s">
        <v>1054</v>
      </c>
      <c r="U58" s="119" t="s">
        <v>463</v>
      </c>
      <c r="V58" s="120" t="s">
        <v>59</v>
      </c>
      <c r="W58" s="119" t="s">
        <v>772</v>
      </c>
      <c r="X58" s="119" t="s">
        <v>786</v>
      </c>
    </row>
  </sheetData>
  <mergeCells count="2">
    <mergeCell ref="A1:W1"/>
    <mergeCell ref="A2:W2"/>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Y14"/>
  <sheetViews>
    <sheetView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14" customWidth="1"/>
    <col min="2" max="2" width="18" customWidth="1"/>
    <col min="3" max="3" width="20" customWidth="1"/>
    <col min="4" max="4" width="18" customWidth="1"/>
    <col min="5" max="5" width="22" customWidth="1"/>
    <col min="6" max="6" width="7" customWidth="1"/>
    <col min="7" max="7" width="24" customWidth="1"/>
    <col min="8" max="8" width="20" customWidth="1"/>
    <col min="9" max="9" width="26" customWidth="1"/>
    <col min="10" max="10" width="38" customWidth="1"/>
    <col min="11" max="11" width="70" customWidth="1"/>
    <col min="12" max="12" width="14" customWidth="1"/>
    <col min="13" max="13" width="11" customWidth="1"/>
    <col min="14" max="16" width="16" customWidth="1"/>
    <col min="17" max="19" width="52" customWidth="1"/>
    <col min="20" max="20" width="50" customWidth="1"/>
    <col min="21" max="21" width="24" customWidth="1"/>
    <col min="22" max="22" width="14" customWidth="1"/>
    <col min="23" max="23" width="13" customWidth="1"/>
    <col min="24" max="24" width="50" customWidth="1"/>
  </cols>
  <sheetData>
    <row r="1" spans="1:25" ht="25.5" customHeight="1" x14ac:dyDescent="0.25">
      <c r="A1" s="214" t="s">
        <v>3308</v>
      </c>
      <c r="B1" s="214"/>
      <c r="C1" s="214"/>
      <c r="D1" s="214"/>
      <c r="E1" s="214"/>
      <c r="F1" s="214"/>
      <c r="G1" s="214"/>
      <c r="H1" s="214"/>
      <c r="I1" s="214"/>
      <c r="J1" s="214"/>
      <c r="K1" s="214"/>
      <c r="L1" s="214"/>
      <c r="M1" s="214"/>
      <c r="N1" s="214"/>
      <c r="O1" s="214"/>
      <c r="P1" s="214"/>
      <c r="Q1" s="214"/>
      <c r="R1" s="214"/>
      <c r="S1" s="214"/>
      <c r="T1" s="214"/>
      <c r="U1" s="214"/>
      <c r="V1" s="214"/>
      <c r="W1" s="214"/>
    </row>
    <row r="2" spans="1:25" ht="18" customHeight="1" x14ac:dyDescent="0.25">
      <c r="A2" s="216" t="s">
        <v>3309</v>
      </c>
      <c r="B2" s="216"/>
      <c r="C2" s="216"/>
      <c r="D2" s="216"/>
      <c r="E2" s="216"/>
      <c r="F2" s="216"/>
      <c r="G2" s="216"/>
      <c r="H2" s="216"/>
      <c r="I2" s="216"/>
      <c r="J2" s="216"/>
      <c r="K2" s="216"/>
      <c r="L2" s="216"/>
      <c r="M2" s="216"/>
      <c r="N2" s="216"/>
      <c r="O2" s="216"/>
      <c r="P2" s="216"/>
      <c r="Q2" s="216"/>
      <c r="R2" s="216"/>
      <c r="S2" s="216"/>
      <c r="T2" s="216"/>
      <c r="U2" s="216"/>
      <c r="V2" s="216"/>
      <c r="W2" s="216"/>
    </row>
    <row r="3" spans="1:25" ht="6" customHeight="1" x14ac:dyDescent="0.25"/>
    <row r="4" spans="1:25" ht="36" customHeight="1" x14ac:dyDescent="0.25">
      <c r="A4" s="117" t="s">
        <v>3310</v>
      </c>
      <c r="B4" s="117" t="s">
        <v>2185</v>
      </c>
      <c r="C4" s="117" t="s">
        <v>2186</v>
      </c>
      <c r="D4" s="117" t="s">
        <v>2187</v>
      </c>
      <c r="E4" s="117" t="s">
        <v>2188</v>
      </c>
      <c r="F4" s="117" t="s">
        <v>3311</v>
      </c>
      <c r="G4" s="117" t="s">
        <v>3225</v>
      </c>
      <c r="H4" s="117" t="s">
        <v>3312</v>
      </c>
      <c r="I4" s="117" t="s">
        <v>3313</v>
      </c>
      <c r="J4" s="117" t="s">
        <v>3314</v>
      </c>
      <c r="K4" s="117" t="s">
        <v>3315</v>
      </c>
      <c r="L4" s="117" t="s">
        <v>3316</v>
      </c>
      <c r="M4" s="117" t="s">
        <v>3317</v>
      </c>
      <c r="N4" s="117" t="s">
        <v>3318</v>
      </c>
      <c r="O4" s="117" t="s">
        <v>3319</v>
      </c>
      <c r="P4" s="117" t="s">
        <v>3320</v>
      </c>
      <c r="Q4" s="117" t="s">
        <v>3321</v>
      </c>
      <c r="R4" s="117" t="s">
        <v>3322</v>
      </c>
      <c r="S4" s="117" t="s">
        <v>3323</v>
      </c>
      <c r="T4" s="117" t="s">
        <v>3324</v>
      </c>
      <c r="U4" s="117" t="s">
        <v>3325</v>
      </c>
      <c r="V4" s="117" t="s">
        <v>3326</v>
      </c>
      <c r="W4" s="117" t="s">
        <v>2359</v>
      </c>
      <c r="X4" s="117" t="s">
        <v>3327</v>
      </c>
      <c r="Y4" s="117" t="s">
        <v>35</v>
      </c>
    </row>
    <row r="5" spans="1:25" ht="60" customHeight="1" x14ac:dyDescent="0.25">
      <c r="A5" s="127" t="s">
        <v>3328</v>
      </c>
      <c r="B5" s="127" t="s">
        <v>337</v>
      </c>
      <c r="C5" s="128" t="s">
        <v>338</v>
      </c>
      <c r="D5" s="128" t="s">
        <v>342</v>
      </c>
      <c r="E5" s="128" t="s">
        <v>117</v>
      </c>
      <c r="F5" s="128" t="s">
        <v>49</v>
      </c>
      <c r="G5" s="128" t="s">
        <v>348</v>
      </c>
      <c r="H5" s="128" t="s">
        <v>3329</v>
      </c>
      <c r="I5" s="128" t="s">
        <v>3330</v>
      </c>
      <c r="J5" s="128" t="s">
        <v>3331</v>
      </c>
      <c r="K5" s="128" t="s">
        <v>3332</v>
      </c>
      <c r="L5" s="129">
        <v>45299</v>
      </c>
      <c r="M5" s="130" t="s">
        <v>3333</v>
      </c>
      <c r="N5" s="127" t="s">
        <v>3334</v>
      </c>
      <c r="O5" s="129">
        <v>45463</v>
      </c>
      <c r="P5" s="129">
        <v>45580</v>
      </c>
      <c r="Q5" s="128" t="s">
        <v>3335</v>
      </c>
      <c r="R5" s="128" t="s">
        <v>3336</v>
      </c>
      <c r="S5" s="128" t="s">
        <v>3337</v>
      </c>
      <c r="T5" s="128" t="s">
        <v>3338</v>
      </c>
      <c r="U5" s="127" t="s">
        <v>3339</v>
      </c>
      <c r="V5" s="129">
        <v>45337</v>
      </c>
      <c r="W5" s="127" t="s">
        <v>3340</v>
      </c>
      <c r="X5" s="128" t="s">
        <v>3341</v>
      </c>
      <c r="Y5" s="128" t="s">
        <v>62</v>
      </c>
    </row>
    <row r="6" spans="1:25" ht="60" customHeight="1" x14ac:dyDescent="0.25">
      <c r="A6" s="127" t="s">
        <v>3342</v>
      </c>
      <c r="B6" s="127" t="s">
        <v>337</v>
      </c>
      <c r="C6" s="128" t="s">
        <v>338</v>
      </c>
      <c r="D6" s="128" t="s">
        <v>342</v>
      </c>
      <c r="E6" s="128" t="s">
        <v>117</v>
      </c>
      <c r="F6" s="128" t="s">
        <v>49</v>
      </c>
      <c r="G6" s="128" t="s">
        <v>348</v>
      </c>
      <c r="H6" s="128" t="s">
        <v>3343</v>
      </c>
      <c r="I6" s="128" t="s">
        <v>3344</v>
      </c>
      <c r="J6" s="128" t="s">
        <v>3345</v>
      </c>
      <c r="K6" s="128" t="s">
        <v>3346</v>
      </c>
      <c r="L6" s="129">
        <v>45275</v>
      </c>
      <c r="M6" s="131" t="s">
        <v>3347</v>
      </c>
      <c r="N6" s="127" t="s">
        <v>3348</v>
      </c>
      <c r="O6" s="129">
        <v>45463</v>
      </c>
      <c r="P6" s="129">
        <v>45580</v>
      </c>
      <c r="Q6" s="128" t="s">
        <v>3349</v>
      </c>
      <c r="R6" s="128" t="s">
        <v>3350</v>
      </c>
      <c r="S6" s="128" t="s">
        <v>3351</v>
      </c>
      <c r="T6" s="128" t="s">
        <v>3352</v>
      </c>
      <c r="U6" s="127" t="s">
        <v>3353</v>
      </c>
      <c r="V6" s="129">
        <v>45387</v>
      </c>
      <c r="W6" s="127" t="s">
        <v>92</v>
      </c>
      <c r="X6" s="128" t="s">
        <v>3354</v>
      </c>
      <c r="Y6" s="128" t="s">
        <v>62</v>
      </c>
    </row>
    <row r="7" spans="1:25" ht="60" customHeight="1" x14ac:dyDescent="0.25">
      <c r="A7" s="127" t="s">
        <v>3355</v>
      </c>
      <c r="B7" s="127" t="s">
        <v>337</v>
      </c>
      <c r="C7" s="128" t="s">
        <v>338</v>
      </c>
      <c r="D7" s="128" t="s">
        <v>342</v>
      </c>
      <c r="E7" s="128" t="s">
        <v>117</v>
      </c>
      <c r="F7" s="128" t="s">
        <v>49</v>
      </c>
      <c r="G7" s="128" t="s">
        <v>348</v>
      </c>
      <c r="H7" s="128" t="s">
        <v>3356</v>
      </c>
      <c r="I7" s="128" t="s">
        <v>3357</v>
      </c>
      <c r="J7" s="128" t="s">
        <v>3358</v>
      </c>
      <c r="K7" s="128" t="s">
        <v>3359</v>
      </c>
      <c r="L7" s="129">
        <v>45301</v>
      </c>
      <c r="M7" s="131" t="s">
        <v>3347</v>
      </c>
      <c r="N7" s="127" t="s">
        <v>3360</v>
      </c>
      <c r="O7" s="129">
        <v>45463</v>
      </c>
      <c r="P7" s="129">
        <v>45580</v>
      </c>
      <c r="Q7" s="128" t="s">
        <v>3361</v>
      </c>
      <c r="R7" s="128" t="s">
        <v>3362</v>
      </c>
      <c r="S7" s="128" t="s">
        <v>3363</v>
      </c>
      <c r="T7" s="128" t="s">
        <v>3364</v>
      </c>
      <c r="U7" s="127" t="s">
        <v>3365</v>
      </c>
      <c r="V7" s="129">
        <v>45355</v>
      </c>
      <c r="W7" s="127" t="s">
        <v>92</v>
      </c>
      <c r="X7" s="128" t="s">
        <v>3366</v>
      </c>
      <c r="Y7" s="128" t="s">
        <v>62</v>
      </c>
    </row>
    <row r="8" spans="1:25" ht="60" customHeight="1" x14ac:dyDescent="0.25">
      <c r="A8" s="132" t="s">
        <v>3367</v>
      </c>
      <c r="B8" s="132" t="s">
        <v>354</v>
      </c>
      <c r="C8" s="133" t="s">
        <v>355</v>
      </c>
      <c r="D8" s="133" t="s">
        <v>342</v>
      </c>
      <c r="E8" s="133" t="s">
        <v>48</v>
      </c>
      <c r="F8" s="133" t="s">
        <v>74</v>
      </c>
      <c r="G8" s="133" t="s">
        <v>364</v>
      </c>
      <c r="H8" s="133" t="s">
        <v>3368</v>
      </c>
      <c r="I8" s="133" t="s">
        <v>3369</v>
      </c>
      <c r="J8" s="133" t="s">
        <v>3370</v>
      </c>
      <c r="K8" s="133" t="s">
        <v>3371</v>
      </c>
      <c r="L8" s="134">
        <v>45309</v>
      </c>
      <c r="M8" s="130" t="s">
        <v>3333</v>
      </c>
      <c r="N8" s="132" t="s">
        <v>3372</v>
      </c>
      <c r="O8" s="134">
        <v>45792</v>
      </c>
      <c r="P8" s="134">
        <v>45991</v>
      </c>
      <c r="Q8" s="133" t="s">
        <v>3373</v>
      </c>
      <c r="R8" s="133" t="s">
        <v>3374</v>
      </c>
      <c r="S8" s="133" t="s">
        <v>3375</v>
      </c>
      <c r="T8" s="133" t="s">
        <v>3376</v>
      </c>
      <c r="U8" s="132" t="s">
        <v>3339</v>
      </c>
      <c r="V8" s="134">
        <v>45352</v>
      </c>
      <c r="W8" s="132" t="s">
        <v>3340</v>
      </c>
      <c r="X8" s="133" t="s">
        <v>3377</v>
      </c>
      <c r="Y8" s="133" t="s">
        <v>62</v>
      </c>
    </row>
    <row r="9" spans="1:25" ht="60" customHeight="1" x14ac:dyDescent="0.25">
      <c r="A9" s="132" t="s">
        <v>3378</v>
      </c>
      <c r="B9" s="132" t="s">
        <v>354</v>
      </c>
      <c r="C9" s="133" t="s">
        <v>355</v>
      </c>
      <c r="D9" s="133" t="s">
        <v>342</v>
      </c>
      <c r="E9" s="133" t="s">
        <v>48</v>
      </c>
      <c r="F9" s="133" t="s">
        <v>74</v>
      </c>
      <c r="G9" s="133" t="s">
        <v>364</v>
      </c>
      <c r="H9" s="133" t="s">
        <v>363</v>
      </c>
      <c r="I9" s="133" t="s">
        <v>3379</v>
      </c>
      <c r="J9" s="133" t="s">
        <v>3380</v>
      </c>
      <c r="K9" s="133" t="s">
        <v>3381</v>
      </c>
      <c r="L9" s="134">
        <v>45303</v>
      </c>
      <c r="M9" s="135" t="s">
        <v>3382</v>
      </c>
      <c r="N9" s="132" t="s">
        <v>3383</v>
      </c>
      <c r="O9" s="134">
        <v>45792</v>
      </c>
      <c r="P9" s="134">
        <v>45991</v>
      </c>
      <c r="Q9" s="133" t="s">
        <v>3384</v>
      </c>
      <c r="R9" s="133" t="s">
        <v>3385</v>
      </c>
      <c r="S9" s="133" t="s">
        <v>3386</v>
      </c>
      <c r="T9" s="133" t="s">
        <v>3387</v>
      </c>
      <c r="U9" s="132" t="s">
        <v>3339</v>
      </c>
      <c r="V9" s="134">
        <v>45397</v>
      </c>
      <c r="W9" s="132" t="s">
        <v>3340</v>
      </c>
      <c r="X9" s="133" t="s">
        <v>3388</v>
      </c>
      <c r="Y9" s="133" t="s">
        <v>62</v>
      </c>
    </row>
    <row r="10" spans="1:25" ht="60" customHeight="1" x14ac:dyDescent="0.25">
      <c r="A10" s="132" t="s">
        <v>3389</v>
      </c>
      <c r="B10" s="132" t="s">
        <v>354</v>
      </c>
      <c r="C10" s="133" t="s">
        <v>355</v>
      </c>
      <c r="D10" s="133" t="s">
        <v>342</v>
      </c>
      <c r="E10" s="133" t="s">
        <v>48</v>
      </c>
      <c r="F10" s="133" t="s">
        <v>74</v>
      </c>
      <c r="G10" s="133" t="s">
        <v>364</v>
      </c>
      <c r="H10" s="133" t="s">
        <v>3343</v>
      </c>
      <c r="I10" s="133" t="s">
        <v>3344</v>
      </c>
      <c r="J10" s="133" t="s">
        <v>3390</v>
      </c>
      <c r="K10" s="133" t="s">
        <v>3391</v>
      </c>
      <c r="L10" s="134">
        <v>45280</v>
      </c>
      <c r="M10" s="131" t="s">
        <v>3347</v>
      </c>
      <c r="N10" s="132" t="s">
        <v>3348</v>
      </c>
      <c r="O10" s="134">
        <v>45792</v>
      </c>
      <c r="P10" s="134">
        <v>45991</v>
      </c>
      <c r="Q10" s="133" t="s">
        <v>3392</v>
      </c>
      <c r="R10" s="133" t="s">
        <v>3393</v>
      </c>
      <c r="S10" s="133" t="s">
        <v>3394</v>
      </c>
      <c r="T10" s="133" t="s">
        <v>3352</v>
      </c>
      <c r="U10" s="132" t="s">
        <v>3339</v>
      </c>
      <c r="V10" s="134">
        <v>45352</v>
      </c>
      <c r="W10" s="132" t="s">
        <v>92</v>
      </c>
      <c r="X10" s="133" t="s">
        <v>3395</v>
      </c>
      <c r="Y10" s="133" t="s">
        <v>62</v>
      </c>
    </row>
    <row r="11" spans="1:25" ht="57" customHeight="1" x14ac:dyDescent="0.25">
      <c r="A11" s="127" t="s">
        <v>3396</v>
      </c>
      <c r="B11" s="127" t="s">
        <v>697</v>
      </c>
      <c r="C11" s="128" t="s">
        <v>698</v>
      </c>
      <c r="D11" s="128" t="s">
        <v>342</v>
      </c>
      <c r="E11" s="128" t="s">
        <v>481</v>
      </c>
      <c r="F11" s="128" t="s">
        <v>74</v>
      </c>
      <c r="G11" s="128" t="s">
        <v>703</v>
      </c>
      <c r="H11" s="128" t="s">
        <v>3397</v>
      </c>
      <c r="I11" s="128" t="s">
        <v>3398</v>
      </c>
      <c r="J11" s="128" t="s">
        <v>3399</v>
      </c>
      <c r="K11" s="128" t="s">
        <v>3400</v>
      </c>
      <c r="L11" s="129" t="s">
        <v>3401</v>
      </c>
      <c r="M11" s="130" t="s">
        <v>3333</v>
      </c>
      <c r="N11" s="127" t="s">
        <v>3402</v>
      </c>
      <c r="O11" s="129" t="s">
        <v>3403</v>
      </c>
      <c r="P11" s="129" t="s">
        <v>3404</v>
      </c>
      <c r="Q11" s="128" t="s">
        <v>3405</v>
      </c>
      <c r="R11" s="128" t="s">
        <v>3406</v>
      </c>
      <c r="S11" s="128" t="s">
        <v>3407</v>
      </c>
      <c r="T11" s="128" t="s">
        <v>3408</v>
      </c>
      <c r="U11" s="127" t="s">
        <v>3409</v>
      </c>
      <c r="V11" s="129" t="s">
        <v>3410</v>
      </c>
      <c r="W11" s="127" t="s">
        <v>3340</v>
      </c>
      <c r="X11" s="128" t="s">
        <v>3411</v>
      </c>
      <c r="Y11" s="128" t="s">
        <v>484</v>
      </c>
    </row>
    <row r="12" spans="1:25" ht="34.5" customHeight="1" x14ac:dyDescent="0.25">
      <c r="A12" s="127" t="s">
        <v>3412</v>
      </c>
      <c r="B12" s="127" t="s">
        <v>697</v>
      </c>
      <c r="C12" s="128" t="s">
        <v>698</v>
      </c>
      <c r="D12" s="128" t="s">
        <v>342</v>
      </c>
      <c r="E12" s="128" t="s">
        <v>481</v>
      </c>
      <c r="F12" s="128" t="s">
        <v>74</v>
      </c>
      <c r="G12" s="128" t="s">
        <v>703</v>
      </c>
      <c r="H12" s="128" t="s">
        <v>3343</v>
      </c>
      <c r="I12" s="128" t="s">
        <v>3344</v>
      </c>
      <c r="J12" s="128" t="s">
        <v>3413</v>
      </c>
      <c r="K12" s="128" t="s">
        <v>3414</v>
      </c>
      <c r="L12" s="129" t="s">
        <v>59</v>
      </c>
      <c r="M12" s="130" t="s">
        <v>3415</v>
      </c>
      <c r="N12" s="127" t="s">
        <v>3416</v>
      </c>
      <c r="O12" s="129" t="s">
        <v>3403</v>
      </c>
      <c r="P12" s="129" t="s">
        <v>3404</v>
      </c>
      <c r="Q12" s="128" t="s">
        <v>3417</v>
      </c>
      <c r="R12" s="128" t="s">
        <v>3418</v>
      </c>
      <c r="S12" s="128" t="s">
        <v>3419</v>
      </c>
      <c r="T12" s="128" t="s">
        <v>60</v>
      </c>
      <c r="U12" s="127" t="s">
        <v>3420</v>
      </c>
      <c r="V12" s="129" t="s">
        <v>3421</v>
      </c>
      <c r="W12" s="127" t="s">
        <v>92</v>
      </c>
      <c r="X12" s="128" t="s">
        <v>3422</v>
      </c>
      <c r="Y12" s="128" t="s">
        <v>484</v>
      </c>
    </row>
    <row r="13" spans="1:25" ht="45.75" customHeight="1" x14ac:dyDescent="0.25">
      <c r="A13" s="127" t="s">
        <v>3423</v>
      </c>
      <c r="B13" s="127" t="s">
        <v>966</v>
      </c>
      <c r="C13" s="128" t="s">
        <v>967</v>
      </c>
      <c r="D13" s="128" t="s">
        <v>342</v>
      </c>
      <c r="E13" s="128" t="s">
        <v>808</v>
      </c>
      <c r="F13" s="128" t="s">
        <v>74</v>
      </c>
      <c r="G13" s="128" t="s">
        <v>942</v>
      </c>
      <c r="H13" s="128" t="s">
        <v>3424</v>
      </c>
      <c r="I13" s="128" t="s">
        <v>3425</v>
      </c>
      <c r="J13" s="128" t="s">
        <v>3426</v>
      </c>
      <c r="K13" s="128" t="s">
        <v>3427</v>
      </c>
      <c r="L13" s="129" t="s">
        <v>3428</v>
      </c>
      <c r="M13" s="130" t="s">
        <v>3333</v>
      </c>
      <c r="N13" s="127" t="s">
        <v>3334</v>
      </c>
      <c r="O13" s="129" t="s">
        <v>3403</v>
      </c>
      <c r="P13" s="129" t="s">
        <v>3404</v>
      </c>
      <c r="Q13" s="128" t="s">
        <v>3429</v>
      </c>
      <c r="R13" s="128" t="s">
        <v>3430</v>
      </c>
      <c r="S13" s="128" t="s">
        <v>3431</v>
      </c>
      <c r="T13" s="128" t="s">
        <v>3432</v>
      </c>
      <c r="U13" s="127" t="s">
        <v>3433</v>
      </c>
      <c r="V13" s="129" t="s">
        <v>3434</v>
      </c>
      <c r="W13" s="127" t="s">
        <v>3340</v>
      </c>
      <c r="X13" s="128" t="s">
        <v>3435</v>
      </c>
      <c r="Y13" s="128" t="s">
        <v>786</v>
      </c>
    </row>
    <row r="14" spans="1:25" ht="34.5" customHeight="1" x14ac:dyDescent="0.25">
      <c r="A14" s="127" t="s">
        <v>3436</v>
      </c>
      <c r="B14" s="127" t="s">
        <v>966</v>
      </c>
      <c r="C14" s="128" t="s">
        <v>967</v>
      </c>
      <c r="D14" s="128" t="s">
        <v>342</v>
      </c>
      <c r="E14" s="128" t="s">
        <v>808</v>
      </c>
      <c r="F14" s="128" t="s">
        <v>74</v>
      </c>
      <c r="G14" s="128" t="s">
        <v>942</v>
      </c>
      <c r="H14" s="128" t="s">
        <v>3356</v>
      </c>
      <c r="I14" s="128" t="s">
        <v>3437</v>
      </c>
      <c r="J14" s="128" t="s">
        <v>3438</v>
      </c>
      <c r="K14" s="128" t="s">
        <v>3439</v>
      </c>
      <c r="L14" s="129" t="s">
        <v>3440</v>
      </c>
      <c r="M14" s="130" t="s">
        <v>3347</v>
      </c>
      <c r="N14" s="127" t="s">
        <v>3441</v>
      </c>
      <c r="O14" s="129" t="s">
        <v>3403</v>
      </c>
      <c r="P14" s="129" t="s">
        <v>3404</v>
      </c>
      <c r="Q14" s="128" t="s">
        <v>3442</v>
      </c>
      <c r="R14" s="128" t="s">
        <v>3443</v>
      </c>
      <c r="S14" s="128" t="s">
        <v>3444</v>
      </c>
      <c r="T14" s="128" t="s">
        <v>3445</v>
      </c>
      <c r="U14" s="127" t="s">
        <v>3446</v>
      </c>
      <c r="V14" s="129" t="s">
        <v>3447</v>
      </c>
      <c r="W14" s="127" t="s">
        <v>92</v>
      </c>
      <c r="X14" s="128" t="s">
        <v>3448</v>
      </c>
      <c r="Y14" s="128" t="s">
        <v>786</v>
      </c>
    </row>
  </sheetData>
  <mergeCells count="2">
    <mergeCell ref="A1:W1"/>
    <mergeCell ref="A2:W2"/>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63"/>
  <sheetViews>
    <sheetView zoomScaleNormal="100" workbookViewId="0">
      <pane xSplit="2" ySplit="4" topLeftCell="C5" activePane="bottomRight" state="frozen"/>
      <selection pane="topRight" activeCell="C1" sqref="C1"/>
      <selection pane="bottomLeft" activeCell="A5" sqref="A5"/>
      <selection pane="bottomRight"/>
    </sheetView>
  </sheetViews>
  <sheetFormatPr defaultColWidth="8.7109375" defaultRowHeight="15" x14ac:dyDescent="0.25"/>
  <cols>
    <col min="1" max="1" width="9" customWidth="1"/>
    <col min="2" max="2" width="16" customWidth="1"/>
    <col min="3" max="3" width="55" customWidth="1"/>
    <col min="4" max="4" width="30" customWidth="1"/>
    <col min="5" max="5" width="20" customWidth="1"/>
    <col min="6" max="6" width="28" customWidth="1"/>
    <col min="7" max="7" width="18" customWidth="1"/>
    <col min="8" max="8" width="35" customWidth="1"/>
    <col min="9" max="9" width="7" customWidth="1"/>
    <col min="10" max="10" width="42" customWidth="1"/>
    <col min="11" max="11" width="9" customWidth="1"/>
    <col min="12" max="12" width="14" customWidth="1"/>
    <col min="13" max="13" width="65" customWidth="1"/>
    <col min="14" max="14" width="22" customWidth="1"/>
  </cols>
  <sheetData>
    <row r="1" spans="1:15" ht="25.5" customHeight="1" x14ac:dyDescent="0.25">
      <c r="A1" s="214" t="s">
        <v>3449</v>
      </c>
      <c r="B1" s="214"/>
      <c r="C1" s="214"/>
      <c r="D1" s="214"/>
      <c r="E1" s="214"/>
      <c r="F1" s="214"/>
      <c r="G1" s="214"/>
      <c r="H1" s="214"/>
      <c r="I1" s="214"/>
      <c r="J1" s="214"/>
      <c r="K1" s="214"/>
      <c r="L1" s="214"/>
      <c r="M1" s="214"/>
      <c r="N1" s="214"/>
    </row>
    <row r="2" spans="1:15" ht="24" customHeight="1" x14ac:dyDescent="0.25">
      <c r="A2" s="217" t="s">
        <v>3450</v>
      </c>
      <c r="B2" s="217"/>
      <c r="C2" s="217"/>
      <c r="D2" s="217"/>
      <c r="E2" s="217"/>
      <c r="F2" s="217"/>
      <c r="G2" s="217"/>
      <c r="H2" s="217"/>
      <c r="I2" s="217"/>
      <c r="J2" s="217"/>
      <c r="K2" s="217"/>
      <c r="L2" s="217"/>
      <c r="M2" s="217"/>
      <c r="N2" s="217"/>
    </row>
    <row r="3" spans="1:15" ht="6" customHeight="1" x14ac:dyDescent="0.25"/>
    <row r="4" spans="1:15" ht="36" customHeight="1" x14ac:dyDescent="0.25">
      <c r="A4" s="117" t="s">
        <v>3451</v>
      </c>
      <c r="B4" s="117" t="s">
        <v>2857</v>
      </c>
      <c r="C4" s="117" t="s">
        <v>3452</v>
      </c>
      <c r="D4" s="117" t="s">
        <v>3453</v>
      </c>
      <c r="E4" s="117" t="s">
        <v>3454</v>
      </c>
      <c r="F4" s="117" t="s">
        <v>3455</v>
      </c>
      <c r="G4" s="117" t="s">
        <v>3456</v>
      </c>
      <c r="H4" s="117" t="s">
        <v>3457</v>
      </c>
      <c r="I4" s="117" t="s">
        <v>3311</v>
      </c>
      <c r="J4" s="117" t="s">
        <v>3458</v>
      </c>
      <c r="K4" s="117" t="s">
        <v>3459</v>
      </c>
      <c r="L4" s="117" t="s">
        <v>3460</v>
      </c>
      <c r="M4" s="117" t="s">
        <v>3461</v>
      </c>
      <c r="N4" s="117" t="s">
        <v>3462</v>
      </c>
      <c r="O4" s="117" t="s">
        <v>35</v>
      </c>
    </row>
    <row r="5" spans="1:15" ht="36" customHeight="1" x14ac:dyDescent="0.25">
      <c r="A5" s="136" t="s">
        <v>3463</v>
      </c>
      <c r="B5" s="136" t="s">
        <v>3464</v>
      </c>
      <c r="C5" s="137" t="s">
        <v>3465</v>
      </c>
      <c r="D5" s="137" t="s">
        <v>3466</v>
      </c>
      <c r="E5" s="136" t="s">
        <v>3467</v>
      </c>
      <c r="F5" s="136" t="s">
        <v>3468</v>
      </c>
      <c r="G5" s="136" t="s">
        <v>3469</v>
      </c>
      <c r="H5" s="137" t="s">
        <v>3470</v>
      </c>
      <c r="I5" s="136">
        <v>2023</v>
      </c>
      <c r="J5" s="137" t="s">
        <v>3471</v>
      </c>
      <c r="K5" s="136">
        <v>5</v>
      </c>
      <c r="L5" s="136" t="s">
        <v>3472</v>
      </c>
      <c r="M5" s="137" t="s">
        <v>3473</v>
      </c>
      <c r="N5" s="137" t="s">
        <v>3474</v>
      </c>
      <c r="O5" s="137" t="s">
        <v>3475</v>
      </c>
    </row>
    <row r="6" spans="1:15" ht="36" customHeight="1" x14ac:dyDescent="0.25">
      <c r="A6" s="136" t="s">
        <v>3476</v>
      </c>
      <c r="B6" s="136" t="s">
        <v>3464</v>
      </c>
      <c r="C6" s="137" t="s">
        <v>3477</v>
      </c>
      <c r="D6" s="137" t="s">
        <v>3478</v>
      </c>
      <c r="E6" s="136" t="s">
        <v>3479</v>
      </c>
      <c r="F6" s="136" t="s">
        <v>3480</v>
      </c>
      <c r="G6" s="136" t="s">
        <v>3469</v>
      </c>
      <c r="H6" s="137" t="s">
        <v>3481</v>
      </c>
      <c r="I6" s="136">
        <v>2023</v>
      </c>
      <c r="J6" s="137" t="s">
        <v>3482</v>
      </c>
      <c r="K6" s="136">
        <v>5</v>
      </c>
      <c r="L6" s="136" t="s">
        <v>3472</v>
      </c>
      <c r="M6" s="137" t="s">
        <v>3483</v>
      </c>
      <c r="N6" s="137" t="s">
        <v>291</v>
      </c>
      <c r="O6" s="137" t="s">
        <v>3475</v>
      </c>
    </row>
    <row r="7" spans="1:15" ht="36" customHeight="1" x14ac:dyDescent="0.25">
      <c r="A7" s="136" t="s">
        <v>3484</v>
      </c>
      <c r="B7" s="136" t="s">
        <v>3464</v>
      </c>
      <c r="C7" s="137" t="s">
        <v>3485</v>
      </c>
      <c r="D7" s="137" t="s">
        <v>3486</v>
      </c>
      <c r="E7" s="136" t="s">
        <v>3487</v>
      </c>
      <c r="F7" s="136" t="s">
        <v>3488</v>
      </c>
      <c r="G7" s="136" t="s">
        <v>3469</v>
      </c>
      <c r="H7" s="137" t="s">
        <v>3489</v>
      </c>
      <c r="I7" s="136">
        <v>2022</v>
      </c>
      <c r="J7" s="137" t="s">
        <v>3490</v>
      </c>
      <c r="K7" s="136">
        <v>5</v>
      </c>
      <c r="L7" s="136" t="s">
        <v>3472</v>
      </c>
      <c r="M7" s="137" t="s">
        <v>3491</v>
      </c>
      <c r="N7" s="137" t="s">
        <v>377</v>
      </c>
      <c r="O7" s="137" t="s">
        <v>3475</v>
      </c>
    </row>
    <row r="8" spans="1:15" ht="36" customHeight="1" x14ac:dyDescent="0.25">
      <c r="A8" s="136" t="s">
        <v>3492</v>
      </c>
      <c r="B8" s="136" t="s">
        <v>3464</v>
      </c>
      <c r="C8" s="137" t="s">
        <v>3493</v>
      </c>
      <c r="D8" s="137" t="s">
        <v>3466</v>
      </c>
      <c r="E8" s="136" t="s">
        <v>3467</v>
      </c>
      <c r="F8" s="136" t="s">
        <v>3494</v>
      </c>
      <c r="G8" s="136" t="s">
        <v>3469</v>
      </c>
      <c r="H8" s="137" t="s">
        <v>3495</v>
      </c>
      <c r="I8" s="136">
        <v>2023</v>
      </c>
      <c r="J8" s="137" t="s">
        <v>3496</v>
      </c>
      <c r="K8" s="136">
        <v>4</v>
      </c>
      <c r="L8" s="136" t="s">
        <v>3472</v>
      </c>
      <c r="M8" s="137" t="s">
        <v>3497</v>
      </c>
      <c r="N8" s="137" t="s">
        <v>1272</v>
      </c>
      <c r="O8" s="137" t="s">
        <v>3475</v>
      </c>
    </row>
    <row r="9" spans="1:15" ht="36" customHeight="1" x14ac:dyDescent="0.25">
      <c r="A9" s="136" t="s">
        <v>3498</v>
      </c>
      <c r="B9" s="136" t="s">
        <v>3464</v>
      </c>
      <c r="C9" s="137" t="s">
        <v>3499</v>
      </c>
      <c r="D9" s="137" t="s">
        <v>3466</v>
      </c>
      <c r="E9" s="136" t="s">
        <v>3467</v>
      </c>
      <c r="F9" s="136" t="s">
        <v>3500</v>
      </c>
      <c r="G9" s="136" t="s">
        <v>3469</v>
      </c>
      <c r="H9" s="137" t="s">
        <v>3501</v>
      </c>
      <c r="I9" s="136">
        <v>2020</v>
      </c>
      <c r="J9" s="137" t="s">
        <v>3502</v>
      </c>
      <c r="K9" s="136">
        <v>5</v>
      </c>
      <c r="L9" s="136" t="s">
        <v>3472</v>
      </c>
      <c r="M9" s="137" t="s">
        <v>3503</v>
      </c>
      <c r="N9" s="137" t="s">
        <v>377</v>
      </c>
      <c r="O9" s="137" t="s">
        <v>3475</v>
      </c>
    </row>
    <row r="10" spans="1:15" ht="36" customHeight="1" x14ac:dyDescent="0.25">
      <c r="A10" s="136" t="s">
        <v>3504</v>
      </c>
      <c r="B10" s="136" t="s">
        <v>3464</v>
      </c>
      <c r="C10" s="137" t="s">
        <v>3505</v>
      </c>
      <c r="D10" s="137" t="s">
        <v>3466</v>
      </c>
      <c r="E10" s="136" t="s">
        <v>3467</v>
      </c>
      <c r="F10" s="136" t="s">
        <v>3506</v>
      </c>
      <c r="G10" s="136" t="s">
        <v>3469</v>
      </c>
      <c r="H10" s="137" t="s">
        <v>3507</v>
      </c>
      <c r="I10" s="136">
        <v>2024</v>
      </c>
      <c r="J10" s="137" t="s">
        <v>3508</v>
      </c>
      <c r="K10" s="136">
        <v>5</v>
      </c>
      <c r="L10" s="136" t="s">
        <v>3472</v>
      </c>
      <c r="M10" s="137" t="s">
        <v>3509</v>
      </c>
      <c r="N10" s="137" t="s">
        <v>1272</v>
      </c>
      <c r="O10" s="137" t="s">
        <v>3475</v>
      </c>
    </row>
    <row r="11" spans="1:15" ht="36" customHeight="1" x14ac:dyDescent="0.25">
      <c r="A11" s="136" t="s">
        <v>3510</v>
      </c>
      <c r="B11" s="136" t="s">
        <v>3464</v>
      </c>
      <c r="C11" s="137" t="s">
        <v>3511</v>
      </c>
      <c r="D11" s="137" t="s">
        <v>3512</v>
      </c>
      <c r="E11" s="136" t="s">
        <v>3513</v>
      </c>
      <c r="F11" s="136" t="s">
        <v>3500</v>
      </c>
      <c r="G11" s="136" t="s">
        <v>3469</v>
      </c>
      <c r="H11" s="137" t="s">
        <v>3514</v>
      </c>
      <c r="I11" s="136">
        <v>2023</v>
      </c>
      <c r="J11" s="137" t="s">
        <v>3515</v>
      </c>
      <c r="K11" s="136">
        <v>5</v>
      </c>
      <c r="L11" s="136" t="s">
        <v>3472</v>
      </c>
      <c r="M11" s="137" t="s">
        <v>3516</v>
      </c>
      <c r="N11" s="137" t="s">
        <v>291</v>
      </c>
      <c r="O11" s="137" t="s">
        <v>3475</v>
      </c>
    </row>
    <row r="12" spans="1:15" ht="36" customHeight="1" x14ac:dyDescent="0.25">
      <c r="A12" s="136" t="s">
        <v>3517</v>
      </c>
      <c r="B12" s="136" t="s">
        <v>3464</v>
      </c>
      <c r="C12" s="137" t="s">
        <v>3518</v>
      </c>
      <c r="D12" s="137" t="s">
        <v>3519</v>
      </c>
      <c r="E12" s="136" t="s">
        <v>3520</v>
      </c>
      <c r="F12" s="136" t="s">
        <v>3506</v>
      </c>
      <c r="G12" s="136" t="s">
        <v>3521</v>
      </c>
      <c r="H12" s="137" t="s">
        <v>3522</v>
      </c>
      <c r="I12" s="136">
        <v>2023</v>
      </c>
      <c r="J12" s="137" t="s">
        <v>3523</v>
      </c>
      <c r="K12" s="136">
        <v>5</v>
      </c>
      <c r="L12" s="136" t="s">
        <v>3524</v>
      </c>
      <c r="M12" s="137" t="s">
        <v>3525</v>
      </c>
      <c r="N12" s="137" t="s">
        <v>364</v>
      </c>
      <c r="O12" s="137" t="s">
        <v>3475</v>
      </c>
    </row>
    <row r="13" spans="1:15" ht="36" customHeight="1" x14ac:dyDescent="0.25">
      <c r="A13" s="136" t="s">
        <v>3526</v>
      </c>
      <c r="B13" s="136" t="s">
        <v>3464</v>
      </c>
      <c r="C13" s="137" t="s">
        <v>3527</v>
      </c>
      <c r="D13" s="137" t="s">
        <v>3466</v>
      </c>
      <c r="E13" s="136" t="s">
        <v>3528</v>
      </c>
      <c r="F13" s="136" t="s">
        <v>3506</v>
      </c>
      <c r="G13" s="136" t="s">
        <v>3469</v>
      </c>
      <c r="H13" s="137" t="s">
        <v>3529</v>
      </c>
      <c r="I13" s="136">
        <v>2023</v>
      </c>
      <c r="J13" s="137" t="s">
        <v>3530</v>
      </c>
      <c r="K13" s="136">
        <v>4</v>
      </c>
      <c r="L13" s="136" t="s">
        <v>3472</v>
      </c>
      <c r="M13" s="137" t="s">
        <v>3531</v>
      </c>
      <c r="N13" s="137" t="s">
        <v>291</v>
      </c>
      <c r="O13" s="137" t="s">
        <v>3475</v>
      </c>
    </row>
    <row r="14" spans="1:15" ht="36" customHeight="1" x14ac:dyDescent="0.25">
      <c r="A14" s="136" t="s">
        <v>3532</v>
      </c>
      <c r="B14" s="136" t="s">
        <v>3464</v>
      </c>
      <c r="C14" s="137" t="s">
        <v>3533</v>
      </c>
      <c r="D14" s="137" t="s">
        <v>3466</v>
      </c>
      <c r="E14" s="136" t="s">
        <v>3467</v>
      </c>
      <c r="F14" s="136" t="s">
        <v>347</v>
      </c>
      <c r="G14" s="136" t="s">
        <v>3469</v>
      </c>
      <c r="H14" s="137" t="s">
        <v>3534</v>
      </c>
      <c r="I14" s="136">
        <v>2023</v>
      </c>
      <c r="J14" s="137" t="s">
        <v>3535</v>
      </c>
      <c r="K14" s="136">
        <v>5</v>
      </c>
      <c r="L14" s="136" t="s">
        <v>3472</v>
      </c>
      <c r="M14" s="137" t="s">
        <v>3536</v>
      </c>
      <c r="N14" s="137" t="s">
        <v>1272</v>
      </c>
      <c r="O14" s="137" t="s">
        <v>3475</v>
      </c>
    </row>
    <row r="15" spans="1:15" ht="36" customHeight="1" x14ac:dyDescent="0.25">
      <c r="A15" s="136" t="s">
        <v>3537</v>
      </c>
      <c r="B15" s="136" t="s">
        <v>3464</v>
      </c>
      <c r="C15" s="137" t="s">
        <v>3538</v>
      </c>
      <c r="D15" s="137" t="s">
        <v>3466</v>
      </c>
      <c r="E15" s="136" t="s">
        <v>429</v>
      </c>
      <c r="F15" s="136" t="s">
        <v>3539</v>
      </c>
      <c r="G15" s="136" t="s">
        <v>3469</v>
      </c>
      <c r="H15" s="137" t="s">
        <v>3540</v>
      </c>
      <c r="I15" s="136">
        <v>2024</v>
      </c>
      <c r="J15" s="137" t="s">
        <v>3541</v>
      </c>
      <c r="K15" s="136">
        <v>5</v>
      </c>
      <c r="L15" s="136" t="s">
        <v>3472</v>
      </c>
      <c r="M15" s="137" t="s">
        <v>3542</v>
      </c>
      <c r="N15" s="137" t="s">
        <v>1272</v>
      </c>
      <c r="O15" s="137" t="s">
        <v>3475</v>
      </c>
    </row>
    <row r="16" spans="1:15" ht="36" customHeight="1" x14ac:dyDescent="0.25">
      <c r="A16" s="136" t="s">
        <v>3543</v>
      </c>
      <c r="B16" s="136" t="s">
        <v>3464</v>
      </c>
      <c r="C16" s="137" t="s">
        <v>3544</v>
      </c>
      <c r="D16" s="137" t="s">
        <v>3466</v>
      </c>
      <c r="E16" s="136" t="s">
        <v>3467</v>
      </c>
      <c r="F16" s="136" t="s">
        <v>347</v>
      </c>
      <c r="G16" s="136" t="s">
        <v>3469</v>
      </c>
      <c r="H16" s="137" t="s">
        <v>3545</v>
      </c>
      <c r="I16" s="136">
        <v>2024</v>
      </c>
      <c r="J16" s="137" t="s">
        <v>3546</v>
      </c>
      <c r="K16" s="136">
        <v>4</v>
      </c>
      <c r="L16" s="136" t="s">
        <v>3472</v>
      </c>
      <c r="M16" s="137" t="s">
        <v>3547</v>
      </c>
      <c r="N16" s="137" t="s">
        <v>1272</v>
      </c>
      <c r="O16" s="137" t="s">
        <v>3475</v>
      </c>
    </row>
    <row r="17" spans="1:15" ht="36" customHeight="1" x14ac:dyDescent="0.25">
      <c r="A17" s="138" t="s">
        <v>3548</v>
      </c>
      <c r="B17" s="138" t="s">
        <v>3549</v>
      </c>
      <c r="C17" s="139" t="s">
        <v>3550</v>
      </c>
      <c r="D17" s="139" t="s">
        <v>3466</v>
      </c>
      <c r="E17" s="138" t="s">
        <v>3467</v>
      </c>
      <c r="F17" s="138" t="s">
        <v>3551</v>
      </c>
      <c r="G17" s="138" t="s">
        <v>3521</v>
      </c>
      <c r="H17" s="139" t="s">
        <v>3552</v>
      </c>
      <c r="I17" s="138">
        <v>2024</v>
      </c>
      <c r="J17" s="139" t="s">
        <v>3553</v>
      </c>
      <c r="K17" s="138">
        <v>5</v>
      </c>
      <c r="L17" s="138" t="s">
        <v>3554</v>
      </c>
      <c r="M17" s="139" t="s">
        <v>3555</v>
      </c>
      <c r="N17" s="139" t="s">
        <v>3474</v>
      </c>
      <c r="O17" s="139" t="s">
        <v>3475</v>
      </c>
    </row>
    <row r="18" spans="1:15" ht="36" customHeight="1" x14ac:dyDescent="0.25">
      <c r="A18" s="138" t="s">
        <v>3556</v>
      </c>
      <c r="B18" s="138" t="s">
        <v>3549</v>
      </c>
      <c r="C18" s="139" t="s">
        <v>3557</v>
      </c>
      <c r="D18" s="139" t="s">
        <v>3466</v>
      </c>
      <c r="E18" s="138" t="s">
        <v>3467</v>
      </c>
      <c r="F18" s="138" t="s">
        <v>3551</v>
      </c>
      <c r="G18" s="138" t="s">
        <v>3521</v>
      </c>
      <c r="H18" s="139" t="s">
        <v>3558</v>
      </c>
      <c r="I18" s="138">
        <v>2024</v>
      </c>
      <c r="J18" s="139" t="s">
        <v>3559</v>
      </c>
      <c r="K18" s="138">
        <v>4</v>
      </c>
      <c r="L18" s="138" t="s">
        <v>3554</v>
      </c>
      <c r="M18" s="139" t="s">
        <v>3560</v>
      </c>
      <c r="N18" s="139" t="s">
        <v>3474</v>
      </c>
      <c r="O18" s="139" t="s">
        <v>3475</v>
      </c>
    </row>
    <row r="19" spans="1:15" ht="36" customHeight="1" x14ac:dyDescent="0.25">
      <c r="A19" s="136" t="s">
        <v>3561</v>
      </c>
      <c r="B19" s="136" t="s">
        <v>3464</v>
      </c>
      <c r="C19" s="137" t="s">
        <v>3562</v>
      </c>
      <c r="D19" s="137" t="s">
        <v>3563</v>
      </c>
      <c r="E19" s="136" t="s">
        <v>3564</v>
      </c>
      <c r="F19" s="136" t="s">
        <v>3565</v>
      </c>
      <c r="G19" s="136" t="s">
        <v>3521</v>
      </c>
      <c r="H19" s="137" t="s">
        <v>3566</v>
      </c>
      <c r="I19" s="136">
        <v>2023</v>
      </c>
      <c r="J19" s="137" t="s">
        <v>3567</v>
      </c>
      <c r="K19" s="136">
        <v>5</v>
      </c>
      <c r="L19" s="136" t="s">
        <v>3568</v>
      </c>
      <c r="M19" s="137" t="s">
        <v>3569</v>
      </c>
      <c r="N19" s="137" t="s">
        <v>364</v>
      </c>
      <c r="O19" s="137" t="s">
        <v>3475</v>
      </c>
    </row>
    <row r="20" spans="1:15" ht="36" customHeight="1" x14ac:dyDescent="0.25">
      <c r="A20" s="136" t="s">
        <v>3570</v>
      </c>
      <c r="B20" s="136" t="s">
        <v>3464</v>
      </c>
      <c r="C20" s="137" t="s">
        <v>3571</v>
      </c>
      <c r="D20" s="137" t="s">
        <v>3572</v>
      </c>
      <c r="E20" s="136" t="s">
        <v>3564</v>
      </c>
      <c r="F20" s="136" t="s">
        <v>3573</v>
      </c>
      <c r="G20" s="136" t="s">
        <v>3469</v>
      </c>
      <c r="H20" s="137" t="s">
        <v>3574</v>
      </c>
      <c r="I20" s="136">
        <v>2022</v>
      </c>
      <c r="J20" s="137" t="s">
        <v>3575</v>
      </c>
      <c r="K20" s="136">
        <v>5</v>
      </c>
      <c r="L20" s="136" t="s">
        <v>3472</v>
      </c>
      <c r="M20" s="137" t="s">
        <v>3576</v>
      </c>
      <c r="N20" s="137" t="s">
        <v>364</v>
      </c>
      <c r="O20" s="137" t="s">
        <v>3475</v>
      </c>
    </row>
    <row r="21" spans="1:15" ht="36" customHeight="1" x14ac:dyDescent="0.25">
      <c r="A21" s="136" t="s">
        <v>3577</v>
      </c>
      <c r="B21" s="136" t="s">
        <v>3464</v>
      </c>
      <c r="C21" s="137" t="s">
        <v>3578</v>
      </c>
      <c r="D21" s="137" t="s">
        <v>3579</v>
      </c>
      <c r="E21" s="136" t="s">
        <v>3564</v>
      </c>
      <c r="F21" s="136" t="s">
        <v>3506</v>
      </c>
      <c r="G21" s="136" t="s">
        <v>3469</v>
      </c>
      <c r="H21" s="137" t="s">
        <v>3580</v>
      </c>
      <c r="I21" s="136">
        <v>2023</v>
      </c>
      <c r="J21" s="137" t="s">
        <v>3581</v>
      </c>
      <c r="K21" s="136">
        <v>5</v>
      </c>
      <c r="L21" s="136" t="s">
        <v>3472</v>
      </c>
      <c r="M21" s="137" t="s">
        <v>3582</v>
      </c>
      <c r="N21" s="137" t="s">
        <v>364</v>
      </c>
      <c r="O21" s="137" t="s">
        <v>3475</v>
      </c>
    </row>
    <row r="22" spans="1:15" ht="36" customHeight="1" x14ac:dyDescent="0.25">
      <c r="A22" s="121" t="s">
        <v>3583</v>
      </c>
      <c r="B22" s="121" t="s">
        <v>3584</v>
      </c>
      <c r="C22" s="122" t="s">
        <v>3585</v>
      </c>
      <c r="D22" s="122" t="s">
        <v>3586</v>
      </c>
      <c r="E22" s="121" t="s">
        <v>3587</v>
      </c>
      <c r="F22" s="121" t="s">
        <v>3488</v>
      </c>
      <c r="G22" s="121" t="s">
        <v>3469</v>
      </c>
      <c r="H22" s="122" t="s">
        <v>3588</v>
      </c>
      <c r="I22" s="121"/>
      <c r="J22" s="122" t="s">
        <v>3589</v>
      </c>
      <c r="K22" s="121">
        <v>4</v>
      </c>
      <c r="L22" s="121" t="s">
        <v>3590</v>
      </c>
      <c r="M22" s="122" t="s">
        <v>3591</v>
      </c>
      <c r="N22" s="122" t="s">
        <v>364</v>
      </c>
      <c r="O22" s="122" t="s">
        <v>3475</v>
      </c>
    </row>
    <row r="23" spans="1:15" ht="36" customHeight="1" x14ac:dyDescent="0.25">
      <c r="A23" s="140" t="s">
        <v>3592</v>
      </c>
      <c r="B23" s="140" t="s">
        <v>3593</v>
      </c>
      <c r="C23" s="141" t="s">
        <v>3594</v>
      </c>
      <c r="D23" s="141" t="s">
        <v>3595</v>
      </c>
      <c r="E23" s="140" t="s">
        <v>3596</v>
      </c>
      <c r="F23" s="140" t="s">
        <v>3597</v>
      </c>
      <c r="G23" s="140" t="s">
        <v>3469</v>
      </c>
      <c r="H23" s="141" t="s">
        <v>3598</v>
      </c>
      <c r="I23" s="140"/>
      <c r="J23" s="141" t="s">
        <v>3599</v>
      </c>
      <c r="K23" s="140">
        <v>5</v>
      </c>
      <c r="L23" s="140" t="s">
        <v>3593</v>
      </c>
      <c r="M23" s="141" t="s">
        <v>3600</v>
      </c>
      <c r="N23" s="141" t="s">
        <v>275</v>
      </c>
      <c r="O23" s="141" t="s">
        <v>3475</v>
      </c>
    </row>
    <row r="24" spans="1:15" ht="36" customHeight="1" x14ac:dyDescent="0.25">
      <c r="A24" s="136" t="s">
        <v>3601</v>
      </c>
      <c r="B24" s="136" t="s">
        <v>3464</v>
      </c>
      <c r="C24" s="137" t="s">
        <v>3602</v>
      </c>
      <c r="D24" s="137" t="s">
        <v>3603</v>
      </c>
      <c r="E24" s="136" t="s">
        <v>3604</v>
      </c>
      <c r="F24" s="136" t="s">
        <v>3605</v>
      </c>
      <c r="G24" s="136" t="s">
        <v>3469</v>
      </c>
      <c r="H24" s="137" t="s">
        <v>3606</v>
      </c>
      <c r="I24" s="136">
        <v>2023</v>
      </c>
      <c r="J24" s="137" t="s">
        <v>3607</v>
      </c>
      <c r="K24" s="136">
        <v>5</v>
      </c>
      <c r="L24" s="136" t="s">
        <v>3472</v>
      </c>
      <c r="M24" s="137" t="s">
        <v>3608</v>
      </c>
      <c r="N24" s="137" t="s">
        <v>348</v>
      </c>
      <c r="O24" s="137" t="s">
        <v>3475</v>
      </c>
    </row>
    <row r="25" spans="1:15" ht="36" customHeight="1" x14ac:dyDescent="0.25">
      <c r="A25" s="136" t="s">
        <v>3609</v>
      </c>
      <c r="B25" s="136" t="s">
        <v>3464</v>
      </c>
      <c r="C25" s="137" t="s">
        <v>3610</v>
      </c>
      <c r="D25" s="137" t="s">
        <v>3611</v>
      </c>
      <c r="E25" s="136" t="s">
        <v>3612</v>
      </c>
      <c r="F25" s="136" t="s">
        <v>3506</v>
      </c>
      <c r="G25" s="136" t="s">
        <v>3469</v>
      </c>
      <c r="H25" s="137" t="s">
        <v>3613</v>
      </c>
      <c r="I25" s="136">
        <v>2021</v>
      </c>
      <c r="J25" s="137" t="s">
        <v>3614</v>
      </c>
      <c r="K25" s="136">
        <v>5</v>
      </c>
      <c r="L25" s="136" t="s">
        <v>3472</v>
      </c>
      <c r="M25" s="137" t="s">
        <v>3615</v>
      </c>
      <c r="N25" s="137" t="s">
        <v>348</v>
      </c>
      <c r="O25" s="137" t="s">
        <v>3475</v>
      </c>
    </row>
    <row r="26" spans="1:15" ht="36" customHeight="1" x14ac:dyDescent="0.25">
      <c r="A26" s="136" t="s">
        <v>3616</v>
      </c>
      <c r="B26" s="136" t="s">
        <v>3464</v>
      </c>
      <c r="C26" s="137" t="s">
        <v>3617</v>
      </c>
      <c r="D26" s="137" t="s">
        <v>140</v>
      </c>
      <c r="E26" s="136" t="s">
        <v>3618</v>
      </c>
      <c r="F26" s="136" t="s">
        <v>3619</v>
      </c>
      <c r="G26" s="136" t="s">
        <v>3469</v>
      </c>
      <c r="H26" s="137" t="s">
        <v>3620</v>
      </c>
      <c r="I26" s="136">
        <v>2023</v>
      </c>
      <c r="J26" s="137" t="s">
        <v>3621</v>
      </c>
      <c r="K26" s="136">
        <v>5</v>
      </c>
      <c r="L26" s="136" t="s">
        <v>3472</v>
      </c>
      <c r="M26" s="137" t="s">
        <v>3622</v>
      </c>
      <c r="N26" s="137" t="s">
        <v>1217</v>
      </c>
      <c r="O26" s="137" t="s">
        <v>3475</v>
      </c>
    </row>
    <row r="27" spans="1:15" ht="36" customHeight="1" x14ac:dyDescent="0.25">
      <c r="A27" s="121" t="s">
        <v>3623</v>
      </c>
      <c r="B27" s="121" t="s">
        <v>3584</v>
      </c>
      <c r="C27" s="122" t="s">
        <v>3624</v>
      </c>
      <c r="D27" s="122" t="s">
        <v>3625</v>
      </c>
      <c r="E27" s="121" t="s">
        <v>3626</v>
      </c>
      <c r="F27" s="121" t="s">
        <v>3488</v>
      </c>
      <c r="G27" s="121" t="s">
        <v>3627</v>
      </c>
      <c r="H27" s="122" t="s">
        <v>3628</v>
      </c>
      <c r="I27" s="121"/>
      <c r="J27" s="122" t="s">
        <v>3629</v>
      </c>
      <c r="K27" s="121">
        <v>4</v>
      </c>
      <c r="L27" s="121" t="s">
        <v>3630</v>
      </c>
      <c r="M27" s="122" t="s">
        <v>3631</v>
      </c>
      <c r="N27" s="122" t="s">
        <v>407</v>
      </c>
      <c r="O27" s="122" t="s">
        <v>3475</v>
      </c>
    </row>
    <row r="28" spans="1:15" ht="36" customHeight="1" x14ac:dyDescent="0.25">
      <c r="A28" s="140" t="s">
        <v>3632</v>
      </c>
      <c r="B28" s="140" t="s">
        <v>3593</v>
      </c>
      <c r="C28" s="141" t="s">
        <v>3633</v>
      </c>
      <c r="D28" s="141" t="s">
        <v>3634</v>
      </c>
      <c r="E28" s="140" t="s">
        <v>3635</v>
      </c>
      <c r="F28" s="140" t="s">
        <v>3597</v>
      </c>
      <c r="G28" s="140" t="s">
        <v>3636</v>
      </c>
      <c r="H28" s="141" t="s">
        <v>3637</v>
      </c>
      <c r="I28" s="140"/>
      <c r="J28" s="141" t="s">
        <v>3638</v>
      </c>
      <c r="K28" s="140">
        <v>5</v>
      </c>
      <c r="L28" s="140" t="s">
        <v>3639</v>
      </c>
      <c r="M28" s="141" t="s">
        <v>3640</v>
      </c>
      <c r="N28" s="141" t="s">
        <v>407</v>
      </c>
      <c r="O28" s="141" t="s">
        <v>3475</v>
      </c>
    </row>
    <row r="29" spans="1:15" ht="36" customHeight="1" x14ac:dyDescent="0.25">
      <c r="A29" s="136" t="s">
        <v>3641</v>
      </c>
      <c r="B29" s="136" t="s">
        <v>3464</v>
      </c>
      <c r="C29" s="137" t="s">
        <v>3642</v>
      </c>
      <c r="D29" s="137" t="s">
        <v>173</v>
      </c>
      <c r="E29" s="136" t="s">
        <v>3643</v>
      </c>
      <c r="F29" s="136" t="s">
        <v>3605</v>
      </c>
      <c r="G29" s="136" t="s">
        <v>3469</v>
      </c>
      <c r="H29" s="137" t="s">
        <v>3644</v>
      </c>
      <c r="I29" s="136">
        <v>2023</v>
      </c>
      <c r="J29" s="137" t="s">
        <v>3645</v>
      </c>
      <c r="K29" s="136">
        <v>4</v>
      </c>
      <c r="L29" s="136" t="s">
        <v>3472</v>
      </c>
      <c r="M29" s="137" t="s">
        <v>3646</v>
      </c>
      <c r="N29" s="137" t="s">
        <v>314</v>
      </c>
      <c r="O29" s="137" t="s">
        <v>3475</v>
      </c>
    </row>
    <row r="30" spans="1:15" ht="36" customHeight="1" x14ac:dyDescent="0.25">
      <c r="A30" s="136" t="s">
        <v>3647</v>
      </c>
      <c r="B30" s="136" t="s">
        <v>3464</v>
      </c>
      <c r="C30" s="137" t="s">
        <v>3648</v>
      </c>
      <c r="D30" s="137" t="s">
        <v>3649</v>
      </c>
      <c r="E30" s="136" t="s">
        <v>3650</v>
      </c>
      <c r="F30" s="136" t="s">
        <v>3565</v>
      </c>
      <c r="G30" s="136" t="s">
        <v>3469</v>
      </c>
      <c r="H30" s="137" t="s">
        <v>3651</v>
      </c>
      <c r="I30" s="136">
        <v>2022</v>
      </c>
      <c r="J30" s="137" t="s">
        <v>3652</v>
      </c>
      <c r="K30" s="136">
        <v>5</v>
      </c>
      <c r="L30" s="136" t="s">
        <v>3472</v>
      </c>
      <c r="M30" s="137" t="s">
        <v>3653</v>
      </c>
      <c r="N30" s="137" t="s">
        <v>314</v>
      </c>
      <c r="O30" s="137" t="s">
        <v>3475</v>
      </c>
    </row>
    <row r="31" spans="1:15" ht="36" customHeight="1" x14ac:dyDescent="0.25">
      <c r="A31" s="136" t="s">
        <v>3654</v>
      </c>
      <c r="B31" s="136" t="s">
        <v>3464</v>
      </c>
      <c r="C31" s="137" t="s">
        <v>3655</v>
      </c>
      <c r="D31" s="137" t="s">
        <v>3656</v>
      </c>
      <c r="E31" s="136" t="s">
        <v>3657</v>
      </c>
      <c r="F31" s="136" t="s">
        <v>3573</v>
      </c>
      <c r="G31" s="136" t="s">
        <v>3521</v>
      </c>
      <c r="H31" s="137" t="s">
        <v>3658</v>
      </c>
      <c r="I31" s="136">
        <v>2023</v>
      </c>
      <c r="J31" s="137" t="s">
        <v>3659</v>
      </c>
      <c r="K31" s="136">
        <v>5</v>
      </c>
      <c r="L31" s="136" t="s">
        <v>3660</v>
      </c>
      <c r="M31" s="137" t="s">
        <v>3661</v>
      </c>
      <c r="N31" s="137" t="s">
        <v>314</v>
      </c>
      <c r="O31" s="137" t="s">
        <v>3475</v>
      </c>
    </row>
    <row r="32" spans="1:15" ht="36" customHeight="1" x14ac:dyDescent="0.25">
      <c r="A32" s="121" t="s">
        <v>3662</v>
      </c>
      <c r="B32" s="121" t="s">
        <v>3584</v>
      </c>
      <c r="C32" s="122" t="s">
        <v>3663</v>
      </c>
      <c r="D32" s="122" t="s">
        <v>173</v>
      </c>
      <c r="E32" s="121" t="s">
        <v>3650</v>
      </c>
      <c r="F32" s="121" t="s">
        <v>3488</v>
      </c>
      <c r="G32" s="121" t="s">
        <v>3469</v>
      </c>
      <c r="H32" s="122" t="s">
        <v>3664</v>
      </c>
      <c r="I32" s="121"/>
      <c r="J32" s="122" t="s">
        <v>3665</v>
      </c>
      <c r="K32" s="121">
        <v>5</v>
      </c>
      <c r="L32" s="121" t="s">
        <v>3590</v>
      </c>
      <c r="M32" s="122" t="s">
        <v>3666</v>
      </c>
      <c r="N32" s="122" t="s">
        <v>314</v>
      </c>
      <c r="O32" s="122" t="s">
        <v>3475</v>
      </c>
    </row>
    <row r="33" spans="1:15" ht="36" customHeight="1" x14ac:dyDescent="0.25">
      <c r="A33" s="136" t="s">
        <v>3667</v>
      </c>
      <c r="B33" s="136" t="s">
        <v>3464</v>
      </c>
      <c r="C33" s="137" t="s">
        <v>3668</v>
      </c>
      <c r="D33" s="137" t="s">
        <v>133</v>
      </c>
      <c r="E33" s="136" t="s">
        <v>3669</v>
      </c>
      <c r="F33" s="136" t="s">
        <v>3488</v>
      </c>
      <c r="G33" s="136" t="s">
        <v>3469</v>
      </c>
      <c r="H33" s="137" t="s">
        <v>3670</v>
      </c>
      <c r="I33" s="136">
        <v>2023</v>
      </c>
      <c r="J33" s="137" t="s">
        <v>3671</v>
      </c>
      <c r="K33" s="136">
        <v>5</v>
      </c>
      <c r="L33" s="136" t="s">
        <v>3472</v>
      </c>
      <c r="M33" s="137" t="s">
        <v>3672</v>
      </c>
      <c r="N33" s="137" t="s">
        <v>377</v>
      </c>
      <c r="O33" s="137" t="s">
        <v>3475</v>
      </c>
    </row>
    <row r="34" spans="1:15" ht="36" customHeight="1" x14ac:dyDescent="0.25">
      <c r="A34" s="136" t="s">
        <v>3673</v>
      </c>
      <c r="B34" s="136" t="s">
        <v>3464</v>
      </c>
      <c r="C34" s="137" t="s">
        <v>3674</v>
      </c>
      <c r="D34" s="137" t="s">
        <v>3675</v>
      </c>
      <c r="E34" s="136" t="s">
        <v>3669</v>
      </c>
      <c r="F34" s="136" t="s">
        <v>3605</v>
      </c>
      <c r="G34" s="136" t="s">
        <v>3469</v>
      </c>
      <c r="H34" s="137" t="s">
        <v>3676</v>
      </c>
      <c r="I34" s="136">
        <v>2023</v>
      </c>
      <c r="J34" s="137" t="s">
        <v>3677</v>
      </c>
      <c r="K34" s="136">
        <v>5</v>
      </c>
      <c r="L34" s="136" t="s">
        <v>3472</v>
      </c>
      <c r="M34" s="137" t="s">
        <v>3678</v>
      </c>
      <c r="N34" s="137" t="s">
        <v>377</v>
      </c>
      <c r="O34" s="137" t="s">
        <v>3475</v>
      </c>
    </row>
    <row r="35" spans="1:15" ht="36" customHeight="1" x14ac:dyDescent="0.25">
      <c r="A35" s="121" t="s">
        <v>3679</v>
      </c>
      <c r="B35" s="121" t="s">
        <v>3584</v>
      </c>
      <c r="C35" s="122" t="s">
        <v>3680</v>
      </c>
      <c r="D35" s="122" t="s">
        <v>3675</v>
      </c>
      <c r="E35" s="121" t="s">
        <v>3681</v>
      </c>
      <c r="F35" s="121" t="s">
        <v>3488</v>
      </c>
      <c r="G35" s="121" t="s">
        <v>3469</v>
      </c>
      <c r="H35" s="122" t="s">
        <v>3682</v>
      </c>
      <c r="I35" s="121"/>
      <c r="J35" s="122" t="s">
        <v>3683</v>
      </c>
      <c r="K35" s="121">
        <v>4</v>
      </c>
      <c r="L35" s="121" t="s">
        <v>3590</v>
      </c>
      <c r="M35" s="122" t="s">
        <v>3684</v>
      </c>
      <c r="O35" t="s">
        <v>3475</v>
      </c>
    </row>
    <row r="36" spans="1:15" ht="36" customHeight="1" x14ac:dyDescent="0.25">
      <c r="A36" s="136" t="s">
        <v>3685</v>
      </c>
      <c r="B36" s="136" t="s">
        <v>3464</v>
      </c>
      <c r="C36" s="137" t="s">
        <v>3686</v>
      </c>
      <c r="D36" s="137" t="s">
        <v>3687</v>
      </c>
      <c r="E36" s="136" t="s">
        <v>3688</v>
      </c>
      <c r="F36" s="136" t="s">
        <v>3573</v>
      </c>
      <c r="G36" s="136" t="s">
        <v>3469</v>
      </c>
      <c r="H36" s="137" t="s">
        <v>3689</v>
      </c>
      <c r="I36" s="136">
        <v>2024</v>
      </c>
      <c r="J36" s="137" t="s">
        <v>3690</v>
      </c>
      <c r="K36" s="136">
        <v>5</v>
      </c>
      <c r="L36" s="136" t="s">
        <v>3472</v>
      </c>
      <c r="M36" s="137" t="s">
        <v>3691</v>
      </c>
      <c r="N36" s="137" t="s">
        <v>291</v>
      </c>
      <c r="O36" s="137" t="s">
        <v>3475</v>
      </c>
    </row>
    <row r="37" spans="1:15" ht="36" customHeight="1" x14ac:dyDescent="0.25">
      <c r="A37" s="136" t="s">
        <v>3692</v>
      </c>
      <c r="B37" s="136" t="s">
        <v>3464</v>
      </c>
      <c r="C37" s="137" t="s">
        <v>3693</v>
      </c>
      <c r="D37" s="137" t="s">
        <v>3478</v>
      </c>
      <c r="E37" s="136" t="s">
        <v>3694</v>
      </c>
      <c r="F37" s="136" t="s">
        <v>3605</v>
      </c>
      <c r="G37" s="136" t="s">
        <v>3469</v>
      </c>
      <c r="H37" s="137" t="s">
        <v>3695</v>
      </c>
      <c r="I37" s="136">
        <v>2008</v>
      </c>
      <c r="J37" s="137" t="s">
        <v>3696</v>
      </c>
      <c r="K37" s="136">
        <v>5</v>
      </c>
      <c r="L37" s="136" t="s">
        <v>3472</v>
      </c>
      <c r="M37" s="137" t="s">
        <v>3697</v>
      </c>
      <c r="N37" s="137" t="s">
        <v>291</v>
      </c>
      <c r="O37" s="137" t="s">
        <v>3475</v>
      </c>
    </row>
    <row r="38" spans="1:15" ht="36" customHeight="1" x14ac:dyDescent="0.25">
      <c r="A38" s="136" t="s">
        <v>3698</v>
      </c>
      <c r="B38" s="136" t="s">
        <v>3464</v>
      </c>
      <c r="C38" s="137" t="s">
        <v>3699</v>
      </c>
      <c r="D38" s="137" t="s">
        <v>72</v>
      </c>
      <c r="E38" s="136" t="s">
        <v>3700</v>
      </c>
      <c r="F38" s="136" t="s">
        <v>3565</v>
      </c>
      <c r="G38" s="136" t="s">
        <v>3469</v>
      </c>
      <c r="H38" s="137" t="s">
        <v>3701</v>
      </c>
      <c r="I38" s="136">
        <v>2022</v>
      </c>
      <c r="J38" s="137" t="s">
        <v>3702</v>
      </c>
      <c r="K38" s="136">
        <v>5</v>
      </c>
      <c r="L38" s="136" t="s">
        <v>3472</v>
      </c>
      <c r="M38" s="137" t="s">
        <v>3703</v>
      </c>
      <c r="N38" s="137" t="s">
        <v>291</v>
      </c>
      <c r="O38" s="137" t="s">
        <v>3475</v>
      </c>
    </row>
    <row r="39" spans="1:15" ht="36" customHeight="1" x14ac:dyDescent="0.25">
      <c r="A39" s="121" t="s">
        <v>3704</v>
      </c>
      <c r="B39" s="121" t="s">
        <v>3584</v>
      </c>
      <c r="C39" s="122" t="s">
        <v>3705</v>
      </c>
      <c r="D39" s="122" t="s">
        <v>3706</v>
      </c>
      <c r="E39" s="121" t="s">
        <v>3707</v>
      </c>
      <c r="F39" s="121" t="s">
        <v>3488</v>
      </c>
      <c r="G39" s="121" t="s">
        <v>3469</v>
      </c>
      <c r="H39" s="122" t="s">
        <v>3708</v>
      </c>
      <c r="I39" s="121"/>
      <c r="J39" s="122" t="s">
        <v>3709</v>
      </c>
      <c r="K39" s="121">
        <v>4</v>
      </c>
      <c r="L39" s="121" t="s">
        <v>3590</v>
      </c>
      <c r="M39" s="122" t="s">
        <v>3710</v>
      </c>
      <c r="N39" s="122" t="s">
        <v>3711</v>
      </c>
      <c r="O39" s="122" t="s">
        <v>3475</v>
      </c>
    </row>
    <row r="40" spans="1:15" ht="36" customHeight="1" x14ac:dyDescent="0.25">
      <c r="A40" s="140" t="s">
        <v>3712</v>
      </c>
      <c r="B40" s="140" t="s">
        <v>3593</v>
      </c>
      <c r="C40" s="141" t="s">
        <v>3713</v>
      </c>
      <c r="D40" s="141" t="s">
        <v>3714</v>
      </c>
      <c r="E40" s="140" t="s">
        <v>3715</v>
      </c>
      <c r="F40" s="140" t="s">
        <v>3597</v>
      </c>
      <c r="G40" s="140" t="s">
        <v>3469</v>
      </c>
      <c r="H40" s="141" t="s">
        <v>3716</v>
      </c>
      <c r="I40" s="140"/>
      <c r="J40" s="141" t="s">
        <v>3717</v>
      </c>
      <c r="K40" s="140">
        <v>5</v>
      </c>
      <c r="L40" s="140" t="s">
        <v>3593</v>
      </c>
      <c r="M40" s="141" t="s">
        <v>3718</v>
      </c>
      <c r="N40" s="141" t="s">
        <v>291</v>
      </c>
      <c r="O40" s="141" t="s">
        <v>3475</v>
      </c>
    </row>
    <row r="41" spans="1:15" ht="36" customHeight="1" x14ac:dyDescent="0.25">
      <c r="A41" s="136" t="s">
        <v>3719</v>
      </c>
      <c r="B41" s="136" t="s">
        <v>3464</v>
      </c>
      <c r="C41" s="137" t="s">
        <v>3720</v>
      </c>
      <c r="D41" s="137" t="s">
        <v>3721</v>
      </c>
      <c r="E41" s="136" t="s">
        <v>3722</v>
      </c>
      <c r="F41" s="136" t="s">
        <v>3565</v>
      </c>
      <c r="G41" s="136" t="s">
        <v>3469</v>
      </c>
      <c r="H41" s="137" t="s">
        <v>3723</v>
      </c>
      <c r="I41" s="136">
        <v>2024</v>
      </c>
      <c r="J41" s="137" t="s">
        <v>3724</v>
      </c>
      <c r="K41" s="136">
        <v>5</v>
      </c>
      <c r="L41" s="136" t="s">
        <v>3472</v>
      </c>
      <c r="M41" s="137" t="s">
        <v>3725</v>
      </c>
      <c r="N41" s="137" t="s">
        <v>407</v>
      </c>
      <c r="O41" s="137" t="s">
        <v>3475</v>
      </c>
    </row>
    <row r="42" spans="1:15" ht="36" customHeight="1" x14ac:dyDescent="0.25">
      <c r="A42" s="136" t="s">
        <v>3726</v>
      </c>
      <c r="B42" s="136" t="s">
        <v>3464</v>
      </c>
      <c r="C42" s="137" t="s">
        <v>3727</v>
      </c>
      <c r="D42" s="137" t="s">
        <v>3728</v>
      </c>
      <c r="E42" s="136" t="s">
        <v>3722</v>
      </c>
      <c r="F42" s="136" t="s">
        <v>3573</v>
      </c>
      <c r="G42" s="136" t="s">
        <v>3469</v>
      </c>
      <c r="H42" s="137" t="s">
        <v>3729</v>
      </c>
      <c r="I42" s="136">
        <v>2023</v>
      </c>
      <c r="J42" s="137" t="s">
        <v>3730</v>
      </c>
      <c r="K42" s="136">
        <v>4</v>
      </c>
      <c r="L42" s="136" t="s">
        <v>3472</v>
      </c>
      <c r="M42" s="137" t="s">
        <v>3731</v>
      </c>
      <c r="N42" s="137" t="s">
        <v>407</v>
      </c>
      <c r="O42" s="137" t="s">
        <v>3475</v>
      </c>
    </row>
    <row r="43" spans="1:15" ht="36" customHeight="1" x14ac:dyDescent="0.25">
      <c r="A43" s="121" t="s">
        <v>3732</v>
      </c>
      <c r="B43" s="121" t="s">
        <v>3584</v>
      </c>
      <c r="C43" s="122" t="s">
        <v>3733</v>
      </c>
      <c r="D43" s="122" t="s">
        <v>3734</v>
      </c>
      <c r="E43" s="121" t="s">
        <v>3735</v>
      </c>
      <c r="F43" s="121" t="s">
        <v>3488</v>
      </c>
      <c r="G43" s="121" t="s">
        <v>3627</v>
      </c>
      <c r="H43" s="122" t="s">
        <v>3736</v>
      </c>
      <c r="I43" s="121"/>
      <c r="J43" s="122" t="s">
        <v>3737</v>
      </c>
      <c r="K43" s="121">
        <v>5</v>
      </c>
      <c r="L43" s="121" t="s">
        <v>3630</v>
      </c>
      <c r="M43" s="122" t="s">
        <v>3738</v>
      </c>
      <c r="N43" s="122" t="s">
        <v>407</v>
      </c>
      <c r="O43" s="122" t="s">
        <v>3475</v>
      </c>
    </row>
    <row r="44" spans="1:15" ht="36" customHeight="1" x14ac:dyDescent="0.25">
      <c r="A44" s="136" t="s">
        <v>3739</v>
      </c>
      <c r="B44" s="136" t="s">
        <v>3464</v>
      </c>
      <c r="C44" s="137" t="s">
        <v>3740</v>
      </c>
      <c r="D44" s="137" t="s">
        <v>3741</v>
      </c>
      <c r="E44" s="136" t="s">
        <v>3742</v>
      </c>
      <c r="F44" s="136" t="s">
        <v>3605</v>
      </c>
      <c r="G44" s="136" t="s">
        <v>3469</v>
      </c>
      <c r="H44" s="137" t="s">
        <v>3743</v>
      </c>
      <c r="I44" s="136">
        <v>2023</v>
      </c>
      <c r="J44" s="137" t="s">
        <v>3744</v>
      </c>
      <c r="K44" s="136">
        <v>4</v>
      </c>
      <c r="L44" s="136" t="s">
        <v>3472</v>
      </c>
      <c r="M44" s="137" t="s">
        <v>3745</v>
      </c>
      <c r="N44" s="137" t="s">
        <v>392</v>
      </c>
      <c r="O44" s="137" t="s">
        <v>3475</v>
      </c>
    </row>
    <row r="45" spans="1:15" ht="36" customHeight="1" x14ac:dyDescent="0.25">
      <c r="A45" s="136" t="s">
        <v>3746</v>
      </c>
      <c r="B45" s="136" t="s">
        <v>3464</v>
      </c>
      <c r="C45" s="137" t="s">
        <v>3747</v>
      </c>
      <c r="D45" s="137" t="s">
        <v>3748</v>
      </c>
      <c r="E45" s="136" t="s">
        <v>3749</v>
      </c>
      <c r="F45" s="136" t="s">
        <v>3565</v>
      </c>
      <c r="G45" s="136" t="s">
        <v>3469</v>
      </c>
      <c r="H45" s="137" t="s">
        <v>3750</v>
      </c>
      <c r="I45" s="136">
        <v>2023</v>
      </c>
      <c r="J45" s="137" t="s">
        <v>3751</v>
      </c>
      <c r="K45" s="136">
        <v>5</v>
      </c>
      <c r="L45" s="136" t="s">
        <v>3472</v>
      </c>
      <c r="M45" s="137" t="s">
        <v>3752</v>
      </c>
      <c r="N45" s="137" t="s">
        <v>392</v>
      </c>
      <c r="O45" s="137" t="s">
        <v>3475</v>
      </c>
    </row>
    <row r="46" spans="1:15" ht="36" customHeight="1" x14ac:dyDescent="0.25">
      <c r="A46" s="121" t="s">
        <v>3753</v>
      </c>
      <c r="B46" s="121" t="s">
        <v>3584</v>
      </c>
      <c r="C46" s="122" t="s">
        <v>3754</v>
      </c>
      <c r="D46" s="122" t="s">
        <v>3748</v>
      </c>
      <c r="E46" s="121" t="s">
        <v>3749</v>
      </c>
      <c r="F46" s="121" t="s">
        <v>3488</v>
      </c>
      <c r="G46" s="121" t="s">
        <v>3469</v>
      </c>
      <c r="H46" s="122" t="s">
        <v>3755</v>
      </c>
      <c r="I46" s="121"/>
      <c r="J46" s="122" t="s">
        <v>3756</v>
      </c>
      <c r="K46" s="121">
        <v>4</v>
      </c>
      <c r="L46" s="121" t="s">
        <v>3590</v>
      </c>
      <c r="M46" s="122" t="s">
        <v>3757</v>
      </c>
      <c r="N46" s="122" t="s">
        <v>392</v>
      </c>
      <c r="O46" s="122" t="s">
        <v>3475</v>
      </c>
    </row>
    <row r="47" spans="1:15" ht="36" customHeight="1" x14ac:dyDescent="0.25">
      <c r="A47" s="140" t="s">
        <v>3758</v>
      </c>
      <c r="B47" s="140" t="s">
        <v>3593</v>
      </c>
      <c r="C47" s="141" t="s">
        <v>3759</v>
      </c>
      <c r="D47" s="141" t="s">
        <v>3466</v>
      </c>
      <c r="E47" s="140" t="s">
        <v>3760</v>
      </c>
      <c r="F47" s="140" t="s">
        <v>3597</v>
      </c>
      <c r="G47" s="140" t="s">
        <v>3469</v>
      </c>
      <c r="H47" s="141" t="s">
        <v>3761</v>
      </c>
      <c r="I47" s="140"/>
      <c r="J47" s="141" t="s">
        <v>3762</v>
      </c>
      <c r="K47" s="140">
        <v>5</v>
      </c>
      <c r="L47" s="140" t="s">
        <v>3593</v>
      </c>
      <c r="M47" s="141" t="s">
        <v>3763</v>
      </c>
      <c r="N47" s="141" t="s">
        <v>3474</v>
      </c>
      <c r="O47" s="141" t="s">
        <v>3475</v>
      </c>
    </row>
    <row r="48" spans="1:15" ht="36" customHeight="1" x14ac:dyDescent="0.25">
      <c r="A48" s="140" t="s">
        <v>3764</v>
      </c>
      <c r="B48" s="140" t="s">
        <v>3593</v>
      </c>
      <c r="C48" s="141" t="s">
        <v>3765</v>
      </c>
      <c r="D48" s="141" t="s">
        <v>3466</v>
      </c>
      <c r="E48" s="140" t="s">
        <v>3760</v>
      </c>
      <c r="F48" s="140" t="s">
        <v>3597</v>
      </c>
      <c r="G48" s="140" t="s">
        <v>3469</v>
      </c>
      <c r="H48" s="141" t="s">
        <v>3766</v>
      </c>
      <c r="I48" s="140"/>
      <c r="J48" s="141" t="s">
        <v>3767</v>
      </c>
      <c r="K48" s="140">
        <v>5</v>
      </c>
      <c r="L48" s="140" t="s">
        <v>3593</v>
      </c>
      <c r="M48" s="141" t="s">
        <v>3768</v>
      </c>
      <c r="N48" s="141" t="s">
        <v>3474</v>
      </c>
      <c r="O48" s="141" t="s">
        <v>3475</v>
      </c>
    </row>
    <row r="49" spans="1:15" ht="36" customHeight="1" x14ac:dyDescent="0.25">
      <c r="A49" s="140" t="s">
        <v>3769</v>
      </c>
      <c r="B49" s="140" t="s">
        <v>3593</v>
      </c>
      <c r="C49" s="141" t="s">
        <v>3770</v>
      </c>
      <c r="D49" s="141" t="s">
        <v>3771</v>
      </c>
      <c r="E49" s="140" t="s">
        <v>3487</v>
      </c>
      <c r="F49" s="140" t="s">
        <v>3597</v>
      </c>
      <c r="G49" s="140" t="s">
        <v>3469</v>
      </c>
      <c r="H49" s="141" t="s">
        <v>3772</v>
      </c>
      <c r="I49" s="140"/>
      <c r="J49" s="141" t="s">
        <v>3773</v>
      </c>
      <c r="K49" s="140">
        <v>4</v>
      </c>
      <c r="L49" s="140" t="s">
        <v>3593</v>
      </c>
      <c r="M49" s="141" t="s">
        <v>3774</v>
      </c>
      <c r="N49" s="141" t="s">
        <v>377</v>
      </c>
      <c r="O49" s="141" t="s">
        <v>3475</v>
      </c>
    </row>
    <row r="50" spans="1:15" ht="36" customHeight="1" x14ac:dyDescent="0.25">
      <c r="A50" s="140" t="s">
        <v>3775</v>
      </c>
      <c r="B50" s="140" t="s">
        <v>3593</v>
      </c>
      <c r="C50" s="141" t="s">
        <v>3776</v>
      </c>
      <c r="D50" s="141" t="s">
        <v>3466</v>
      </c>
      <c r="E50" s="140" t="s">
        <v>3467</v>
      </c>
      <c r="F50" s="140" t="s">
        <v>3597</v>
      </c>
      <c r="G50" s="140" t="s">
        <v>3636</v>
      </c>
      <c r="H50" s="141" t="s">
        <v>3777</v>
      </c>
      <c r="I50" s="140"/>
      <c r="J50" s="141" t="s">
        <v>3778</v>
      </c>
      <c r="K50" s="140">
        <v>4</v>
      </c>
      <c r="L50" s="140" t="s">
        <v>3639</v>
      </c>
      <c r="M50" s="141" t="s">
        <v>3779</v>
      </c>
      <c r="N50" s="141" t="s">
        <v>3474</v>
      </c>
      <c r="O50" s="141" t="s">
        <v>3475</v>
      </c>
    </row>
    <row r="51" spans="1:15" ht="36" customHeight="1" x14ac:dyDescent="0.25">
      <c r="A51" s="140" t="s">
        <v>3780</v>
      </c>
      <c r="B51" s="140" t="s">
        <v>3593</v>
      </c>
      <c r="C51" s="141" t="s">
        <v>3781</v>
      </c>
      <c r="D51" s="141" t="s">
        <v>3782</v>
      </c>
      <c r="E51" s="140" t="s">
        <v>3467</v>
      </c>
      <c r="F51" s="140" t="s">
        <v>3597</v>
      </c>
      <c r="G51" s="140" t="s">
        <v>3469</v>
      </c>
      <c r="H51" s="141" t="s">
        <v>3783</v>
      </c>
      <c r="I51" s="140"/>
      <c r="J51" s="141" t="s">
        <v>3784</v>
      </c>
      <c r="K51" s="140">
        <v>5</v>
      </c>
      <c r="L51" s="140" t="s">
        <v>3593</v>
      </c>
      <c r="M51" s="141" t="s">
        <v>3785</v>
      </c>
      <c r="N51" s="141" t="s">
        <v>3474</v>
      </c>
      <c r="O51" s="141" t="s">
        <v>3475</v>
      </c>
    </row>
    <row r="52" spans="1:15" ht="36" customHeight="1" x14ac:dyDescent="0.25">
      <c r="A52" s="140" t="s">
        <v>3786</v>
      </c>
      <c r="B52" s="140" t="s">
        <v>3593</v>
      </c>
      <c r="C52" s="141" t="s">
        <v>3787</v>
      </c>
      <c r="D52" s="141" t="s">
        <v>3788</v>
      </c>
      <c r="E52" s="140" t="s">
        <v>3467</v>
      </c>
      <c r="F52" s="140" t="s">
        <v>3597</v>
      </c>
      <c r="G52" s="140" t="s">
        <v>3789</v>
      </c>
      <c r="H52" s="141" t="s">
        <v>3790</v>
      </c>
      <c r="I52" s="140"/>
      <c r="J52" s="141" t="s">
        <v>3791</v>
      </c>
      <c r="K52" s="140">
        <v>5</v>
      </c>
      <c r="L52" s="140" t="s">
        <v>3639</v>
      </c>
      <c r="M52" s="141" t="s">
        <v>3792</v>
      </c>
      <c r="N52" s="141" t="s">
        <v>3474</v>
      </c>
      <c r="O52" s="141" t="s">
        <v>3475</v>
      </c>
    </row>
    <row r="53" spans="1:15" ht="36" customHeight="1" x14ac:dyDescent="0.25">
      <c r="A53" s="140" t="s">
        <v>3793</v>
      </c>
      <c r="B53" s="140" t="s">
        <v>3593</v>
      </c>
      <c r="C53" s="141" t="s">
        <v>3794</v>
      </c>
      <c r="D53" s="141" t="s">
        <v>3795</v>
      </c>
      <c r="E53" s="140" t="s">
        <v>3467</v>
      </c>
      <c r="F53" s="140" t="s">
        <v>3597</v>
      </c>
      <c r="G53" s="140" t="s">
        <v>3796</v>
      </c>
      <c r="H53" s="141" t="s">
        <v>3797</v>
      </c>
      <c r="I53" s="140"/>
      <c r="J53" s="141" t="s">
        <v>3798</v>
      </c>
      <c r="K53" s="140">
        <v>5</v>
      </c>
      <c r="L53" s="140" t="s">
        <v>3639</v>
      </c>
      <c r="M53" s="141" t="s">
        <v>3799</v>
      </c>
      <c r="N53" s="141" t="s">
        <v>3474</v>
      </c>
      <c r="O53" s="141" t="s">
        <v>3475</v>
      </c>
    </row>
    <row r="54" spans="1:15" ht="36" customHeight="1" x14ac:dyDescent="0.25">
      <c r="A54" s="142" t="s">
        <v>3800</v>
      </c>
      <c r="B54" s="142" t="s">
        <v>3801</v>
      </c>
      <c r="C54" s="143" t="s">
        <v>3802</v>
      </c>
      <c r="D54" s="143" t="s">
        <v>3803</v>
      </c>
      <c r="E54" s="142" t="s">
        <v>3804</v>
      </c>
      <c r="F54" s="142" t="s">
        <v>363</v>
      </c>
      <c r="G54" s="142" t="s">
        <v>3636</v>
      </c>
      <c r="H54" s="143" t="s">
        <v>3805</v>
      </c>
      <c r="I54" s="142"/>
      <c r="J54" s="143" t="s">
        <v>3806</v>
      </c>
      <c r="K54" s="142">
        <v>5</v>
      </c>
      <c r="L54" s="142" t="s">
        <v>3807</v>
      </c>
      <c r="M54" s="143" t="s">
        <v>3808</v>
      </c>
      <c r="N54" s="143" t="s">
        <v>3711</v>
      </c>
      <c r="O54" s="143" t="s">
        <v>3475</v>
      </c>
    </row>
    <row r="55" spans="1:15" ht="36" customHeight="1" x14ac:dyDescent="0.25">
      <c r="A55" s="142" t="s">
        <v>3809</v>
      </c>
      <c r="B55" s="142" t="s">
        <v>3801</v>
      </c>
      <c r="C55" s="143" t="s">
        <v>3810</v>
      </c>
      <c r="D55" s="143" t="s">
        <v>403</v>
      </c>
      <c r="E55" s="142" t="s">
        <v>3722</v>
      </c>
      <c r="F55" s="142" t="s">
        <v>363</v>
      </c>
      <c r="G55" s="142" t="s">
        <v>3636</v>
      </c>
      <c r="H55" s="143" t="s">
        <v>3811</v>
      </c>
      <c r="I55" s="142"/>
      <c r="J55" s="143" t="s">
        <v>3812</v>
      </c>
      <c r="K55" s="142">
        <v>5</v>
      </c>
      <c r="L55" s="142" t="s">
        <v>3807</v>
      </c>
      <c r="M55" s="143" t="s">
        <v>3813</v>
      </c>
      <c r="N55" s="143" t="s">
        <v>407</v>
      </c>
      <c r="O55" s="143" t="s">
        <v>3475</v>
      </c>
    </row>
    <row r="56" spans="1:15" ht="36" customHeight="1" x14ac:dyDescent="0.25">
      <c r="A56" s="142" t="s">
        <v>3814</v>
      </c>
      <c r="B56" s="142" t="s">
        <v>3801</v>
      </c>
      <c r="C56" s="143" t="s">
        <v>3815</v>
      </c>
      <c r="D56" s="143" t="s">
        <v>3816</v>
      </c>
      <c r="E56" s="142" t="s">
        <v>3817</v>
      </c>
      <c r="F56" s="142" t="s">
        <v>363</v>
      </c>
      <c r="G56" s="142" t="s">
        <v>3636</v>
      </c>
      <c r="H56" s="143" t="s">
        <v>3818</v>
      </c>
      <c r="I56" s="142"/>
      <c r="J56" s="143" t="s">
        <v>3819</v>
      </c>
      <c r="K56" s="142">
        <v>5</v>
      </c>
      <c r="L56" s="142" t="s">
        <v>3807</v>
      </c>
      <c r="M56" s="143" t="s">
        <v>3820</v>
      </c>
      <c r="N56" s="143" t="s">
        <v>3474</v>
      </c>
      <c r="O56" s="143" t="s">
        <v>3475</v>
      </c>
    </row>
    <row r="57" spans="1:15" ht="36" customHeight="1" x14ac:dyDescent="0.25">
      <c r="A57" s="144" t="s">
        <v>3821</v>
      </c>
      <c r="B57" s="144" t="s">
        <v>3822</v>
      </c>
      <c r="C57" s="145" t="s">
        <v>3823</v>
      </c>
      <c r="D57" s="145" t="s">
        <v>3466</v>
      </c>
      <c r="E57" s="144" t="s">
        <v>3467</v>
      </c>
      <c r="F57" s="144" t="s">
        <v>3824</v>
      </c>
      <c r="G57" s="144" t="s">
        <v>3825</v>
      </c>
      <c r="H57" s="145" t="s">
        <v>3826</v>
      </c>
      <c r="I57" s="144">
        <v>2024</v>
      </c>
      <c r="J57" s="145" t="s">
        <v>3827</v>
      </c>
      <c r="K57" s="144">
        <v>4</v>
      </c>
      <c r="L57" s="144" t="s">
        <v>3828</v>
      </c>
      <c r="M57" s="145" t="s">
        <v>3829</v>
      </c>
      <c r="N57" s="145" t="s">
        <v>1272</v>
      </c>
      <c r="O57" s="145" t="s">
        <v>3475</v>
      </c>
    </row>
    <row r="58" spans="1:15" ht="36" customHeight="1" x14ac:dyDescent="0.25">
      <c r="A58" s="144" t="s">
        <v>3830</v>
      </c>
      <c r="B58" s="144" t="s">
        <v>3822</v>
      </c>
      <c r="C58" s="145" t="s">
        <v>3831</v>
      </c>
      <c r="D58" s="145" t="s">
        <v>3563</v>
      </c>
      <c r="E58" s="144" t="s">
        <v>3564</v>
      </c>
      <c r="F58" s="144" t="s">
        <v>3506</v>
      </c>
      <c r="G58" s="144" t="s">
        <v>3825</v>
      </c>
      <c r="H58" s="145" t="s">
        <v>3832</v>
      </c>
      <c r="I58" s="144">
        <v>2024</v>
      </c>
      <c r="J58" s="145" t="s">
        <v>3833</v>
      </c>
      <c r="K58" s="144">
        <v>5</v>
      </c>
      <c r="L58" s="144" t="s">
        <v>3834</v>
      </c>
      <c r="M58" s="145" t="s">
        <v>3835</v>
      </c>
      <c r="N58" s="145" t="s">
        <v>364</v>
      </c>
      <c r="O58" s="145" t="s">
        <v>3475</v>
      </c>
    </row>
    <row r="59" spans="1:15" ht="36" customHeight="1" x14ac:dyDescent="0.25">
      <c r="A59" s="144" t="s">
        <v>3836</v>
      </c>
      <c r="B59" s="144" t="s">
        <v>3822</v>
      </c>
      <c r="C59" s="145" t="s">
        <v>3837</v>
      </c>
      <c r="D59" s="145" t="s">
        <v>3838</v>
      </c>
      <c r="E59" s="144" t="s">
        <v>3839</v>
      </c>
      <c r="F59" s="144" t="s">
        <v>3506</v>
      </c>
      <c r="G59" s="144" t="s">
        <v>3825</v>
      </c>
      <c r="H59" s="145" t="s">
        <v>3840</v>
      </c>
      <c r="I59" s="144">
        <v>2024</v>
      </c>
      <c r="J59" s="145" t="s">
        <v>3841</v>
      </c>
      <c r="K59" s="144">
        <v>4</v>
      </c>
      <c r="L59" s="144" t="s">
        <v>3834</v>
      </c>
      <c r="M59" s="145" t="s">
        <v>3842</v>
      </c>
      <c r="N59" s="145" t="s">
        <v>348</v>
      </c>
      <c r="O59" s="145" t="s">
        <v>3475</v>
      </c>
    </row>
    <row r="60" spans="1:15" ht="36" customHeight="1" x14ac:dyDescent="0.25">
      <c r="A60" s="144" t="s">
        <v>3843</v>
      </c>
      <c r="B60" s="144" t="s">
        <v>3822</v>
      </c>
      <c r="C60" s="145" t="s">
        <v>3844</v>
      </c>
      <c r="D60" s="145" t="s">
        <v>3845</v>
      </c>
      <c r="E60" s="144" t="s">
        <v>3846</v>
      </c>
      <c r="F60" s="144" t="s">
        <v>3488</v>
      </c>
      <c r="G60" s="144" t="s">
        <v>3636</v>
      </c>
      <c r="H60" s="145" t="s">
        <v>3847</v>
      </c>
      <c r="I60" s="144"/>
      <c r="J60" s="145" t="s">
        <v>3848</v>
      </c>
      <c r="K60" s="144">
        <v>5</v>
      </c>
      <c r="L60" s="144" t="s">
        <v>3849</v>
      </c>
      <c r="M60" s="145" t="s">
        <v>3850</v>
      </c>
      <c r="N60" s="145" t="s">
        <v>1272</v>
      </c>
      <c r="O60" s="145" t="s">
        <v>3475</v>
      </c>
    </row>
    <row r="61" spans="1:15" ht="36" customHeight="1" x14ac:dyDescent="0.25">
      <c r="A61" s="138" t="s">
        <v>3851</v>
      </c>
      <c r="B61" s="138" t="s">
        <v>3549</v>
      </c>
      <c r="C61" s="139" t="s">
        <v>3852</v>
      </c>
      <c r="D61" s="139" t="s">
        <v>3466</v>
      </c>
      <c r="E61" s="138" t="s">
        <v>3467</v>
      </c>
      <c r="F61" s="138" t="s">
        <v>3853</v>
      </c>
      <c r="G61" s="138" t="s">
        <v>3636</v>
      </c>
      <c r="H61" s="139" t="s">
        <v>3854</v>
      </c>
      <c r="I61" s="138"/>
      <c r="J61" s="139" t="s">
        <v>3855</v>
      </c>
      <c r="K61" s="138">
        <v>5</v>
      </c>
      <c r="L61" s="138" t="s">
        <v>3856</v>
      </c>
      <c r="M61" s="139" t="s">
        <v>3857</v>
      </c>
      <c r="N61" s="139" t="s">
        <v>3474</v>
      </c>
      <c r="O61" s="139" t="s">
        <v>3475</v>
      </c>
    </row>
    <row r="62" spans="1:15" ht="15" customHeight="1" x14ac:dyDescent="0.25">
      <c r="O62" t="s">
        <v>3475</v>
      </c>
    </row>
    <row r="63" spans="1:15" ht="15" customHeight="1" x14ac:dyDescent="0.25">
      <c r="A63" s="218" t="s">
        <v>3858</v>
      </c>
      <c r="B63" s="218"/>
      <c r="C63" s="218"/>
      <c r="D63" s="218"/>
      <c r="E63" s="218"/>
      <c r="F63" s="218"/>
      <c r="G63" s="218"/>
      <c r="H63" s="218"/>
      <c r="I63" s="218"/>
      <c r="J63" s="218"/>
      <c r="K63" s="218"/>
      <c r="L63" s="218"/>
      <c r="M63" s="218"/>
      <c r="N63" s="218"/>
      <c r="O63" t="s">
        <v>3475</v>
      </c>
    </row>
  </sheetData>
  <mergeCells count="3">
    <mergeCell ref="A1:N1"/>
    <mergeCell ref="A2:N2"/>
    <mergeCell ref="A63:N63"/>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2"/>
  <sheetViews>
    <sheetView zoomScaleNormal="100" workbookViewId="0">
      <pane xSplit="2" ySplit="5" topLeftCell="C6" activePane="bottomRight" state="frozen"/>
      <selection pane="topRight" activeCell="C1" sqref="C1"/>
      <selection pane="bottomLeft" activeCell="A6" sqref="A6"/>
      <selection pane="bottomRight"/>
    </sheetView>
  </sheetViews>
  <sheetFormatPr defaultColWidth="8.7109375" defaultRowHeight="15" x14ac:dyDescent="0.25"/>
  <cols>
    <col min="1" max="1" width="17" customWidth="1"/>
    <col min="2" max="2" width="22" customWidth="1"/>
    <col min="3" max="3" width="24" customWidth="1"/>
    <col min="4" max="4" width="52" customWidth="1"/>
    <col min="5" max="5" width="28" customWidth="1"/>
    <col min="6" max="6" width="32" customWidth="1"/>
    <col min="7" max="8" width="13" customWidth="1"/>
    <col min="9" max="9" width="10" customWidth="1"/>
    <col min="10" max="21" width="11" customWidth="1"/>
    <col min="22" max="24" width="14" customWidth="1"/>
    <col min="25" max="25" width="18" customWidth="1"/>
    <col min="26" max="26" width="9" customWidth="1"/>
    <col min="27" max="27" width="14" customWidth="1"/>
    <col min="28" max="28" width="10" customWidth="1"/>
    <col min="29" max="29" width="13" customWidth="1"/>
    <col min="30" max="30" width="52" customWidth="1"/>
  </cols>
  <sheetData>
    <row r="1" spans="1:31" ht="30" customHeight="1" x14ac:dyDescent="0.25">
      <c r="A1" s="219" t="s">
        <v>3859</v>
      </c>
      <c r="B1" s="219"/>
      <c r="C1" s="219"/>
      <c r="D1" s="219"/>
      <c r="E1" s="219"/>
      <c r="F1" s="219"/>
      <c r="G1" s="219"/>
      <c r="H1" s="219"/>
      <c r="I1" s="219"/>
      <c r="J1" s="219"/>
      <c r="K1" s="219"/>
      <c r="L1" s="219"/>
      <c r="M1" s="219"/>
      <c r="N1" s="219"/>
      <c r="O1" s="219"/>
      <c r="P1" s="219"/>
      <c r="Q1" s="219"/>
      <c r="R1" s="219"/>
      <c r="S1" s="219"/>
      <c r="T1" s="219"/>
      <c r="U1" s="219"/>
      <c r="V1" s="219"/>
      <c r="W1" s="219"/>
      <c r="X1" s="219"/>
      <c r="Y1" s="219"/>
      <c r="Z1" s="219"/>
      <c r="AA1" s="219"/>
      <c r="AB1" s="219"/>
      <c r="AC1" s="219"/>
      <c r="AD1" s="219"/>
    </row>
    <row r="2" spans="1:31" ht="15.75" customHeight="1" x14ac:dyDescent="0.25">
      <c r="A2" s="220" t="s">
        <v>3860</v>
      </c>
      <c r="B2" s="220"/>
      <c r="C2" s="220"/>
      <c r="D2" s="220"/>
      <c r="E2" s="220"/>
      <c r="F2" s="220"/>
      <c r="G2" s="220"/>
      <c r="H2" s="220"/>
      <c r="I2" s="220"/>
      <c r="J2" s="220"/>
      <c r="K2" s="220"/>
      <c r="L2" s="220"/>
      <c r="M2" s="220"/>
      <c r="N2" s="220"/>
      <c r="O2" s="220"/>
      <c r="P2" s="220"/>
      <c r="Q2" s="220"/>
      <c r="R2" s="220"/>
      <c r="S2" s="220"/>
      <c r="T2" s="220"/>
      <c r="U2" s="220"/>
      <c r="V2" s="220"/>
      <c r="W2" s="220"/>
      <c r="X2" s="220"/>
      <c r="Y2" s="220"/>
      <c r="Z2" s="220"/>
      <c r="AA2" s="220"/>
      <c r="AB2" s="220"/>
      <c r="AC2" s="220"/>
      <c r="AD2" s="220"/>
    </row>
    <row r="3" spans="1:31" ht="6" customHeight="1" x14ac:dyDescent="0.25"/>
    <row r="4" spans="1:31" ht="19.5" customHeight="1" x14ac:dyDescent="0.25">
      <c r="A4" s="221" t="s">
        <v>3861</v>
      </c>
      <c r="B4" s="221"/>
      <c r="C4" s="221"/>
      <c r="D4" s="221"/>
      <c r="E4" s="221"/>
      <c r="F4" s="221"/>
      <c r="G4" s="221"/>
      <c r="H4" s="222" t="s">
        <v>3862</v>
      </c>
      <c r="I4" s="222"/>
      <c r="J4" s="223" t="s">
        <v>3863</v>
      </c>
      <c r="K4" s="223"/>
      <c r="L4" s="223"/>
      <c r="M4" s="223"/>
      <c r="N4" s="223"/>
      <c r="O4" s="223"/>
      <c r="P4" s="223"/>
      <c r="Q4" s="223"/>
      <c r="R4" s="223"/>
      <c r="S4" s="223"/>
      <c r="T4" s="223"/>
      <c r="U4" s="223"/>
      <c r="V4" s="224" t="s">
        <v>3864</v>
      </c>
      <c r="W4" s="224"/>
      <c r="X4" s="224"/>
      <c r="Y4" s="224"/>
      <c r="Z4" s="225" t="s">
        <v>3865</v>
      </c>
      <c r="AA4" s="225"/>
      <c r="AB4" s="225"/>
      <c r="AC4" s="226" t="s">
        <v>3866</v>
      </c>
      <c r="AD4" s="226"/>
    </row>
    <row r="5" spans="1:31" ht="55.5" customHeight="1" x14ac:dyDescent="0.25">
      <c r="A5" s="147" t="s">
        <v>2185</v>
      </c>
      <c r="B5" s="147" t="s">
        <v>2997</v>
      </c>
      <c r="C5" s="147" t="s">
        <v>3867</v>
      </c>
      <c r="D5" s="147" t="s">
        <v>3868</v>
      </c>
      <c r="E5" s="147" t="s">
        <v>3869</v>
      </c>
      <c r="F5" s="147" t="s">
        <v>3870</v>
      </c>
      <c r="G5" s="147" t="s">
        <v>2998</v>
      </c>
      <c r="H5" s="148" t="s">
        <v>3871</v>
      </c>
      <c r="I5" s="148" t="s">
        <v>3872</v>
      </c>
      <c r="J5" s="149" t="s">
        <v>3873</v>
      </c>
      <c r="K5" s="149" t="s">
        <v>3874</v>
      </c>
      <c r="L5" s="149" t="s">
        <v>3875</v>
      </c>
      <c r="M5" s="149" t="s">
        <v>3876</v>
      </c>
      <c r="N5" s="149" t="s">
        <v>3877</v>
      </c>
      <c r="O5" s="149" t="s">
        <v>3878</v>
      </c>
      <c r="P5" s="149" t="s">
        <v>3879</v>
      </c>
      <c r="Q5" s="149" t="s">
        <v>3880</v>
      </c>
      <c r="R5" s="149" t="s">
        <v>3881</v>
      </c>
      <c r="S5" s="149" t="s">
        <v>3882</v>
      </c>
      <c r="T5" s="149" t="s">
        <v>3883</v>
      </c>
      <c r="U5" s="149" t="s">
        <v>3884</v>
      </c>
      <c r="V5" s="150" t="s">
        <v>3885</v>
      </c>
      <c r="W5" s="150" t="s">
        <v>3886</v>
      </c>
      <c r="X5" s="150" t="s">
        <v>3887</v>
      </c>
      <c r="Y5" s="150" t="s">
        <v>3888</v>
      </c>
      <c r="Z5" s="151" t="s">
        <v>3889</v>
      </c>
      <c r="AA5" s="151" t="s">
        <v>3890</v>
      </c>
      <c r="AB5" s="151" t="s">
        <v>3891</v>
      </c>
      <c r="AC5" s="152" t="s">
        <v>3892</v>
      </c>
      <c r="AD5" s="152" t="s">
        <v>3893</v>
      </c>
      <c r="AE5" s="152" t="s">
        <v>35</v>
      </c>
    </row>
    <row r="6" spans="1:31" ht="54" customHeight="1" x14ac:dyDescent="0.25">
      <c r="A6" s="153" t="s">
        <v>425</v>
      </c>
      <c r="B6" s="154" t="s">
        <v>426</v>
      </c>
      <c r="C6" s="155" t="s">
        <v>48</v>
      </c>
      <c r="D6" s="155" t="s">
        <v>432</v>
      </c>
      <c r="E6" s="155" t="s">
        <v>364</v>
      </c>
      <c r="F6" s="155" t="s">
        <v>3894</v>
      </c>
      <c r="G6" s="156">
        <v>45175</v>
      </c>
      <c r="H6" s="153" t="s">
        <v>345</v>
      </c>
      <c r="I6" s="157" t="s">
        <v>3895</v>
      </c>
      <c r="J6" s="158" t="s">
        <v>3022</v>
      </c>
      <c r="K6" s="158" t="s">
        <v>3022</v>
      </c>
      <c r="L6" s="158" t="s">
        <v>3022</v>
      </c>
      <c r="M6" s="158" t="s">
        <v>3022</v>
      </c>
      <c r="N6" s="158" t="s">
        <v>3022</v>
      </c>
      <c r="O6" s="158" t="s">
        <v>3022</v>
      </c>
      <c r="P6" s="159" t="s">
        <v>92</v>
      </c>
      <c r="Q6" s="160" t="s">
        <v>61</v>
      </c>
      <c r="R6" s="160" t="s">
        <v>61</v>
      </c>
      <c r="S6" s="160" t="s">
        <v>61</v>
      </c>
      <c r="T6" s="160" t="s">
        <v>61</v>
      </c>
      <c r="U6" s="160" t="s">
        <v>61</v>
      </c>
      <c r="V6" s="156">
        <v>46142</v>
      </c>
      <c r="W6" s="156">
        <v>46203</v>
      </c>
      <c r="X6" s="156">
        <v>46356</v>
      </c>
      <c r="Y6" s="161" t="s">
        <v>64</v>
      </c>
      <c r="Z6" s="162">
        <v>3.88</v>
      </c>
      <c r="AA6" s="161" t="s">
        <v>58</v>
      </c>
      <c r="AB6" s="161" t="s">
        <v>57</v>
      </c>
      <c r="AC6" s="156">
        <v>45306</v>
      </c>
      <c r="AD6" s="163" t="s">
        <v>3896</v>
      </c>
      <c r="AE6" s="163" t="s">
        <v>62</v>
      </c>
    </row>
    <row r="7" spans="1:31" ht="54" customHeight="1" x14ac:dyDescent="0.25">
      <c r="A7" s="164" t="s">
        <v>438</v>
      </c>
      <c r="B7" s="165" t="s">
        <v>439</v>
      </c>
      <c r="C7" s="77" t="s">
        <v>102</v>
      </c>
      <c r="D7" s="77" t="s">
        <v>444</v>
      </c>
      <c r="E7" s="77" t="s">
        <v>407</v>
      </c>
      <c r="F7" s="77" t="s">
        <v>3897</v>
      </c>
      <c r="G7" s="166">
        <v>45176</v>
      </c>
      <c r="H7" s="164" t="s">
        <v>443</v>
      </c>
      <c r="I7" s="162" t="s">
        <v>3898</v>
      </c>
      <c r="J7" s="158" t="s">
        <v>3022</v>
      </c>
      <c r="K7" s="158" t="s">
        <v>3022</v>
      </c>
      <c r="L7" s="158" t="s">
        <v>3022</v>
      </c>
      <c r="M7" s="158" t="s">
        <v>3022</v>
      </c>
      <c r="N7" s="158" t="s">
        <v>3022</v>
      </c>
      <c r="O7" s="158" t="s">
        <v>3022</v>
      </c>
      <c r="P7" s="158" t="s">
        <v>3022</v>
      </c>
      <c r="Q7" s="159" t="s">
        <v>92</v>
      </c>
      <c r="R7" s="160" t="s">
        <v>61</v>
      </c>
      <c r="S7" s="160" t="s">
        <v>61</v>
      </c>
      <c r="T7" s="160" t="s">
        <v>61</v>
      </c>
      <c r="U7" s="160" t="s">
        <v>61</v>
      </c>
      <c r="V7" s="166">
        <v>45930</v>
      </c>
      <c r="W7" s="166">
        <v>45991</v>
      </c>
      <c r="X7" s="166">
        <v>46081</v>
      </c>
      <c r="Y7" s="76" t="s">
        <v>64</v>
      </c>
      <c r="Z7" s="162">
        <v>3.71</v>
      </c>
      <c r="AA7" s="76" t="s">
        <v>58</v>
      </c>
      <c r="AB7" s="76" t="s">
        <v>57</v>
      </c>
      <c r="AC7" s="166">
        <v>45306</v>
      </c>
      <c r="AD7" s="167" t="s">
        <v>3899</v>
      </c>
      <c r="AE7" s="167" t="s">
        <v>62</v>
      </c>
    </row>
    <row r="8" spans="1:31" ht="54" customHeight="1" x14ac:dyDescent="0.25">
      <c r="A8" s="153" t="s">
        <v>451</v>
      </c>
      <c r="B8" s="154" t="s">
        <v>452</v>
      </c>
      <c r="C8" s="155" t="s">
        <v>73</v>
      </c>
      <c r="D8" s="155" t="s">
        <v>457</v>
      </c>
      <c r="E8" s="155" t="s">
        <v>291</v>
      </c>
      <c r="F8" s="155" t="s">
        <v>3900</v>
      </c>
      <c r="G8" s="156">
        <v>45173</v>
      </c>
      <c r="H8" s="153" t="s">
        <v>418</v>
      </c>
      <c r="I8" s="168" t="s">
        <v>3119</v>
      </c>
      <c r="J8" s="158" t="s">
        <v>3022</v>
      </c>
      <c r="K8" s="159" t="s">
        <v>92</v>
      </c>
      <c r="L8" s="159" t="s">
        <v>92</v>
      </c>
      <c r="M8" s="159" t="s">
        <v>92</v>
      </c>
      <c r="N8" s="160" t="s">
        <v>61</v>
      </c>
      <c r="O8" s="160" t="s">
        <v>61</v>
      </c>
      <c r="P8" s="160" t="s">
        <v>61</v>
      </c>
      <c r="Q8" s="160" t="s">
        <v>61</v>
      </c>
      <c r="R8" s="160" t="s">
        <v>61</v>
      </c>
      <c r="S8" s="160" t="s">
        <v>61</v>
      </c>
      <c r="T8" s="160" t="s">
        <v>61</v>
      </c>
      <c r="U8" s="160" t="s">
        <v>61</v>
      </c>
      <c r="V8" s="156">
        <v>46203</v>
      </c>
      <c r="W8" s="156">
        <v>46265</v>
      </c>
      <c r="X8" s="156">
        <v>46356</v>
      </c>
      <c r="Y8" s="161" t="s">
        <v>64</v>
      </c>
      <c r="Z8" s="157">
        <v>3.65</v>
      </c>
      <c r="AA8" s="161" t="s">
        <v>58</v>
      </c>
      <c r="AB8" s="161" t="s">
        <v>57</v>
      </c>
      <c r="AC8" s="156">
        <v>45306</v>
      </c>
      <c r="AD8" s="163" t="s">
        <v>3901</v>
      </c>
      <c r="AE8" s="163" t="s">
        <v>62</v>
      </c>
    </row>
    <row r="9" spans="1:31" ht="54" customHeight="1" x14ac:dyDescent="0.25">
      <c r="A9" s="164" t="s">
        <v>464</v>
      </c>
      <c r="B9" s="165" t="s">
        <v>465</v>
      </c>
      <c r="C9" s="77" t="s">
        <v>117</v>
      </c>
      <c r="D9" s="77" t="s">
        <v>469</v>
      </c>
      <c r="E9" s="77" t="s">
        <v>314</v>
      </c>
      <c r="F9" s="77" t="s">
        <v>3902</v>
      </c>
      <c r="G9" s="166">
        <v>45540</v>
      </c>
      <c r="H9" s="164" t="s">
        <v>361</v>
      </c>
      <c r="I9" s="168" t="s">
        <v>3903</v>
      </c>
      <c r="J9" s="158" t="s">
        <v>3022</v>
      </c>
      <c r="K9" s="158" t="s">
        <v>3022</v>
      </c>
      <c r="L9" s="158" t="s">
        <v>3022</v>
      </c>
      <c r="M9" s="158" t="s">
        <v>3022</v>
      </c>
      <c r="N9" s="159" t="s">
        <v>92</v>
      </c>
      <c r="O9" s="160" t="s">
        <v>61</v>
      </c>
      <c r="P9" s="160" t="s">
        <v>61</v>
      </c>
      <c r="Q9" s="160" t="s">
        <v>61</v>
      </c>
      <c r="R9" s="160" t="s">
        <v>61</v>
      </c>
      <c r="S9" s="160" t="s">
        <v>61</v>
      </c>
      <c r="T9" s="160" t="s">
        <v>61</v>
      </c>
      <c r="U9" s="160" t="s">
        <v>61</v>
      </c>
      <c r="V9" s="166">
        <v>46387</v>
      </c>
      <c r="W9" s="166">
        <v>46387</v>
      </c>
      <c r="X9" s="166">
        <v>46387</v>
      </c>
      <c r="Y9" s="76" t="s">
        <v>64</v>
      </c>
      <c r="Z9" s="157">
        <v>3.42</v>
      </c>
      <c r="AA9" s="76" t="s">
        <v>58</v>
      </c>
      <c r="AB9" s="76" t="s">
        <v>57</v>
      </c>
      <c r="AC9" s="166">
        <v>45306</v>
      </c>
      <c r="AD9" s="167" t="s">
        <v>3904</v>
      </c>
      <c r="AE9" s="167" t="s">
        <v>62</v>
      </c>
    </row>
    <row r="10" spans="1:31" ht="21.75" customHeight="1" x14ac:dyDescent="0.25">
      <c r="A10" s="153" t="s">
        <v>742</v>
      </c>
      <c r="B10" s="154" t="s">
        <v>743</v>
      </c>
      <c r="C10" s="155" t="s">
        <v>481</v>
      </c>
      <c r="D10" s="155" t="s">
        <v>747</v>
      </c>
      <c r="E10" s="155" t="s">
        <v>703</v>
      </c>
      <c r="F10" s="155" t="s">
        <v>748</v>
      </c>
      <c r="G10" s="156" t="s">
        <v>483</v>
      </c>
      <c r="H10" s="153" t="s">
        <v>345</v>
      </c>
      <c r="I10" s="157" t="s">
        <v>3905</v>
      </c>
      <c r="J10" s="158" t="s">
        <v>3022</v>
      </c>
      <c r="K10" s="158" t="s">
        <v>3022</v>
      </c>
      <c r="L10" s="158" t="s">
        <v>3022</v>
      </c>
      <c r="M10" s="158" t="s">
        <v>3022</v>
      </c>
      <c r="N10" s="158" t="s">
        <v>3022</v>
      </c>
      <c r="O10" s="158" t="s">
        <v>3022</v>
      </c>
      <c r="P10" s="159" t="s">
        <v>92</v>
      </c>
      <c r="Q10" s="160" t="s">
        <v>61</v>
      </c>
      <c r="R10" s="160" t="s">
        <v>61</v>
      </c>
      <c r="S10" s="160" t="s">
        <v>61</v>
      </c>
      <c r="T10" s="160" t="s">
        <v>61</v>
      </c>
      <c r="U10" s="160" t="s">
        <v>61</v>
      </c>
      <c r="V10" s="156" t="s">
        <v>53</v>
      </c>
      <c r="W10" s="156" t="s">
        <v>3906</v>
      </c>
      <c r="X10" s="156" t="s">
        <v>3907</v>
      </c>
      <c r="Y10" s="161" t="s">
        <v>64</v>
      </c>
      <c r="Z10" s="162">
        <v>3.81</v>
      </c>
      <c r="AA10" s="161" t="s">
        <v>58</v>
      </c>
      <c r="AB10" s="161" t="s">
        <v>57</v>
      </c>
      <c r="AC10" s="156" t="s">
        <v>59</v>
      </c>
      <c r="AD10" s="163" t="s">
        <v>750</v>
      </c>
      <c r="AE10" s="163" t="s">
        <v>484</v>
      </c>
    </row>
    <row r="11" spans="1:31" ht="15.75" customHeight="1" x14ac:dyDescent="0.25">
      <c r="A11" s="153" t="s">
        <v>753</v>
      </c>
      <c r="B11" s="154" t="s">
        <v>754</v>
      </c>
      <c r="C11" s="155" t="s">
        <v>509</v>
      </c>
      <c r="D11" s="155" t="s">
        <v>758</v>
      </c>
      <c r="E11" s="155" t="s">
        <v>643</v>
      </c>
      <c r="F11" s="155" t="s">
        <v>692</v>
      </c>
      <c r="G11" s="156" t="s">
        <v>564</v>
      </c>
      <c r="H11" s="153" t="s">
        <v>443</v>
      </c>
      <c r="I11" s="157" t="s">
        <v>3908</v>
      </c>
      <c r="J11" s="158" t="s">
        <v>3022</v>
      </c>
      <c r="K11" s="158" t="s">
        <v>3022</v>
      </c>
      <c r="L11" s="158" t="s">
        <v>3022</v>
      </c>
      <c r="M11" s="158" t="s">
        <v>3022</v>
      </c>
      <c r="N11" s="158" t="s">
        <v>3022</v>
      </c>
      <c r="O11" s="158" t="s">
        <v>3022</v>
      </c>
      <c r="P11" s="158" t="s">
        <v>3022</v>
      </c>
      <c r="Q11" s="159" t="s">
        <v>92</v>
      </c>
      <c r="R11" s="160" t="s">
        <v>61</v>
      </c>
      <c r="S11" s="160" t="s">
        <v>61</v>
      </c>
      <c r="T11" s="160" t="s">
        <v>61</v>
      </c>
      <c r="U11" s="160" t="s">
        <v>61</v>
      </c>
      <c r="V11" s="156" t="s">
        <v>89</v>
      </c>
      <c r="W11" s="156" t="s">
        <v>3909</v>
      </c>
      <c r="X11" s="156" t="s">
        <v>3910</v>
      </c>
      <c r="Y11" s="161" t="s">
        <v>64</v>
      </c>
      <c r="Z11" s="162">
        <v>3.73</v>
      </c>
      <c r="AA11" s="161" t="s">
        <v>58</v>
      </c>
      <c r="AB11" s="161" t="s">
        <v>57</v>
      </c>
      <c r="AC11" s="156" t="s">
        <v>59</v>
      </c>
      <c r="AD11" s="163" t="s">
        <v>760</v>
      </c>
      <c r="AE11" s="163" t="s">
        <v>484</v>
      </c>
    </row>
    <row r="12" spans="1:31" ht="21.75" customHeight="1" x14ac:dyDescent="0.25">
      <c r="A12" s="153" t="s">
        <v>763</v>
      </c>
      <c r="B12" s="154" t="s">
        <v>764</v>
      </c>
      <c r="C12" s="155" t="s">
        <v>499</v>
      </c>
      <c r="D12" s="155" t="s">
        <v>769</v>
      </c>
      <c r="E12" s="155" t="s">
        <v>658</v>
      </c>
      <c r="F12" s="155" t="s">
        <v>715</v>
      </c>
      <c r="G12" s="156" t="s">
        <v>768</v>
      </c>
      <c r="H12" s="153" t="s">
        <v>418</v>
      </c>
      <c r="I12" s="157" t="s">
        <v>3911</v>
      </c>
      <c r="J12" s="158" t="s">
        <v>3022</v>
      </c>
      <c r="K12" s="159" t="s">
        <v>92</v>
      </c>
      <c r="L12" s="160" t="s">
        <v>61</v>
      </c>
      <c r="M12" s="160" t="s">
        <v>61</v>
      </c>
      <c r="N12" s="160" t="s">
        <v>61</v>
      </c>
      <c r="O12" s="160" t="s">
        <v>61</v>
      </c>
      <c r="P12" s="160" t="s">
        <v>61</v>
      </c>
      <c r="Q12" s="160" t="s">
        <v>61</v>
      </c>
      <c r="R12" s="160" t="s">
        <v>61</v>
      </c>
      <c r="S12" s="160" t="s">
        <v>61</v>
      </c>
      <c r="T12" s="160" t="s">
        <v>61</v>
      </c>
      <c r="U12" s="160" t="s">
        <v>61</v>
      </c>
      <c r="V12" s="156" t="s">
        <v>121</v>
      </c>
      <c r="W12" s="156" t="s">
        <v>3912</v>
      </c>
      <c r="X12" s="156" t="s">
        <v>3913</v>
      </c>
      <c r="Y12" s="161" t="s">
        <v>64</v>
      </c>
      <c r="Z12" s="162">
        <v>3.55</v>
      </c>
      <c r="AA12" s="161" t="s">
        <v>58</v>
      </c>
      <c r="AB12" s="161" t="s">
        <v>57</v>
      </c>
      <c r="AC12" s="156" t="s">
        <v>59</v>
      </c>
      <c r="AD12" s="163" t="s">
        <v>771</v>
      </c>
      <c r="AE12" s="163" t="s">
        <v>484</v>
      </c>
    </row>
    <row r="13" spans="1:31" ht="21.75" customHeight="1" x14ac:dyDescent="0.25">
      <c r="A13" s="153" t="s">
        <v>773</v>
      </c>
      <c r="B13" s="154" t="s">
        <v>774</v>
      </c>
      <c r="C13" s="155" t="s">
        <v>491</v>
      </c>
      <c r="D13" s="155" t="s">
        <v>778</v>
      </c>
      <c r="E13" s="155" t="s">
        <v>667</v>
      </c>
      <c r="F13" s="155" t="s">
        <v>704</v>
      </c>
      <c r="G13" s="156" t="s">
        <v>141</v>
      </c>
      <c r="H13" s="153" t="s">
        <v>361</v>
      </c>
      <c r="I13" s="157" t="s">
        <v>3914</v>
      </c>
      <c r="J13" s="158" t="s">
        <v>3022</v>
      </c>
      <c r="K13" s="158" t="s">
        <v>3022</v>
      </c>
      <c r="L13" s="158" t="s">
        <v>3022</v>
      </c>
      <c r="M13" s="158" t="s">
        <v>3022</v>
      </c>
      <c r="N13" s="159" t="s">
        <v>92</v>
      </c>
      <c r="O13" s="160" t="s">
        <v>61</v>
      </c>
      <c r="P13" s="160" t="s">
        <v>61</v>
      </c>
      <c r="Q13" s="160" t="s">
        <v>61</v>
      </c>
      <c r="R13" s="160" t="s">
        <v>61</v>
      </c>
      <c r="S13" s="160" t="s">
        <v>61</v>
      </c>
      <c r="T13" s="160" t="s">
        <v>61</v>
      </c>
      <c r="U13" s="160" t="s">
        <v>61</v>
      </c>
      <c r="V13" s="156" t="s">
        <v>76</v>
      </c>
      <c r="W13" s="156" t="s">
        <v>3915</v>
      </c>
      <c r="X13" s="156" t="s">
        <v>3916</v>
      </c>
      <c r="Y13" s="161" t="s">
        <v>64</v>
      </c>
      <c r="Z13" s="162">
        <v>3.38</v>
      </c>
      <c r="AA13" s="161" t="s">
        <v>58</v>
      </c>
      <c r="AB13" s="161" t="s">
        <v>57</v>
      </c>
      <c r="AC13" s="156" t="s">
        <v>59</v>
      </c>
      <c r="AD13" s="163" t="s">
        <v>780</v>
      </c>
      <c r="AE13" s="163" t="s">
        <v>484</v>
      </c>
    </row>
    <row r="14" spans="1:31" ht="21.75" customHeight="1" x14ac:dyDescent="0.25">
      <c r="A14" s="153" t="s">
        <v>1003</v>
      </c>
      <c r="B14" s="154" t="s">
        <v>1004</v>
      </c>
      <c r="C14" s="155" t="s">
        <v>134</v>
      </c>
      <c r="D14" s="155" t="s">
        <v>1008</v>
      </c>
      <c r="E14" s="155" t="s">
        <v>921</v>
      </c>
      <c r="F14" s="155" t="s">
        <v>1009</v>
      </c>
      <c r="G14" s="156" t="s">
        <v>483</v>
      </c>
      <c r="H14" s="153" t="s">
        <v>345</v>
      </c>
      <c r="I14" s="157" t="s">
        <v>3917</v>
      </c>
      <c r="J14" s="158" t="s">
        <v>3022</v>
      </c>
      <c r="K14" s="158" t="s">
        <v>3022</v>
      </c>
      <c r="L14" s="158" t="s">
        <v>3022</v>
      </c>
      <c r="M14" s="158" t="s">
        <v>3022</v>
      </c>
      <c r="N14" s="158" t="s">
        <v>3022</v>
      </c>
      <c r="O14" s="158" t="s">
        <v>3022</v>
      </c>
      <c r="P14" s="159" t="s">
        <v>92</v>
      </c>
      <c r="Q14" s="160" t="s">
        <v>61</v>
      </c>
      <c r="R14" s="160" t="s">
        <v>61</v>
      </c>
      <c r="S14" s="160" t="s">
        <v>61</v>
      </c>
      <c r="T14" s="160" t="s">
        <v>61</v>
      </c>
      <c r="U14" s="160" t="s">
        <v>61</v>
      </c>
      <c r="V14" s="156" t="s">
        <v>53</v>
      </c>
      <c r="W14" s="156" t="s">
        <v>3906</v>
      </c>
      <c r="X14" s="156" t="s">
        <v>3907</v>
      </c>
      <c r="Y14" s="161" t="s">
        <v>64</v>
      </c>
      <c r="Z14" s="162">
        <v>3.69</v>
      </c>
      <c r="AA14" s="161" t="s">
        <v>58</v>
      </c>
      <c r="AB14" s="161" t="s">
        <v>57</v>
      </c>
      <c r="AC14" s="156" t="s">
        <v>59</v>
      </c>
      <c r="AD14" s="163" t="s">
        <v>750</v>
      </c>
      <c r="AE14" s="163" t="s">
        <v>786</v>
      </c>
    </row>
    <row r="15" spans="1:31" ht="32.25" customHeight="1" x14ac:dyDescent="0.25">
      <c r="A15" s="153" t="s">
        <v>1012</v>
      </c>
      <c r="B15" s="154" t="s">
        <v>1013</v>
      </c>
      <c r="C15" s="155" t="s">
        <v>819</v>
      </c>
      <c r="D15" s="155" t="s">
        <v>1017</v>
      </c>
      <c r="E15" s="155" t="s">
        <v>949</v>
      </c>
      <c r="F15" s="155" t="s">
        <v>963</v>
      </c>
      <c r="G15" s="156" t="s">
        <v>564</v>
      </c>
      <c r="H15" s="153" t="s">
        <v>443</v>
      </c>
      <c r="I15" s="157" t="s">
        <v>3918</v>
      </c>
      <c r="J15" s="158" t="s">
        <v>3022</v>
      </c>
      <c r="K15" s="158" t="s">
        <v>3022</v>
      </c>
      <c r="L15" s="158" t="s">
        <v>3022</v>
      </c>
      <c r="M15" s="158" t="s">
        <v>3022</v>
      </c>
      <c r="N15" s="158" t="s">
        <v>3022</v>
      </c>
      <c r="O15" s="158" t="s">
        <v>3022</v>
      </c>
      <c r="P15" s="158" t="s">
        <v>3022</v>
      </c>
      <c r="Q15" s="159" t="s">
        <v>92</v>
      </c>
      <c r="R15" s="160" t="s">
        <v>61</v>
      </c>
      <c r="S15" s="160" t="s">
        <v>61</v>
      </c>
      <c r="T15" s="160" t="s">
        <v>61</v>
      </c>
      <c r="U15" s="160" t="s">
        <v>61</v>
      </c>
      <c r="V15" s="156" t="s">
        <v>89</v>
      </c>
      <c r="W15" s="156" t="s">
        <v>3909</v>
      </c>
      <c r="X15" s="156" t="s">
        <v>3910</v>
      </c>
      <c r="Y15" s="161" t="s">
        <v>64</v>
      </c>
      <c r="Z15" s="162">
        <v>3.77</v>
      </c>
      <c r="AA15" s="161" t="s">
        <v>58</v>
      </c>
      <c r="AB15" s="161" t="s">
        <v>57</v>
      </c>
      <c r="AC15" s="156" t="s">
        <v>59</v>
      </c>
      <c r="AD15" s="163" t="s">
        <v>760</v>
      </c>
      <c r="AE15" s="163" t="s">
        <v>786</v>
      </c>
    </row>
    <row r="16" spans="1:31" ht="21.75" customHeight="1" x14ac:dyDescent="0.25">
      <c r="A16" s="153" t="s">
        <v>1020</v>
      </c>
      <c r="B16" s="154" t="s">
        <v>1021</v>
      </c>
      <c r="C16" s="155" t="s">
        <v>793</v>
      </c>
      <c r="D16" s="155" t="s">
        <v>1025</v>
      </c>
      <c r="E16" s="155" t="s">
        <v>928</v>
      </c>
      <c r="F16" s="155" t="s">
        <v>1026</v>
      </c>
      <c r="G16" s="156" t="s">
        <v>768</v>
      </c>
      <c r="H16" s="153" t="s">
        <v>418</v>
      </c>
      <c r="I16" s="157" t="s">
        <v>3119</v>
      </c>
      <c r="J16" s="158" t="s">
        <v>3022</v>
      </c>
      <c r="K16" s="159" t="s">
        <v>92</v>
      </c>
      <c r="L16" s="160" t="s">
        <v>61</v>
      </c>
      <c r="M16" s="160" t="s">
        <v>61</v>
      </c>
      <c r="N16" s="160" t="s">
        <v>61</v>
      </c>
      <c r="O16" s="160" t="s">
        <v>61</v>
      </c>
      <c r="P16" s="160" t="s">
        <v>61</v>
      </c>
      <c r="Q16" s="160" t="s">
        <v>61</v>
      </c>
      <c r="R16" s="160" t="s">
        <v>61</v>
      </c>
      <c r="S16" s="160" t="s">
        <v>61</v>
      </c>
      <c r="T16" s="160" t="s">
        <v>61</v>
      </c>
      <c r="U16" s="160" t="s">
        <v>61</v>
      </c>
      <c r="V16" s="156" t="s">
        <v>121</v>
      </c>
      <c r="W16" s="156" t="s">
        <v>3912</v>
      </c>
      <c r="X16" s="156" t="s">
        <v>3913</v>
      </c>
      <c r="Y16" s="161" t="s">
        <v>64</v>
      </c>
      <c r="Z16" s="162">
        <v>3.58</v>
      </c>
      <c r="AA16" s="161" t="s">
        <v>58</v>
      </c>
      <c r="AB16" s="161" t="s">
        <v>57</v>
      </c>
      <c r="AC16" s="156" t="s">
        <v>59</v>
      </c>
      <c r="AD16" s="163" t="s">
        <v>771</v>
      </c>
      <c r="AE16" s="163" t="s">
        <v>786</v>
      </c>
    </row>
    <row r="17" spans="1:31" ht="21.75" customHeight="1" x14ac:dyDescent="0.25">
      <c r="A17" s="153" t="s">
        <v>1028</v>
      </c>
      <c r="B17" s="154" t="s">
        <v>1029</v>
      </c>
      <c r="C17" s="155" t="s">
        <v>808</v>
      </c>
      <c r="D17" s="155" t="s">
        <v>1032</v>
      </c>
      <c r="E17" s="155" t="s">
        <v>942</v>
      </c>
      <c r="F17" s="155" t="s">
        <v>972</v>
      </c>
      <c r="G17" s="156" t="s">
        <v>141</v>
      </c>
      <c r="H17" s="153" t="s">
        <v>361</v>
      </c>
      <c r="I17" s="157" t="s">
        <v>3919</v>
      </c>
      <c r="J17" s="158" t="s">
        <v>3022</v>
      </c>
      <c r="K17" s="158" t="s">
        <v>3022</v>
      </c>
      <c r="L17" s="158" t="s">
        <v>3022</v>
      </c>
      <c r="M17" s="158" t="s">
        <v>3022</v>
      </c>
      <c r="N17" s="159" t="s">
        <v>92</v>
      </c>
      <c r="O17" s="160" t="s">
        <v>61</v>
      </c>
      <c r="P17" s="160" t="s">
        <v>61</v>
      </c>
      <c r="Q17" s="160" t="s">
        <v>61</v>
      </c>
      <c r="R17" s="160" t="s">
        <v>61</v>
      </c>
      <c r="S17" s="160" t="s">
        <v>61</v>
      </c>
      <c r="T17" s="160" t="s">
        <v>61</v>
      </c>
      <c r="U17" s="160" t="s">
        <v>61</v>
      </c>
      <c r="V17" s="156" t="s">
        <v>76</v>
      </c>
      <c r="W17" s="156" t="s">
        <v>3915</v>
      </c>
      <c r="X17" s="156" t="s">
        <v>3916</v>
      </c>
      <c r="Y17" s="161" t="s">
        <v>64</v>
      </c>
      <c r="Z17" s="162">
        <v>3.41</v>
      </c>
      <c r="AA17" s="161" t="s">
        <v>58</v>
      </c>
      <c r="AB17" s="161" t="s">
        <v>57</v>
      </c>
      <c r="AC17" s="156" t="s">
        <v>59</v>
      </c>
      <c r="AD17" s="163" t="s">
        <v>780</v>
      </c>
      <c r="AE17" s="163" t="s">
        <v>786</v>
      </c>
    </row>
    <row r="18" spans="1:31" ht="21.75" customHeight="1" x14ac:dyDescent="0.25">
      <c r="A18" s="153" t="s">
        <v>1048</v>
      </c>
      <c r="B18" s="154" t="s">
        <v>1049</v>
      </c>
      <c r="C18" s="155" t="s">
        <v>48</v>
      </c>
      <c r="D18" s="155" t="s">
        <v>1055</v>
      </c>
      <c r="E18" s="155" t="s">
        <v>1046</v>
      </c>
      <c r="F18" s="155" t="s">
        <v>60</v>
      </c>
      <c r="G18" s="156" t="s">
        <v>1053</v>
      </c>
      <c r="H18" s="153" t="s">
        <v>418</v>
      </c>
      <c r="I18" s="157" t="s">
        <v>3122</v>
      </c>
      <c r="J18" s="158" t="s">
        <v>3022</v>
      </c>
      <c r="K18" s="159" t="s">
        <v>92</v>
      </c>
      <c r="L18" s="160" t="s">
        <v>61</v>
      </c>
      <c r="M18" s="160" t="s">
        <v>61</v>
      </c>
      <c r="N18" s="160" t="s">
        <v>61</v>
      </c>
      <c r="O18" s="160" t="s">
        <v>61</v>
      </c>
      <c r="P18" s="160" t="s">
        <v>61</v>
      </c>
      <c r="Q18" s="160" t="s">
        <v>61</v>
      </c>
      <c r="R18" s="160" t="s">
        <v>61</v>
      </c>
      <c r="S18" s="160" t="s">
        <v>61</v>
      </c>
      <c r="T18" s="160" t="s">
        <v>61</v>
      </c>
      <c r="U18" s="160" t="s">
        <v>61</v>
      </c>
      <c r="V18" s="156" t="s">
        <v>1054</v>
      </c>
      <c r="W18" s="156" t="s">
        <v>3920</v>
      </c>
      <c r="X18" s="156" t="s">
        <v>3921</v>
      </c>
      <c r="Y18" s="161" t="s">
        <v>64</v>
      </c>
      <c r="Z18" s="162">
        <v>3.5</v>
      </c>
      <c r="AA18" s="161" t="s">
        <v>58</v>
      </c>
      <c r="AB18" s="161" t="s">
        <v>57</v>
      </c>
      <c r="AC18" s="156" t="s">
        <v>59</v>
      </c>
      <c r="AD18" s="163" t="s">
        <v>771</v>
      </c>
      <c r="AE18" s="163" t="s">
        <v>62</v>
      </c>
    </row>
    <row r="19" spans="1:31" ht="15" customHeight="1" x14ac:dyDescent="0.25">
      <c r="A19" s="153" t="s">
        <v>1063</v>
      </c>
      <c r="B19" s="154" t="s">
        <v>1049</v>
      </c>
      <c r="C19" s="155" t="s">
        <v>481</v>
      </c>
      <c r="D19" s="155" t="s">
        <v>1055</v>
      </c>
      <c r="E19" s="155" t="s">
        <v>1046</v>
      </c>
      <c r="F19" s="155" t="s">
        <v>60</v>
      </c>
      <c r="G19" s="156" t="s">
        <v>1053</v>
      </c>
      <c r="H19" s="153" t="s">
        <v>418</v>
      </c>
      <c r="I19" s="157" t="s">
        <v>3122</v>
      </c>
      <c r="J19" s="158" t="s">
        <v>3022</v>
      </c>
      <c r="K19" s="159" t="s">
        <v>92</v>
      </c>
      <c r="L19" s="160" t="s">
        <v>61</v>
      </c>
      <c r="M19" s="160" t="s">
        <v>61</v>
      </c>
      <c r="N19" s="160" t="s">
        <v>61</v>
      </c>
      <c r="O19" s="160" t="s">
        <v>61</v>
      </c>
      <c r="P19" s="160" t="s">
        <v>61</v>
      </c>
      <c r="Q19" s="160" t="s">
        <v>61</v>
      </c>
      <c r="R19" s="160" t="s">
        <v>61</v>
      </c>
      <c r="S19" s="160" t="s">
        <v>61</v>
      </c>
      <c r="T19" s="160" t="s">
        <v>61</v>
      </c>
      <c r="U19" s="160" t="s">
        <v>61</v>
      </c>
      <c r="V19" s="156" t="s">
        <v>1054</v>
      </c>
      <c r="W19" s="156" t="s">
        <v>3920</v>
      </c>
      <c r="X19" s="156" t="s">
        <v>3921</v>
      </c>
      <c r="Y19" s="161" t="s">
        <v>64</v>
      </c>
      <c r="Z19" s="162">
        <v>3.5</v>
      </c>
      <c r="AA19" s="161" t="s">
        <v>58</v>
      </c>
      <c r="AB19" s="161" t="s">
        <v>57</v>
      </c>
      <c r="AC19" s="156" t="s">
        <v>59</v>
      </c>
      <c r="AD19" s="163" t="s">
        <v>771</v>
      </c>
      <c r="AE19" s="163" t="s">
        <v>484</v>
      </c>
    </row>
    <row r="20" spans="1:31" ht="21.75" customHeight="1" x14ac:dyDescent="0.25">
      <c r="A20" s="153" t="s">
        <v>1070</v>
      </c>
      <c r="B20" s="154" t="s">
        <v>1049</v>
      </c>
      <c r="C20" s="155" t="s">
        <v>808</v>
      </c>
      <c r="D20" s="155" t="s">
        <v>1055</v>
      </c>
      <c r="E20" s="155" t="s">
        <v>1046</v>
      </c>
      <c r="F20" s="155" t="s">
        <v>60</v>
      </c>
      <c r="G20" s="156" t="s">
        <v>1053</v>
      </c>
      <c r="H20" s="153" t="s">
        <v>418</v>
      </c>
      <c r="I20" s="157" t="s">
        <v>3122</v>
      </c>
      <c r="J20" s="158" t="s">
        <v>3022</v>
      </c>
      <c r="K20" s="159" t="s">
        <v>92</v>
      </c>
      <c r="L20" s="160" t="s">
        <v>61</v>
      </c>
      <c r="M20" s="160" t="s">
        <v>61</v>
      </c>
      <c r="N20" s="160" t="s">
        <v>61</v>
      </c>
      <c r="O20" s="160" t="s">
        <v>61</v>
      </c>
      <c r="P20" s="160" t="s">
        <v>61</v>
      </c>
      <c r="Q20" s="160" t="s">
        <v>61</v>
      </c>
      <c r="R20" s="160" t="s">
        <v>61</v>
      </c>
      <c r="S20" s="160" t="s">
        <v>61</v>
      </c>
      <c r="T20" s="160" t="s">
        <v>61</v>
      </c>
      <c r="U20" s="160" t="s">
        <v>61</v>
      </c>
      <c r="V20" s="156" t="s">
        <v>1054</v>
      </c>
      <c r="W20" s="156" t="s">
        <v>3920</v>
      </c>
      <c r="X20" s="156" t="s">
        <v>3921</v>
      </c>
      <c r="Y20" s="161" t="s">
        <v>64</v>
      </c>
      <c r="Z20" s="162">
        <v>3.5</v>
      </c>
      <c r="AA20" s="161" t="s">
        <v>58</v>
      </c>
      <c r="AB20" s="161" t="s">
        <v>57</v>
      </c>
      <c r="AC20" s="156" t="s">
        <v>59</v>
      </c>
      <c r="AD20" s="163" t="s">
        <v>771</v>
      </c>
      <c r="AE20" s="163" t="s">
        <v>786</v>
      </c>
    </row>
    <row r="22" spans="1:31" ht="15" customHeight="1" x14ac:dyDescent="0.25">
      <c r="A22" s="227" t="s">
        <v>3922</v>
      </c>
      <c r="B22" s="227"/>
      <c r="C22" s="227"/>
      <c r="D22" s="227"/>
      <c r="E22" s="227"/>
      <c r="F22" s="227"/>
      <c r="G22" s="227"/>
      <c r="H22" s="227"/>
      <c r="I22" s="227"/>
      <c r="J22" s="227"/>
      <c r="K22" s="227"/>
      <c r="L22" s="227"/>
      <c r="M22" s="227"/>
      <c r="N22" s="227"/>
      <c r="O22" s="227"/>
      <c r="P22" s="227"/>
      <c r="Q22" s="227"/>
      <c r="R22" s="227"/>
      <c r="S22" s="227"/>
      <c r="T22" s="227"/>
      <c r="U22" s="227"/>
      <c r="V22" s="227"/>
      <c r="W22" s="227"/>
      <c r="X22" s="227"/>
      <c r="Y22" s="227"/>
      <c r="Z22" s="227"/>
      <c r="AA22" s="227"/>
      <c r="AB22" s="227"/>
      <c r="AC22" s="227"/>
      <c r="AD22" s="227"/>
    </row>
  </sheetData>
  <mergeCells count="9">
    <mergeCell ref="A22:AD22"/>
    <mergeCell ref="A1:AD1"/>
    <mergeCell ref="A2:AD2"/>
    <mergeCell ref="A4:G4"/>
    <mergeCell ref="H4:I4"/>
    <mergeCell ref="J4:U4"/>
    <mergeCell ref="V4:Y4"/>
    <mergeCell ref="Z4:AB4"/>
    <mergeCell ref="AC4:AD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54"/>
  <sheetViews>
    <sheetView zoomScaleNormal="100" workbookViewId="0">
      <pane ySplit="5" topLeftCell="A6" activePane="bottomLeft" state="frozen"/>
      <selection pane="bottomLeft"/>
    </sheetView>
  </sheetViews>
  <sheetFormatPr defaultColWidth="8.7109375" defaultRowHeight="15" x14ac:dyDescent="0.25"/>
  <cols>
    <col min="1" max="1" width="6" customWidth="1"/>
    <col min="2" max="2" width="22" customWidth="1"/>
    <col min="3" max="3" width="10" customWidth="1"/>
    <col min="4" max="4" width="13" customWidth="1"/>
    <col min="5" max="5" width="52" customWidth="1"/>
    <col min="6" max="6" width="45" customWidth="1"/>
    <col min="7" max="7" width="42" customWidth="1"/>
    <col min="8" max="8" width="40" customWidth="1"/>
    <col min="9" max="9" width="38" customWidth="1"/>
    <col min="10" max="10" width="48" customWidth="1"/>
    <col min="11" max="11" width="36" customWidth="1"/>
    <col min="12" max="12" width="34" customWidth="1"/>
  </cols>
  <sheetData>
    <row r="1" spans="1:13" ht="30" customHeight="1" x14ac:dyDescent="0.25">
      <c r="A1" s="219" t="s">
        <v>3923</v>
      </c>
      <c r="B1" s="219"/>
      <c r="C1" s="219"/>
      <c r="D1" s="219"/>
      <c r="E1" s="219"/>
      <c r="F1" s="219"/>
      <c r="G1" s="219"/>
      <c r="H1" s="219"/>
      <c r="I1" s="219"/>
      <c r="J1" s="219"/>
      <c r="K1" s="219"/>
      <c r="L1" s="219"/>
    </row>
    <row r="2" spans="1:13" ht="15.75" customHeight="1" x14ac:dyDescent="0.25">
      <c r="A2" s="220" t="s">
        <v>3924</v>
      </c>
      <c r="B2" s="220"/>
      <c r="C2" s="220"/>
      <c r="D2" s="220"/>
      <c r="E2" s="220"/>
      <c r="F2" s="220"/>
      <c r="G2" s="220"/>
      <c r="H2" s="220"/>
      <c r="I2" s="220"/>
      <c r="J2" s="220"/>
      <c r="K2" s="220"/>
      <c r="L2" s="220"/>
    </row>
    <row r="3" spans="1:13" ht="6" customHeight="1" x14ac:dyDescent="0.25"/>
    <row r="4" spans="1:13" ht="21.75" customHeight="1" x14ac:dyDescent="0.25">
      <c r="A4" s="228" t="s">
        <v>3925</v>
      </c>
      <c r="B4" s="228"/>
      <c r="C4" s="228"/>
      <c r="D4" s="228"/>
      <c r="E4" s="228"/>
      <c r="F4" s="228"/>
      <c r="G4" s="228"/>
      <c r="H4" s="228"/>
      <c r="I4" s="228"/>
      <c r="J4" s="228"/>
      <c r="K4" s="228"/>
      <c r="L4" s="228"/>
    </row>
    <row r="5" spans="1:13" ht="43.5" customHeight="1" x14ac:dyDescent="0.25">
      <c r="A5" s="147" t="s">
        <v>3926</v>
      </c>
      <c r="B5" s="147" t="s">
        <v>3927</v>
      </c>
      <c r="C5" s="147" t="s">
        <v>3928</v>
      </c>
      <c r="D5" s="147" t="s">
        <v>3929</v>
      </c>
      <c r="E5" s="147" t="s">
        <v>3930</v>
      </c>
      <c r="F5" s="147" t="s">
        <v>3931</v>
      </c>
      <c r="G5" s="147" t="s">
        <v>3932</v>
      </c>
      <c r="H5" s="147" t="s">
        <v>3933</v>
      </c>
      <c r="I5" s="147" t="s">
        <v>3934</v>
      </c>
      <c r="J5" s="147" t="s">
        <v>3935</v>
      </c>
      <c r="K5" s="147" t="s">
        <v>3936</v>
      </c>
      <c r="L5" s="147" t="s">
        <v>3937</v>
      </c>
      <c r="M5" s="147" t="s">
        <v>35</v>
      </c>
    </row>
    <row r="6" spans="1:13" ht="99.75" customHeight="1" x14ac:dyDescent="0.25">
      <c r="A6" s="169">
        <v>1</v>
      </c>
      <c r="B6" s="170" t="s">
        <v>3938</v>
      </c>
      <c r="C6" s="171" t="s">
        <v>3939</v>
      </c>
      <c r="D6" s="171" t="s">
        <v>3940</v>
      </c>
      <c r="E6" s="172" t="s">
        <v>3941</v>
      </c>
      <c r="F6" s="172" t="s">
        <v>3942</v>
      </c>
      <c r="G6" s="172" t="s">
        <v>3943</v>
      </c>
      <c r="H6" s="172" t="s">
        <v>3944</v>
      </c>
      <c r="I6" s="172" t="s">
        <v>3945</v>
      </c>
      <c r="J6" s="172" t="s">
        <v>3946</v>
      </c>
      <c r="K6" s="172" t="s">
        <v>3947</v>
      </c>
      <c r="L6" s="172" t="s">
        <v>3948</v>
      </c>
      <c r="M6" s="172" t="s">
        <v>3475</v>
      </c>
    </row>
    <row r="7" spans="1:13" ht="99.75" customHeight="1" x14ac:dyDescent="0.25">
      <c r="A7" s="173">
        <v>2</v>
      </c>
      <c r="B7" s="174" t="s">
        <v>3949</v>
      </c>
      <c r="C7" s="175" t="s">
        <v>3950</v>
      </c>
      <c r="D7" s="175" t="s">
        <v>3951</v>
      </c>
      <c r="E7" s="176" t="s">
        <v>3952</v>
      </c>
      <c r="F7" s="176" t="s">
        <v>3953</v>
      </c>
      <c r="G7" s="176" t="s">
        <v>3954</v>
      </c>
      <c r="H7" s="176" t="s">
        <v>3955</v>
      </c>
      <c r="I7" s="176" t="s">
        <v>3956</v>
      </c>
      <c r="J7" s="176" t="s">
        <v>3957</v>
      </c>
      <c r="K7" s="176" t="s">
        <v>3958</v>
      </c>
      <c r="L7" s="176" t="s">
        <v>3959</v>
      </c>
      <c r="M7" s="176" t="s">
        <v>3475</v>
      </c>
    </row>
    <row r="8" spans="1:13" ht="99.75" customHeight="1" x14ac:dyDescent="0.25">
      <c r="A8" s="177">
        <v>3</v>
      </c>
      <c r="B8" s="178" t="s">
        <v>3960</v>
      </c>
      <c r="C8" s="179" t="s">
        <v>3961</v>
      </c>
      <c r="D8" s="179" t="s">
        <v>3962</v>
      </c>
      <c r="E8" s="180" t="s">
        <v>3963</v>
      </c>
      <c r="F8" s="180" t="s">
        <v>3964</v>
      </c>
      <c r="G8" s="180" t="s">
        <v>3965</v>
      </c>
      <c r="H8" s="180" t="s">
        <v>3966</v>
      </c>
      <c r="I8" s="180" t="s">
        <v>3967</v>
      </c>
      <c r="J8" s="180" t="s">
        <v>3968</v>
      </c>
      <c r="K8" s="180" t="s">
        <v>3969</v>
      </c>
      <c r="L8" s="180" t="s">
        <v>3970</v>
      </c>
      <c r="M8" s="180" t="s">
        <v>3475</v>
      </c>
    </row>
    <row r="9" spans="1:13" ht="99.75" customHeight="1" x14ac:dyDescent="0.25">
      <c r="A9" s="181">
        <v>4</v>
      </c>
      <c r="B9" s="182" t="s">
        <v>3971</v>
      </c>
      <c r="C9" s="183" t="s">
        <v>3972</v>
      </c>
      <c r="D9" s="183" t="s">
        <v>3973</v>
      </c>
      <c r="E9" s="184" t="s">
        <v>3974</v>
      </c>
      <c r="F9" s="184" t="s">
        <v>3975</v>
      </c>
      <c r="G9" s="184" t="s">
        <v>3976</v>
      </c>
      <c r="H9" s="184" t="s">
        <v>3977</v>
      </c>
      <c r="I9" s="184" t="s">
        <v>3978</v>
      </c>
      <c r="J9" s="184" t="s">
        <v>3979</v>
      </c>
      <c r="K9" s="184" t="s">
        <v>3980</v>
      </c>
      <c r="L9" s="184" t="s">
        <v>3981</v>
      </c>
      <c r="M9" s="184" t="s">
        <v>3475</v>
      </c>
    </row>
    <row r="10" spans="1:13" ht="99.75" customHeight="1" x14ac:dyDescent="0.25">
      <c r="A10" s="169">
        <v>5</v>
      </c>
      <c r="B10" s="170" t="s">
        <v>3982</v>
      </c>
      <c r="C10" s="171" t="s">
        <v>3983</v>
      </c>
      <c r="D10" s="171" t="s">
        <v>3984</v>
      </c>
      <c r="E10" s="172" t="s">
        <v>3985</v>
      </c>
      <c r="F10" s="172" t="s">
        <v>3986</v>
      </c>
      <c r="G10" s="172" t="s">
        <v>3987</v>
      </c>
      <c r="H10" s="172" t="s">
        <v>3988</v>
      </c>
      <c r="I10" s="172" t="s">
        <v>3989</v>
      </c>
      <c r="J10" s="172" t="s">
        <v>3990</v>
      </c>
      <c r="K10" s="172" t="s">
        <v>3991</v>
      </c>
      <c r="L10" s="172" t="s">
        <v>3992</v>
      </c>
      <c r="M10" s="172" t="s">
        <v>3475</v>
      </c>
    </row>
    <row r="11" spans="1:13" ht="99.75" customHeight="1" x14ac:dyDescent="0.25">
      <c r="A11" s="173">
        <v>6</v>
      </c>
      <c r="B11" s="174" t="s">
        <v>3993</v>
      </c>
      <c r="C11" s="175" t="s">
        <v>3994</v>
      </c>
      <c r="D11" s="175" t="s">
        <v>3995</v>
      </c>
      <c r="E11" s="176" t="s">
        <v>3996</v>
      </c>
      <c r="F11" s="176" t="s">
        <v>3997</v>
      </c>
      <c r="G11" s="176" t="s">
        <v>3998</v>
      </c>
      <c r="H11" s="176" t="s">
        <v>3999</v>
      </c>
      <c r="I11" s="176" t="s">
        <v>4000</v>
      </c>
      <c r="J11" s="176" t="s">
        <v>4001</v>
      </c>
      <c r="K11" s="176" t="s">
        <v>4002</v>
      </c>
      <c r="L11" s="176" t="s">
        <v>4003</v>
      </c>
      <c r="M11" s="176" t="s">
        <v>3475</v>
      </c>
    </row>
    <row r="12" spans="1:13" ht="99.75" customHeight="1" x14ac:dyDescent="0.25">
      <c r="A12" s="177">
        <v>7</v>
      </c>
      <c r="B12" s="178" t="s">
        <v>363</v>
      </c>
      <c r="C12" s="179" t="s">
        <v>4004</v>
      </c>
      <c r="D12" s="179" t="s">
        <v>4005</v>
      </c>
      <c r="E12" s="180" t="s">
        <v>4006</v>
      </c>
      <c r="F12" s="180" t="s">
        <v>4007</v>
      </c>
      <c r="G12" s="180" t="s">
        <v>4008</v>
      </c>
      <c r="H12" s="180" t="s">
        <v>4009</v>
      </c>
      <c r="I12" s="180" t="s">
        <v>4010</v>
      </c>
      <c r="J12" s="180" t="s">
        <v>4011</v>
      </c>
      <c r="K12" s="180" t="s">
        <v>4012</v>
      </c>
      <c r="L12" s="180" t="s">
        <v>4013</v>
      </c>
      <c r="M12" s="180" t="s">
        <v>3475</v>
      </c>
    </row>
    <row r="13" spans="1:13" ht="99.75" customHeight="1" x14ac:dyDescent="0.25">
      <c r="A13" s="181">
        <v>8</v>
      </c>
      <c r="B13" s="182" t="s">
        <v>4014</v>
      </c>
      <c r="C13" s="183" t="s">
        <v>4015</v>
      </c>
      <c r="D13" s="183" t="s">
        <v>4016</v>
      </c>
      <c r="E13" s="184" t="s">
        <v>4017</v>
      </c>
      <c r="F13" s="184" t="s">
        <v>4018</v>
      </c>
      <c r="G13" s="184" t="s">
        <v>4019</v>
      </c>
      <c r="H13" s="184" t="s">
        <v>4020</v>
      </c>
      <c r="I13" s="184" t="s">
        <v>4021</v>
      </c>
      <c r="J13" s="184" t="s">
        <v>4022</v>
      </c>
      <c r="K13" s="184" t="s">
        <v>4023</v>
      </c>
      <c r="L13" s="184" t="s">
        <v>4024</v>
      </c>
      <c r="M13" s="184" t="s">
        <v>3475</v>
      </c>
    </row>
    <row r="14" spans="1:13" ht="99.75" customHeight="1" x14ac:dyDescent="0.25">
      <c r="A14" s="169">
        <v>9</v>
      </c>
      <c r="B14" s="170" t="s">
        <v>4025</v>
      </c>
      <c r="C14" s="171" t="s">
        <v>4026</v>
      </c>
      <c r="D14" s="171" t="s">
        <v>3984</v>
      </c>
      <c r="E14" s="172" t="s">
        <v>4027</v>
      </c>
      <c r="F14" s="172" t="s">
        <v>4028</v>
      </c>
      <c r="G14" s="172" t="s">
        <v>4029</v>
      </c>
      <c r="H14" s="172" t="s">
        <v>4030</v>
      </c>
      <c r="I14" s="172" t="s">
        <v>4031</v>
      </c>
      <c r="J14" s="172" t="s">
        <v>4032</v>
      </c>
      <c r="K14" s="172" t="s">
        <v>4033</v>
      </c>
      <c r="L14" s="172" t="s">
        <v>4034</v>
      </c>
      <c r="M14" s="172" t="s">
        <v>3475</v>
      </c>
    </row>
    <row r="15" spans="1:13" ht="99.75" customHeight="1" x14ac:dyDescent="0.25">
      <c r="A15" s="173">
        <v>10</v>
      </c>
      <c r="B15" s="174" t="s">
        <v>3009</v>
      </c>
      <c r="C15" s="175" t="s">
        <v>4035</v>
      </c>
      <c r="D15" s="175" t="s">
        <v>4036</v>
      </c>
      <c r="E15" s="176" t="s">
        <v>4037</v>
      </c>
      <c r="F15" s="176" t="s">
        <v>4038</v>
      </c>
      <c r="G15" s="176" t="s">
        <v>4039</v>
      </c>
      <c r="H15" s="176" t="s">
        <v>4040</v>
      </c>
      <c r="I15" s="176" t="s">
        <v>4041</v>
      </c>
      <c r="J15" s="176" t="s">
        <v>4042</v>
      </c>
      <c r="K15" s="176" t="s">
        <v>4043</v>
      </c>
      <c r="L15" s="176" t="s">
        <v>4044</v>
      </c>
      <c r="M15" s="176" t="s">
        <v>3475</v>
      </c>
    </row>
    <row r="16" spans="1:13" ht="99.75" customHeight="1" x14ac:dyDescent="0.25">
      <c r="A16" s="177">
        <v>11</v>
      </c>
      <c r="B16" s="178" t="s">
        <v>4045</v>
      </c>
      <c r="C16" s="179" t="s">
        <v>4046</v>
      </c>
      <c r="D16" s="179" t="s">
        <v>4047</v>
      </c>
      <c r="E16" s="180" t="s">
        <v>4048</v>
      </c>
      <c r="F16" s="180" t="s">
        <v>4049</v>
      </c>
      <c r="G16" s="180" t="s">
        <v>4050</v>
      </c>
      <c r="H16" s="180" t="s">
        <v>4051</v>
      </c>
      <c r="I16" s="180" t="s">
        <v>4052</v>
      </c>
      <c r="J16" s="180" t="s">
        <v>4053</v>
      </c>
      <c r="K16" s="180" t="s">
        <v>4054</v>
      </c>
      <c r="L16" s="180" t="s">
        <v>4055</v>
      </c>
      <c r="M16" s="180" t="s">
        <v>3475</v>
      </c>
    </row>
    <row r="17" spans="1:13" ht="99.75" customHeight="1" x14ac:dyDescent="0.25">
      <c r="A17" s="185">
        <v>12</v>
      </c>
      <c r="B17" s="186" t="s">
        <v>4056</v>
      </c>
      <c r="C17" s="187" t="s">
        <v>4046</v>
      </c>
      <c r="D17" s="187" t="s">
        <v>4057</v>
      </c>
      <c r="E17" s="188" t="s">
        <v>4058</v>
      </c>
      <c r="F17" s="188" t="s">
        <v>4059</v>
      </c>
      <c r="G17" s="188" t="s">
        <v>4060</v>
      </c>
      <c r="H17" s="188" t="s">
        <v>4061</v>
      </c>
      <c r="I17" s="188" t="s">
        <v>4062</v>
      </c>
      <c r="J17" s="188" t="s">
        <v>4063</v>
      </c>
      <c r="K17" s="188" t="s">
        <v>4064</v>
      </c>
      <c r="L17" s="188" t="s">
        <v>4065</v>
      </c>
      <c r="M17" s="188" t="s">
        <v>3475</v>
      </c>
    </row>
    <row r="18" spans="1:13" ht="12" customHeight="1" x14ac:dyDescent="0.25">
      <c r="M18" t="s">
        <v>3475</v>
      </c>
    </row>
    <row r="19" spans="1:13" ht="19.5" customHeight="1" x14ac:dyDescent="0.25">
      <c r="A19" s="229" t="s">
        <v>4066</v>
      </c>
      <c r="B19" s="229"/>
      <c r="C19" s="229"/>
      <c r="D19" s="229"/>
      <c r="E19" s="229"/>
      <c r="F19" s="229"/>
      <c r="G19" s="229"/>
      <c r="H19" s="229"/>
      <c r="I19" s="229"/>
      <c r="J19" s="229"/>
      <c r="K19" s="229"/>
      <c r="L19" s="229"/>
      <c r="M19" t="s">
        <v>3475</v>
      </c>
    </row>
    <row r="20" spans="1:13" ht="30" customHeight="1" x14ac:dyDescent="0.25">
      <c r="A20" s="146" t="s">
        <v>4067</v>
      </c>
      <c r="B20" s="146" t="s">
        <v>4068</v>
      </c>
      <c r="C20" s="146" t="s">
        <v>4069</v>
      </c>
      <c r="D20" s="146" t="s">
        <v>4070</v>
      </c>
      <c r="E20" s="146" t="s">
        <v>4071</v>
      </c>
      <c r="F20" s="146" t="s">
        <v>4072</v>
      </c>
      <c r="G20" s="230" t="s">
        <v>4073</v>
      </c>
      <c r="H20" s="230"/>
      <c r="I20" s="230"/>
      <c r="J20" s="230"/>
      <c r="K20" s="230"/>
      <c r="L20" s="230"/>
      <c r="M20" t="s">
        <v>3475</v>
      </c>
    </row>
    <row r="21" spans="1:13" ht="36" customHeight="1" x14ac:dyDescent="0.25">
      <c r="A21" s="161" t="s">
        <v>4074</v>
      </c>
      <c r="B21" s="155" t="s">
        <v>1272</v>
      </c>
      <c r="C21" s="155" t="s">
        <v>4075</v>
      </c>
      <c r="D21" s="155" t="s">
        <v>4076</v>
      </c>
      <c r="E21" s="155" t="s">
        <v>4077</v>
      </c>
      <c r="F21" s="155" t="s">
        <v>4078</v>
      </c>
      <c r="G21" s="213"/>
      <c r="H21" s="213"/>
      <c r="I21" s="213"/>
      <c r="J21" s="213"/>
      <c r="K21" s="213"/>
      <c r="L21" s="213"/>
      <c r="M21" t="s">
        <v>3475</v>
      </c>
    </row>
    <row r="22" spans="1:13" ht="36" customHeight="1" x14ac:dyDescent="0.25">
      <c r="A22" s="76" t="s">
        <v>4079</v>
      </c>
      <c r="B22" s="77" t="s">
        <v>4080</v>
      </c>
      <c r="C22" s="77" t="s">
        <v>4081</v>
      </c>
      <c r="D22" s="77" t="s">
        <v>4082</v>
      </c>
      <c r="E22" s="77" t="s">
        <v>4083</v>
      </c>
      <c r="F22" s="77" t="s">
        <v>4084</v>
      </c>
      <c r="G22" s="213"/>
      <c r="H22" s="213"/>
      <c r="I22" s="213"/>
      <c r="J22" s="213"/>
      <c r="K22" s="213"/>
      <c r="L22" s="213"/>
      <c r="M22" t="s">
        <v>3475</v>
      </c>
    </row>
    <row r="23" spans="1:13" ht="36" customHeight="1" x14ac:dyDescent="0.25">
      <c r="A23" s="161" t="s">
        <v>4085</v>
      </c>
      <c r="B23" s="155" t="s">
        <v>4086</v>
      </c>
      <c r="C23" s="155" t="s">
        <v>4087</v>
      </c>
      <c r="D23" s="155" t="s">
        <v>4088</v>
      </c>
      <c r="E23" s="155" t="s">
        <v>4089</v>
      </c>
      <c r="F23" s="155" t="s">
        <v>4090</v>
      </c>
      <c r="G23" s="213"/>
      <c r="H23" s="213"/>
      <c r="I23" s="213"/>
      <c r="J23" s="213"/>
      <c r="K23" s="213"/>
      <c r="L23" s="213"/>
      <c r="M23" t="s">
        <v>3475</v>
      </c>
    </row>
    <row r="24" spans="1:13" ht="36" customHeight="1" x14ac:dyDescent="0.25">
      <c r="A24" s="76" t="s">
        <v>4091</v>
      </c>
      <c r="B24" s="77" t="s">
        <v>4092</v>
      </c>
      <c r="C24" s="77" t="s">
        <v>4093</v>
      </c>
      <c r="D24" s="77" t="s">
        <v>4094</v>
      </c>
      <c r="E24" s="77" t="s">
        <v>4095</v>
      </c>
      <c r="F24" s="77" t="s">
        <v>4096</v>
      </c>
      <c r="G24" s="213"/>
      <c r="H24" s="213"/>
      <c r="I24" s="213"/>
      <c r="J24" s="213"/>
      <c r="K24" s="213"/>
      <c r="L24" s="213"/>
      <c r="M24" t="s">
        <v>3475</v>
      </c>
    </row>
    <row r="25" spans="1:13" ht="36" customHeight="1" x14ac:dyDescent="0.25">
      <c r="A25" s="161" t="s">
        <v>4097</v>
      </c>
      <c r="B25" s="155" t="s">
        <v>4098</v>
      </c>
      <c r="C25" s="155" t="s">
        <v>4099</v>
      </c>
      <c r="D25" s="155" t="s">
        <v>4100</v>
      </c>
      <c r="E25" s="155" t="s">
        <v>4101</v>
      </c>
      <c r="F25" s="155" t="s">
        <v>4102</v>
      </c>
      <c r="G25" s="213"/>
      <c r="H25" s="213"/>
      <c r="I25" s="213"/>
      <c r="J25" s="213"/>
      <c r="K25" s="213"/>
      <c r="L25" s="213"/>
      <c r="M25" t="s">
        <v>3475</v>
      </c>
    </row>
    <row r="26" spans="1:13" ht="36" customHeight="1" x14ac:dyDescent="0.25">
      <c r="A26" s="76" t="s">
        <v>4103</v>
      </c>
      <c r="B26" s="77" t="s">
        <v>4104</v>
      </c>
      <c r="C26" s="77" t="s">
        <v>4105</v>
      </c>
      <c r="D26" s="77" t="s">
        <v>4106</v>
      </c>
      <c r="E26" s="77" t="s">
        <v>4107</v>
      </c>
      <c r="F26" s="77" t="s">
        <v>4108</v>
      </c>
      <c r="G26" s="213"/>
      <c r="H26" s="213"/>
      <c r="I26" s="213"/>
      <c r="J26" s="213"/>
      <c r="K26" s="213"/>
      <c r="L26" s="213"/>
      <c r="M26" t="s">
        <v>3475</v>
      </c>
    </row>
    <row r="27" spans="1:13" ht="36" customHeight="1" x14ac:dyDescent="0.25">
      <c r="A27" s="161" t="s">
        <v>4109</v>
      </c>
      <c r="B27" s="155" t="s">
        <v>4110</v>
      </c>
      <c r="C27" s="155" t="s">
        <v>4111</v>
      </c>
      <c r="D27" s="155" t="s">
        <v>4112</v>
      </c>
      <c r="E27" s="155" t="s">
        <v>4113</v>
      </c>
      <c r="F27" s="155" t="s">
        <v>4114</v>
      </c>
      <c r="G27" s="213"/>
      <c r="H27" s="213"/>
      <c r="I27" s="213"/>
      <c r="J27" s="213"/>
      <c r="K27" s="213"/>
      <c r="L27" s="213"/>
      <c r="M27" t="s">
        <v>3475</v>
      </c>
    </row>
    <row r="28" spans="1:13" ht="36" customHeight="1" x14ac:dyDescent="0.25">
      <c r="A28" s="76" t="s">
        <v>4115</v>
      </c>
      <c r="B28" s="77" t="s">
        <v>4116</v>
      </c>
      <c r="C28" s="77" t="s">
        <v>4117</v>
      </c>
      <c r="D28" s="77" t="s">
        <v>4118</v>
      </c>
      <c r="E28" s="77" t="s">
        <v>4119</v>
      </c>
      <c r="F28" s="77" t="s">
        <v>4120</v>
      </c>
      <c r="G28" s="213"/>
      <c r="H28" s="213"/>
      <c r="I28" s="213"/>
      <c r="J28" s="213"/>
      <c r="K28" s="213"/>
      <c r="L28" s="213"/>
      <c r="M28" t="s">
        <v>3475</v>
      </c>
    </row>
    <row r="29" spans="1:13" ht="36" customHeight="1" x14ac:dyDescent="0.25">
      <c r="A29" s="161" t="s">
        <v>4121</v>
      </c>
      <c r="B29" s="155" t="s">
        <v>4122</v>
      </c>
      <c r="C29" s="155" t="s">
        <v>4123</v>
      </c>
      <c r="D29" s="155" t="s">
        <v>4124</v>
      </c>
      <c r="E29" s="155" t="s">
        <v>4125</v>
      </c>
      <c r="F29" s="155" t="s">
        <v>4126</v>
      </c>
      <c r="G29" s="213"/>
      <c r="H29" s="213"/>
      <c r="I29" s="213"/>
      <c r="J29" s="213"/>
      <c r="K29" s="213"/>
      <c r="L29" s="213"/>
      <c r="M29" t="s">
        <v>3475</v>
      </c>
    </row>
    <row r="30" spans="1:13" ht="36" customHeight="1" x14ac:dyDescent="0.25">
      <c r="A30" s="76" t="s">
        <v>4127</v>
      </c>
      <c r="B30" s="77" t="s">
        <v>4128</v>
      </c>
      <c r="C30" s="77" t="s">
        <v>4129</v>
      </c>
      <c r="D30" s="77" t="s">
        <v>4130</v>
      </c>
      <c r="E30" s="77" t="s">
        <v>4131</v>
      </c>
      <c r="F30" s="77" t="s">
        <v>4132</v>
      </c>
      <c r="G30" s="213"/>
      <c r="H30" s="213"/>
      <c r="I30" s="213"/>
      <c r="J30" s="213"/>
      <c r="K30" s="213"/>
      <c r="L30" s="213"/>
      <c r="M30" t="s">
        <v>3475</v>
      </c>
    </row>
    <row r="31" spans="1:13" ht="15" customHeight="1" x14ac:dyDescent="0.25">
      <c r="M31" t="s">
        <v>3475</v>
      </c>
    </row>
    <row r="32" spans="1:13" ht="12" customHeight="1" x14ac:dyDescent="0.25">
      <c r="M32" t="s">
        <v>3475</v>
      </c>
    </row>
    <row r="33" spans="1:13" ht="19.5" customHeight="1" x14ac:dyDescent="0.25">
      <c r="A33" s="229" t="s">
        <v>4133</v>
      </c>
      <c r="B33" s="229"/>
      <c r="C33" s="229"/>
      <c r="D33" s="229"/>
      <c r="E33" s="229"/>
      <c r="F33" s="229"/>
      <c r="G33" s="229"/>
      <c r="H33" s="229"/>
      <c r="I33" s="229"/>
      <c r="J33" s="229"/>
      <c r="K33" s="229"/>
      <c r="L33" s="229"/>
      <c r="M33" t="s">
        <v>3475</v>
      </c>
    </row>
    <row r="34" spans="1:13" ht="27.75" customHeight="1" x14ac:dyDescent="0.25">
      <c r="A34" s="146" t="s">
        <v>4134</v>
      </c>
      <c r="B34" s="146" t="s">
        <v>4135</v>
      </c>
      <c r="C34" s="146" t="s">
        <v>4136</v>
      </c>
      <c r="D34" s="146" t="s">
        <v>4137</v>
      </c>
      <c r="E34" s="146" t="s">
        <v>4138</v>
      </c>
      <c r="F34" s="146" t="s">
        <v>4139</v>
      </c>
      <c r="G34" s="213"/>
      <c r="H34" s="213"/>
      <c r="I34" s="213"/>
      <c r="J34" s="213"/>
      <c r="K34" s="213"/>
      <c r="L34" s="213"/>
      <c r="M34" t="s">
        <v>3475</v>
      </c>
    </row>
    <row r="35" spans="1:13" ht="67.5" customHeight="1" x14ac:dyDescent="0.25">
      <c r="A35" s="189" t="s">
        <v>4140</v>
      </c>
      <c r="B35" s="189" t="s">
        <v>118</v>
      </c>
      <c r="C35" s="189" t="s">
        <v>4141</v>
      </c>
      <c r="D35" s="189" t="s">
        <v>4142</v>
      </c>
      <c r="E35" s="189" t="s">
        <v>4143</v>
      </c>
      <c r="F35" s="189" t="s">
        <v>4144</v>
      </c>
      <c r="G35" s="213"/>
      <c r="H35" s="213"/>
      <c r="I35" s="213"/>
      <c r="J35" s="213"/>
      <c r="K35" s="213"/>
      <c r="L35" s="213"/>
      <c r="M35" t="s">
        <v>3475</v>
      </c>
    </row>
    <row r="36" spans="1:13" ht="67.5" customHeight="1" x14ac:dyDescent="0.25">
      <c r="A36" s="190" t="s">
        <v>4145</v>
      </c>
      <c r="B36" s="190" t="s">
        <v>4146</v>
      </c>
      <c r="C36" s="190" t="s">
        <v>4147</v>
      </c>
      <c r="D36" s="190" t="s">
        <v>4148</v>
      </c>
      <c r="E36" s="190" t="s">
        <v>4149</v>
      </c>
      <c r="F36" s="190" t="s">
        <v>4150</v>
      </c>
      <c r="G36" s="213"/>
      <c r="H36" s="213"/>
      <c r="I36" s="213"/>
      <c r="J36" s="213"/>
      <c r="K36" s="213"/>
      <c r="L36" s="213"/>
      <c r="M36" t="s">
        <v>3475</v>
      </c>
    </row>
    <row r="37" spans="1:13" ht="67.5" customHeight="1" x14ac:dyDescent="0.25">
      <c r="A37" s="189" t="s">
        <v>4151</v>
      </c>
      <c r="B37" s="189" t="s">
        <v>49</v>
      </c>
      <c r="C37" s="189" t="s">
        <v>4152</v>
      </c>
      <c r="D37" s="189" t="s">
        <v>4153</v>
      </c>
      <c r="E37" s="189" t="s">
        <v>4154</v>
      </c>
      <c r="F37" s="189" t="s">
        <v>4155</v>
      </c>
      <c r="G37" s="213"/>
      <c r="H37" s="213"/>
      <c r="I37" s="213"/>
      <c r="J37" s="213"/>
      <c r="K37" s="213"/>
      <c r="L37" s="213"/>
      <c r="M37" t="s">
        <v>3475</v>
      </c>
    </row>
    <row r="38" spans="1:13" ht="67.5" customHeight="1" x14ac:dyDescent="0.25">
      <c r="A38" s="190" t="s">
        <v>4156</v>
      </c>
      <c r="B38" s="190" t="s">
        <v>4157</v>
      </c>
      <c r="C38" s="190" t="s">
        <v>4158</v>
      </c>
      <c r="D38" s="190" t="s">
        <v>4159</v>
      </c>
      <c r="E38" s="190" t="s">
        <v>4160</v>
      </c>
      <c r="F38" s="190" t="s">
        <v>4161</v>
      </c>
      <c r="G38" s="213"/>
      <c r="H38" s="213"/>
      <c r="I38" s="213"/>
      <c r="J38" s="213"/>
      <c r="K38" s="213"/>
      <c r="L38" s="213"/>
      <c r="M38" t="s">
        <v>3475</v>
      </c>
    </row>
    <row r="39" spans="1:13" ht="15" customHeight="1" x14ac:dyDescent="0.25">
      <c r="M39" t="s">
        <v>3475</v>
      </c>
    </row>
    <row r="40" spans="1:13" ht="12" customHeight="1" x14ac:dyDescent="0.25">
      <c r="M40" t="s">
        <v>3475</v>
      </c>
    </row>
    <row r="41" spans="1:13" ht="19.5" customHeight="1" x14ac:dyDescent="0.25">
      <c r="A41" s="229" t="s">
        <v>4162</v>
      </c>
      <c r="B41" s="229"/>
      <c r="C41" s="229"/>
      <c r="D41" s="229"/>
      <c r="E41" s="229"/>
      <c r="F41" s="229"/>
      <c r="G41" s="229"/>
      <c r="H41" s="229"/>
      <c r="I41" s="229"/>
      <c r="J41" s="229"/>
      <c r="K41" s="229"/>
      <c r="L41" s="229"/>
      <c r="M41" t="s">
        <v>3475</v>
      </c>
    </row>
    <row r="42" spans="1:13" ht="27.75" customHeight="1" x14ac:dyDescent="0.25">
      <c r="A42" s="222" t="s">
        <v>4163</v>
      </c>
      <c r="B42" s="222"/>
      <c r="C42" s="222" t="s">
        <v>4164</v>
      </c>
      <c r="D42" s="222"/>
      <c r="E42" s="222" t="s">
        <v>4165</v>
      </c>
      <c r="F42" s="222"/>
      <c r="G42" s="222"/>
      <c r="H42" s="222"/>
      <c r="I42" s="222"/>
      <c r="J42" s="222"/>
      <c r="K42" s="222"/>
      <c r="L42" s="222"/>
      <c r="M42" t="s">
        <v>3475</v>
      </c>
    </row>
    <row r="43" spans="1:13" ht="51.75" customHeight="1" x14ac:dyDescent="0.25">
      <c r="A43" s="231" t="s">
        <v>4166</v>
      </c>
      <c r="B43" s="231"/>
      <c r="C43" s="232" t="s">
        <v>4167</v>
      </c>
      <c r="D43" s="232"/>
      <c r="E43" s="233" t="s">
        <v>4168</v>
      </c>
      <c r="F43" s="233"/>
      <c r="G43" s="233"/>
      <c r="H43" s="233"/>
      <c r="I43" s="233"/>
      <c r="J43" s="233"/>
      <c r="K43" s="233"/>
      <c r="L43" s="233"/>
      <c r="M43" t="s">
        <v>3475</v>
      </c>
    </row>
    <row r="44" spans="1:13" ht="51.75" customHeight="1" x14ac:dyDescent="0.25">
      <c r="A44" s="234" t="s">
        <v>4169</v>
      </c>
      <c r="B44" s="234"/>
      <c r="C44" s="232" t="s">
        <v>4167</v>
      </c>
      <c r="D44" s="232"/>
      <c r="E44" s="235" t="s">
        <v>4170</v>
      </c>
      <c r="F44" s="235"/>
      <c r="G44" s="235"/>
      <c r="H44" s="235"/>
      <c r="I44" s="235"/>
      <c r="J44" s="235"/>
      <c r="K44" s="235"/>
      <c r="L44" s="235"/>
      <c r="M44" t="s">
        <v>3475</v>
      </c>
    </row>
    <row r="45" spans="1:13" ht="51.75" customHeight="1" x14ac:dyDescent="0.25">
      <c r="A45" s="231" t="s">
        <v>4171</v>
      </c>
      <c r="B45" s="231"/>
      <c r="C45" s="232" t="s">
        <v>4172</v>
      </c>
      <c r="D45" s="232"/>
      <c r="E45" s="233" t="s">
        <v>4173</v>
      </c>
      <c r="F45" s="233"/>
      <c r="G45" s="233"/>
      <c r="H45" s="233"/>
      <c r="I45" s="233"/>
      <c r="J45" s="233"/>
      <c r="K45" s="233"/>
      <c r="L45" s="233"/>
      <c r="M45" t="s">
        <v>3475</v>
      </c>
    </row>
    <row r="46" spans="1:13" ht="51.75" customHeight="1" x14ac:dyDescent="0.25">
      <c r="A46" s="234" t="s">
        <v>4174</v>
      </c>
      <c r="B46" s="234"/>
      <c r="C46" s="232" t="s">
        <v>4172</v>
      </c>
      <c r="D46" s="232"/>
      <c r="E46" s="235" t="s">
        <v>4175</v>
      </c>
      <c r="F46" s="235"/>
      <c r="G46" s="235"/>
      <c r="H46" s="235"/>
      <c r="I46" s="235"/>
      <c r="J46" s="235"/>
      <c r="K46" s="235"/>
      <c r="L46" s="235"/>
      <c r="M46" t="s">
        <v>3475</v>
      </c>
    </row>
    <row r="47" spans="1:13" ht="51.75" customHeight="1" x14ac:dyDescent="0.25">
      <c r="A47" s="231" t="s">
        <v>4176</v>
      </c>
      <c r="B47" s="231"/>
      <c r="C47" s="232" t="s">
        <v>4177</v>
      </c>
      <c r="D47" s="232"/>
      <c r="E47" s="233" t="s">
        <v>4178</v>
      </c>
      <c r="F47" s="233"/>
      <c r="G47" s="233"/>
      <c r="H47" s="233"/>
      <c r="I47" s="233"/>
      <c r="J47" s="233"/>
      <c r="K47" s="233"/>
      <c r="L47" s="233"/>
      <c r="M47" t="s">
        <v>3475</v>
      </c>
    </row>
    <row r="48" spans="1:13" ht="51.75" customHeight="1" x14ac:dyDescent="0.25">
      <c r="A48" s="234" t="s">
        <v>4179</v>
      </c>
      <c r="B48" s="234"/>
      <c r="C48" s="232" t="s">
        <v>4177</v>
      </c>
      <c r="D48" s="232"/>
      <c r="E48" s="235" t="s">
        <v>4180</v>
      </c>
      <c r="F48" s="235"/>
      <c r="G48" s="235"/>
      <c r="H48" s="235"/>
      <c r="I48" s="235"/>
      <c r="J48" s="235"/>
      <c r="K48" s="235"/>
      <c r="L48" s="235"/>
      <c r="M48" t="s">
        <v>3475</v>
      </c>
    </row>
    <row r="49" spans="1:13" ht="51.75" customHeight="1" x14ac:dyDescent="0.25">
      <c r="A49" s="231" t="s">
        <v>4181</v>
      </c>
      <c r="B49" s="231"/>
      <c r="C49" s="232" t="s">
        <v>4182</v>
      </c>
      <c r="D49" s="232"/>
      <c r="E49" s="233" t="s">
        <v>4183</v>
      </c>
      <c r="F49" s="233"/>
      <c r="G49" s="233"/>
      <c r="H49" s="233"/>
      <c r="I49" s="233"/>
      <c r="J49" s="233"/>
      <c r="K49" s="233"/>
      <c r="L49" s="233"/>
      <c r="M49" t="s">
        <v>3475</v>
      </c>
    </row>
    <row r="50" spans="1:13" ht="51.75" customHeight="1" x14ac:dyDescent="0.25">
      <c r="A50" s="234" t="s">
        <v>4184</v>
      </c>
      <c r="B50" s="234"/>
      <c r="C50" s="232" t="s">
        <v>4185</v>
      </c>
      <c r="D50" s="232"/>
      <c r="E50" s="235" t="s">
        <v>4186</v>
      </c>
      <c r="F50" s="235"/>
      <c r="G50" s="235"/>
      <c r="H50" s="235"/>
      <c r="I50" s="235"/>
      <c r="J50" s="235"/>
      <c r="K50" s="235"/>
      <c r="L50" s="235"/>
      <c r="M50" t="s">
        <v>3475</v>
      </c>
    </row>
    <row r="51" spans="1:13" ht="51.75" customHeight="1" x14ac:dyDescent="0.25">
      <c r="A51" s="231" t="s">
        <v>4187</v>
      </c>
      <c r="B51" s="231"/>
      <c r="C51" s="232" t="s">
        <v>4188</v>
      </c>
      <c r="D51" s="232"/>
      <c r="E51" s="233" t="s">
        <v>4189</v>
      </c>
      <c r="F51" s="233"/>
      <c r="G51" s="233"/>
      <c r="H51" s="233"/>
      <c r="I51" s="233"/>
      <c r="J51" s="233"/>
      <c r="K51" s="233"/>
      <c r="L51" s="233"/>
      <c r="M51" t="s">
        <v>3475</v>
      </c>
    </row>
    <row r="52" spans="1:13" ht="51.75" customHeight="1" x14ac:dyDescent="0.25">
      <c r="A52" s="234" t="s">
        <v>4190</v>
      </c>
      <c r="B52" s="234"/>
      <c r="C52" s="232" t="s">
        <v>4188</v>
      </c>
      <c r="D52" s="232"/>
      <c r="E52" s="235" t="s">
        <v>4191</v>
      </c>
      <c r="F52" s="235"/>
      <c r="G52" s="235"/>
      <c r="H52" s="235"/>
      <c r="I52" s="235"/>
      <c r="J52" s="235"/>
      <c r="K52" s="235"/>
      <c r="L52" s="235"/>
      <c r="M52" t="s">
        <v>3475</v>
      </c>
    </row>
    <row r="53" spans="1:13" ht="15" customHeight="1" x14ac:dyDescent="0.25">
      <c r="M53" t="s">
        <v>3475</v>
      </c>
    </row>
    <row r="54" spans="1:13" ht="18" customHeight="1" x14ac:dyDescent="0.25">
      <c r="A54" s="227" t="s">
        <v>4192</v>
      </c>
      <c r="B54" s="227"/>
      <c r="C54" s="227"/>
      <c r="D54" s="227"/>
      <c r="E54" s="227"/>
      <c r="F54" s="227"/>
      <c r="G54" s="227"/>
      <c r="H54" s="227"/>
      <c r="I54" s="227"/>
      <c r="J54" s="227"/>
      <c r="K54" s="227"/>
      <c r="L54" s="227"/>
      <c r="M54" t="s">
        <v>3475</v>
      </c>
    </row>
  </sheetData>
  <mergeCells count="56">
    <mergeCell ref="A54:L54"/>
    <mergeCell ref="A51:B51"/>
    <mergeCell ref="C51:D51"/>
    <mergeCell ref="E51:L51"/>
    <mergeCell ref="A52:B52"/>
    <mergeCell ref="C52:D52"/>
    <mergeCell ref="E52:L52"/>
    <mergeCell ref="A49:B49"/>
    <mergeCell ref="C49:D49"/>
    <mergeCell ref="E49:L49"/>
    <mergeCell ref="A50:B50"/>
    <mergeCell ref="C50:D50"/>
    <mergeCell ref="E50:L50"/>
    <mergeCell ref="A47:B47"/>
    <mergeCell ref="C47:D47"/>
    <mergeCell ref="E47:L47"/>
    <mergeCell ref="A48:B48"/>
    <mergeCell ref="C48:D48"/>
    <mergeCell ref="E48:L48"/>
    <mergeCell ref="A45:B45"/>
    <mergeCell ref="C45:D45"/>
    <mergeCell ref="E45:L45"/>
    <mergeCell ref="A46:B46"/>
    <mergeCell ref="C46:D46"/>
    <mergeCell ref="E46:L46"/>
    <mergeCell ref="A43:B43"/>
    <mergeCell ref="C43:D43"/>
    <mergeCell ref="E43:L43"/>
    <mergeCell ref="A44:B44"/>
    <mergeCell ref="C44:D44"/>
    <mergeCell ref="E44:L44"/>
    <mergeCell ref="G38:L38"/>
    <mergeCell ref="A41:L41"/>
    <mergeCell ref="A42:B42"/>
    <mergeCell ref="C42:D42"/>
    <mergeCell ref="E42:L42"/>
    <mergeCell ref="A33:L33"/>
    <mergeCell ref="G34:L34"/>
    <mergeCell ref="G35:L35"/>
    <mergeCell ref="G36:L36"/>
    <mergeCell ref="G37:L37"/>
    <mergeCell ref="G26:L26"/>
    <mergeCell ref="G27:L27"/>
    <mergeCell ref="G28:L28"/>
    <mergeCell ref="G29:L29"/>
    <mergeCell ref="G30:L30"/>
    <mergeCell ref="G21:L21"/>
    <mergeCell ref="G22:L22"/>
    <mergeCell ref="G23:L23"/>
    <mergeCell ref="G24:L24"/>
    <mergeCell ref="G25:L25"/>
    <mergeCell ref="A1:L1"/>
    <mergeCell ref="A2:L2"/>
    <mergeCell ref="A4:L4"/>
    <mergeCell ref="A19:L19"/>
    <mergeCell ref="G20:L20"/>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16"/>
  <sheetViews>
    <sheetView zoomScaleNormal="100" workbookViewId="0"/>
  </sheetViews>
  <sheetFormatPr defaultColWidth="8.7109375" defaultRowHeight="15" x14ac:dyDescent="0.25"/>
  <cols>
    <col min="1" max="1" width="20" customWidth="1"/>
    <col min="2" max="2" width="26" customWidth="1"/>
    <col min="3" max="3" width="30" customWidth="1"/>
    <col min="4" max="4" width="20" customWidth="1"/>
    <col min="5" max="5" width="34" customWidth="1"/>
    <col min="6" max="6" width="24" customWidth="1"/>
    <col min="7" max="7" width="42" customWidth="1"/>
    <col min="8" max="8" width="50" customWidth="1"/>
  </cols>
  <sheetData>
    <row r="1" spans="1:8" ht="15.75" customHeight="1" x14ac:dyDescent="0.25">
      <c r="A1" s="14" t="s">
        <v>4193</v>
      </c>
      <c r="B1" s="14"/>
      <c r="C1" s="14"/>
      <c r="D1" s="14"/>
      <c r="E1" s="14"/>
      <c r="F1" s="14"/>
      <c r="G1" s="14"/>
      <c r="H1" s="14"/>
    </row>
    <row r="2" spans="1:8" ht="15" customHeight="1" x14ac:dyDescent="0.25">
      <c r="A2" s="13" t="s">
        <v>4194</v>
      </c>
      <c r="B2" s="13"/>
      <c r="C2" s="13"/>
      <c r="D2" s="13"/>
      <c r="E2" s="13"/>
      <c r="F2" s="13"/>
      <c r="G2" s="13"/>
      <c r="H2" s="13"/>
    </row>
    <row r="4" spans="1:8" ht="15" customHeight="1" x14ac:dyDescent="0.25">
      <c r="A4" s="61" t="s">
        <v>35</v>
      </c>
      <c r="B4" s="61" t="s">
        <v>4067</v>
      </c>
      <c r="C4" s="61" t="s">
        <v>4195</v>
      </c>
      <c r="D4" s="61" t="s">
        <v>2997</v>
      </c>
      <c r="E4" s="61" t="s">
        <v>4196</v>
      </c>
      <c r="F4" s="61" t="s">
        <v>4197</v>
      </c>
      <c r="G4" s="61" t="s">
        <v>4198</v>
      </c>
      <c r="H4" s="61" t="s">
        <v>4199</v>
      </c>
    </row>
    <row r="5" spans="1:8" ht="15" customHeight="1" x14ac:dyDescent="0.25">
      <c r="A5" s="62" t="s">
        <v>62</v>
      </c>
      <c r="B5" s="63" t="s">
        <v>4200</v>
      </c>
      <c r="C5" s="62" t="s">
        <v>1038</v>
      </c>
      <c r="D5" s="74" t="s">
        <v>1036</v>
      </c>
      <c r="E5" s="74" t="s">
        <v>48</v>
      </c>
      <c r="F5" s="74" t="s">
        <v>1035</v>
      </c>
      <c r="G5" s="74" t="s">
        <v>4201</v>
      </c>
      <c r="H5" s="74"/>
    </row>
    <row r="6" spans="1:8" ht="15" customHeight="1" x14ac:dyDescent="0.25">
      <c r="A6" s="62" t="s">
        <v>62</v>
      </c>
      <c r="B6" s="63" t="s">
        <v>4202</v>
      </c>
      <c r="C6" s="62" t="s">
        <v>1043</v>
      </c>
      <c r="D6" s="74" t="s">
        <v>1041</v>
      </c>
      <c r="E6" s="74" t="s">
        <v>48</v>
      </c>
      <c r="F6" s="74" t="s">
        <v>1040</v>
      </c>
      <c r="G6" s="74" t="s">
        <v>4201</v>
      </c>
      <c r="H6" s="74"/>
    </row>
    <row r="7" spans="1:8" ht="15" customHeight="1" x14ac:dyDescent="0.25">
      <c r="A7" s="62" t="s">
        <v>62</v>
      </c>
      <c r="B7" s="63" t="s">
        <v>4203</v>
      </c>
      <c r="C7" s="62" t="s">
        <v>1051</v>
      </c>
      <c r="D7" s="74" t="s">
        <v>1049</v>
      </c>
      <c r="E7" s="74" t="s">
        <v>48</v>
      </c>
      <c r="F7" s="74" t="s">
        <v>1048</v>
      </c>
      <c r="G7" s="74" t="s">
        <v>4201</v>
      </c>
      <c r="H7" s="74"/>
    </row>
    <row r="8" spans="1:8" ht="23.25" customHeight="1" x14ac:dyDescent="0.25">
      <c r="A8" s="62" t="s">
        <v>62</v>
      </c>
      <c r="B8" s="63" t="s">
        <v>4204</v>
      </c>
      <c r="C8" s="62" t="s">
        <v>4205</v>
      </c>
      <c r="D8" s="74" t="s">
        <v>1046</v>
      </c>
      <c r="E8" s="74" t="s">
        <v>48</v>
      </c>
      <c r="F8" s="74" t="s">
        <v>4206</v>
      </c>
      <c r="G8" s="74" t="s">
        <v>4207</v>
      </c>
      <c r="H8" s="74" t="s">
        <v>4208</v>
      </c>
    </row>
    <row r="9" spans="1:8" ht="15" customHeight="1" x14ac:dyDescent="0.25">
      <c r="A9" s="62" t="s">
        <v>484</v>
      </c>
      <c r="B9" s="63" t="s">
        <v>4200</v>
      </c>
      <c r="C9" s="62" t="s">
        <v>1058</v>
      </c>
      <c r="D9" s="74" t="s">
        <v>1036</v>
      </c>
      <c r="E9" s="74" t="s">
        <v>481</v>
      </c>
      <c r="F9" s="74" t="s">
        <v>1057</v>
      </c>
      <c r="G9" s="74" t="s">
        <v>4201</v>
      </c>
      <c r="H9" s="74"/>
    </row>
    <row r="10" spans="1:8" ht="15" customHeight="1" x14ac:dyDescent="0.25">
      <c r="A10" s="62" t="s">
        <v>484</v>
      </c>
      <c r="B10" s="63" t="s">
        <v>4202</v>
      </c>
      <c r="C10" s="62" t="s">
        <v>1061</v>
      </c>
      <c r="D10" s="74" t="s">
        <v>1041</v>
      </c>
      <c r="E10" s="74" t="s">
        <v>481</v>
      </c>
      <c r="F10" s="74" t="s">
        <v>1060</v>
      </c>
      <c r="G10" s="74" t="s">
        <v>4201</v>
      </c>
      <c r="H10" s="74"/>
    </row>
    <row r="11" spans="1:8" ht="15" customHeight="1" x14ac:dyDescent="0.25">
      <c r="A11" s="62" t="s">
        <v>484</v>
      </c>
      <c r="B11" s="63" t="s">
        <v>4203</v>
      </c>
      <c r="C11" s="62" t="s">
        <v>1064</v>
      </c>
      <c r="D11" s="74" t="s">
        <v>1049</v>
      </c>
      <c r="E11" s="74" t="s">
        <v>481</v>
      </c>
      <c r="F11" s="74" t="s">
        <v>1063</v>
      </c>
      <c r="G11" s="74" t="s">
        <v>4201</v>
      </c>
      <c r="H11" s="74"/>
    </row>
    <row r="12" spans="1:8" ht="23.25" customHeight="1" x14ac:dyDescent="0.25">
      <c r="A12" s="62" t="s">
        <v>484</v>
      </c>
      <c r="B12" s="63" t="s">
        <v>4204</v>
      </c>
      <c r="C12" s="62" t="s">
        <v>4209</v>
      </c>
      <c r="D12" s="74" t="s">
        <v>1046</v>
      </c>
      <c r="E12" s="74" t="s">
        <v>481</v>
      </c>
      <c r="F12" s="74" t="s">
        <v>4210</v>
      </c>
      <c r="G12" s="74" t="s">
        <v>4207</v>
      </c>
      <c r="H12" s="74" t="s">
        <v>4208</v>
      </c>
    </row>
    <row r="13" spans="1:8" ht="23.25" customHeight="1" x14ac:dyDescent="0.25">
      <c r="A13" s="62" t="s">
        <v>786</v>
      </c>
      <c r="B13" s="63" t="s">
        <v>4200</v>
      </c>
      <c r="C13" s="62" t="s">
        <v>1067</v>
      </c>
      <c r="D13" s="74" t="s">
        <v>1036</v>
      </c>
      <c r="E13" s="74" t="s">
        <v>808</v>
      </c>
      <c r="F13" s="74" t="s">
        <v>1066</v>
      </c>
      <c r="G13" s="74" t="s">
        <v>4201</v>
      </c>
      <c r="H13" s="74"/>
    </row>
    <row r="14" spans="1:8" ht="23.25" customHeight="1" x14ac:dyDescent="0.25">
      <c r="A14" s="62" t="s">
        <v>786</v>
      </c>
      <c r="B14" s="63" t="s">
        <v>4202</v>
      </c>
      <c r="C14" s="62" t="s">
        <v>1069</v>
      </c>
      <c r="D14" s="74" t="s">
        <v>1041</v>
      </c>
      <c r="E14" s="74" t="s">
        <v>808</v>
      </c>
      <c r="F14" s="74" t="s">
        <v>1068</v>
      </c>
      <c r="G14" s="74" t="s">
        <v>4201</v>
      </c>
      <c r="H14" s="74"/>
    </row>
    <row r="15" spans="1:8" ht="23.25" customHeight="1" x14ac:dyDescent="0.25">
      <c r="A15" s="62" t="s">
        <v>786</v>
      </c>
      <c r="B15" s="63" t="s">
        <v>4203</v>
      </c>
      <c r="C15" s="62" t="s">
        <v>1071</v>
      </c>
      <c r="D15" s="74" t="s">
        <v>1049</v>
      </c>
      <c r="E15" s="74" t="s">
        <v>808</v>
      </c>
      <c r="F15" s="74" t="s">
        <v>1070</v>
      </c>
      <c r="G15" s="74" t="s">
        <v>4201</v>
      </c>
      <c r="H15" s="74"/>
    </row>
    <row r="16" spans="1:8" ht="23.25" customHeight="1" x14ac:dyDescent="0.25">
      <c r="A16" s="62" t="s">
        <v>786</v>
      </c>
      <c r="B16" s="63" t="s">
        <v>4204</v>
      </c>
      <c r="C16" s="62" t="s">
        <v>4211</v>
      </c>
      <c r="D16" s="74" t="s">
        <v>1046</v>
      </c>
      <c r="E16" s="74" t="s">
        <v>808</v>
      </c>
      <c r="F16" s="74" t="s">
        <v>4212</v>
      </c>
      <c r="G16" s="74" t="s">
        <v>4207</v>
      </c>
      <c r="H16" s="74" t="s">
        <v>4208</v>
      </c>
    </row>
  </sheetData>
  <mergeCells count="2">
    <mergeCell ref="A1:H1"/>
    <mergeCell ref="A2:H2"/>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A40"/>
  <sheetViews>
    <sheetView zoomScaleNormal="100" workbookViewId="0">
      <pane ySplit="4" topLeftCell="A5" activePane="bottomLeft" state="frozen"/>
      <selection pane="bottomLeft"/>
    </sheetView>
  </sheetViews>
  <sheetFormatPr defaultColWidth="8.7109375" defaultRowHeight="15" x14ac:dyDescent="0.25"/>
  <cols>
    <col min="1" max="1" width="16" customWidth="1"/>
    <col min="2" max="2" width="20" customWidth="1"/>
    <col min="3" max="3" width="10" customWidth="1"/>
    <col min="4" max="4" width="24" customWidth="1"/>
    <col min="5" max="5" width="12" customWidth="1"/>
    <col min="6" max="6" width="20" customWidth="1"/>
    <col min="7" max="7" width="30" customWidth="1"/>
    <col min="8" max="8" width="13" customWidth="1"/>
    <col min="9" max="9" width="26" customWidth="1"/>
    <col min="10" max="10" width="15" customWidth="1"/>
    <col min="11" max="11" width="16" customWidth="1"/>
    <col min="12" max="12" width="14" customWidth="1"/>
    <col min="13" max="13" width="15" customWidth="1"/>
    <col min="14" max="15" width="16" customWidth="1"/>
    <col min="16" max="17" width="17" customWidth="1"/>
    <col min="18" max="18" width="16" customWidth="1"/>
    <col min="19" max="19" width="8" customWidth="1"/>
    <col min="20" max="21" width="12" customWidth="1"/>
    <col min="22" max="22" width="14" customWidth="1"/>
    <col min="23" max="23" width="12" customWidth="1"/>
    <col min="24" max="25" width="14" customWidth="1"/>
    <col min="26" max="26" width="20" customWidth="1"/>
    <col min="27" max="27" width="46" customWidth="1"/>
  </cols>
  <sheetData>
    <row r="1" spans="1:27" ht="25.5" customHeight="1" x14ac:dyDescent="0.25">
      <c r="A1" s="14" t="s">
        <v>4213</v>
      </c>
      <c r="B1" s="14"/>
      <c r="C1" s="14"/>
      <c r="D1" s="14"/>
      <c r="E1" s="14"/>
      <c r="F1" s="14"/>
      <c r="G1" s="14"/>
      <c r="H1" s="14"/>
      <c r="I1" s="14"/>
      <c r="J1" s="14"/>
      <c r="K1" s="14"/>
      <c r="L1" s="14"/>
      <c r="M1" s="14"/>
      <c r="N1" s="14"/>
      <c r="O1" s="14"/>
      <c r="P1" s="14"/>
      <c r="Q1" s="14"/>
      <c r="R1" s="14"/>
      <c r="S1" s="14"/>
      <c r="T1" s="14"/>
      <c r="U1" s="14"/>
      <c r="V1" s="14"/>
      <c r="W1" s="14"/>
      <c r="X1" s="14"/>
      <c r="Y1" s="14"/>
      <c r="Z1" s="14"/>
      <c r="AA1" s="14"/>
    </row>
    <row r="2" spans="1:27" ht="15.75" customHeight="1" x14ac:dyDescent="0.25">
      <c r="A2" s="13" t="s">
        <v>4214</v>
      </c>
      <c r="B2" s="13"/>
      <c r="C2" s="13"/>
      <c r="D2" s="13"/>
      <c r="E2" s="13"/>
      <c r="F2" s="13"/>
      <c r="G2" s="13"/>
      <c r="H2" s="13"/>
      <c r="I2" s="13"/>
      <c r="J2" s="13"/>
      <c r="K2" s="13"/>
      <c r="L2" s="13"/>
      <c r="M2" s="13"/>
      <c r="N2" s="13"/>
      <c r="O2" s="13"/>
      <c r="P2" s="13"/>
      <c r="Q2" s="13"/>
      <c r="R2" s="13"/>
      <c r="S2" s="13"/>
      <c r="T2" s="13"/>
      <c r="U2" s="13"/>
      <c r="V2" s="13"/>
      <c r="W2" s="13"/>
      <c r="X2" s="13"/>
      <c r="Y2" s="13"/>
      <c r="Z2" s="13"/>
      <c r="AA2" s="13"/>
    </row>
    <row r="4" spans="1:27" ht="33.75" customHeight="1" x14ac:dyDescent="0.25">
      <c r="A4" s="191" t="s">
        <v>2185</v>
      </c>
      <c r="B4" s="191" t="s">
        <v>2997</v>
      </c>
      <c r="C4" s="191" t="s">
        <v>2187</v>
      </c>
      <c r="D4" s="191" t="s">
        <v>2188</v>
      </c>
      <c r="E4" s="191" t="s">
        <v>4215</v>
      </c>
      <c r="F4" s="191" t="s">
        <v>4216</v>
      </c>
      <c r="G4" s="191" t="s">
        <v>4217</v>
      </c>
      <c r="H4" s="191" t="s">
        <v>37</v>
      </c>
      <c r="I4" s="191" t="s">
        <v>38</v>
      </c>
      <c r="J4" s="191" t="s">
        <v>4218</v>
      </c>
      <c r="K4" s="191" t="s">
        <v>4219</v>
      </c>
      <c r="L4" s="191" t="s">
        <v>4220</v>
      </c>
      <c r="M4" s="191" t="s">
        <v>4221</v>
      </c>
      <c r="N4" s="191" t="s">
        <v>4222</v>
      </c>
      <c r="O4" s="191" t="s">
        <v>4223</v>
      </c>
      <c r="P4" s="191" t="s">
        <v>4224</v>
      </c>
      <c r="Q4" s="191" t="s">
        <v>4225</v>
      </c>
      <c r="R4" s="191" t="s">
        <v>4226</v>
      </c>
      <c r="S4" s="191" t="s">
        <v>2984</v>
      </c>
      <c r="T4" s="191" t="s">
        <v>4227</v>
      </c>
      <c r="U4" s="191" t="s">
        <v>4228</v>
      </c>
      <c r="V4" s="191" t="s">
        <v>22</v>
      </c>
      <c r="W4" s="191" t="s">
        <v>4229</v>
      </c>
      <c r="X4" s="191" t="s">
        <v>4230</v>
      </c>
      <c r="Y4" s="191" t="s">
        <v>4231</v>
      </c>
      <c r="Z4" s="191" t="s">
        <v>4232</v>
      </c>
      <c r="AA4" s="191" t="s">
        <v>4233</v>
      </c>
    </row>
    <row r="5" spans="1:27" ht="15" customHeight="1" x14ac:dyDescent="0.25">
      <c r="A5" s="192" t="s">
        <v>1072</v>
      </c>
      <c r="B5" s="63" t="s">
        <v>1073</v>
      </c>
      <c r="C5" s="63" t="s">
        <v>46</v>
      </c>
      <c r="D5" s="63" t="s">
        <v>48</v>
      </c>
      <c r="E5" s="192" t="s">
        <v>74</v>
      </c>
      <c r="F5" s="192" t="s">
        <v>4234</v>
      </c>
      <c r="G5" s="63" t="s">
        <v>4235</v>
      </c>
      <c r="H5" s="192" t="str">
        <f>IFERROR(INDEX(Students!$A$2:$AN$153,MATCH($A5,Students!$A$2:$A$153,0),38),"No")</f>
        <v>No</v>
      </c>
      <c r="I5" s="63" t="str">
        <f>IFERROR(INDEX(Students!$A$2:$AN$153,MATCH($A5,Students!$A$2:$A$153,0),39),"None")</f>
        <v>None</v>
      </c>
      <c r="J5" s="193">
        <v>150000</v>
      </c>
      <c r="K5" s="193">
        <f>$B$30</f>
        <v>130000</v>
      </c>
      <c r="L5" s="193">
        <v>0</v>
      </c>
      <c r="M5" s="193">
        <f t="shared" ref="M5:M24" si="0">IF(H5="Yes",$B$33,$B$32)</f>
        <v>45000</v>
      </c>
      <c r="N5" s="193">
        <f t="shared" ref="N5:N24" si="1">IF(H5="Yes",$B$35,$B$34)</f>
        <v>15000</v>
      </c>
      <c r="O5" s="193">
        <f t="shared" ref="O5:O24" si="2">IF(H5="Yes",$B$36,0)</f>
        <v>0</v>
      </c>
      <c r="P5" s="193">
        <f t="shared" ref="P5:P24" si="3">SUM(J5:O5)</f>
        <v>340000</v>
      </c>
      <c r="Q5" s="193">
        <f>IF(IFERROR(INDEX(Students!$A$2:$AN$153,MATCH($A5,Students!$A$2:$A$153,0),13),"")="On Leave",0,IF(F5="Fully Funded",P5,IF(F5="Provisionally Funded",J5+N5,IF(F5="Appeal Pending",0,IF(F5="Funding Discontinued",ROUND(P5*0.4,0),P5)))))</f>
        <v>340000</v>
      </c>
      <c r="R5" s="193">
        <f>IFERROR(INDEX(Students!$A$2:$AN$153,MATCH($A5,Students!$A$2:$A$153,0),22),0)</f>
        <v>0</v>
      </c>
      <c r="S5" s="194">
        <f>IFERROR(INDEX(Students!$A$2:$AN$153,MATCH($A5,Students!$A$2:$A$153,0),11),"")</f>
        <v>3.62</v>
      </c>
      <c r="T5" s="192">
        <f>IFERROR(INDEX(Students!$A$2:$AN$153,MATCH($A5,Students!$A$2:$A$153,0),12),0)</f>
        <v>48</v>
      </c>
      <c r="U5" s="192">
        <f>IFERROR(ROUND(AVERAGEIF(Attendance!$B:$B,$A5,Attendance!$J:$J),0),"")</f>
        <v>87</v>
      </c>
      <c r="V5" s="192" t="str">
        <f>IFERROR(INDEX(Students!$A$2:$AN$153,MATCH($A5,Students!$A$2:$A$153,0),23),"")</f>
        <v>Good Standing</v>
      </c>
      <c r="W5" s="192">
        <v>2</v>
      </c>
      <c r="X5" s="192">
        <f t="shared" ref="X5:X24" si="4">$B$28+$B$29</f>
        <v>6</v>
      </c>
      <c r="Y5" s="192">
        <f t="shared" ref="Y5:Y24" si="5">X5-W5</f>
        <v>4</v>
      </c>
      <c r="Z5" s="63" t="str">
        <f t="shared" ref="Z5:Z24" si="6">IF(V5="Suspended","Critical — Funding Discontinued",IF(OR(V5="Probation",Y5&lt;=1),"High Risk",IF(S5&lt;2.5,"Medium Risk","Low Risk")))</f>
        <v>Low Risk</v>
      </c>
      <c r="AA5" s="63" t="s">
        <v>4236</v>
      </c>
    </row>
    <row r="6" spans="1:27" ht="15" customHeight="1" x14ac:dyDescent="0.25">
      <c r="A6" s="192" t="s">
        <v>1078</v>
      </c>
      <c r="B6" s="63" t="s">
        <v>1079</v>
      </c>
      <c r="C6" s="63" t="s">
        <v>71</v>
      </c>
      <c r="D6" s="63" t="s">
        <v>73</v>
      </c>
      <c r="E6" s="192" t="s">
        <v>49</v>
      </c>
      <c r="F6" s="192" t="s">
        <v>4237</v>
      </c>
      <c r="G6" s="63" t="s">
        <v>4238</v>
      </c>
      <c r="H6" s="192" t="str">
        <f>IFERROR(INDEX(Students!$A$2:$AN$153,MATCH($A6,Students!$A$2:$A$153,0),38),"No")</f>
        <v>No</v>
      </c>
      <c r="I6" s="63" t="str">
        <f>IFERROR(INDEX(Students!$A$2:$AN$153,MATCH($A6,Students!$A$2:$A$153,0),39),"None")</f>
        <v>None</v>
      </c>
      <c r="J6" s="193">
        <v>130000</v>
      </c>
      <c r="K6" s="193">
        <v>0</v>
      </c>
      <c r="L6" s="193">
        <f>$B$31</f>
        <v>20000</v>
      </c>
      <c r="M6" s="193">
        <f t="shared" si="0"/>
        <v>45000</v>
      </c>
      <c r="N6" s="193">
        <f t="shared" si="1"/>
        <v>15000</v>
      </c>
      <c r="O6" s="193">
        <f t="shared" si="2"/>
        <v>0</v>
      </c>
      <c r="P6" s="193">
        <f t="shared" si="3"/>
        <v>210000</v>
      </c>
      <c r="Q6" s="193">
        <f>IF(IFERROR(INDEX(Students!$A$2:$AN$153,MATCH($A6,Students!$A$2:$A$153,0),13),"")="On Leave",0,IF(F6="Fully Funded",P6,IF(F6="Provisionally Funded",J6+N6,IF(F6="Appeal Pending",0,IF(F6="Funding Discontinued",ROUND(P6*0.4,0),P6)))))</f>
        <v>145000</v>
      </c>
      <c r="R6" s="193">
        <f>IFERROR(INDEX(Students!$A$2:$AN$153,MATCH($A6,Students!$A$2:$A$153,0),22),0)</f>
        <v>65000</v>
      </c>
      <c r="S6" s="194">
        <f>IFERROR(INDEX(Students!$A$2:$AN$153,MATCH($A6,Students!$A$2:$A$153,0),11),"")</f>
        <v>2.35</v>
      </c>
      <c r="T6" s="192">
        <f>IFERROR(INDEX(Students!$A$2:$AN$153,MATCH($A6,Students!$A$2:$A$153,0),12),0)</f>
        <v>80</v>
      </c>
      <c r="U6" s="192">
        <f>IFERROR(ROUND(AVERAGEIF(Attendance!$B:$B,$A6,Attendance!$J:$J),0),"")</f>
        <v>68</v>
      </c>
      <c r="V6" s="192" t="str">
        <f>IFERROR(INDEX(Students!$A$2:$AN$153,MATCH($A6,Students!$A$2:$A$153,0),23),"")</f>
        <v>Probation</v>
      </c>
      <c r="W6" s="192">
        <v>3</v>
      </c>
      <c r="X6" s="192">
        <f t="shared" si="4"/>
        <v>6</v>
      </c>
      <c r="Y6" s="192">
        <f t="shared" si="5"/>
        <v>3</v>
      </c>
      <c r="Z6" s="63" t="str">
        <f t="shared" si="6"/>
        <v>High Risk</v>
      </c>
      <c r="AA6" s="63" t="s">
        <v>4239</v>
      </c>
    </row>
    <row r="7" spans="1:27" ht="15" customHeight="1" x14ac:dyDescent="0.25">
      <c r="A7" s="192" t="s">
        <v>1082</v>
      </c>
      <c r="B7" s="63" t="s">
        <v>1083</v>
      </c>
      <c r="C7" s="63" t="s">
        <v>46</v>
      </c>
      <c r="D7" s="63" t="s">
        <v>102</v>
      </c>
      <c r="E7" s="192" t="s">
        <v>118</v>
      </c>
      <c r="F7" s="192" t="s">
        <v>4234</v>
      </c>
      <c r="G7" s="63" t="s">
        <v>4240</v>
      </c>
      <c r="H7" s="192" t="str">
        <f>IFERROR(INDEX(Students!$A$2:$AN$153,MATCH($A7,Students!$A$2:$A$153,0),38),"No")</f>
        <v>Yes</v>
      </c>
      <c r="I7" s="63" t="str">
        <f>IFERROR(INDEX(Students!$A$2:$AN$153,MATCH($A7,Students!$A$2:$A$153,0),39),"None")</f>
        <v>Visual Impairment</v>
      </c>
      <c r="J7" s="193">
        <v>150000</v>
      </c>
      <c r="K7" s="193">
        <f>$B$30</f>
        <v>130000</v>
      </c>
      <c r="L7" s="193">
        <v>0</v>
      </c>
      <c r="M7" s="193">
        <f t="shared" si="0"/>
        <v>55000</v>
      </c>
      <c r="N7" s="193">
        <f t="shared" si="1"/>
        <v>16500</v>
      </c>
      <c r="O7" s="193">
        <f t="shared" si="2"/>
        <v>60000</v>
      </c>
      <c r="P7" s="193">
        <f t="shared" si="3"/>
        <v>411500</v>
      </c>
      <c r="Q7" s="193">
        <f>IF(IFERROR(INDEX(Students!$A$2:$AN$153,MATCH($A7,Students!$A$2:$A$153,0),13),"")="On Leave",0,IF(F7="Fully Funded",P7,IF(F7="Provisionally Funded",J7+N7,IF(F7="Appeal Pending",0,IF(F7="Funding Discontinued",ROUND(P7*0.4,0),P7)))))</f>
        <v>411500</v>
      </c>
      <c r="R7" s="193">
        <f>IFERROR(INDEX(Students!$A$2:$AN$153,MATCH($A7,Students!$A$2:$A$153,0),22),0)</f>
        <v>0</v>
      </c>
      <c r="S7" s="194">
        <f>IFERROR(INDEX(Students!$A$2:$AN$153,MATCH($A7,Students!$A$2:$A$153,0),11),"")</f>
        <v>3.15</v>
      </c>
      <c r="T7" s="192">
        <f>IFERROR(INDEX(Students!$A$2:$AN$153,MATCH($A7,Students!$A$2:$A$153,0),12),0)</f>
        <v>16</v>
      </c>
      <c r="U7" s="192">
        <f>IFERROR(ROUND(AVERAGEIF(Attendance!$B:$B,$A7,Attendance!$J:$J),0),"")</f>
        <v>76</v>
      </c>
      <c r="V7" s="192" t="str">
        <f>IFERROR(INDEX(Students!$A$2:$AN$153,MATCH($A7,Students!$A$2:$A$153,0),23),"")</f>
        <v>Good Standing</v>
      </c>
      <c r="W7" s="192">
        <v>1</v>
      </c>
      <c r="X7" s="192">
        <f t="shared" si="4"/>
        <v>6</v>
      </c>
      <c r="Y7" s="192">
        <f t="shared" si="5"/>
        <v>5</v>
      </c>
      <c r="Z7" s="63" t="str">
        <f t="shared" si="6"/>
        <v>Low Risk</v>
      </c>
      <c r="AA7" s="63" t="s">
        <v>4236</v>
      </c>
    </row>
    <row r="8" spans="1:27" ht="15" customHeight="1" x14ac:dyDescent="0.25">
      <c r="A8" s="192" t="s">
        <v>1089</v>
      </c>
      <c r="B8" s="63" t="s">
        <v>1090</v>
      </c>
      <c r="C8" s="63" t="s">
        <v>147</v>
      </c>
      <c r="D8" s="63" t="s">
        <v>149</v>
      </c>
      <c r="E8" s="192" t="s">
        <v>86</v>
      </c>
      <c r="F8" s="192" t="s">
        <v>4234</v>
      </c>
      <c r="G8" s="63" t="s">
        <v>4235</v>
      </c>
      <c r="H8" s="192" t="str">
        <f>IFERROR(INDEX(Students!$A$2:$AN$153,MATCH($A8,Students!$A$2:$A$153,0),38),"No")</f>
        <v>No</v>
      </c>
      <c r="I8" s="63" t="str">
        <f>IFERROR(INDEX(Students!$A$2:$AN$153,MATCH($A8,Students!$A$2:$A$153,0),39),"None")</f>
        <v>None</v>
      </c>
      <c r="J8" s="193">
        <v>140000</v>
      </c>
      <c r="K8" s="193">
        <v>0</v>
      </c>
      <c r="L8" s="193">
        <f>$B$31</f>
        <v>20000</v>
      </c>
      <c r="M8" s="193">
        <f t="shared" si="0"/>
        <v>45000</v>
      </c>
      <c r="N8" s="193">
        <f t="shared" si="1"/>
        <v>15000</v>
      </c>
      <c r="O8" s="193">
        <f t="shared" si="2"/>
        <v>0</v>
      </c>
      <c r="P8" s="193">
        <f t="shared" si="3"/>
        <v>220000</v>
      </c>
      <c r="Q8" s="193">
        <f>IF(IFERROR(INDEX(Students!$A$2:$AN$153,MATCH($A8,Students!$A$2:$A$153,0),13),"")="On Leave",0,IF(F8="Fully Funded",P8,IF(F8="Provisionally Funded",J8+N8,IF(F8="Appeal Pending",0,IF(F8="Funding Discontinued",ROUND(P8*0.4,0),P8)))))</f>
        <v>220000</v>
      </c>
      <c r="R8" s="193">
        <f>IFERROR(INDEX(Students!$A$2:$AN$153,MATCH($A8,Students!$A$2:$A$153,0),22),0)</f>
        <v>0</v>
      </c>
      <c r="S8" s="194">
        <f>IFERROR(INDEX(Students!$A$2:$AN$153,MATCH($A8,Students!$A$2:$A$153,0),11),"")</f>
        <v>3.81</v>
      </c>
      <c r="T8" s="192">
        <f>IFERROR(INDEX(Students!$A$2:$AN$153,MATCH($A8,Students!$A$2:$A$153,0),12),0)</f>
        <v>112</v>
      </c>
      <c r="U8" s="192">
        <f>IFERROR(ROUND(AVERAGEIF(Attendance!$B:$B,$A8,Attendance!$J:$J),0),"")</f>
        <v>94</v>
      </c>
      <c r="V8" s="192" t="str">
        <f>IFERROR(INDEX(Students!$A$2:$AN$153,MATCH($A8,Students!$A$2:$A$153,0),23),"")</f>
        <v>Good Standing</v>
      </c>
      <c r="W8" s="192">
        <v>4</v>
      </c>
      <c r="X8" s="192">
        <f t="shared" si="4"/>
        <v>6</v>
      </c>
      <c r="Y8" s="192">
        <f t="shared" si="5"/>
        <v>2</v>
      </c>
      <c r="Z8" s="63" t="str">
        <f t="shared" si="6"/>
        <v>Low Risk</v>
      </c>
      <c r="AA8" s="63" t="s">
        <v>4236</v>
      </c>
    </row>
    <row r="9" spans="1:27" ht="15" customHeight="1" x14ac:dyDescent="0.25">
      <c r="A9" s="192" t="s">
        <v>1094</v>
      </c>
      <c r="B9" s="63" t="s">
        <v>1095</v>
      </c>
      <c r="C9" s="63" t="s">
        <v>132</v>
      </c>
      <c r="D9" s="63" t="s">
        <v>134</v>
      </c>
      <c r="E9" s="192" t="s">
        <v>74</v>
      </c>
      <c r="F9" s="192" t="s">
        <v>4234</v>
      </c>
      <c r="G9" s="63" t="s">
        <v>4235</v>
      </c>
      <c r="H9" s="192" t="str">
        <f>IFERROR(INDEX(Students!$A$2:$AN$153,MATCH($A9,Students!$A$2:$A$153,0),38),"No")</f>
        <v>No</v>
      </c>
      <c r="I9" s="63" t="str">
        <f>IFERROR(INDEX(Students!$A$2:$AN$153,MATCH($A9,Students!$A$2:$A$153,0),39),"None")</f>
        <v>None</v>
      </c>
      <c r="J9" s="193">
        <v>120000</v>
      </c>
      <c r="K9" s="193">
        <f>$B$30</f>
        <v>130000</v>
      </c>
      <c r="L9" s="193">
        <v>0</v>
      </c>
      <c r="M9" s="193">
        <f t="shared" si="0"/>
        <v>45000</v>
      </c>
      <c r="N9" s="193">
        <f t="shared" si="1"/>
        <v>15000</v>
      </c>
      <c r="O9" s="193">
        <f t="shared" si="2"/>
        <v>0</v>
      </c>
      <c r="P9" s="193">
        <f t="shared" si="3"/>
        <v>310000</v>
      </c>
      <c r="Q9" s="193">
        <f>IF(IFERROR(INDEX(Students!$A$2:$AN$153,MATCH($A9,Students!$A$2:$A$153,0),13),"")="On Leave",0,IF(F9="Fully Funded",P9,IF(F9="Provisionally Funded",J9+N9,IF(F9="Appeal Pending",0,IF(F9="Funding Discontinued",ROUND(P9*0.4,0),P9)))))</f>
        <v>310000</v>
      </c>
      <c r="R9" s="193">
        <f>IFERROR(INDEX(Students!$A$2:$AN$153,MATCH($A9,Students!$A$2:$A$153,0),22),0)</f>
        <v>0</v>
      </c>
      <c r="S9" s="194">
        <f>IFERROR(INDEX(Students!$A$2:$AN$153,MATCH($A9,Students!$A$2:$A$153,0),11),"")</f>
        <v>2.92</v>
      </c>
      <c r="T9" s="192">
        <f>IFERROR(INDEX(Students!$A$2:$AN$153,MATCH($A9,Students!$A$2:$A$153,0),12),0)</f>
        <v>48</v>
      </c>
      <c r="U9" s="192">
        <f>IFERROR(ROUND(AVERAGEIF(Attendance!$B:$B,$A9,Attendance!$J:$J),0),"")</f>
        <v>80</v>
      </c>
      <c r="V9" s="192" t="str">
        <f>IFERROR(INDEX(Students!$A$2:$AN$153,MATCH($A9,Students!$A$2:$A$153,0),23),"")</f>
        <v>Good Standing</v>
      </c>
      <c r="W9" s="192">
        <v>2</v>
      </c>
      <c r="X9" s="192">
        <f t="shared" si="4"/>
        <v>6</v>
      </c>
      <c r="Y9" s="192">
        <f t="shared" si="5"/>
        <v>4</v>
      </c>
      <c r="Z9" s="63" t="str">
        <f t="shared" si="6"/>
        <v>Low Risk</v>
      </c>
      <c r="AA9" s="63" t="s">
        <v>4236</v>
      </c>
    </row>
    <row r="10" spans="1:27" ht="15" customHeight="1" x14ac:dyDescent="0.25">
      <c r="A10" s="192" t="s">
        <v>1099</v>
      </c>
      <c r="B10" s="63" t="s">
        <v>1100</v>
      </c>
      <c r="C10" s="63" t="s">
        <v>156</v>
      </c>
      <c r="D10" s="63" t="s">
        <v>73</v>
      </c>
      <c r="E10" s="192" t="s">
        <v>86</v>
      </c>
      <c r="F10" s="192" t="s">
        <v>4241</v>
      </c>
      <c r="G10" s="63" t="s">
        <v>4235</v>
      </c>
      <c r="H10" s="192" t="str">
        <f>IFERROR(INDEX(Students!$A$2:$AN$153,MATCH($A10,Students!$A$2:$A$153,0),38),"No")</f>
        <v>No</v>
      </c>
      <c r="I10" s="63" t="str">
        <f>IFERROR(INDEX(Students!$A$2:$AN$153,MATCH($A10,Students!$A$2:$A$153,0),39),"None")</f>
        <v>None</v>
      </c>
      <c r="J10" s="193">
        <v>130000</v>
      </c>
      <c r="K10" s="193">
        <v>0</v>
      </c>
      <c r="L10" s="193">
        <f>$B$31</f>
        <v>20000</v>
      </c>
      <c r="M10" s="193">
        <f t="shared" si="0"/>
        <v>45000</v>
      </c>
      <c r="N10" s="193">
        <f t="shared" si="1"/>
        <v>15000</v>
      </c>
      <c r="O10" s="193">
        <f t="shared" si="2"/>
        <v>0</v>
      </c>
      <c r="P10" s="193">
        <f t="shared" si="3"/>
        <v>210000</v>
      </c>
      <c r="Q10" s="193">
        <f>IF(IFERROR(INDEX(Students!$A$2:$AN$153,MATCH($A10,Students!$A$2:$A$153,0),13),"")="On Leave",0,IF(F10="Fully Funded",P10,IF(F10="Provisionally Funded",J10+N10,IF(F10="Appeal Pending",0,IF(F10="Funding Discontinued",ROUND(P10*0.4,0),P10)))))</f>
        <v>84000</v>
      </c>
      <c r="R10" s="193">
        <f>IFERROR(INDEX(Students!$A$2:$AN$153,MATCH($A10,Students!$A$2:$A$153,0),22),0)</f>
        <v>50000</v>
      </c>
      <c r="S10" s="194">
        <f>IFERROR(INDEX(Students!$A$2:$AN$153,MATCH($A10,Students!$A$2:$A$153,0),11),"")</f>
        <v>1.95</v>
      </c>
      <c r="T10" s="192">
        <f>IFERROR(INDEX(Students!$A$2:$AN$153,MATCH($A10,Students!$A$2:$A$153,0),12),0)</f>
        <v>112</v>
      </c>
      <c r="U10" s="192">
        <f>IFERROR(ROUND(AVERAGEIF(Attendance!$B:$B,$A10,Attendance!$J:$J),0),"")</f>
        <v>45</v>
      </c>
      <c r="V10" s="192" t="str">
        <f>IFERROR(INDEX(Students!$A$2:$AN$153,MATCH($A10,Students!$A$2:$A$153,0),23),"")</f>
        <v>Suspended</v>
      </c>
      <c r="W10" s="192">
        <v>4</v>
      </c>
      <c r="X10" s="192">
        <f t="shared" si="4"/>
        <v>6</v>
      </c>
      <c r="Y10" s="192">
        <f t="shared" si="5"/>
        <v>2</v>
      </c>
      <c r="Z10" s="63" t="str">
        <f t="shared" si="6"/>
        <v>Critical — Funding Discontinued</v>
      </c>
      <c r="AA10" s="63" t="s">
        <v>4242</v>
      </c>
    </row>
    <row r="11" spans="1:27" ht="15" customHeight="1" x14ac:dyDescent="0.25">
      <c r="A11" s="192" t="s">
        <v>1104</v>
      </c>
      <c r="B11" s="63" t="s">
        <v>1105</v>
      </c>
      <c r="C11" s="63" t="s">
        <v>46</v>
      </c>
      <c r="D11" s="63" t="s">
        <v>85</v>
      </c>
      <c r="E11" s="192" t="s">
        <v>49</v>
      </c>
      <c r="F11" s="192" t="s">
        <v>4234</v>
      </c>
      <c r="G11" s="63" t="s">
        <v>4240</v>
      </c>
      <c r="H11" s="192" t="str">
        <f>IFERROR(INDEX(Students!$A$2:$AN$153,MATCH($A11,Students!$A$2:$A$153,0),38),"No")</f>
        <v>Yes</v>
      </c>
      <c r="I11" s="63" t="str">
        <f>IFERROR(INDEX(Students!$A$2:$AN$153,MATCH($A11,Students!$A$2:$A$153,0),39),"None")</f>
        <v>Physical / Mobility Impairment</v>
      </c>
      <c r="J11" s="193">
        <v>150000</v>
      </c>
      <c r="K11" s="193">
        <f>$B$30</f>
        <v>130000</v>
      </c>
      <c r="L11" s="193">
        <v>0</v>
      </c>
      <c r="M11" s="193">
        <f t="shared" si="0"/>
        <v>55000</v>
      </c>
      <c r="N11" s="193">
        <f t="shared" si="1"/>
        <v>16500</v>
      </c>
      <c r="O11" s="193">
        <f t="shared" si="2"/>
        <v>60000</v>
      </c>
      <c r="P11" s="193">
        <f t="shared" si="3"/>
        <v>411500</v>
      </c>
      <c r="Q11" s="193">
        <f>IF(IFERROR(INDEX(Students!$A$2:$AN$153,MATCH($A11,Students!$A$2:$A$153,0),13),"")="On Leave",0,IF(F11="Fully Funded",P11,IF(F11="Provisionally Funded",J11+N11,IF(F11="Appeal Pending",0,IF(F11="Funding Discontinued",ROUND(P11*0.4,0),P11)))))</f>
        <v>411500</v>
      </c>
      <c r="R11" s="193">
        <f>IFERROR(INDEX(Students!$A$2:$AN$153,MATCH($A11,Students!$A$2:$A$153,0),22),0)</f>
        <v>0</v>
      </c>
      <c r="S11" s="194">
        <f>IFERROR(INDEX(Students!$A$2:$AN$153,MATCH($A11,Students!$A$2:$A$153,0),11),"")</f>
        <v>3.45</v>
      </c>
      <c r="T11" s="192">
        <f>IFERROR(INDEX(Students!$A$2:$AN$153,MATCH($A11,Students!$A$2:$A$153,0),12),0)</f>
        <v>80</v>
      </c>
      <c r="U11" s="192">
        <f>IFERROR(ROUND(AVERAGEIF(Attendance!$B:$B,$A11,Attendance!$J:$J),0),"")</f>
        <v>91</v>
      </c>
      <c r="V11" s="192" t="str">
        <f>IFERROR(INDEX(Students!$A$2:$AN$153,MATCH($A11,Students!$A$2:$A$153,0),23),"")</f>
        <v>Good Standing</v>
      </c>
      <c r="W11" s="192">
        <v>3</v>
      </c>
      <c r="X11" s="192">
        <f t="shared" si="4"/>
        <v>6</v>
      </c>
      <c r="Y11" s="192">
        <f t="shared" si="5"/>
        <v>3</v>
      </c>
      <c r="Z11" s="63" t="str">
        <f t="shared" si="6"/>
        <v>Low Risk</v>
      </c>
      <c r="AA11" s="63" t="s">
        <v>4236</v>
      </c>
    </row>
    <row r="12" spans="1:27" ht="15" customHeight="1" x14ac:dyDescent="0.25">
      <c r="A12" s="192" t="s">
        <v>1110</v>
      </c>
      <c r="B12" s="63" t="s">
        <v>1111</v>
      </c>
      <c r="C12" s="63" t="s">
        <v>46</v>
      </c>
      <c r="D12" s="63" t="s">
        <v>48</v>
      </c>
      <c r="E12" s="192" t="s">
        <v>118</v>
      </c>
      <c r="F12" s="192" t="s">
        <v>4237</v>
      </c>
      <c r="G12" s="63" t="s">
        <v>4238</v>
      </c>
      <c r="H12" s="192" t="str">
        <f>IFERROR(INDEX(Students!$A$2:$AN$153,MATCH($A12,Students!$A$2:$A$153,0),38),"No")</f>
        <v>No</v>
      </c>
      <c r="I12" s="63" t="str">
        <f>IFERROR(INDEX(Students!$A$2:$AN$153,MATCH($A12,Students!$A$2:$A$153,0),39),"None")</f>
        <v>None</v>
      </c>
      <c r="J12" s="193">
        <v>150000</v>
      </c>
      <c r="K12" s="193">
        <v>0</v>
      </c>
      <c r="L12" s="193">
        <f>$B$31</f>
        <v>20000</v>
      </c>
      <c r="M12" s="193">
        <f t="shared" si="0"/>
        <v>45000</v>
      </c>
      <c r="N12" s="193">
        <f t="shared" si="1"/>
        <v>15000</v>
      </c>
      <c r="O12" s="193">
        <f t="shared" si="2"/>
        <v>0</v>
      </c>
      <c r="P12" s="193">
        <f t="shared" si="3"/>
        <v>230000</v>
      </c>
      <c r="Q12" s="193">
        <f>IF(IFERROR(INDEX(Students!$A$2:$AN$153,MATCH($A12,Students!$A$2:$A$153,0),13),"")="On Leave",0,IF(F12="Fully Funded",P12,IF(F12="Provisionally Funded",J12+N12,IF(F12="Appeal Pending",0,IF(F12="Funding Discontinued",ROUND(P12*0.4,0),P12)))))</f>
        <v>165000</v>
      </c>
      <c r="R12" s="193">
        <f>IFERROR(INDEX(Students!$A$2:$AN$153,MATCH($A12,Students!$A$2:$A$153,0),22),0)</f>
        <v>75000</v>
      </c>
      <c r="S12" s="194">
        <f>IFERROR(INDEX(Students!$A$2:$AN$153,MATCH($A12,Students!$A$2:$A$153,0),11),"")</f>
        <v>3.05</v>
      </c>
      <c r="T12" s="192">
        <f>IFERROR(INDEX(Students!$A$2:$AN$153,MATCH($A12,Students!$A$2:$A$153,0),12),0)</f>
        <v>16</v>
      </c>
      <c r="U12" s="192">
        <f>IFERROR(ROUND(AVERAGEIF(Attendance!$B:$B,$A12,Attendance!$J:$J),0),"")</f>
        <v>76</v>
      </c>
      <c r="V12" s="192" t="str">
        <f>IFERROR(INDEX(Students!$A$2:$AN$153,MATCH($A12,Students!$A$2:$A$153,0),23),"")</f>
        <v>Good Standing</v>
      </c>
      <c r="W12" s="192">
        <v>1</v>
      </c>
      <c r="X12" s="192">
        <f t="shared" si="4"/>
        <v>6</v>
      </c>
      <c r="Y12" s="192">
        <f t="shared" si="5"/>
        <v>5</v>
      </c>
      <c r="Z12" s="63" t="str">
        <f t="shared" si="6"/>
        <v>Low Risk</v>
      </c>
      <c r="AA12" s="63" t="s">
        <v>4239</v>
      </c>
    </row>
    <row r="13" spans="1:27" ht="15" customHeight="1" x14ac:dyDescent="0.25">
      <c r="A13" s="192" t="s">
        <v>1115</v>
      </c>
      <c r="B13" s="63" t="s">
        <v>1116</v>
      </c>
      <c r="C13" s="63" t="s">
        <v>193</v>
      </c>
      <c r="D13" s="63" t="s">
        <v>102</v>
      </c>
      <c r="E13" s="192" t="s">
        <v>86</v>
      </c>
      <c r="F13" s="192" t="s">
        <v>4234</v>
      </c>
      <c r="G13" s="63" t="s">
        <v>4235</v>
      </c>
      <c r="H13" s="192" t="str">
        <f>IFERROR(INDEX(Students!$A$2:$AN$153,MATCH($A13,Students!$A$2:$A$153,0),38),"No")</f>
        <v>No</v>
      </c>
      <c r="I13" s="63" t="str">
        <f>IFERROR(INDEX(Students!$A$2:$AN$153,MATCH($A13,Students!$A$2:$A$153,0),39),"None")</f>
        <v>None</v>
      </c>
      <c r="J13" s="193">
        <v>160000</v>
      </c>
      <c r="K13" s="193">
        <f>$B$30</f>
        <v>130000</v>
      </c>
      <c r="L13" s="193">
        <v>0</v>
      </c>
      <c r="M13" s="193">
        <f t="shared" si="0"/>
        <v>45000</v>
      </c>
      <c r="N13" s="193">
        <f t="shared" si="1"/>
        <v>15000</v>
      </c>
      <c r="O13" s="193">
        <f t="shared" si="2"/>
        <v>0</v>
      </c>
      <c r="P13" s="193">
        <f t="shared" si="3"/>
        <v>350000</v>
      </c>
      <c r="Q13" s="193">
        <f>IF(IFERROR(INDEX(Students!$A$2:$AN$153,MATCH($A13,Students!$A$2:$A$153,0),13),"")="On Leave",0,IF(F13="Fully Funded",P13,IF(F13="Provisionally Funded",J13+N13,IF(F13="Appeal Pending",0,IF(F13="Funding Discontinued",ROUND(P13*0.4,0),P13)))))</f>
        <v>350000</v>
      </c>
      <c r="R13" s="193">
        <f>IFERROR(INDEX(Students!$A$2:$AN$153,MATCH($A13,Students!$A$2:$A$153,0),22),0)</f>
        <v>0</v>
      </c>
      <c r="S13" s="194">
        <f>IFERROR(INDEX(Students!$A$2:$AN$153,MATCH($A13,Students!$A$2:$A$153,0),11),"")</f>
        <v>3.7</v>
      </c>
      <c r="T13" s="192">
        <f>IFERROR(INDEX(Students!$A$2:$AN$153,MATCH($A13,Students!$A$2:$A$153,0),12),0)</f>
        <v>128</v>
      </c>
      <c r="U13" s="192">
        <f>IFERROR(ROUND(AVERAGEIF(Attendance!$B:$B,$A13,Attendance!$J:$J),0),"")</f>
        <v>96</v>
      </c>
      <c r="V13" s="192" t="str">
        <f>IFERROR(INDEX(Students!$A$2:$AN$153,MATCH($A13,Students!$A$2:$A$153,0),23),"")</f>
        <v>Cleared</v>
      </c>
      <c r="W13" s="192">
        <v>4</v>
      </c>
      <c r="X13" s="192">
        <f t="shared" si="4"/>
        <v>6</v>
      </c>
      <c r="Y13" s="192">
        <f t="shared" si="5"/>
        <v>2</v>
      </c>
      <c r="Z13" s="63" t="str">
        <f t="shared" si="6"/>
        <v>Low Risk</v>
      </c>
      <c r="AA13" s="63" t="s">
        <v>4236</v>
      </c>
    </row>
    <row r="14" spans="1:27" ht="15" customHeight="1" x14ac:dyDescent="0.25">
      <c r="A14" s="192" t="s">
        <v>1120</v>
      </c>
      <c r="B14" s="63" t="s">
        <v>1121</v>
      </c>
      <c r="C14" s="63" t="s">
        <v>46</v>
      </c>
      <c r="D14" s="63" t="s">
        <v>117</v>
      </c>
      <c r="E14" s="192" t="s">
        <v>74</v>
      </c>
      <c r="F14" s="192" t="s">
        <v>4234</v>
      </c>
      <c r="G14" s="63" t="s">
        <v>4235</v>
      </c>
      <c r="H14" s="192" t="str">
        <f>IFERROR(INDEX(Students!$A$2:$AN$153,MATCH($A14,Students!$A$2:$A$153,0),38),"No")</f>
        <v>No</v>
      </c>
      <c r="I14" s="63" t="str">
        <f>IFERROR(INDEX(Students!$A$2:$AN$153,MATCH($A14,Students!$A$2:$A$153,0),39),"None")</f>
        <v>None</v>
      </c>
      <c r="J14" s="193">
        <v>150000</v>
      </c>
      <c r="K14" s="193">
        <v>0</v>
      </c>
      <c r="L14" s="193">
        <f>$B$31</f>
        <v>20000</v>
      </c>
      <c r="M14" s="193">
        <f t="shared" si="0"/>
        <v>45000</v>
      </c>
      <c r="N14" s="193">
        <f t="shared" si="1"/>
        <v>15000</v>
      </c>
      <c r="O14" s="193">
        <f t="shared" si="2"/>
        <v>0</v>
      </c>
      <c r="P14" s="193">
        <f t="shared" si="3"/>
        <v>230000</v>
      </c>
      <c r="Q14" s="193">
        <f>IF(IFERROR(INDEX(Students!$A$2:$AN$153,MATCH($A14,Students!$A$2:$A$153,0),13),"")="On Leave",0,IF(F14="Fully Funded",P14,IF(F14="Provisionally Funded",J14+N14,IF(F14="Appeal Pending",0,IF(F14="Funding Discontinued",ROUND(P14*0.4,0),P14)))))</f>
        <v>230000</v>
      </c>
      <c r="R14" s="193">
        <f>IFERROR(INDEX(Students!$A$2:$AN$153,MATCH($A14,Students!$A$2:$A$153,0),22),0)</f>
        <v>0</v>
      </c>
      <c r="S14" s="194">
        <f>IFERROR(INDEX(Students!$A$2:$AN$153,MATCH($A14,Students!$A$2:$A$153,0),11),"")</f>
        <v>2.5499999999999998</v>
      </c>
      <c r="T14" s="192">
        <f>IFERROR(INDEX(Students!$A$2:$AN$153,MATCH($A14,Students!$A$2:$A$153,0),12),0)</f>
        <v>48</v>
      </c>
      <c r="U14" s="192">
        <f>IFERROR(ROUND(AVERAGEIF(Attendance!$B:$B,$A14,Attendance!$J:$J),0),"")</f>
        <v>64</v>
      </c>
      <c r="V14" s="192" t="str">
        <f>IFERROR(INDEX(Students!$A$2:$AN$153,MATCH($A14,Students!$A$2:$A$153,0),23),"")</f>
        <v>Good Standing</v>
      </c>
      <c r="W14" s="192">
        <v>2</v>
      </c>
      <c r="X14" s="192">
        <f t="shared" si="4"/>
        <v>6</v>
      </c>
      <c r="Y14" s="192">
        <f t="shared" si="5"/>
        <v>4</v>
      </c>
      <c r="Z14" s="63" t="str">
        <f t="shared" si="6"/>
        <v>Low Risk</v>
      </c>
      <c r="AA14" s="63" t="s">
        <v>4236</v>
      </c>
    </row>
    <row r="15" spans="1:27" ht="15" customHeight="1" x14ac:dyDescent="0.25">
      <c r="A15" s="192" t="s">
        <v>1125</v>
      </c>
      <c r="B15" s="63" t="s">
        <v>1126</v>
      </c>
      <c r="C15" s="63" t="s">
        <v>71</v>
      </c>
      <c r="D15" s="63" t="s">
        <v>187</v>
      </c>
      <c r="E15" s="192" t="s">
        <v>49</v>
      </c>
      <c r="F15" s="192" t="s">
        <v>4234</v>
      </c>
      <c r="G15" s="63" t="s">
        <v>4240</v>
      </c>
      <c r="H15" s="192" t="str">
        <f>IFERROR(INDEX(Students!$A$2:$AN$153,MATCH($A15,Students!$A$2:$A$153,0),38),"No")</f>
        <v>Yes</v>
      </c>
      <c r="I15" s="63" t="str">
        <f>IFERROR(INDEX(Students!$A$2:$AN$153,MATCH($A15,Students!$A$2:$A$153,0),39),"None")</f>
        <v>Hearing Impairment</v>
      </c>
      <c r="J15" s="193">
        <v>130000</v>
      </c>
      <c r="K15" s="193">
        <f>$B$30</f>
        <v>130000</v>
      </c>
      <c r="L15" s="193">
        <v>0</v>
      </c>
      <c r="M15" s="193">
        <f t="shared" si="0"/>
        <v>55000</v>
      </c>
      <c r="N15" s="193">
        <f t="shared" si="1"/>
        <v>16500</v>
      </c>
      <c r="O15" s="193">
        <f t="shared" si="2"/>
        <v>60000</v>
      </c>
      <c r="P15" s="193">
        <f t="shared" si="3"/>
        <v>391500</v>
      </c>
      <c r="Q15" s="193">
        <f>IF(IFERROR(INDEX(Students!$A$2:$AN$153,MATCH($A15,Students!$A$2:$A$153,0),13),"")="On Leave",0,IF(F15="Fully Funded",P15,IF(F15="Provisionally Funded",J15+N15,IF(F15="Appeal Pending",0,IF(F15="Funding Discontinued",ROUND(P15*0.4,0),P15)))))</f>
        <v>391500</v>
      </c>
      <c r="R15" s="193">
        <f>IFERROR(INDEX(Students!$A$2:$AN$153,MATCH($A15,Students!$A$2:$A$153,0),22),0)</f>
        <v>0</v>
      </c>
      <c r="S15" s="194">
        <f>IFERROR(INDEX(Students!$A$2:$AN$153,MATCH($A15,Students!$A$2:$A$153,0),11),"")</f>
        <v>3.3</v>
      </c>
      <c r="T15" s="192">
        <f>IFERROR(INDEX(Students!$A$2:$AN$153,MATCH($A15,Students!$A$2:$A$153,0),12),0)</f>
        <v>80</v>
      </c>
      <c r="U15" s="192">
        <f>IFERROR(ROUND(AVERAGEIF(Attendance!$B:$B,$A15,Attendance!$J:$J),0),"")</f>
        <v>89</v>
      </c>
      <c r="V15" s="192" t="str">
        <f>IFERROR(INDEX(Students!$A$2:$AN$153,MATCH($A15,Students!$A$2:$A$153,0),23),"")</f>
        <v>Good Standing</v>
      </c>
      <c r="W15" s="192">
        <v>3</v>
      </c>
      <c r="X15" s="192">
        <f t="shared" si="4"/>
        <v>6</v>
      </c>
      <c r="Y15" s="192">
        <f t="shared" si="5"/>
        <v>3</v>
      </c>
      <c r="Z15" s="63" t="str">
        <f t="shared" si="6"/>
        <v>Low Risk</v>
      </c>
      <c r="AA15" s="63" t="s">
        <v>4236</v>
      </c>
    </row>
    <row r="16" spans="1:27" ht="15" customHeight="1" x14ac:dyDescent="0.25">
      <c r="A16" s="192" t="s">
        <v>1130</v>
      </c>
      <c r="B16" s="63" t="s">
        <v>1131</v>
      </c>
      <c r="C16" s="63" t="s">
        <v>46</v>
      </c>
      <c r="D16" s="63" t="s">
        <v>117</v>
      </c>
      <c r="E16" s="192" t="s">
        <v>118</v>
      </c>
      <c r="F16" s="192" t="s">
        <v>4243</v>
      </c>
      <c r="G16" s="63" t="s">
        <v>4235</v>
      </c>
      <c r="H16" s="192" t="str">
        <f>IFERROR(INDEX(Students!$A$2:$AN$153,MATCH($A16,Students!$A$2:$A$153,0),38),"No")</f>
        <v>No</v>
      </c>
      <c r="I16" s="63" t="str">
        <f>IFERROR(INDEX(Students!$A$2:$AN$153,MATCH($A16,Students!$A$2:$A$153,0),39),"None")</f>
        <v>None</v>
      </c>
      <c r="J16" s="193">
        <v>150000</v>
      </c>
      <c r="K16" s="193">
        <v>0</v>
      </c>
      <c r="L16" s="193">
        <f>$B$31</f>
        <v>20000</v>
      </c>
      <c r="M16" s="193">
        <f t="shared" si="0"/>
        <v>45000</v>
      </c>
      <c r="N16" s="193">
        <f t="shared" si="1"/>
        <v>15000</v>
      </c>
      <c r="O16" s="193">
        <f t="shared" si="2"/>
        <v>0</v>
      </c>
      <c r="P16" s="193">
        <f t="shared" si="3"/>
        <v>230000</v>
      </c>
      <c r="Q16" s="193">
        <f>IF(IFERROR(INDEX(Students!$A$2:$AN$153,MATCH($A16,Students!$A$2:$A$153,0),13),"")="On Leave",0,IF(F16="Fully Funded",P16,IF(F16="Provisionally Funded",J16+N16,IF(F16="Appeal Pending",0,IF(F16="Funding Discontinued",ROUND(P16*0.4,0),P16)))))</f>
        <v>0</v>
      </c>
      <c r="R16" s="193">
        <f>IFERROR(INDEX(Students!$A$2:$AN$153,MATCH($A16,Students!$A$2:$A$153,0),22),0)</f>
        <v>80000</v>
      </c>
      <c r="S16" s="194">
        <f>IFERROR(INDEX(Students!$A$2:$AN$153,MATCH($A16,Students!$A$2:$A$153,0),11),"")</f>
        <v>2.1</v>
      </c>
      <c r="T16" s="192">
        <f>IFERROR(INDEX(Students!$A$2:$AN$153,MATCH($A16,Students!$A$2:$A$153,0),12),0)</f>
        <v>16</v>
      </c>
      <c r="U16" s="192">
        <f>IFERROR(ROUND(AVERAGEIF(Attendance!$B:$B,$A16,Attendance!$J:$J),0),"")</f>
        <v>68</v>
      </c>
      <c r="V16" s="192" t="str">
        <f>IFERROR(INDEX(Students!$A$2:$AN$153,MATCH($A16,Students!$A$2:$A$153,0),23),"")</f>
        <v>Probation</v>
      </c>
      <c r="W16" s="192">
        <v>1</v>
      </c>
      <c r="X16" s="192">
        <f t="shared" si="4"/>
        <v>6</v>
      </c>
      <c r="Y16" s="192">
        <f t="shared" si="5"/>
        <v>5</v>
      </c>
      <c r="Z16" s="63" t="str">
        <f t="shared" si="6"/>
        <v>High Risk</v>
      </c>
      <c r="AA16" s="63" t="s">
        <v>4244</v>
      </c>
    </row>
    <row r="17" spans="1:27" ht="15" customHeight="1" x14ac:dyDescent="0.25">
      <c r="A17" s="192" t="s">
        <v>1135</v>
      </c>
      <c r="B17" s="63" t="s">
        <v>1136</v>
      </c>
      <c r="C17" s="63" t="s">
        <v>46</v>
      </c>
      <c r="D17" s="63" t="s">
        <v>117</v>
      </c>
      <c r="E17" s="192" t="s">
        <v>74</v>
      </c>
      <c r="F17" s="192" t="s">
        <v>4234</v>
      </c>
      <c r="G17" s="63" t="s">
        <v>4235</v>
      </c>
      <c r="H17" s="192" t="str">
        <f>IFERROR(INDEX(Students!$A$2:$AN$153,MATCH($A17,Students!$A$2:$A$153,0),38),"No")</f>
        <v>No</v>
      </c>
      <c r="I17" s="63" t="str">
        <f>IFERROR(INDEX(Students!$A$2:$AN$153,MATCH($A17,Students!$A$2:$A$153,0),39),"None")</f>
        <v>None</v>
      </c>
      <c r="J17" s="193">
        <v>150000</v>
      </c>
      <c r="K17" s="193">
        <f>$B$30</f>
        <v>130000</v>
      </c>
      <c r="L17" s="193">
        <v>0</v>
      </c>
      <c r="M17" s="193">
        <f t="shared" si="0"/>
        <v>45000</v>
      </c>
      <c r="N17" s="193">
        <f t="shared" si="1"/>
        <v>15000</v>
      </c>
      <c r="O17" s="193">
        <f t="shared" si="2"/>
        <v>0</v>
      </c>
      <c r="P17" s="193">
        <f t="shared" si="3"/>
        <v>340000</v>
      </c>
      <c r="Q17" s="193">
        <f>IF(IFERROR(INDEX(Students!$A$2:$AN$153,MATCH($A17,Students!$A$2:$A$153,0),13),"")="On Leave",0,IF(F17="Fully Funded",P17,IF(F17="Provisionally Funded",J17+N17,IF(F17="Appeal Pending",0,IF(F17="Funding Discontinued",ROUND(P17*0.4,0),P17)))))</f>
        <v>340000</v>
      </c>
      <c r="R17" s="193">
        <f>IFERROR(INDEX(Students!$A$2:$AN$153,MATCH($A17,Students!$A$2:$A$153,0),22),0)</f>
        <v>0</v>
      </c>
      <c r="S17" s="194">
        <f>IFERROR(INDEX(Students!$A$2:$AN$153,MATCH($A17,Students!$A$2:$A$153,0),11),"")</f>
        <v>3.88</v>
      </c>
      <c r="T17" s="192">
        <f>IFERROR(INDEX(Students!$A$2:$AN$153,MATCH($A17,Students!$A$2:$A$153,0),12),0)</f>
        <v>48</v>
      </c>
      <c r="U17" s="192">
        <f>IFERROR(ROUND(AVERAGEIF(Attendance!$B:$B,$A17,Attendance!$J:$J),0),"")</f>
        <v>95</v>
      </c>
      <c r="V17" s="192" t="str">
        <f>IFERROR(INDEX(Students!$A$2:$AN$153,MATCH($A17,Students!$A$2:$A$153,0),23),"")</f>
        <v>Good Standing</v>
      </c>
      <c r="W17" s="192">
        <v>2</v>
      </c>
      <c r="X17" s="192">
        <f t="shared" si="4"/>
        <v>6</v>
      </c>
      <c r="Y17" s="192">
        <f t="shared" si="5"/>
        <v>4</v>
      </c>
      <c r="Z17" s="63" t="str">
        <f t="shared" si="6"/>
        <v>Low Risk</v>
      </c>
      <c r="AA17" s="63" t="s">
        <v>4236</v>
      </c>
    </row>
    <row r="18" spans="1:27" ht="15" customHeight="1" x14ac:dyDescent="0.25">
      <c r="A18" s="192" t="s">
        <v>1140</v>
      </c>
      <c r="B18" s="63" t="s">
        <v>1141</v>
      </c>
      <c r="C18" s="63" t="s">
        <v>71</v>
      </c>
      <c r="D18" s="63" t="s">
        <v>187</v>
      </c>
      <c r="E18" s="192" t="s">
        <v>86</v>
      </c>
      <c r="F18" s="192" t="s">
        <v>4234</v>
      </c>
      <c r="G18" s="63" t="s">
        <v>4235</v>
      </c>
      <c r="H18" s="192" t="str">
        <f>IFERROR(INDEX(Students!$A$2:$AN$153,MATCH($A18,Students!$A$2:$A$153,0),38),"No")</f>
        <v>No</v>
      </c>
      <c r="I18" s="63" t="str">
        <f>IFERROR(INDEX(Students!$A$2:$AN$153,MATCH($A18,Students!$A$2:$A$153,0),39),"None")</f>
        <v>None</v>
      </c>
      <c r="J18" s="193">
        <v>130000</v>
      </c>
      <c r="K18" s="193">
        <v>0</v>
      </c>
      <c r="L18" s="193">
        <f>$B$31</f>
        <v>20000</v>
      </c>
      <c r="M18" s="193">
        <f t="shared" si="0"/>
        <v>45000</v>
      </c>
      <c r="N18" s="193">
        <f t="shared" si="1"/>
        <v>15000</v>
      </c>
      <c r="O18" s="193">
        <f t="shared" si="2"/>
        <v>0</v>
      </c>
      <c r="P18" s="193">
        <f t="shared" si="3"/>
        <v>210000</v>
      </c>
      <c r="Q18" s="193">
        <f>IF(IFERROR(INDEX(Students!$A$2:$AN$153,MATCH($A18,Students!$A$2:$A$153,0),13),"")="On Leave",0,IF(F18="Fully Funded",P18,IF(F18="Provisionally Funded",J18+N18,IF(F18="Appeal Pending",0,IF(F18="Funding Discontinued",ROUND(P18*0.4,0),P18)))))</f>
        <v>210000</v>
      </c>
      <c r="R18" s="193">
        <f>IFERROR(INDEX(Students!$A$2:$AN$153,MATCH($A18,Students!$A$2:$A$153,0),22),0)</f>
        <v>0</v>
      </c>
      <c r="S18" s="194">
        <f>IFERROR(INDEX(Students!$A$2:$AN$153,MATCH($A18,Students!$A$2:$A$153,0),11),"")</f>
        <v>3</v>
      </c>
      <c r="T18" s="192">
        <f>IFERROR(INDEX(Students!$A$2:$AN$153,MATCH($A18,Students!$A$2:$A$153,0),12),0)</f>
        <v>112</v>
      </c>
      <c r="U18" s="192">
        <f>IFERROR(ROUND(AVERAGEIF(Attendance!$B:$B,$A18,Attendance!$J:$J),0),"")</f>
        <v>83</v>
      </c>
      <c r="V18" s="192" t="str">
        <f>IFERROR(INDEX(Students!$A$2:$AN$153,MATCH($A18,Students!$A$2:$A$153,0),23),"")</f>
        <v>Good Standing</v>
      </c>
      <c r="W18" s="192">
        <v>4</v>
      </c>
      <c r="X18" s="192">
        <f t="shared" si="4"/>
        <v>6</v>
      </c>
      <c r="Y18" s="192">
        <f t="shared" si="5"/>
        <v>2</v>
      </c>
      <c r="Z18" s="63" t="str">
        <f t="shared" si="6"/>
        <v>Low Risk</v>
      </c>
      <c r="AA18" s="63" t="s">
        <v>4236</v>
      </c>
    </row>
    <row r="19" spans="1:27" ht="15" customHeight="1" x14ac:dyDescent="0.25">
      <c r="A19" s="192" t="s">
        <v>1145</v>
      </c>
      <c r="B19" s="63" t="s">
        <v>1146</v>
      </c>
      <c r="C19" s="63" t="s">
        <v>46</v>
      </c>
      <c r="D19" s="63" t="s">
        <v>117</v>
      </c>
      <c r="E19" s="192" t="s">
        <v>74</v>
      </c>
      <c r="F19" s="192" t="s">
        <v>4237</v>
      </c>
      <c r="G19" s="63" t="s">
        <v>4238</v>
      </c>
      <c r="H19" s="192" t="str">
        <f>IFERROR(INDEX(Students!$A$2:$AN$153,MATCH($A19,Students!$A$2:$A$153,0),38),"No")</f>
        <v>No</v>
      </c>
      <c r="I19" s="63" t="str">
        <f>IFERROR(INDEX(Students!$A$2:$AN$153,MATCH($A19,Students!$A$2:$A$153,0),39),"None")</f>
        <v>None</v>
      </c>
      <c r="J19" s="193">
        <v>150000</v>
      </c>
      <c r="K19" s="193">
        <f>$B$30</f>
        <v>130000</v>
      </c>
      <c r="L19" s="193">
        <v>0</v>
      </c>
      <c r="M19" s="193">
        <f t="shared" si="0"/>
        <v>45000</v>
      </c>
      <c r="N19" s="193">
        <f t="shared" si="1"/>
        <v>15000</v>
      </c>
      <c r="O19" s="193">
        <f t="shared" si="2"/>
        <v>0</v>
      </c>
      <c r="P19" s="193">
        <f t="shared" si="3"/>
        <v>340000</v>
      </c>
      <c r="Q19" s="193">
        <f>IF(IFERROR(INDEX(Students!$A$2:$AN$153,MATCH($A19,Students!$A$2:$A$153,0),13),"")="On Leave",0,IF(F19="Fully Funded",P19,IF(F19="Provisionally Funded",J19+N19,IF(F19="Appeal Pending",0,IF(F19="Funding Discontinued",ROUND(P19*0.4,0),P19)))))</f>
        <v>165000</v>
      </c>
      <c r="R19" s="193">
        <f>IFERROR(INDEX(Students!$A$2:$AN$153,MATCH($A19,Students!$A$2:$A$153,0),22),0)</f>
        <v>75000</v>
      </c>
      <c r="S19" s="194">
        <f>IFERROR(INDEX(Students!$A$2:$AN$153,MATCH($A19,Students!$A$2:$A$153,0),11),"")</f>
        <v>2.7</v>
      </c>
      <c r="T19" s="192">
        <f>IFERROR(INDEX(Students!$A$2:$AN$153,MATCH($A19,Students!$A$2:$A$153,0),12),0)</f>
        <v>48</v>
      </c>
      <c r="U19" s="192">
        <f>IFERROR(ROUND(AVERAGEIF(Attendance!$B:$B,$A19,Attendance!$J:$J),0),"")</f>
        <v>64</v>
      </c>
      <c r="V19" s="192" t="str">
        <f>IFERROR(INDEX(Students!$A$2:$AN$153,MATCH($A19,Students!$A$2:$A$153,0),23),"")</f>
        <v>Good Standing</v>
      </c>
      <c r="W19" s="192">
        <v>2</v>
      </c>
      <c r="X19" s="192">
        <f t="shared" si="4"/>
        <v>6</v>
      </c>
      <c r="Y19" s="192">
        <f t="shared" si="5"/>
        <v>4</v>
      </c>
      <c r="Z19" s="63" t="str">
        <f t="shared" si="6"/>
        <v>Low Risk</v>
      </c>
      <c r="AA19" s="63" t="s">
        <v>4239</v>
      </c>
    </row>
    <row r="20" spans="1:27" ht="15" customHeight="1" x14ac:dyDescent="0.25">
      <c r="A20" s="192" t="s">
        <v>1150</v>
      </c>
      <c r="B20" s="63" t="s">
        <v>1151</v>
      </c>
      <c r="C20" s="63" t="s">
        <v>156</v>
      </c>
      <c r="D20" s="63" t="s">
        <v>73</v>
      </c>
      <c r="E20" s="192" t="s">
        <v>49</v>
      </c>
      <c r="F20" s="192" t="s">
        <v>4234</v>
      </c>
      <c r="G20" s="63" t="s">
        <v>4240</v>
      </c>
      <c r="H20" s="192" t="str">
        <f>IFERROR(INDEX(Students!$A$2:$AN$153,MATCH($A20,Students!$A$2:$A$153,0),38),"No")</f>
        <v>Yes</v>
      </c>
      <c r="I20" s="63" t="str">
        <f>IFERROR(INDEX(Students!$A$2:$AN$153,MATCH($A20,Students!$A$2:$A$153,0),39),"None")</f>
        <v>Chronic Illness (Epilepsy)</v>
      </c>
      <c r="J20" s="193">
        <v>130000</v>
      </c>
      <c r="K20" s="193">
        <v>0</v>
      </c>
      <c r="L20" s="193">
        <f>$B$31</f>
        <v>20000</v>
      </c>
      <c r="M20" s="193">
        <f t="shared" si="0"/>
        <v>55000</v>
      </c>
      <c r="N20" s="193">
        <f t="shared" si="1"/>
        <v>16500</v>
      </c>
      <c r="O20" s="193">
        <f t="shared" si="2"/>
        <v>60000</v>
      </c>
      <c r="P20" s="193">
        <f t="shared" si="3"/>
        <v>281500</v>
      </c>
      <c r="Q20" s="193">
        <f>IF(IFERROR(INDEX(Students!$A$2:$AN$153,MATCH($A20,Students!$A$2:$A$153,0),13),"")="On Leave",0,IF(F20="Fully Funded",P20,IF(F20="Provisionally Funded",J20+N20,IF(F20="Appeal Pending",0,IF(F20="Funding Discontinued",ROUND(P20*0.4,0),P20)))))</f>
        <v>281500</v>
      </c>
      <c r="R20" s="193">
        <f>IFERROR(INDEX(Students!$A$2:$AN$153,MATCH($A20,Students!$A$2:$A$153,0),22),0)</f>
        <v>0</v>
      </c>
      <c r="S20" s="194">
        <f>IFERROR(INDEX(Students!$A$2:$AN$153,MATCH($A20,Students!$A$2:$A$153,0),11),"")</f>
        <v>3.58</v>
      </c>
      <c r="T20" s="192">
        <f>IFERROR(INDEX(Students!$A$2:$AN$153,MATCH($A20,Students!$A$2:$A$153,0),12),0)</f>
        <v>80</v>
      </c>
      <c r="U20" s="192">
        <f>IFERROR(ROUND(AVERAGEIF(Attendance!$B:$B,$A20,Attendance!$J:$J),0),"")</f>
        <v>89</v>
      </c>
      <c r="V20" s="192" t="str">
        <f>IFERROR(INDEX(Students!$A$2:$AN$153,MATCH($A20,Students!$A$2:$A$153,0),23),"")</f>
        <v>Good Standing</v>
      </c>
      <c r="W20" s="192">
        <v>3</v>
      </c>
      <c r="X20" s="192">
        <f t="shared" si="4"/>
        <v>6</v>
      </c>
      <c r="Y20" s="192">
        <f t="shared" si="5"/>
        <v>3</v>
      </c>
      <c r="Z20" s="63" t="str">
        <f t="shared" si="6"/>
        <v>Low Risk</v>
      </c>
      <c r="AA20" s="63" t="s">
        <v>4236</v>
      </c>
    </row>
    <row r="21" spans="1:27" ht="15" customHeight="1" x14ac:dyDescent="0.25">
      <c r="A21" s="192" t="s">
        <v>1155</v>
      </c>
      <c r="B21" s="63" t="s">
        <v>1156</v>
      </c>
      <c r="C21" s="63" t="s">
        <v>46</v>
      </c>
      <c r="D21" s="63" t="s">
        <v>85</v>
      </c>
      <c r="E21" s="192" t="s">
        <v>118</v>
      </c>
      <c r="F21" s="192" t="s">
        <v>4234</v>
      </c>
      <c r="G21" s="63" t="s">
        <v>4235</v>
      </c>
      <c r="H21" s="192" t="str">
        <f>IFERROR(INDEX(Students!$A$2:$AN$153,MATCH($A21,Students!$A$2:$A$153,0),38),"No")</f>
        <v>No</v>
      </c>
      <c r="I21" s="63" t="str">
        <f>IFERROR(INDEX(Students!$A$2:$AN$153,MATCH($A21,Students!$A$2:$A$153,0),39),"None")</f>
        <v>None</v>
      </c>
      <c r="J21" s="193">
        <v>150000</v>
      </c>
      <c r="K21" s="193">
        <f>$B$30</f>
        <v>130000</v>
      </c>
      <c r="L21" s="193">
        <v>0</v>
      </c>
      <c r="M21" s="193">
        <f t="shared" si="0"/>
        <v>45000</v>
      </c>
      <c r="N21" s="193">
        <f t="shared" si="1"/>
        <v>15000</v>
      </c>
      <c r="O21" s="193">
        <f t="shared" si="2"/>
        <v>0</v>
      </c>
      <c r="P21" s="193">
        <f t="shared" si="3"/>
        <v>340000</v>
      </c>
      <c r="Q21" s="193">
        <f>IF(IFERROR(INDEX(Students!$A$2:$AN$153,MATCH($A21,Students!$A$2:$A$153,0),13),"")="On Leave",0,IF(F21="Fully Funded",P21,IF(F21="Provisionally Funded",J21+N21,IF(F21="Appeal Pending",0,IF(F21="Funding Discontinued",ROUND(P21*0.4,0),P21)))))</f>
        <v>340000</v>
      </c>
      <c r="R21" s="193">
        <f>IFERROR(INDEX(Students!$A$2:$AN$153,MATCH($A21,Students!$A$2:$A$153,0),22),0)</f>
        <v>0</v>
      </c>
      <c r="S21" s="194">
        <f>IFERROR(INDEX(Students!$A$2:$AN$153,MATCH($A21,Students!$A$2:$A$153,0),11),"")</f>
        <v>3.2</v>
      </c>
      <c r="T21" s="192">
        <f>IFERROR(INDEX(Students!$A$2:$AN$153,MATCH($A21,Students!$A$2:$A$153,0),12),0)</f>
        <v>16</v>
      </c>
      <c r="U21" s="192">
        <f>IFERROR(ROUND(AVERAGEIF(Attendance!$B:$B,$A21,Attendance!$J:$J),0),"")</f>
        <v>80</v>
      </c>
      <c r="V21" s="192" t="str">
        <f>IFERROR(INDEX(Students!$A$2:$AN$153,MATCH($A21,Students!$A$2:$A$153,0),23),"")</f>
        <v>Good Standing</v>
      </c>
      <c r="W21" s="192">
        <v>1</v>
      </c>
      <c r="X21" s="192">
        <f t="shared" si="4"/>
        <v>6</v>
      </c>
      <c r="Y21" s="192">
        <f t="shared" si="5"/>
        <v>5</v>
      </c>
      <c r="Z21" s="63" t="str">
        <f t="shared" si="6"/>
        <v>Low Risk</v>
      </c>
      <c r="AA21" s="63" t="s">
        <v>4236</v>
      </c>
    </row>
    <row r="22" spans="1:27" ht="15" customHeight="1" x14ac:dyDescent="0.25">
      <c r="A22" s="192" t="s">
        <v>1160</v>
      </c>
      <c r="B22" s="63" t="s">
        <v>1161</v>
      </c>
      <c r="C22" s="63" t="s">
        <v>71</v>
      </c>
      <c r="D22" s="63" t="s">
        <v>204</v>
      </c>
      <c r="E22" s="192" t="s">
        <v>86</v>
      </c>
      <c r="F22" s="192" t="s">
        <v>4237</v>
      </c>
      <c r="G22" s="63" t="s">
        <v>4238</v>
      </c>
      <c r="H22" s="192" t="str">
        <f>IFERROR(INDEX(Students!$A$2:$AN$153,MATCH($A22,Students!$A$2:$A$153,0),38),"No")</f>
        <v>No</v>
      </c>
      <c r="I22" s="63" t="str">
        <f>IFERROR(INDEX(Students!$A$2:$AN$153,MATCH($A22,Students!$A$2:$A$153,0),39),"None")</f>
        <v>None</v>
      </c>
      <c r="J22" s="193">
        <v>130000</v>
      </c>
      <c r="K22" s="193">
        <v>0</v>
      </c>
      <c r="L22" s="193">
        <f>$B$31</f>
        <v>20000</v>
      </c>
      <c r="M22" s="193">
        <f t="shared" si="0"/>
        <v>45000</v>
      </c>
      <c r="N22" s="193">
        <f t="shared" si="1"/>
        <v>15000</v>
      </c>
      <c r="O22" s="193">
        <f t="shared" si="2"/>
        <v>0</v>
      </c>
      <c r="P22" s="193">
        <f t="shared" si="3"/>
        <v>210000</v>
      </c>
      <c r="Q22" s="193">
        <f>IF(IFERROR(INDEX(Students!$A$2:$AN$153,MATCH($A22,Students!$A$2:$A$153,0),13),"")="On Leave",0,IF(F22="Fully Funded",P22,IF(F22="Provisionally Funded",J22+N22,IF(F22="Appeal Pending",0,IF(F22="Funding Discontinued",ROUND(P22*0.4,0),P22)))))</f>
        <v>0</v>
      </c>
      <c r="R22" s="193">
        <f>IFERROR(INDEX(Students!$A$2:$AN$153,MATCH($A22,Students!$A$2:$A$153,0),22),0)</f>
        <v>0</v>
      </c>
      <c r="S22" s="194">
        <f>IFERROR(INDEX(Students!$A$2:$AN$153,MATCH($A22,Students!$A$2:$A$153,0),11),"")</f>
        <v>2.4</v>
      </c>
      <c r="T22" s="192">
        <f>IFERROR(INDEX(Students!$A$2:$AN$153,MATCH($A22,Students!$A$2:$A$153,0),12),0)</f>
        <v>112</v>
      </c>
      <c r="U22" s="192">
        <f>IFERROR(ROUND(AVERAGEIF(Attendance!$B:$B,$A22,Attendance!$J:$J),0),"")</f>
        <v>61</v>
      </c>
      <c r="V22" s="192" t="str">
        <f>IFERROR(INDEX(Students!$A$2:$AN$153,MATCH($A22,Students!$A$2:$A$153,0),23),"")</f>
        <v>Good Standing</v>
      </c>
      <c r="W22" s="192">
        <v>4</v>
      </c>
      <c r="X22" s="192">
        <f t="shared" si="4"/>
        <v>6</v>
      </c>
      <c r="Y22" s="192">
        <f t="shared" si="5"/>
        <v>2</v>
      </c>
      <c r="Z22" s="63" t="str">
        <f t="shared" si="6"/>
        <v>Medium Risk</v>
      </c>
      <c r="AA22" s="63" t="s">
        <v>4245</v>
      </c>
    </row>
    <row r="23" spans="1:27" ht="15" customHeight="1" x14ac:dyDescent="0.25">
      <c r="A23" s="192" t="s">
        <v>1165</v>
      </c>
      <c r="B23" s="63" t="s">
        <v>1166</v>
      </c>
      <c r="C23" s="63" t="s">
        <v>46</v>
      </c>
      <c r="D23" s="63" t="s">
        <v>102</v>
      </c>
      <c r="E23" s="192" t="s">
        <v>74</v>
      </c>
      <c r="F23" s="192" t="s">
        <v>4234</v>
      </c>
      <c r="G23" s="63" t="s">
        <v>4235</v>
      </c>
      <c r="H23" s="192" t="str">
        <f>IFERROR(INDEX(Students!$A$2:$AN$153,MATCH($A23,Students!$A$2:$A$153,0),38),"No")</f>
        <v>No</v>
      </c>
      <c r="I23" s="63" t="str">
        <f>IFERROR(INDEX(Students!$A$2:$AN$153,MATCH($A23,Students!$A$2:$A$153,0),39),"None")</f>
        <v>None</v>
      </c>
      <c r="J23" s="193">
        <v>150000</v>
      </c>
      <c r="K23" s="193">
        <f>$B$30</f>
        <v>130000</v>
      </c>
      <c r="L23" s="193">
        <v>0</v>
      </c>
      <c r="M23" s="193">
        <f t="shared" si="0"/>
        <v>45000</v>
      </c>
      <c r="N23" s="193">
        <f t="shared" si="1"/>
        <v>15000</v>
      </c>
      <c r="O23" s="193">
        <f t="shared" si="2"/>
        <v>0</v>
      </c>
      <c r="P23" s="193">
        <f t="shared" si="3"/>
        <v>340000</v>
      </c>
      <c r="Q23" s="193">
        <f>IF(IFERROR(INDEX(Students!$A$2:$AN$153,MATCH($A23,Students!$A$2:$A$153,0),13),"")="On Leave",0,IF(F23="Fully Funded",P23,IF(F23="Provisionally Funded",J23+N23,IF(F23="Appeal Pending",0,IF(F23="Funding Discontinued",ROUND(P23*0.4,0),P23)))))</f>
        <v>340000</v>
      </c>
      <c r="R23" s="193">
        <f>IFERROR(INDEX(Students!$A$2:$AN$153,MATCH($A23,Students!$A$2:$A$153,0),22),0)</f>
        <v>0</v>
      </c>
      <c r="S23" s="194">
        <f>IFERROR(INDEX(Students!$A$2:$AN$153,MATCH($A23,Students!$A$2:$A$153,0),11),"")</f>
        <v>3.4</v>
      </c>
      <c r="T23" s="192">
        <f>IFERROR(INDEX(Students!$A$2:$AN$153,MATCH($A23,Students!$A$2:$A$153,0),12),0)</f>
        <v>48</v>
      </c>
      <c r="U23" s="192">
        <f>IFERROR(ROUND(AVERAGEIF(Attendance!$B:$B,$A23,Attendance!$J:$J),0),"")</f>
        <v>91</v>
      </c>
      <c r="V23" s="192" t="str">
        <f>IFERROR(INDEX(Students!$A$2:$AN$153,MATCH($A23,Students!$A$2:$A$153,0),23),"")</f>
        <v>Good Standing</v>
      </c>
      <c r="W23" s="192">
        <v>2</v>
      </c>
      <c r="X23" s="192">
        <f t="shared" si="4"/>
        <v>6</v>
      </c>
      <c r="Y23" s="192">
        <f t="shared" si="5"/>
        <v>4</v>
      </c>
      <c r="Z23" s="63" t="str">
        <f t="shared" si="6"/>
        <v>Low Risk</v>
      </c>
      <c r="AA23" s="63" t="s">
        <v>4236</v>
      </c>
    </row>
    <row r="24" spans="1:27" ht="15" customHeight="1" x14ac:dyDescent="0.25">
      <c r="A24" s="192" t="s">
        <v>1170</v>
      </c>
      <c r="B24" s="63" t="s">
        <v>1171</v>
      </c>
      <c r="C24" s="63" t="s">
        <v>46</v>
      </c>
      <c r="D24" s="63" t="s">
        <v>48</v>
      </c>
      <c r="E24" s="192" t="s">
        <v>74</v>
      </c>
      <c r="F24" s="192" t="s">
        <v>4243</v>
      </c>
      <c r="G24" s="63" t="s">
        <v>4240</v>
      </c>
      <c r="H24" s="192" t="str">
        <f>IFERROR(INDEX(Students!$A$2:$AN$153,MATCH($A24,Students!$A$2:$A$153,0),38),"No")</f>
        <v>Yes</v>
      </c>
      <c r="I24" s="63" t="str">
        <f>IFERROR(INDEX(Students!$A$2:$AN$153,MATCH($A24,Students!$A$2:$A$153,0),39),"None")</f>
        <v>Specific Learning Disability (Dyslexia)</v>
      </c>
      <c r="J24" s="193">
        <v>150000</v>
      </c>
      <c r="K24" s="193">
        <v>0</v>
      </c>
      <c r="L24" s="193">
        <f>$B$31</f>
        <v>20000</v>
      </c>
      <c r="M24" s="193">
        <f t="shared" si="0"/>
        <v>55000</v>
      </c>
      <c r="N24" s="193">
        <f t="shared" si="1"/>
        <v>16500</v>
      </c>
      <c r="O24" s="193">
        <f t="shared" si="2"/>
        <v>60000</v>
      </c>
      <c r="P24" s="193">
        <f t="shared" si="3"/>
        <v>301500</v>
      </c>
      <c r="Q24" s="193">
        <f>IF(IFERROR(INDEX(Students!$A$2:$AN$153,MATCH($A24,Students!$A$2:$A$153,0),13),"")="On Leave",0,IF(F24="Fully Funded",P24,IF(F24="Provisionally Funded",J24+N24,IF(F24="Appeal Pending",0,IF(F24="Funding Discontinued",ROUND(P24*0.4,0),P24)))))</f>
        <v>0</v>
      </c>
      <c r="R24" s="193">
        <f>IFERROR(INDEX(Students!$A$2:$AN$153,MATCH($A24,Students!$A$2:$A$153,0),22),0)</f>
        <v>80000</v>
      </c>
      <c r="S24" s="194">
        <f>IFERROR(INDEX(Students!$A$2:$AN$153,MATCH($A24,Students!$A$2:$A$153,0),11),"")</f>
        <v>1.8</v>
      </c>
      <c r="T24" s="192">
        <f>IFERROR(INDEX(Students!$A$2:$AN$153,MATCH($A24,Students!$A$2:$A$153,0),12),0)</f>
        <v>48</v>
      </c>
      <c r="U24" s="192">
        <f>IFERROR(ROUND(AVERAGEIF(Attendance!$B:$B,$A24,Attendance!$J:$J),0),"")</f>
        <v>49</v>
      </c>
      <c r="V24" s="192" t="str">
        <f>IFERROR(INDEX(Students!$A$2:$AN$153,MATCH($A24,Students!$A$2:$A$153,0),23),"")</f>
        <v>Probation</v>
      </c>
      <c r="W24" s="192">
        <v>2</v>
      </c>
      <c r="X24" s="192">
        <f t="shared" si="4"/>
        <v>6</v>
      </c>
      <c r="Y24" s="192">
        <f t="shared" si="5"/>
        <v>4</v>
      </c>
      <c r="Z24" s="63" t="str">
        <f t="shared" si="6"/>
        <v>High Risk</v>
      </c>
      <c r="AA24" s="63" t="s">
        <v>4244</v>
      </c>
    </row>
    <row r="27" spans="1:27" x14ac:dyDescent="0.25">
      <c r="A27" s="195" t="s">
        <v>4246</v>
      </c>
    </row>
    <row r="28" spans="1:27" x14ac:dyDescent="0.25">
      <c r="A28" s="196" t="s">
        <v>4247</v>
      </c>
      <c r="B28" s="197">
        <v>4</v>
      </c>
    </row>
    <row r="29" spans="1:27" x14ac:dyDescent="0.25">
      <c r="A29" s="196" t="s">
        <v>4248</v>
      </c>
      <c r="B29" s="197">
        <v>2</v>
      </c>
    </row>
    <row r="30" spans="1:27" x14ac:dyDescent="0.25">
      <c r="A30" s="196" t="s">
        <v>4249</v>
      </c>
      <c r="B30" s="197">
        <v>130000</v>
      </c>
    </row>
    <row r="31" spans="1:27" x14ac:dyDescent="0.25">
      <c r="A31" s="196" t="s">
        <v>4250</v>
      </c>
      <c r="B31" s="197">
        <v>20000</v>
      </c>
    </row>
    <row r="32" spans="1:27" x14ac:dyDescent="0.25">
      <c r="A32" s="196" t="s">
        <v>4251</v>
      </c>
      <c r="B32" s="197">
        <v>45000</v>
      </c>
    </row>
    <row r="33" spans="1:2" x14ac:dyDescent="0.25">
      <c r="A33" s="196" t="s">
        <v>4252</v>
      </c>
      <c r="B33" s="197">
        <v>55000</v>
      </c>
    </row>
    <row r="34" spans="1:2" x14ac:dyDescent="0.25">
      <c r="A34" s="196" t="s">
        <v>4253</v>
      </c>
      <c r="B34" s="197">
        <v>15000</v>
      </c>
    </row>
    <row r="35" spans="1:2" x14ac:dyDescent="0.25">
      <c r="A35" s="196" t="s">
        <v>4254</v>
      </c>
      <c r="B35" s="197">
        <v>16500</v>
      </c>
    </row>
    <row r="36" spans="1:2" x14ac:dyDescent="0.25">
      <c r="A36" s="196" t="s">
        <v>4255</v>
      </c>
      <c r="B36" s="197">
        <v>60000</v>
      </c>
    </row>
    <row r="37" spans="1:2" x14ac:dyDescent="0.25">
      <c r="A37" s="196" t="s">
        <v>4256</v>
      </c>
      <c r="B37" s="197">
        <v>700000</v>
      </c>
    </row>
    <row r="38" spans="1:2" x14ac:dyDescent="0.25">
      <c r="A38" s="196" t="s">
        <v>4257</v>
      </c>
      <c r="B38" s="197">
        <v>1200000</v>
      </c>
    </row>
    <row r="40" spans="1:2" x14ac:dyDescent="0.25">
      <c r="A40" s="196" t="s">
        <v>4258</v>
      </c>
    </row>
  </sheetData>
  <mergeCells count="2">
    <mergeCell ref="A1:AA1"/>
    <mergeCell ref="A2:AA2"/>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L80"/>
  <sheetViews>
    <sheetView zoomScaleNormal="100" workbookViewId="0">
      <pane ySplit="2" topLeftCell="A3" activePane="bottomLeft" state="frozen"/>
      <selection pane="bottomLeft"/>
    </sheetView>
  </sheetViews>
  <sheetFormatPr defaultColWidth="8.7109375" defaultRowHeight="15" x14ac:dyDescent="0.25"/>
  <cols>
    <col min="1" max="1" width="18" customWidth="1"/>
    <col min="2" max="2" width="22" customWidth="1"/>
    <col min="3" max="4" width="30" customWidth="1"/>
    <col min="5" max="5" width="24" customWidth="1"/>
    <col min="6" max="6" width="18" customWidth="1"/>
    <col min="7" max="7" width="22" customWidth="1"/>
    <col min="8" max="8" width="18" customWidth="1"/>
    <col min="9" max="9" width="12" customWidth="1"/>
    <col min="10" max="10" width="14" customWidth="1"/>
    <col min="11" max="11" width="20" customWidth="1"/>
    <col min="12" max="12" width="22" customWidth="1"/>
  </cols>
  <sheetData>
    <row r="1" spans="1:12" ht="25.5" customHeight="1" x14ac:dyDescent="0.25">
      <c r="A1" s="236" t="s">
        <v>4259</v>
      </c>
      <c r="B1" s="236"/>
      <c r="C1" s="236"/>
      <c r="D1" s="236"/>
      <c r="E1" s="236"/>
      <c r="F1" s="236"/>
      <c r="G1" s="236"/>
      <c r="H1" s="236"/>
      <c r="I1" s="236"/>
      <c r="J1" s="236"/>
      <c r="K1" s="236"/>
      <c r="L1" s="236"/>
    </row>
    <row r="2" spans="1:12" ht="15.75" customHeight="1" x14ac:dyDescent="0.25">
      <c r="A2" s="237" t="s">
        <v>4260</v>
      </c>
      <c r="B2" s="237"/>
      <c r="C2" s="237"/>
      <c r="D2" s="237"/>
      <c r="E2" s="237"/>
      <c r="F2" s="237"/>
      <c r="G2" s="237"/>
      <c r="H2" s="237"/>
      <c r="I2" s="237"/>
      <c r="J2" s="237"/>
      <c r="K2" s="237"/>
      <c r="L2" s="237"/>
    </row>
    <row r="4" spans="1:12" ht="19.5" customHeight="1" x14ac:dyDescent="0.25">
      <c r="A4" s="238" t="s">
        <v>4261</v>
      </c>
      <c r="B4" s="238"/>
      <c r="C4" s="238"/>
      <c r="D4" s="238"/>
      <c r="E4" s="238"/>
      <c r="F4" s="238"/>
      <c r="G4" s="238"/>
      <c r="H4" s="238"/>
      <c r="I4" s="238"/>
      <c r="J4" s="238"/>
      <c r="K4" s="238"/>
      <c r="L4" s="238"/>
    </row>
    <row r="5" spans="1:12" ht="27.75" customHeight="1" x14ac:dyDescent="0.25">
      <c r="A5" s="239" t="s">
        <v>4262</v>
      </c>
      <c r="B5" s="239"/>
      <c r="C5" s="239" t="s">
        <v>4263</v>
      </c>
      <c r="D5" s="239"/>
      <c r="E5" s="239" t="s">
        <v>4264</v>
      </c>
      <c r="F5" s="239"/>
      <c r="G5" s="239" t="s">
        <v>4226</v>
      </c>
      <c r="H5" s="239"/>
      <c r="I5" s="239" t="s">
        <v>2973</v>
      </c>
      <c r="J5" s="239"/>
      <c r="K5" s="239" t="s">
        <v>4265</v>
      </c>
      <c r="L5" s="239"/>
    </row>
    <row r="6" spans="1:12" ht="25.5" customHeight="1" x14ac:dyDescent="0.25">
      <c r="A6" s="240">
        <f>COUNTA('NSFAS Student Tracking'!$A$5:$A$24)</f>
        <v>20</v>
      </c>
      <c r="B6" s="240"/>
      <c r="C6" s="241">
        <f>SUM('NSFAS Student Tracking'!$P$5:$P$24)</f>
        <v>5907500</v>
      </c>
      <c r="D6" s="241"/>
      <c r="E6" s="241">
        <f>SUM('NSFAS Student Tracking'!$Q$5:$Q$24)</f>
        <v>4735000</v>
      </c>
      <c r="F6" s="241"/>
      <c r="G6" s="241">
        <f>SUM('NSFAS Student Tracking'!$R$5:$R$24)</f>
        <v>425000</v>
      </c>
      <c r="H6" s="241"/>
      <c r="I6" s="242">
        <f>AVERAGE('NSFAS Student Tracking'!$S$5:$S$24)</f>
        <v>2.9955000000000003</v>
      </c>
      <c r="J6" s="242"/>
      <c r="K6" s="240">
        <f>AVERAGE('NSFAS Student Tracking'!$U$5:$U$24)</f>
        <v>77.3</v>
      </c>
      <c r="L6" s="240"/>
    </row>
    <row r="8" spans="1:12" ht="27.75" customHeight="1" x14ac:dyDescent="0.25">
      <c r="A8" s="239" t="s">
        <v>4234</v>
      </c>
      <c r="B8" s="239"/>
      <c r="C8" s="239" t="s">
        <v>4237</v>
      </c>
      <c r="D8" s="239"/>
      <c r="E8" s="239" t="s">
        <v>4243</v>
      </c>
      <c r="F8" s="239"/>
      <c r="G8" s="239" t="s">
        <v>4241</v>
      </c>
      <c r="H8" s="239"/>
      <c r="I8" s="239" t="s">
        <v>4266</v>
      </c>
      <c r="J8" s="239"/>
      <c r="K8" s="239" t="s">
        <v>4267</v>
      </c>
      <c r="L8" s="239"/>
    </row>
    <row r="9" spans="1:12" ht="21.75" customHeight="1" x14ac:dyDescent="0.25">
      <c r="A9" s="243">
        <f>COUNTIF('NSFAS Student Tracking'!$F$5:$F$24,"Fully Funded")</f>
        <v>13</v>
      </c>
      <c r="B9" s="243"/>
      <c r="C9" s="243">
        <f>COUNTIF('NSFAS Student Tracking'!$F$5:$F$24,"Provisionally Funded")</f>
        <v>4</v>
      </c>
      <c r="D9" s="243"/>
      <c r="E9" s="243">
        <f>COUNTIF('NSFAS Student Tracking'!$F$5:$F$24,"Appeal Pending")</f>
        <v>2</v>
      </c>
      <c r="F9" s="243"/>
      <c r="G9" s="243">
        <f>COUNTIF('NSFAS Student Tracking'!$F$5:$F$24,"Funding Discontinued")</f>
        <v>1</v>
      </c>
      <c r="H9" s="243"/>
      <c r="I9" s="243">
        <f>COUNTIF('NSFAS Student Tracking'!$H$5:$H$24,"Yes")</f>
        <v>5</v>
      </c>
      <c r="J9" s="243"/>
      <c r="K9" s="243">
        <f>COUNTIF('NSFAS Student Tracking'!$Z$5:$Z$24,"High Risk")+COUNTIF('NSFAS Student Tracking'!$Z$5:$Z$24,"Critical — Funding Discontinued")</f>
        <v>4</v>
      </c>
      <c r="L9" s="243"/>
    </row>
    <row r="11" spans="1:12" ht="19.5" customHeight="1" x14ac:dyDescent="0.25">
      <c r="A11" s="238" t="s">
        <v>4268</v>
      </c>
      <c r="B11" s="238"/>
      <c r="C11" s="238"/>
      <c r="D11" s="238"/>
      <c r="E11" s="238"/>
    </row>
    <row r="12" spans="1:12" ht="24" customHeight="1" x14ac:dyDescent="0.25">
      <c r="A12" s="191" t="s">
        <v>4216</v>
      </c>
      <c r="B12" s="191" t="s">
        <v>4269</v>
      </c>
      <c r="C12" s="191" t="s">
        <v>4270</v>
      </c>
      <c r="D12" s="191" t="s">
        <v>4271</v>
      </c>
      <c r="E12" s="191" t="s">
        <v>2989</v>
      </c>
    </row>
    <row r="13" spans="1:12" ht="15" customHeight="1" x14ac:dyDescent="0.25">
      <c r="A13" s="63" t="s">
        <v>4234</v>
      </c>
      <c r="B13" s="193">
        <f>COUNTIF('NSFAS Student Tracking'!$F$5:$F$24,"Fully Funded")</f>
        <v>13</v>
      </c>
      <c r="C13" s="193">
        <f>SUMIF('NSFAS Student Tracking'!$F$5:$F$24,"Fully Funded",'NSFAS Student Tracking'!$P$5:$P$24)</f>
        <v>4176000</v>
      </c>
      <c r="D13" s="193">
        <f>SUMIF('NSFAS Student Tracking'!$F$5:$F$24,"Fully Funded",'NSFAS Student Tracking'!$Q$5:$Q$24)</f>
        <v>4176000</v>
      </c>
      <c r="E13" s="193">
        <f>IFERROR(AVERAGEIF('NSFAS Student Tracking'!$F$5:$F$24,"Fully Funded",'NSFAS Student Tracking'!$S$5:$S$24),"")</f>
        <v>3.3507692307692305</v>
      </c>
    </row>
    <row r="14" spans="1:12" ht="15" customHeight="1" x14ac:dyDescent="0.25">
      <c r="A14" s="63" t="s">
        <v>4237</v>
      </c>
      <c r="B14" s="193">
        <f>COUNTIF('NSFAS Student Tracking'!$F$5:$F$24,"Provisionally Funded")</f>
        <v>4</v>
      </c>
      <c r="C14" s="193">
        <f>SUMIF('NSFAS Student Tracking'!$F$5:$F$24,"Provisionally Funded",'NSFAS Student Tracking'!$P$5:$P$24)</f>
        <v>990000</v>
      </c>
      <c r="D14" s="193">
        <f>SUMIF('NSFAS Student Tracking'!$F$5:$F$24,"Provisionally Funded",'NSFAS Student Tracking'!$Q$5:$Q$24)</f>
        <v>475000</v>
      </c>
      <c r="E14" s="193">
        <f>IFERROR(AVERAGEIF('NSFAS Student Tracking'!$F$5:$F$24,"Provisionally Funded",'NSFAS Student Tracking'!$S$5:$S$24),"")</f>
        <v>2.6250000000000004</v>
      </c>
    </row>
    <row r="15" spans="1:12" ht="15" customHeight="1" x14ac:dyDescent="0.25">
      <c r="A15" s="63" t="s">
        <v>4243</v>
      </c>
      <c r="B15" s="193">
        <f>COUNTIF('NSFAS Student Tracking'!$F$5:$F$24,"Appeal Pending")</f>
        <v>2</v>
      </c>
      <c r="C15" s="193">
        <f>SUMIF('NSFAS Student Tracking'!$F$5:$F$24,"Appeal Pending",'NSFAS Student Tracking'!$P$5:$P$24)</f>
        <v>531500</v>
      </c>
      <c r="D15" s="193">
        <f>SUMIF('NSFAS Student Tracking'!$F$5:$F$24,"Appeal Pending",'NSFAS Student Tracking'!$Q$5:$Q$24)</f>
        <v>0</v>
      </c>
      <c r="E15" s="193">
        <f>IFERROR(AVERAGEIF('NSFAS Student Tracking'!$F$5:$F$24,"Appeal Pending",'NSFAS Student Tracking'!$S$5:$S$24),"")</f>
        <v>1.9500000000000002</v>
      </c>
    </row>
    <row r="16" spans="1:12" ht="15" customHeight="1" x14ac:dyDescent="0.25">
      <c r="A16" s="63" t="s">
        <v>4241</v>
      </c>
      <c r="B16" s="193">
        <f>COUNTIF('NSFAS Student Tracking'!$F$5:$F$24,"Funding Discontinued")</f>
        <v>1</v>
      </c>
      <c r="C16" s="193">
        <f>SUMIF('NSFAS Student Tracking'!$F$5:$F$24,"Funding Discontinued",'NSFAS Student Tracking'!$P$5:$P$24)</f>
        <v>210000</v>
      </c>
      <c r="D16" s="193">
        <f>SUMIF('NSFAS Student Tracking'!$F$5:$F$24,"Funding Discontinued",'NSFAS Student Tracking'!$Q$5:$Q$24)</f>
        <v>84000</v>
      </c>
      <c r="E16" s="193">
        <f>IFERROR(AVERAGEIF('NSFAS Student Tracking'!$F$5:$F$24,"Funding Discontinued",'NSFAS Student Tracking'!$S$5:$S$24),"")</f>
        <v>1.95</v>
      </c>
    </row>
    <row r="18" spans="1:4" ht="19.5" customHeight="1" x14ac:dyDescent="0.25">
      <c r="A18" s="238" t="s">
        <v>4272</v>
      </c>
      <c r="B18" s="238"/>
    </row>
    <row r="19" spans="1:4" ht="24" customHeight="1" x14ac:dyDescent="0.25">
      <c r="A19" s="191" t="s">
        <v>22</v>
      </c>
      <c r="B19" s="191" t="s">
        <v>4269</v>
      </c>
    </row>
    <row r="20" spans="1:4" ht="15" customHeight="1" x14ac:dyDescent="0.25">
      <c r="A20" s="63" t="s">
        <v>58</v>
      </c>
      <c r="B20" s="193">
        <f>COUNTIF('NSFAS Student Tracking'!$V$5:$V$24,"Good Standing")</f>
        <v>15</v>
      </c>
    </row>
    <row r="21" spans="1:4" ht="15" customHeight="1" x14ac:dyDescent="0.25">
      <c r="A21" s="63" t="s">
        <v>119</v>
      </c>
      <c r="B21" s="193">
        <f>COUNTIF('NSFAS Student Tracking'!$V$5:$V$24,"Probation")</f>
        <v>3</v>
      </c>
    </row>
    <row r="22" spans="1:4" ht="15" customHeight="1" x14ac:dyDescent="0.25">
      <c r="A22" s="63" t="s">
        <v>195</v>
      </c>
      <c r="B22" s="193">
        <f>COUNTIF('NSFAS Student Tracking'!$V$5:$V$24,"Suspended")</f>
        <v>1</v>
      </c>
    </row>
    <row r="23" spans="1:4" ht="15" customHeight="1" x14ac:dyDescent="0.25">
      <c r="A23" s="63" t="s">
        <v>108</v>
      </c>
      <c r="B23" s="193">
        <f>COUNTIF('NSFAS Student Tracking'!$V$5:$V$24,"Cleared")</f>
        <v>1</v>
      </c>
    </row>
    <row r="24" spans="1:4" ht="19.5" customHeight="1" x14ac:dyDescent="0.25">
      <c r="A24" s="238" t="s">
        <v>4273</v>
      </c>
      <c r="B24" s="238"/>
    </row>
    <row r="25" spans="1:4" ht="24" customHeight="1" x14ac:dyDescent="0.25">
      <c r="A25" s="191" t="s">
        <v>4232</v>
      </c>
      <c r="B25" s="191" t="s">
        <v>4269</v>
      </c>
    </row>
    <row r="26" spans="1:4" ht="15" customHeight="1" x14ac:dyDescent="0.25">
      <c r="A26" s="63" t="s">
        <v>4274</v>
      </c>
      <c r="B26" s="193">
        <f>COUNTIF('NSFAS Student Tracking'!$Z$5:$Z$24,"Low Risk")</f>
        <v>15</v>
      </c>
    </row>
    <row r="27" spans="1:4" ht="15" customHeight="1" x14ac:dyDescent="0.25">
      <c r="A27" s="63" t="s">
        <v>4275</v>
      </c>
      <c r="B27" s="193">
        <f>COUNTIF('NSFAS Student Tracking'!$Z$5:$Z$24,"Medium Risk")</f>
        <v>1</v>
      </c>
    </row>
    <row r="28" spans="1:4" ht="15" customHeight="1" x14ac:dyDescent="0.25">
      <c r="A28" s="63" t="s">
        <v>4276</v>
      </c>
      <c r="B28" s="193">
        <f>COUNTIF('NSFAS Student Tracking'!$Z$5:$Z$24,"High Risk")</f>
        <v>3</v>
      </c>
    </row>
    <row r="29" spans="1:4" ht="15" customHeight="1" x14ac:dyDescent="0.25">
      <c r="A29" s="63" t="s">
        <v>4277</v>
      </c>
      <c r="B29" s="193">
        <f>COUNTIF('NSFAS Student Tracking'!$Z$5:$Z$24,"Critical — Funding Discontinued")</f>
        <v>1</v>
      </c>
    </row>
    <row r="31" spans="1:4" ht="19.5" customHeight="1" x14ac:dyDescent="0.25">
      <c r="A31" s="238" t="s">
        <v>4278</v>
      </c>
      <c r="B31" s="238"/>
      <c r="C31" s="238"/>
      <c r="D31" s="238"/>
    </row>
    <row r="32" spans="1:4" ht="24" customHeight="1" x14ac:dyDescent="0.25">
      <c r="A32" s="191" t="s">
        <v>4279</v>
      </c>
      <c r="B32" s="191" t="s">
        <v>4269</v>
      </c>
      <c r="C32" s="191" t="s">
        <v>4280</v>
      </c>
      <c r="D32" s="191" t="s">
        <v>2989</v>
      </c>
    </row>
    <row r="33" spans="1:4" ht="15" customHeight="1" x14ac:dyDescent="0.25">
      <c r="A33" s="63" t="s">
        <v>4281</v>
      </c>
      <c r="B33" s="193">
        <f>COUNTIF('NSFAS Student Tracking'!$H$5:$H$24,"Yes")</f>
        <v>5</v>
      </c>
      <c r="C33" s="193">
        <f>SUMIF('NSFAS Student Tracking'!$H$5:$H$24,"Yes",'NSFAS Student Tracking'!$O$5:$O$24)</f>
        <v>300000</v>
      </c>
      <c r="D33" s="193">
        <f>IFERROR(AVERAGEIF('NSFAS Student Tracking'!$H$5:$H$24,"Yes",'NSFAS Student Tracking'!$S$5:$S$24),"")</f>
        <v>3.056</v>
      </c>
    </row>
    <row r="34" spans="1:4" ht="15" customHeight="1" x14ac:dyDescent="0.25">
      <c r="A34" s="63" t="s">
        <v>4282</v>
      </c>
      <c r="B34" s="193">
        <f>COUNTIF('NSFAS Student Tracking'!$H$5:$H$24,"No")</f>
        <v>15</v>
      </c>
      <c r="C34" s="193">
        <f>SUMIF('NSFAS Student Tracking'!$H$5:$H$24,"No",'NSFAS Student Tracking'!$O$5:$O$24)</f>
        <v>0</v>
      </c>
      <c r="D34" s="193">
        <f>IFERROR(AVERAGEIF('NSFAS Student Tracking'!$H$5:$H$24,"No",'NSFAS Student Tracking'!$S$5:$S$24),"")</f>
        <v>2.9753333333333334</v>
      </c>
    </row>
    <row r="36" spans="1:4" ht="19.5" customHeight="1" x14ac:dyDescent="0.25">
      <c r="A36" s="238" t="s">
        <v>4283</v>
      </c>
      <c r="B36" s="238"/>
    </row>
    <row r="37" spans="1:4" ht="24" customHeight="1" x14ac:dyDescent="0.25">
      <c r="A37" s="191" t="s">
        <v>4284</v>
      </c>
      <c r="B37" s="191" t="s">
        <v>4285</v>
      </c>
    </row>
    <row r="38" spans="1:4" ht="15" customHeight="1" x14ac:dyDescent="0.25">
      <c r="A38" s="63" t="s">
        <v>4286</v>
      </c>
      <c r="B38" s="193">
        <f>SUM('NSFAS Student Tracking'!$J$5:$J$24)</f>
        <v>2850000</v>
      </c>
    </row>
    <row r="39" spans="1:4" ht="15" customHeight="1" x14ac:dyDescent="0.25">
      <c r="A39" s="63" t="s">
        <v>4287</v>
      </c>
      <c r="B39" s="193">
        <f>SUM('NSFAS Student Tracking'!$K$5:$K$24)</f>
        <v>1300000</v>
      </c>
    </row>
    <row r="40" spans="1:4" ht="15" customHeight="1" x14ac:dyDescent="0.25">
      <c r="A40" s="63" t="s">
        <v>4288</v>
      </c>
      <c r="B40" s="193">
        <f>SUM('NSFAS Student Tracking'!$L$5:$L$24)</f>
        <v>200000</v>
      </c>
    </row>
    <row r="41" spans="1:4" ht="15" customHeight="1" x14ac:dyDescent="0.25">
      <c r="A41" s="63" t="s">
        <v>4289</v>
      </c>
      <c r="B41" s="193">
        <f>SUM('NSFAS Student Tracking'!$M$5:$M$24)</f>
        <v>950000</v>
      </c>
    </row>
    <row r="42" spans="1:4" ht="15" customHeight="1" x14ac:dyDescent="0.25">
      <c r="A42" s="63" t="s">
        <v>4290</v>
      </c>
      <c r="B42" s="193">
        <f>SUM('NSFAS Student Tracking'!$N$5:$N$24)</f>
        <v>307500</v>
      </c>
    </row>
    <row r="43" spans="1:4" ht="15" customHeight="1" x14ac:dyDescent="0.25">
      <c r="A43" s="63" t="s">
        <v>4291</v>
      </c>
      <c r="B43" s="193">
        <f>SUM('NSFAS Student Tracking'!$O$5:$O$24)</f>
        <v>300000</v>
      </c>
    </row>
    <row r="45" spans="1:4" ht="19.5" customHeight="1" x14ac:dyDescent="0.25">
      <c r="A45" s="238" t="s">
        <v>4292</v>
      </c>
      <c r="B45" s="238"/>
      <c r="C45" s="238"/>
      <c r="D45" s="238"/>
    </row>
    <row r="46" spans="1:4" ht="24" customHeight="1" x14ac:dyDescent="0.25">
      <c r="A46" s="191" t="s">
        <v>2188</v>
      </c>
      <c r="B46" s="191" t="s">
        <v>4269</v>
      </c>
      <c r="C46" s="191" t="s">
        <v>2989</v>
      </c>
      <c r="D46" s="191" t="s">
        <v>4270</v>
      </c>
    </row>
    <row r="47" spans="1:4" ht="15" customHeight="1" x14ac:dyDescent="0.25">
      <c r="A47" s="63" t="s">
        <v>204</v>
      </c>
      <c r="B47" s="193">
        <f>COUNTIF('NSFAS Student Tracking'!$D$5:$D$24,"School of Arts")</f>
        <v>1</v>
      </c>
      <c r="C47" s="193">
        <f>IFERROR(AVERAGEIF('NSFAS Student Tracking'!$D$5:$D$24,"School of Arts",'NSFAS Student Tracking'!$S$5:$S$24),"")</f>
        <v>2.4</v>
      </c>
      <c r="D47" s="193">
        <f>SUMIF('NSFAS Student Tracking'!$D$5:$D$24,"School of Arts",'NSFAS Student Tracking'!$P$5:$P$24)</f>
        <v>210000</v>
      </c>
    </row>
    <row r="48" spans="1:4" ht="15" customHeight="1" x14ac:dyDescent="0.25">
      <c r="A48" s="63" t="s">
        <v>73</v>
      </c>
      <c r="B48" s="193">
        <f>COUNTIF('NSFAS Student Tracking'!$D$5:$D$24,"School of Business")</f>
        <v>3</v>
      </c>
      <c r="C48" s="193">
        <f>IFERROR(AVERAGEIF('NSFAS Student Tracking'!$D$5:$D$24,"School of Business",'NSFAS Student Tracking'!$S$5:$S$24),"")</f>
        <v>2.6266666666666665</v>
      </c>
      <c r="D48" s="193">
        <f>SUMIF('NSFAS Student Tracking'!$D$5:$D$24,"School of Business",'NSFAS Student Tracking'!$P$5:$P$24)</f>
        <v>701500</v>
      </c>
    </row>
    <row r="49" spans="1:12" ht="15" customHeight="1" x14ac:dyDescent="0.25">
      <c r="A49" s="63" t="s">
        <v>48</v>
      </c>
      <c r="B49" s="193">
        <f>COUNTIF('NSFAS Student Tracking'!$D$5:$D$24,"School of Computing")</f>
        <v>3</v>
      </c>
      <c r="C49" s="193">
        <f>IFERROR(AVERAGEIF('NSFAS Student Tracking'!$D$5:$D$24,"School of Computing",'NSFAS Student Tracking'!$S$5:$S$24),"")</f>
        <v>2.8233333333333337</v>
      </c>
      <c r="D49" s="193">
        <f>SUMIF('NSFAS Student Tracking'!$D$5:$D$24,"School of Computing",'NSFAS Student Tracking'!$P$5:$P$24)</f>
        <v>871500</v>
      </c>
    </row>
    <row r="50" spans="1:12" ht="15" customHeight="1" x14ac:dyDescent="0.25">
      <c r="A50" s="63" t="s">
        <v>134</v>
      </c>
      <c r="B50" s="193">
        <f>COUNTIF('NSFAS Student Tracking'!$D$5:$D$24,"School of Education")</f>
        <v>1</v>
      </c>
      <c r="C50" s="193">
        <f>IFERROR(AVERAGEIF('NSFAS Student Tracking'!$D$5:$D$24,"School of Education",'NSFAS Student Tracking'!$S$5:$S$24),"")</f>
        <v>2.92</v>
      </c>
      <c r="D50" s="193">
        <f>SUMIF('NSFAS Student Tracking'!$D$5:$D$24,"School of Education",'NSFAS Student Tracking'!$P$5:$P$24)</f>
        <v>310000</v>
      </c>
    </row>
    <row r="51" spans="1:12" ht="15" customHeight="1" x14ac:dyDescent="0.25">
      <c r="A51" s="63" t="s">
        <v>85</v>
      </c>
      <c r="B51" s="193">
        <f>COUNTIF('NSFAS Student Tracking'!$D$5:$D$24,"School of Engineering")</f>
        <v>2</v>
      </c>
      <c r="C51" s="193">
        <f>IFERROR(AVERAGEIF('NSFAS Student Tracking'!$D$5:$D$24,"School of Engineering",'NSFAS Student Tracking'!$S$5:$S$24),"")</f>
        <v>3.3250000000000002</v>
      </c>
      <c r="D51" s="193">
        <f>SUMIF('NSFAS Student Tracking'!$D$5:$D$24,"School of Engineering",'NSFAS Student Tracking'!$P$5:$P$24)</f>
        <v>751500</v>
      </c>
    </row>
    <row r="52" spans="1:12" ht="15" customHeight="1" x14ac:dyDescent="0.25">
      <c r="A52" s="63" t="s">
        <v>102</v>
      </c>
      <c r="B52" s="193">
        <f>COUNTIF('NSFAS Student Tracking'!$D$5:$D$24,"School of Health Sciences")</f>
        <v>3</v>
      </c>
      <c r="C52" s="193">
        <f>IFERROR(AVERAGEIF('NSFAS Student Tracking'!$D$5:$D$24,"School of Health Sciences",'NSFAS Student Tracking'!$S$5:$S$24),"")</f>
        <v>3.4166666666666665</v>
      </c>
      <c r="D52" s="193">
        <f>SUMIF('NSFAS Student Tracking'!$D$5:$D$24,"School of Health Sciences",'NSFAS Student Tracking'!$P$5:$P$24)</f>
        <v>1101500</v>
      </c>
    </row>
    <row r="53" spans="1:12" ht="15" customHeight="1" x14ac:dyDescent="0.25">
      <c r="A53" s="63" t="s">
        <v>149</v>
      </c>
      <c r="B53" s="193">
        <f>COUNTIF('NSFAS Student Tracking'!$D$5:$D$24,"School of Law")</f>
        <v>1</v>
      </c>
      <c r="C53" s="193">
        <f>IFERROR(AVERAGEIF('NSFAS Student Tracking'!$D$5:$D$24,"School of Law",'NSFAS Student Tracking'!$S$5:$S$24),"")</f>
        <v>3.81</v>
      </c>
      <c r="D53" s="193">
        <f>SUMIF('NSFAS Student Tracking'!$D$5:$D$24,"School of Law",'NSFAS Student Tracking'!$P$5:$P$24)</f>
        <v>220000</v>
      </c>
    </row>
    <row r="54" spans="1:12" ht="15" customHeight="1" x14ac:dyDescent="0.25">
      <c r="A54" s="63" t="s">
        <v>117</v>
      </c>
      <c r="B54" s="193">
        <f>COUNTIF('NSFAS Student Tracking'!$D$5:$D$24,"School of Science")</f>
        <v>4</v>
      </c>
      <c r="C54" s="193">
        <f>IFERROR(AVERAGEIF('NSFAS Student Tracking'!$D$5:$D$24,"School of Science",'NSFAS Student Tracking'!$S$5:$S$24),"")</f>
        <v>2.8075000000000001</v>
      </c>
      <c r="D54" s="193">
        <f>SUMIF('NSFAS Student Tracking'!$D$5:$D$24,"School of Science",'NSFAS Student Tracking'!$P$5:$P$24)</f>
        <v>1140000</v>
      </c>
    </row>
    <row r="55" spans="1:12" ht="15" customHeight="1" x14ac:dyDescent="0.25">
      <c r="A55" s="63" t="s">
        <v>187</v>
      </c>
      <c r="B55" s="193">
        <f>COUNTIF('NSFAS Student Tracking'!$D$5:$D$24,"School of Social Sciences")</f>
        <v>2</v>
      </c>
      <c r="C55" s="193">
        <f>IFERROR(AVERAGEIF('NSFAS Student Tracking'!$D$5:$D$24,"School of Social Sciences",'NSFAS Student Tracking'!$S$5:$S$24),"")</f>
        <v>3.15</v>
      </c>
      <c r="D55" s="193">
        <f>SUMIF('NSFAS Student Tracking'!$D$5:$D$24,"School of Social Sciences",'NSFAS Student Tracking'!$P$5:$P$24)</f>
        <v>601500</v>
      </c>
    </row>
    <row r="57" spans="1:12" ht="19.5" customHeight="1" x14ac:dyDescent="0.25">
      <c r="A57" s="238" t="s">
        <v>4293</v>
      </c>
      <c r="B57" s="238"/>
      <c r="C57" s="238"/>
      <c r="D57" s="238"/>
      <c r="E57" s="238"/>
      <c r="F57" s="238"/>
      <c r="G57" s="238"/>
      <c r="H57" s="238"/>
      <c r="I57" s="238"/>
      <c r="J57" s="238"/>
      <c r="K57" s="238"/>
      <c r="L57" s="238"/>
    </row>
    <row r="58" spans="1:12" ht="25.5" customHeight="1" x14ac:dyDescent="0.25">
      <c r="A58" s="191" t="s">
        <v>2185</v>
      </c>
      <c r="B58" s="191" t="s">
        <v>2997</v>
      </c>
      <c r="C58" s="191" t="s">
        <v>2187</v>
      </c>
      <c r="D58" s="191" t="s">
        <v>3311</v>
      </c>
      <c r="E58" s="191" t="s">
        <v>4216</v>
      </c>
      <c r="F58" s="191" t="s">
        <v>4294</v>
      </c>
      <c r="G58" s="191" t="s">
        <v>4295</v>
      </c>
      <c r="H58" s="191" t="s">
        <v>4296</v>
      </c>
      <c r="I58" s="191" t="s">
        <v>2984</v>
      </c>
      <c r="J58" s="191" t="s">
        <v>4297</v>
      </c>
      <c r="K58" s="191" t="s">
        <v>22</v>
      </c>
      <c r="L58" s="191" t="s">
        <v>4232</v>
      </c>
    </row>
    <row r="59" spans="1:12" ht="15" customHeight="1" x14ac:dyDescent="0.25">
      <c r="A59" s="63" t="str">
        <f>'NSFAS Student Tracking'!$A$5</f>
        <v>TU-2024-0042</v>
      </c>
      <c r="B59" s="63" t="str">
        <f>'NSFAS Student Tracking'!$B$5</f>
        <v>Alice Mumbi</v>
      </c>
      <c r="C59" s="192" t="str">
        <f>'NSFAS Student Tracking'!$C$5</f>
        <v>BSc</v>
      </c>
      <c r="D59" s="192" t="str">
        <f>'NSFAS Student Tracking'!$E$5</f>
        <v>Year 2</v>
      </c>
      <c r="E59" s="192" t="str">
        <f>'NSFAS Student Tracking'!$F$5</f>
        <v>Fully Funded</v>
      </c>
      <c r="F59" s="193">
        <f>'NSFAS Student Tracking'!$P$5</f>
        <v>340000</v>
      </c>
      <c r="G59" s="193">
        <f>'NSFAS Student Tracking'!$Q$5</f>
        <v>340000</v>
      </c>
      <c r="H59" s="193">
        <f>'NSFAS Student Tracking'!$R$5</f>
        <v>0</v>
      </c>
      <c r="I59" s="194">
        <f>'NSFAS Student Tracking'!$S$5</f>
        <v>3.62</v>
      </c>
      <c r="J59" s="192">
        <f>'NSFAS Student Tracking'!$U$5</f>
        <v>87</v>
      </c>
      <c r="K59" s="192" t="str">
        <f>'NSFAS Student Tracking'!$V$5</f>
        <v>Good Standing</v>
      </c>
      <c r="L59" s="192" t="str">
        <f>'NSFAS Student Tracking'!$Z$5</f>
        <v>Low Risk</v>
      </c>
    </row>
    <row r="60" spans="1:12" ht="15" customHeight="1" x14ac:dyDescent="0.25">
      <c r="A60" s="63" t="str">
        <f>'NSFAS Student Tracking'!$A$6</f>
        <v>TU-2023-0043</v>
      </c>
      <c r="B60" s="63" t="str">
        <f>'NSFAS Student Tracking'!$B$6</f>
        <v>Brian Kiptoo</v>
      </c>
      <c r="C60" s="192" t="str">
        <f>'NSFAS Student Tracking'!$C$6</f>
        <v>BA</v>
      </c>
      <c r="D60" s="192" t="str">
        <f>'NSFAS Student Tracking'!$E$6</f>
        <v>Year 3</v>
      </c>
      <c r="E60" s="192" t="str">
        <f>'NSFAS Student Tracking'!$F$6</f>
        <v>Provisionally Funded</v>
      </c>
      <c r="F60" s="193">
        <f>'NSFAS Student Tracking'!$P$6</f>
        <v>210000</v>
      </c>
      <c r="G60" s="193">
        <f>'NSFAS Student Tracking'!$Q$6</f>
        <v>145000</v>
      </c>
      <c r="H60" s="193">
        <f>'NSFAS Student Tracking'!$R$6</f>
        <v>65000</v>
      </c>
      <c r="I60" s="194">
        <f>'NSFAS Student Tracking'!$S$6</f>
        <v>2.35</v>
      </c>
      <c r="J60" s="192">
        <f>'NSFAS Student Tracking'!$U$6</f>
        <v>68</v>
      </c>
      <c r="K60" s="192" t="str">
        <f>'NSFAS Student Tracking'!$V$6</f>
        <v>Probation</v>
      </c>
      <c r="L60" s="192" t="str">
        <f>'NSFAS Student Tracking'!$Z$6</f>
        <v>High Risk</v>
      </c>
    </row>
    <row r="61" spans="1:12" ht="15" customHeight="1" x14ac:dyDescent="0.25">
      <c r="A61" s="63" t="str">
        <f>'NSFAS Student Tracking'!$A$7</f>
        <v>TU-2025-0044</v>
      </c>
      <c r="B61" s="63" t="str">
        <f>'NSFAS Student Tracking'!$B$7</f>
        <v>Catherine Wafula</v>
      </c>
      <c r="C61" s="192" t="str">
        <f>'NSFAS Student Tracking'!$C$7</f>
        <v>BSc</v>
      </c>
      <c r="D61" s="192" t="str">
        <f>'NSFAS Student Tracking'!$E$7</f>
        <v>Year 1</v>
      </c>
      <c r="E61" s="192" t="str">
        <f>'NSFAS Student Tracking'!$F$7</f>
        <v>Fully Funded</v>
      </c>
      <c r="F61" s="193">
        <f>'NSFAS Student Tracking'!$P$7</f>
        <v>411500</v>
      </c>
      <c r="G61" s="193">
        <f>'NSFAS Student Tracking'!$Q$7</f>
        <v>411500</v>
      </c>
      <c r="H61" s="193">
        <f>'NSFAS Student Tracking'!$R$7</f>
        <v>0</v>
      </c>
      <c r="I61" s="194">
        <f>'NSFAS Student Tracking'!$S$7</f>
        <v>3.15</v>
      </c>
      <c r="J61" s="192">
        <f>'NSFAS Student Tracking'!$U$7</f>
        <v>76</v>
      </c>
      <c r="K61" s="192" t="str">
        <f>'NSFAS Student Tracking'!$V$7</f>
        <v>Good Standing</v>
      </c>
      <c r="L61" s="192" t="str">
        <f>'NSFAS Student Tracking'!$Z$7</f>
        <v>Low Risk</v>
      </c>
    </row>
    <row r="62" spans="1:12" ht="15" customHeight="1" x14ac:dyDescent="0.25">
      <c r="A62" s="63" t="str">
        <f>'NSFAS Student Tracking'!$A$8</f>
        <v>TU-2022-0045</v>
      </c>
      <c r="B62" s="63" t="str">
        <f>'NSFAS Student Tracking'!$B$8</f>
        <v>Daniel Kiprono</v>
      </c>
      <c r="C62" s="192" t="str">
        <f>'NSFAS Student Tracking'!$C$8</f>
        <v>LLB</v>
      </c>
      <c r="D62" s="192" t="str">
        <f>'NSFAS Student Tracking'!$E$8</f>
        <v>Year 4</v>
      </c>
      <c r="E62" s="192" t="str">
        <f>'NSFAS Student Tracking'!$F$8</f>
        <v>Fully Funded</v>
      </c>
      <c r="F62" s="193">
        <f>'NSFAS Student Tracking'!$P$8</f>
        <v>220000</v>
      </c>
      <c r="G62" s="193">
        <f>'NSFAS Student Tracking'!$Q$8</f>
        <v>220000</v>
      </c>
      <c r="H62" s="193">
        <f>'NSFAS Student Tracking'!$R$8</f>
        <v>0</v>
      </c>
      <c r="I62" s="194">
        <f>'NSFAS Student Tracking'!$S$8</f>
        <v>3.81</v>
      </c>
      <c r="J62" s="192">
        <f>'NSFAS Student Tracking'!$U$8</f>
        <v>94</v>
      </c>
      <c r="K62" s="192" t="str">
        <f>'NSFAS Student Tracking'!$V$8</f>
        <v>Good Standing</v>
      </c>
      <c r="L62" s="192" t="str">
        <f>'NSFAS Student Tracking'!$Z$8</f>
        <v>Low Risk</v>
      </c>
    </row>
    <row r="63" spans="1:12" ht="15" customHeight="1" x14ac:dyDescent="0.25">
      <c r="A63" s="63" t="str">
        <f>'NSFAS Student Tracking'!$A$9</f>
        <v>TU-2024-0046</v>
      </c>
      <c r="B63" s="63" t="str">
        <f>'NSFAS Student Tracking'!$B$9</f>
        <v>Esther Nabwire</v>
      </c>
      <c r="C63" s="192" t="str">
        <f>'NSFAS Student Tracking'!$C$9</f>
        <v>BEd</v>
      </c>
      <c r="D63" s="192" t="str">
        <f>'NSFAS Student Tracking'!$E$9</f>
        <v>Year 2</v>
      </c>
      <c r="E63" s="192" t="str">
        <f>'NSFAS Student Tracking'!$F$9</f>
        <v>Fully Funded</v>
      </c>
      <c r="F63" s="193">
        <f>'NSFAS Student Tracking'!$P$9</f>
        <v>310000</v>
      </c>
      <c r="G63" s="193">
        <f>'NSFAS Student Tracking'!$Q$9</f>
        <v>310000</v>
      </c>
      <c r="H63" s="193">
        <f>'NSFAS Student Tracking'!$R$9</f>
        <v>0</v>
      </c>
      <c r="I63" s="194">
        <f>'NSFAS Student Tracking'!$S$9</f>
        <v>2.92</v>
      </c>
      <c r="J63" s="192">
        <f>'NSFAS Student Tracking'!$U$9</f>
        <v>80</v>
      </c>
      <c r="K63" s="192" t="str">
        <f>'NSFAS Student Tracking'!$V$9</f>
        <v>Good Standing</v>
      </c>
      <c r="L63" s="192" t="str">
        <f>'NSFAS Student Tracking'!$Z$9</f>
        <v>Low Risk</v>
      </c>
    </row>
    <row r="64" spans="1:12" ht="15" customHeight="1" x14ac:dyDescent="0.25">
      <c r="A64" s="63" t="str">
        <f>'NSFAS Student Tracking'!$A$10</f>
        <v>TU-2022-0047</v>
      </c>
      <c r="B64" s="63" t="str">
        <f>'NSFAS Student Tracking'!$B$10</f>
        <v>Felix Wanyama</v>
      </c>
      <c r="C64" s="192" t="str">
        <f>'NSFAS Student Tracking'!$C$10</f>
        <v>BComm</v>
      </c>
      <c r="D64" s="192" t="str">
        <f>'NSFAS Student Tracking'!$E$10</f>
        <v>Year 4</v>
      </c>
      <c r="E64" s="192" t="str">
        <f>'NSFAS Student Tracking'!$F$10</f>
        <v>Funding Discontinued</v>
      </c>
      <c r="F64" s="193">
        <f>'NSFAS Student Tracking'!$P$10</f>
        <v>210000</v>
      </c>
      <c r="G64" s="193">
        <f>'NSFAS Student Tracking'!$Q$10</f>
        <v>84000</v>
      </c>
      <c r="H64" s="193">
        <f>'NSFAS Student Tracking'!$R$10</f>
        <v>50000</v>
      </c>
      <c r="I64" s="194">
        <f>'NSFAS Student Tracking'!$S$10</f>
        <v>1.95</v>
      </c>
      <c r="J64" s="192">
        <f>'NSFAS Student Tracking'!$U$10</f>
        <v>45</v>
      </c>
      <c r="K64" s="192" t="str">
        <f>'NSFAS Student Tracking'!$V$10</f>
        <v>Suspended</v>
      </c>
      <c r="L64" s="192" t="str">
        <f>'NSFAS Student Tracking'!$Z$10</f>
        <v>Critical — Funding Discontinued</v>
      </c>
    </row>
    <row r="65" spans="1:12" ht="15" customHeight="1" x14ac:dyDescent="0.25">
      <c r="A65" s="63" t="str">
        <f>'NSFAS Student Tracking'!$A$11</f>
        <v>TU-2023-0048</v>
      </c>
      <c r="B65" s="63" t="str">
        <f>'NSFAS Student Tracking'!$B$11</f>
        <v>Grace Chepkoech</v>
      </c>
      <c r="C65" s="192" t="str">
        <f>'NSFAS Student Tracking'!$C$11</f>
        <v>BSc</v>
      </c>
      <c r="D65" s="192" t="str">
        <f>'NSFAS Student Tracking'!$E$11</f>
        <v>Year 3</v>
      </c>
      <c r="E65" s="192" t="str">
        <f>'NSFAS Student Tracking'!$F$11</f>
        <v>Fully Funded</v>
      </c>
      <c r="F65" s="193">
        <f>'NSFAS Student Tracking'!$P$11</f>
        <v>411500</v>
      </c>
      <c r="G65" s="193">
        <f>'NSFAS Student Tracking'!$Q$11</f>
        <v>411500</v>
      </c>
      <c r="H65" s="193">
        <f>'NSFAS Student Tracking'!$R$11</f>
        <v>0</v>
      </c>
      <c r="I65" s="194">
        <f>'NSFAS Student Tracking'!$S$11</f>
        <v>3.45</v>
      </c>
      <c r="J65" s="192">
        <f>'NSFAS Student Tracking'!$U$11</f>
        <v>91</v>
      </c>
      <c r="K65" s="192" t="str">
        <f>'NSFAS Student Tracking'!$V$11</f>
        <v>Good Standing</v>
      </c>
      <c r="L65" s="192" t="str">
        <f>'NSFAS Student Tracking'!$Z$11</f>
        <v>Low Risk</v>
      </c>
    </row>
    <row r="66" spans="1:12" ht="15" customHeight="1" x14ac:dyDescent="0.25">
      <c r="A66" s="63" t="str">
        <f>'NSFAS Student Tracking'!$A$12</f>
        <v>TU-2025-0049</v>
      </c>
      <c r="B66" s="63" t="str">
        <f>'NSFAS Student Tracking'!$B$12</f>
        <v>Hussein Farah</v>
      </c>
      <c r="C66" s="192" t="str">
        <f>'NSFAS Student Tracking'!$C$12</f>
        <v>BSc</v>
      </c>
      <c r="D66" s="192" t="str">
        <f>'NSFAS Student Tracking'!$E$12</f>
        <v>Year 1</v>
      </c>
      <c r="E66" s="192" t="str">
        <f>'NSFAS Student Tracking'!$F$12</f>
        <v>Provisionally Funded</v>
      </c>
      <c r="F66" s="193">
        <f>'NSFAS Student Tracking'!$P$12</f>
        <v>230000</v>
      </c>
      <c r="G66" s="193">
        <f>'NSFAS Student Tracking'!$Q$12</f>
        <v>165000</v>
      </c>
      <c r="H66" s="193">
        <f>'NSFAS Student Tracking'!$R$12</f>
        <v>75000</v>
      </c>
      <c r="I66" s="194">
        <f>'NSFAS Student Tracking'!$S$12</f>
        <v>3.05</v>
      </c>
      <c r="J66" s="192">
        <f>'NSFAS Student Tracking'!$U$12</f>
        <v>76</v>
      </c>
      <c r="K66" s="192" t="str">
        <f>'NSFAS Student Tracking'!$V$12</f>
        <v>Good Standing</v>
      </c>
      <c r="L66" s="192" t="str">
        <f>'NSFAS Student Tracking'!$Z$12</f>
        <v>Low Risk</v>
      </c>
    </row>
    <row r="67" spans="1:12" ht="15" customHeight="1" x14ac:dyDescent="0.25">
      <c r="A67" s="63" t="str">
        <f>'NSFAS Student Tracking'!$A$13</f>
        <v>TU-2022-0050</v>
      </c>
      <c r="B67" s="63" t="str">
        <f>'NSFAS Student Tracking'!$B$13</f>
        <v>Irene Naliaka</v>
      </c>
      <c r="C67" s="192" t="str">
        <f>'NSFAS Student Tracking'!$C$13</f>
        <v>BPharm</v>
      </c>
      <c r="D67" s="192" t="str">
        <f>'NSFAS Student Tracking'!$E$13</f>
        <v>Year 4</v>
      </c>
      <c r="E67" s="192" t="str">
        <f>'NSFAS Student Tracking'!$F$13</f>
        <v>Fully Funded</v>
      </c>
      <c r="F67" s="193">
        <f>'NSFAS Student Tracking'!$P$13</f>
        <v>350000</v>
      </c>
      <c r="G67" s="193">
        <f>'NSFAS Student Tracking'!$Q$13</f>
        <v>350000</v>
      </c>
      <c r="H67" s="193">
        <f>'NSFAS Student Tracking'!$R$13</f>
        <v>0</v>
      </c>
      <c r="I67" s="194">
        <f>'NSFAS Student Tracking'!$S$13</f>
        <v>3.7</v>
      </c>
      <c r="J67" s="192">
        <f>'NSFAS Student Tracking'!$U$13</f>
        <v>96</v>
      </c>
      <c r="K67" s="192" t="str">
        <f>'NSFAS Student Tracking'!$V$13</f>
        <v>Cleared</v>
      </c>
      <c r="L67" s="192" t="str">
        <f>'NSFAS Student Tracking'!$Z$13</f>
        <v>Low Risk</v>
      </c>
    </row>
    <row r="68" spans="1:12" ht="15" customHeight="1" x14ac:dyDescent="0.25">
      <c r="A68" s="63" t="str">
        <f>'NSFAS Student Tracking'!$A$14</f>
        <v>TU-2024-0051</v>
      </c>
      <c r="B68" s="63" t="str">
        <f>'NSFAS Student Tracking'!$B$14</f>
        <v>John Mwikya</v>
      </c>
      <c r="C68" s="192" t="str">
        <f>'NSFAS Student Tracking'!$C$14</f>
        <v>BSc</v>
      </c>
      <c r="D68" s="192" t="str">
        <f>'NSFAS Student Tracking'!$E$14</f>
        <v>Year 2</v>
      </c>
      <c r="E68" s="192" t="str">
        <f>'NSFAS Student Tracking'!$F$14</f>
        <v>Fully Funded</v>
      </c>
      <c r="F68" s="193">
        <f>'NSFAS Student Tracking'!$P$14</f>
        <v>230000</v>
      </c>
      <c r="G68" s="193">
        <f>'NSFAS Student Tracking'!$Q$14</f>
        <v>230000</v>
      </c>
      <c r="H68" s="193">
        <f>'NSFAS Student Tracking'!$R$14</f>
        <v>0</v>
      </c>
      <c r="I68" s="194">
        <f>'NSFAS Student Tracking'!$S$14</f>
        <v>2.5499999999999998</v>
      </c>
      <c r="J68" s="192">
        <f>'NSFAS Student Tracking'!$U$14</f>
        <v>64</v>
      </c>
      <c r="K68" s="192" t="str">
        <f>'NSFAS Student Tracking'!$V$14</f>
        <v>Good Standing</v>
      </c>
      <c r="L68" s="192" t="str">
        <f>'NSFAS Student Tracking'!$Z$14</f>
        <v>Low Risk</v>
      </c>
    </row>
    <row r="69" spans="1:12" ht="15" customHeight="1" x14ac:dyDescent="0.25">
      <c r="A69" s="63" t="str">
        <f>'NSFAS Student Tracking'!$A$15</f>
        <v>TU-2023-0052</v>
      </c>
      <c r="B69" s="63" t="str">
        <f>'NSFAS Student Tracking'!$B$15</f>
        <v>Karen Jepkosgei</v>
      </c>
      <c r="C69" s="192" t="str">
        <f>'NSFAS Student Tracking'!$C$15</f>
        <v>BA</v>
      </c>
      <c r="D69" s="192" t="str">
        <f>'NSFAS Student Tracking'!$E$15</f>
        <v>Year 3</v>
      </c>
      <c r="E69" s="192" t="str">
        <f>'NSFAS Student Tracking'!$F$15</f>
        <v>Fully Funded</v>
      </c>
      <c r="F69" s="193">
        <f>'NSFAS Student Tracking'!$P$15</f>
        <v>391500</v>
      </c>
      <c r="G69" s="193">
        <f>'NSFAS Student Tracking'!$Q$15</f>
        <v>391500</v>
      </c>
      <c r="H69" s="193">
        <f>'NSFAS Student Tracking'!$R$15</f>
        <v>0</v>
      </c>
      <c r="I69" s="194">
        <f>'NSFAS Student Tracking'!$S$15</f>
        <v>3.3</v>
      </c>
      <c r="J69" s="192">
        <f>'NSFAS Student Tracking'!$U$15</f>
        <v>89</v>
      </c>
      <c r="K69" s="192" t="str">
        <f>'NSFAS Student Tracking'!$V$15</f>
        <v>Good Standing</v>
      </c>
      <c r="L69" s="192" t="str">
        <f>'NSFAS Student Tracking'!$Z$15</f>
        <v>Low Risk</v>
      </c>
    </row>
    <row r="70" spans="1:12" ht="15" customHeight="1" x14ac:dyDescent="0.25">
      <c r="A70" s="63" t="str">
        <f>'NSFAS Student Tracking'!$A$16</f>
        <v>TU-2025-0053</v>
      </c>
      <c r="B70" s="63" t="str">
        <f>'NSFAS Student Tracking'!$B$16</f>
        <v>Levi Otieno</v>
      </c>
      <c r="C70" s="192" t="str">
        <f>'NSFAS Student Tracking'!$C$16</f>
        <v>BSc</v>
      </c>
      <c r="D70" s="192" t="str">
        <f>'NSFAS Student Tracking'!$E$16</f>
        <v>Year 1</v>
      </c>
      <c r="E70" s="192" t="str">
        <f>'NSFAS Student Tracking'!$F$16</f>
        <v>Appeal Pending</v>
      </c>
      <c r="F70" s="193">
        <f>'NSFAS Student Tracking'!$P$16</f>
        <v>230000</v>
      </c>
      <c r="G70" s="193">
        <f>'NSFAS Student Tracking'!$Q$16</f>
        <v>0</v>
      </c>
      <c r="H70" s="193">
        <f>'NSFAS Student Tracking'!$R$16</f>
        <v>80000</v>
      </c>
      <c r="I70" s="194">
        <f>'NSFAS Student Tracking'!$S$16</f>
        <v>2.1</v>
      </c>
      <c r="J70" s="192">
        <f>'NSFAS Student Tracking'!$U$16</f>
        <v>68</v>
      </c>
      <c r="K70" s="192" t="str">
        <f>'NSFAS Student Tracking'!$V$16</f>
        <v>Probation</v>
      </c>
      <c r="L70" s="192" t="str">
        <f>'NSFAS Student Tracking'!$Z$16</f>
        <v>High Risk</v>
      </c>
    </row>
    <row r="71" spans="1:12" ht="15" customHeight="1" x14ac:dyDescent="0.25">
      <c r="A71" s="63" t="str">
        <f>'NSFAS Student Tracking'!$A$17</f>
        <v>TU-2024-0054</v>
      </c>
      <c r="B71" s="63" t="str">
        <f>'NSFAS Student Tracking'!$B$17</f>
        <v>Mercy Wangeci</v>
      </c>
      <c r="C71" s="192" t="str">
        <f>'NSFAS Student Tracking'!$C$17</f>
        <v>BSc</v>
      </c>
      <c r="D71" s="192" t="str">
        <f>'NSFAS Student Tracking'!$E$17</f>
        <v>Year 2</v>
      </c>
      <c r="E71" s="192" t="str">
        <f>'NSFAS Student Tracking'!$F$17</f>
        <v>Fully Funded</v>
      </c>
      <c r="F71" s="193">
        <f>'NSFAS Student Tracking'!$P$17</f>
        <v>340000</v>
      </c>
      <c r="G71" s="193">
        <f>'NSFAS Student Tracking'!$Q$17</f>
        <v>340000</v>
      </c>
      <c r="H71" s="193">
        <f>'NSFAS Student Tracking'!$R$17</f>
        <v>0</v>
      </c>
      <c r="I71" s="194">
        <f>'NSFAS Student Tracking'!$S$17</f>
        <v>3.88</v>
      </c>
      <c r="J71" s="192">
        <f>'NSFAS Student Tracking'!$U$17</f>
        <v>95</v>
      </c>
      <c r="K71" s="192" t="str">
        <f>'NSFAS Student Tracking'!$V$17</f>
        <v>Good Standing</v>
      </c>
      <c r="L71" s="192" t="str">
        <f>'NSFAS Student Tracking'!$Z$17</f>
        <v>Low Risk</v>
      </c>
    </row>
    <row r="72" spans="1:12" ht="15" customHeight="1" x14ac:dyDescent="0.25">
      <c r="A72" s="63" t="str">
        <f>'NSFAS Student Tracking'!$A$18</f>
        <v>TU-2022-0055</v>
      </c>
      <c r="B72" s="63" t="str">
        <f>'NSFAS Student Tracking'!$B$18</f>
        <v>Nicholas Kilonzo</v>
      </c>
      <c r="C72" s="192" t="str">
        <f>'NSFAS Student Tracking'!$C$18</f>
        <v>BA</v>
      </c>
      <c r="D72" s="192" t="str">
        <f>'NSFAS Student Tracking'!$E$18</f>
        <v>Year 4</v>
      </c>
      <c r="E72" s="192" t="str">
        <f>'NSFAS Student Tracking'!$F$18</f>
        <v>Fully Funded</v>
      </c>
      <c r="F72" s="193">
        <f>'NSFAS Student Tracking'!$P$18</f>
        <v>210000</v>
      </c>
      <c r="G72" s="193">
        <f>'NSFAS Student Tracking'!$Q$18</f>
        <v>210000</v>
      </c>
      <c r="H72" s="193">
        <f>'NSFAS Student Tracking'!$R$18</f>
        <v>0</v>
      </c>
      <c r="I72" s="194">
        <f>'NSFAS Student Tracking'!$S$18</f>
        <v>3</v>
      </c>
      <c r="J72" s="192">
        <f>'NSFAS Student Tracking'!$U$18</f>
        <v>83</v>
      </c>
      <c r="K72" s="192" t="str">
        <f>'NSFAS Student Tracking'!$V$18</f>
        <v>Good Standing</v>
      </c>
      <c r="L72" s="192" t="str">
        <f>'NSFAS Student Tracking'!$Z$18</f>
        <v>Low Risk</v>
      </c>
    </row>
    <row r="73" spans="1:12" ht="15" customHeight="1" x14ac:dyDescent="0.25">
      <c r="A73" s="63" t="str">
        <f>'NSFAS Student Tracking'!$A$19</f>
        <v>TU-2024-0056</v>
      </c>
      <c r="B73" s="63" t="str">
        <f>'NSFAS Student Tracking'!$B$19</f>
        <v>Purity Chelangat</v>
      </c>
      <c r="C73" s="192" t="str">
        <f>'NSFAS Student Tracking'!$C$19</f>
        <v>BSc</v>
      </c>
      <c r="D73" s="192" t="str">
        <f>'NSFAS Student Tracking'!$E$19</f>
        <v>Year 2</v>
      </c>
      <c r="E73" s="192" t="str">
        <f>'NSFAS Student Tracking'!$F$19</f>
        <v>Provisionally Funded</v>
      </c>
      <c r="F73" s="193">
        <f>'NSFAS Student Tracking'!$P$19</f>
        <v>340000</v>
      </c>
      <c r="G73" s="193">
        <f>'NSFAS Student Tracking'!$Q$19</f>
        <v>165000</v>
      </c>
      <c r="H73" s="193">
        <f>'NSFAS Student Tracking'!$R$19</f>
        <v>75000</v>
      </c>
      <c r="I73" s="194">
        <f>'NSFAS Student Tracking'!$S$19</f>
        <v>2.7</v>
      </c>
      <c r="J73" s="192">
        <f>'NSFAS Student Tracking'!$U$19</f>
        <v>64</v>
      </c>
      <c r="K73" s="192" t="str">
        <f>'NSFAS Student Tracking'!$V$19</f>
        <v>Good Standing</v>
      </c>
      <c r="L73" s="192" t="str">
        <f>'NSFAS Student Tracking'!$Z$19</f>
        <v>Low Risk</v>
      </c>
    </row>
    <row r="74" spans="1:12" ht="15" customHeight="1" x14ac:dyDescent="0.25">
      <c r="A74" s="63" t="str">
        <f>'NSFAS Student Tracking'!$A$20</f>
        <v>TU-2023-0057</v>
      </c>
      <c r="B74" s="63" t="str">
        <f>'NSFAS Student Tracking'!$B$20</f>
        <v>Quinter Anyango</v>
      </c>
      <c r="C74" s="192" t="str">
        <f>'NSFAS Student Tracking'!$C$20</f>
        <v>BComm</v>
      </c>
      <c r="D74" s="192" t="str">
        <f>'NSFAS Student Tracking'!$E$20</f>
        <v>Year 3</v>
      </c>
      <c r="E74" s="192" t="str">
        <f>'NSFAS Student Tracking'!$F$20</f>
        <v>Fully Funded</v>
      </c>
      <c r="F74" s="193">
        <f>'NSFAS Student Tracking'!$P$20</f>
        <v>281500</v>
      </c>
      <c r="G74" s="193">
        <f>'NSFAS Student Tracking'!$Q$20</f>
        <v>281500</v>
      </c>
      <c r="H74" s="193">
        <f>'NSFAS Student Tracking'!$R$20</f>
        <v>0</v>
      </c>
      <c r="I74" s="194">
        <f>'NSFAS Student Tracking'!$S$20</f>
        <v>3.58</v>
      </c>
      <c r="J74" s="192">
        <f>'NSFAS Student Tracking'!$U$20</f>
        <v>89</v>
      </c>
      <c r="K74" s="192" t="str">
        <f>'NSFAS Student Tracking'!$V$20</f>
        <v>Good Standing</v>
      </c>
      <c r="L74" s="192" t="str">
        <f>'NSFAS Student Tracking'!$Z$20</f>
        <v>Low Risk</v>
      </c>
    </row>
    <row r="75" spans="1:12" ht="15" customHeight="1" x14ac:dyDescent="0.25">
      <c r="A75" s="63" t="str">
        <f>'NSFAS Student Tracking'!$A$21</f>
        <v>TU-2025-0058</v>
      </c>
      <c r="B75" s="63" t="str">
        <f>'NSFAS Student Tracking'!$B$21</f>
        <v>Ronald Kiplagat</v>
      </c>
      <c r="C75" s="192" t="str">
        <f>'NSFAS Student Tracking'!$C$21</f>
        <v>BSc</v>
      </c>
      <c r="D75" s="192" t="str">
        <f>'NSFAS Student Tracking'!$E$21</f>
        <v>Year 1</v>
      </c>
      <c r="E75" s="192" t="str">
        <f>'NSFAS Student Tracking'!$F$21</f>
        <v>Fully Funded</v>
      </c>
      <c r="F75" s="193">
        <f>'NSFAS Student Tracking'!$P$21</f>
        <v>340000</v>
      </c>
      <c r="G75" s="193">
        <f>'NSFAS Student Tracking'!$Q$21</f>
        <v>340000</v>
      </c>
      <c r="H75" s="193">
        <f>'NSFAS Student Tracking'!$R$21</f>
        <v>0</v>
      </c>
      <c r="I75" s="194">
        <f>'NSFAS Student Tracking'!$S$21</f>
        <v>3.2</v>
      </c>
      <c r="J75" s="192">
        <f>'NSFAS Student Tracking'!$U$21</f>
        <v>80</v>
      </c>
      <c r="K75" s="192" t="str">
        <f>'NSFAS Student Tracking'!$V$21</f>
        <v>Good Standing</v>
      </c>
      <c r="L75" s="192" t="str">
        <f>'NSFAS Student Tracking'!$Z$21</f>
        <v>Low Risk</v>
      </c>
    </row>
    <row r="76" spans="1:12" ht="15" customHeight="1" x14ac:dyDescent="0.25">
      <c r="A76" s="63" t="str">
        <f>'NSFAS Student Tracking'!$A$22</f>
        <v>TU-2022-0059</v>
      </c>
      <c r="B76" s="63" t="str">
        <f>'NSFAS Student Tracking'!$B$22</f>
        <v>Susan Atieno</v>
      </c>
      <c r="C76" s="192" t="str">
        <f>'NSFAS Student Tracking'!$C$22</f>
        <v>BA</v>
      </c>
      <c r="D76" s="192" t="str">
        <f>'NSFAS Student Tracking'!$E$22</f>
        <v>Year 4</v>
      </c>
      <c r="E76" s="192" t="str">
        <f>'NSFAS Student Tracking'!$F$22</f>
        <v>Provisionally Funded</v>
      </c>
      <c r="F76" s="193">
        <f>'NSFAS Student Tracking'!$P$22</f>
        <v>210000</v>
      </c>
      <c r="G76" s="193">
        <f>'NSFAS Student Tracking'!$Q$22</f>
        <v>0</v>
      </c>
      <c r="H76" s="193">
        <f>'NSFAS Student Tracking'!$R$22</f>
        <v>0</v>
      </c>
      <c r="I76" s="194">
        <f>'NSFAS Student Tracking'!$S$22</f>
        <v>2.4</v>
      </c>
      <c r="J76" s="192">
        <f>'NSFAS Student Tracking'!$U$22</f>
        <v>61</v>
      </c>
      <c r="K76" s="192" t="str">
        <f>'NSFAS Student Tracking'!$V$22</f>
        <v>Good Standing</v>
      </c>
      <c r="L76" s="192" t="str">
        <f>'NSFAS Student Tracking'!$Z$22</f>
        <v>Medium Risk</v>
      </c>
    </row>
    <row r="77" spans="1:12" ht="15" customHeight="1" x14ac:dyDescent="0.25">
      <c r="A77" s="63" t="str">
        <f>'NSFAS Student Tracking'!$A$23</f>
        <v>TU-2024-0060</v>
      </c>
      <c r="B77" s="63" t="str">
        <f>'NSFAS Student Tracking'!$B$23</f>
        <v>Titus Mburu</v>
      </c>
      <c r="C77" s="192" t="str">
        <f>'NSFAS Student Tracking'!$C$23</f>
        <v>BSc</v>
      </c>
      <c r="D77" s="192" t="str">
        <f>'NSFAS Student Tracking'!$E$23</f>
        <v>Year 2</v>
      </c>
      <c r="E77" s="192" t="str">
        <f>'NSFAS Student Tracking'!$F$23</f>
        <v>Fully Funded</v>
      </c>
      <c r="F77" s="193">
        <f>'NSFAS Student Tracking'!$P$23</f>
        <v>340000</v>
      </c>
      <c r="G77" s="193">
        <f>'NSFAS Student Tracking'!$Q$23</f>
        <v>340000</v>
      </c>
      <c r="H77" s="193">
        <f>'NSFAS Student Tracking'!$R$23</f>
        <v>0</v>
      </c>
      <c r="I77" s="194">
        <f>'NSFAS Student Tracking'!$S$23</f>
        <v>3.4</v>
      </c>
      <c r="J77" s="192">
        <f>'NSFAS Student Tracking'!$U$23</f>
        <v>91</v>
      </c>
      <c r="K77" s="192" t="str">
        <f>'NSFAS Student Tracking'!$V$23</f>
        <v>Good Standing</v>
      </c>
      <c r="L77" s="192" t="str">
        <f>'NSFAS Student Tracking'!$Z$23</f>
        <v>Low Risk</v>
      </c>
    </row>
    <row r="78" spans="1:12" ht="15" customHeight="1" x14ac:dyDescent="0.25">
      <c r="A78" s="63" t="str">
        <f>'NSFAS Student Tracking'!$A$24</f>
        <v>TU-2024-0061</v>
      </c>
      <c r="B78" s="63" t="str">
        <f>'NSFAS Student Tracking'!$B$24</f>
        <v>Winnie Adhiambo</v>
      </c>
      <c r="C78" s="192" t="str">
        <f>'NSFAS Student Tracking'!$C$24</f>
        <v>BSc</v>
      </c>
      <c r="D78" s="192" t="str">
        <f>'NSFAS Student Tracking'!$E$24</f>
        <v>Year 2</v>
      </c>
      <c r="E78" s="192" t="str">
        <f>'NSFAS Student Tracking'!$F$24</f>
        <v>Appeal Pending</v>
      </c>
      <c r="F78" s="193">
        <f>'NSFAS Student Tracking'!$P$24</f>
        <v>301500</v>
      </c>
      <c r="G78" s="193">
        <f>'NSFAS Student Tracking'!$Q$24</f>
        <v>0</v>
      </c>
      <c r="H78" s="193">
        <f>'NSFAS Student Tracking'!$R$24</f>
        <v>80000</v>
      </c>
      <c r="I78" s="194">
        <f>'NSFAS Student Tracking'!$S$24</f>
        <v>1.8</v>
      </c>
      <c r="J78" s="192">
        <f>'NSFAS Student Tracking'!$U$24</f>
        <v>49</v>
      </c>
      <c r="K78" s="192" t="str">
        <f>'NSFAS Student Tracking'!$V$24</f>
        <v>Probation</v>
      </c>
      <c r="L78" s="192" t="str">
        <f>'NSFAS Student Tracking'!$Z$24</f>
        <v>High Risk</v>
      </c>
    </row>
    <row r="80" spans="1:12" x14ac:dyDescent="0.25">
      <c r="A80" s="198" t="s">
        <v>4298</v>
      </c>
    </row>
  </sheetData>
  <mergeCells count="34">
    <mergeCell ref="A36:B36"/>
    <mergeCell ref="A45:D45"/>
    <mergeCell ref="A57:L57"/>
    <mergeCell ref="K9:L9"/>
    <mergeCell ref="A11:E11"/>
    <mergeCell ref="A18:B18"/>
    <mergeCell ref="A24:B24"/>
    <mergeCell ref="A31:D31"/>
    <mergeCell ref="A9:B9"/>
    <mergeCell ref="C9:D9"/>
    <mergeCell ref="E9:F9"/>
    <mergeCell ref="G9:H9"/>
    <mergeCell ref="I9:J9"/>
    <mergeCell ref="K6:L6"/>
    <mergeCell ref="A8:B8"/>
    <mergeCell ref="C8:D8"/>
    <mergeCell ref="E8:F8"/>
    <mergeCell ref="G8:H8"/>
    <mergeCell ref="I8:J8"/>
    <mergeCell ref="K8:L8"/>
    <mergeCell ref="A6:B6"/>
    <mergeCell ref="C6:D6"/>
    <mergeCell ref="E6:F6"/>
    <mergeCell ref="G6:H6"/>
    <mergeCell ref="I6:J6"/>
    <mergeCell ref="A1:L1"/>
    <mergeCell ref="A2:L2"/>
    <mergeCell ref="A4:L4"/>
    <mergeCell ref="A5:B5"/>
    <mergeCell ref="C5:D5"/>
    <mergeCell ref="E5:F5"/>
    <mergeCell ref="G5:H5"/>
    <mergeCell ref="I5:J5"/>
    <mergeCell ref="K5:L5"/>
  </mergeCells>
  <conditionalFormatting sqref="I59:I78">
    <cfRule type="colorScale" priority="4">
      <colorScale>
        <cfvo type="min"/>
        <cfvo type="percentile" val="50"/>
        <cfvo type="max"/>
        <color rgb="FFF8696B"/>
        <color rgb="FFFFEB84"/>
        <color rgb="FF63BE7B"/>
      </colorScale>
    </cfRule>
  </conditionalFormatting>
  <conditionalFormatting sqref="L59:L78">
    <cfRule type="cellIs" dxfId="1" priority="2" operator="equal">
      <formula>"Critical — Funding Discontinued"</formula>
    </cfRule>
    <cfRule type="cellIs" dxfId="0" priority="3" operator="equal">
      <formula>"High Risk"</formula>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Students</vt:lpstr>
      <vt:lpstr>Courses</vt:lpstr>
      <vt:lpstr>Enrolments</vt:lpstr>
      <vt:lpstr>Grades</vt:lpstr>
      <vt:lpstr>Attendance</vt:lpstr>
      <vt:lpstr>Fee Records</vt:lpstr>
      <vt:lpstr>Payments</vt:lpstr>
      <vt:lpstr>Scholarships</vt:lpstr>
      <vt:lpstr>Dashboard</vt:lpstr>
      <vt:lpstr>Journey Tracker</vt:lpstr>
      <vt:lpstr>Rankings Dashboard</vt:lpstr>
      <vt:lpstr>PG Research Tracker</vt:lpstr>
      <vt:lpstr>PG Academic Support</vt:lpstr>
      <vt:lpstr>Library Resources</vt:lpstr>
      <vt:lpstr>PhD Journey Tracker</vt:lpstr>
      <vt:lpstr>PhD Academic Support</vt:lpstr>
      <vt:lpstr>Demo Accounts</vt:lpstr>
      <vt:lpstr>NSFAS Student Tracking</vt:lpstr>
      <vt:lpstr>NSFAS Reports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Stephen Gaita</cp:lastModifiedBy>
  <cp:revision>0</cp:revision>
  <dcterms:created xsi:type="dcterms:W3CDTF">2026-04-15T09:55:39Z</dcterms:created>
  <dcterms:modified xsi:type="dcterms:W3CDTF">2026-09-09T14:35:51Z</dcterms:modified>
  <dc:language>en-US</dc:language>
</cp:coreProperties>
</file>